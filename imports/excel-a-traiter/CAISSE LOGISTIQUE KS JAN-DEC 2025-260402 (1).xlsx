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RAVAUX DE FIN EXERCICES KS\TRESO-BANQUE 2025\CAISSE 2025-260402\"/>
    </mc:Choice>
  </mc:AlternateContent>
  <xr:revisionPtr revIDLastSave="0" documentId="13_ncr:1_{196E2972-61A8-462F-9E34-EE0F9818B777}" xr6:coauthVersionLast="47" xr6:coauthVersionMax="47" xr10:uidLastSave="{00000000-0000-0000-0000-000000000000}"/>
  <bookViews>
    <workbookView xWindow="-108" yWindow="-108" windowWidth="23256" windowHeight="12456" activeTab="7" xr2:uid="{CE7289FA-F619-4682-AA6F-50045F0759F8}"/>
  </bookViews>
  <sheets>
    <sheet name="JANVIER " sheetId="21" r:id="rId1"/>
    <sheet name="FEVRIER " sheetId="23" r:id="rId2"/>
    <sheet name="MARS " sheetId="25" r:id="rId3"/>
    <sheet name="AVRIL" sheetId="26" r:id="rId4"/>
    <sheet name="MAI " sheetId="30" r:id="rId5"/>
    <sheet name="JUIN" sheetId="29" r:id="rId6"/>
    <sheet name="JUILLET" sheetId="32" r:id="rId7"/>
    <sheet name="AOUT" sheetId="34" r:id="rId8"/>
    <sheet name="SEPTEMBRE" sheetId="38" r:id="rId9"/>
    <sheet name="OCTOBRE" sheetId="35" r:id="rId10"/>
    <sheet name="NOVEMBRE" sheetId="36" r:id="rId11"/>
    <sheet name="DECEMBRE" sheetId="37" r:id="rId12"/>
  </sheets>
  <externalReferences>
    <externalReference r:id="rId13"/>
    <externalReference r:id="rId14"/>
    <externalReference r:id="rId15"/>
  </externalReferences>
  <definedNames>
    <definedName name="_xlnm._FilterDatabase" localSheetId="3" hidden="1">AVRIL!$A$3:$I$305</definedName>
    <definedName name="_xlnm._FilterDatabase" localSheetId="1" hidden="1">'FEVRIER '!$A$3:$J$150</definedName>
    <definedName name="_xlnm._FilterDatabase" localSheetId="0" hidden="1">'JANVIER '!$A$3:$I$116</definedName>
    <definedName name="_xlnm._FilterDatabase" localSheetId="6" hidden="1">JUILLET!$A$3:$J$61</definedName>
    <definedName name="_xlnm._FilterDatabase" localSheetId="5" hidden="1">JUIN!$A$3:$J$44</definedName>
    <definedName name="_xlnm._FilterDatabase" localSheetId="4" hidden="1">'MAI '!$A$3:$I$128</definedName>
    <definedName name="_xlnm._FilterDatabase" localSheetId="2" hidden="1">'MARS '!$A$3:$I$52</definedName>
    <definedName name="A">#REF!</definedName>
    <definedName name="ACTIVITE">#REF!</definedName>
    <definedName name="ID_ENGIN">#REF!</definedName>
    <definedName name="PROJET_CHANTIER">#REF!</definedName>
    <definedName name="_xlnm.Print_Area" localSheetId="3">AVRIL!$G$2:$I$333</definedName>
    <definedName name="_xlnm.Print_Area" localSheetId="1">'FEVRIER '!$A$2:$C$212</definedName>
    <definedName name="_xlnm.Print_Area" localSheetId="0">'JANVIER '!$G$2:$I$174</definedName>
    <definedName name="_xlnm.Print_Area" localSheetId="6">JUILLET!#REF!</definedName>
    <definedName name="_xlnm.Print_Area" localSheetId="5">JUIN!$G$27:$I$43</definedName>
    <definedName name="_xlnm.Print_Area" localSheetId="4">'MAI '!$G$3:$I$298</definedName>
    <definedName name="_xlnm.Print_Area" localSheetId="2">'MARS '!$G$3:$I$240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8" i="37" l="1"/>
  <c r="K608" i="37"/>
  <c r="D608" i="37"/>
  <c r="L607" i="37"/>
  <c r="K607" i="37"/>
  <c r="D607" i="37"/>
  <c r="L606" i="37"/>
  <c r="K606" i="37"/>
  <c r="D606" i="37"/>
  <c r="L605" i="37"/>
  <c r="K605" i="37"/>
  <c r="D605" i="37"/>
  <c r="L604" i="37"/>
  <c r="K604" i="37"/>
  <c r="D604" i="37"/>
  <c r="L603" i="37"/>
  <c r="K603" i="37"/>
  <c r="D603" i="37"/>
  <c r="L602" i="37"/>
  <c r="K602" i="37"/>
  <c r="D602" i="37"/>
  <c r="L601" i="37"/>
  <c r="K601" i="37"/>
  <c r="D601" i="37"/>
  <c r="L600" i="37"/>
  <c r="K600" i="37"/>
  <c r="D600" i="37"/>
  <c r="L599" i="37"/>
  <c r="K599" i="37"/>
  <c r="D599" i="37"/>
  <c r="L598" i="37"/>
  <c r="K598" i="37"/>
  <c r="D598" i="37"/>
  <c r="L597" i="37"/>
  <c r="K597" i="37"/>
  <c r="D597" i="37"/>
  <c r="L596" i="37"/>
  <c r="K596" i="37"/>
  <c r="D596" i="37"/>
  <c r="L595" i="37"/>
  <c r="K595" i="37"/>
  <c r="D595" i="37"/>
  <c r="L594" i="37"/>
  <c r="K594" i="37"/>
  <c r="D594" i="37"/>
  <c r="L593" i="37"/>
  <c r="K593" i="37"/>
  <c r="D593" i="37"/>
  <c r="L592" i="37"/>
  <c r="K592" i="37"/>
  <c r="D592" i="37"/>
  <c r="L591" i="37"/>
  <c r="K591" i="37"/>
  <c r="D591" i="37"/>
  <c r="L590" i="37"/>
  <c r="K590" i="37"/>
  <c r="D590" i="37"/>
  <c r="L589" i="37"/>
  <c r="K589" i="37"/>
  <c r="D589" i="37"/>
  <c r="L588" i="37"/>
  <c r="K588" i="37"/>
  <c r="D588" i="37"/>
  <c r="L587" i="37"/>
  <c r="K587" i="37"/>
  <c r="D587" i="37"/>
  <c r="L586" i="37"/>
  <c r="K586" i="37"/>
  <c r="D586" i="37"/>
  <c r="L585" i="37"/>
  <c r="K585" i="37"/>
  <c r="D585" i="37"/>
  <c r="L584" i="37"/>
  <c r="K584" i="37"/>
  <c r="D584" i="37"/>
  <c r="L583" i="37"/>
  <c r="K583" i="37"/>
  <c r="D583" i="37"/>
  <c r="L582" i="37"/>
  <c r="K582" i="37"/>
  <c r="D582" i="37"/>
  <c r="L581" i="37"/>
  <c r="K581" i="37"/>
  <c r="D581" i="37"/>
  <c r="L580" i="37"/>
  <c r="K580" i="37"/>
  <c r="D580" i="37"/>
  <c r="L579" i="37"/>
  <c r="K579" i="37"/>
  <c r="D579" i="37"/>
  <c r="L578" i="37"/>
  <c r="K578" i="37"/>
  <c r="D578" i="37"/>
  <c r="L577" i="37"/>
  <c r="K577" i="37"/>
  <c r="D577" i="37"/>
  <c r="L576" i="37"/>
  <c r="K576" i="37"/>
  <c r="D576" i="37"/>
  <c r="L575" i="37"/>
  <c r="K575" i="37"/>
  <c r="D575" i="37"/>
  <c r="L574" i="37"/>
  <c r="K574" i="37"/>
  <c r="D574" i="37"/>
  <c r="L573" i="37"/>
  <c r="K573" i="37"/>
  <c r="D573" i="37"/>
  <c r="L572" i="37"/>
  <c r="K572" i="37"/>
  <c r="D572" i="37"/>
  <c r="L571" i="37"/>
  <c r="K571" i="37"/>
  <c r="D571" i="37"/>
  <c r="L570" i="37"/>
  <c r="K570" i="37"/>
  <c r="D570" i="37"/>
  <c r="L569" i="37"/>
  <c r="K569" i="37"/>
  <c r="D569" i="37"/>
  <c r="L568" i="37"/>
  <c r="K568" i="37"/>
  <c r="D568" i="37"/>
  <c r="L567" i="37"/>
  <c r="K567" i="37"/>
  <c r="D567" i="37"/>
  <c r="L566" i="37"/>
  <c r="K566" i="37"/>
  <c r="D566" i="37"/>
  <c r="L565" i="37"/>
  <c r="K565" i="37"/>
  <c r="D565" i="37"/>
  <c r="L564" i="37"/>
  <c r="K564" i="37"/>
  <c r="D564" i="37"/>
  <c r="L563" i="37"/>
  <c r="K563" i="37"/>
  <c r="D563" i="37"/>
  <c r="L562" i="37"/>
  <c r="K562" i="37"/>
  <c r="D562" i="37"/>
  <c r="L561" i="37"/>
  <c r="K561" i="37"/>
  <c r="D561" i="37"/>
  <c r="L560" i="37"/>
  <c r="K560" i="37"/>
  <c r="D560" i="37"/>
  <c r="L559" i="37"/>
  <c r="K559" i="37"/>
  <c r="D559" i="37"/>
  <c r="L558" i="37"/>
  <c r="K558" i="37"/>
  <c r="D558" i="37"/>
  <c r="L557" i="37"/>
  <c r="K557" i="37"/>
  <c r="D557" i="37"/>
  <c r="L556" i="37"/>
  <c r="K556" i="37"/>
  <c r="D556" i="37"/>
  <c r="L555" i="37"/>
  <c r="K555" i="37"/>
  <c r="D555" i="37"/>
  <c r="L554" i="37"/>
  <c r="K554" i="37"/>
  <c r="D554" i="37"/>
  <c r="L553" i="37"/>
  <c r="K553" i="37"/>
  <c r="D553" i="37"/>
  <c r="L552" i="37"/>
  <c r="K552" i="37"/>
  <c r="D552" i="37"/>
  <c r="L551" i="37"/>
  <c r="K551" i="37"/>
  <c r="D551" i="37"/>
  <c r="L550" i="37"/>
  <c r="K550" i="37"/>
  <c r="D550" i="37"/>
  <c r="L549" i="37"/>
  <c r="K549" i="37"/>
  <c r="D549" i="37"/>
  <c r="L548" i="37"/>
  <c r="K548" i="37"/>
  <c r="D548" i="37"/>
  <c r="L547" i="37"/>
  <c r="K547" i="37"/>
  <c r="D547" i="37"/>
  <c r="L546" i="37"/>
  <c r="K546" i="37"/>
  <c r="D546" i="37"/>
  <c r="L545" i="37"/>
  <c r="K545" i="37"/>
  <c r="D545" i="37"/>
  <c r="L544" i="37"/>
  <c r="K544" i="37"/>
  <c r="D544" i="37"/>
  <c r="L543" i="37"/>
  <c r="K543" i="37"/>
  <c r="D543" i="37"/>
  <c r="L542" i="37"/>
  <c r="K542" i="37"/>
  <c r="D542" i="37"/>
  <c r="L541" i="37"/>
  <c r="K541" i="37"/>
  <c r="D541" i="37"/>
  <c r="L540" i="37"/>
  <c r="K540" i="37"/>
  <c r="D540" i="37"/>
  <c r="L539" i="37"/>
  <c r="K539" i="37"/>
  <c r="D539" i="37"/>
  <c r="L538" i="37"/>
  <c r="K538" i="37"/>
  <c r="D538" i="37"/>
  <c r="L537" i="37"/>
  <c r="K537" i="37"/>
  <c r="D537" i="37"/>
  <c r="L536" i="37"/>
  <c r="K536" i="37"/>
  <c r="D536" i="37"/>
  <c r="L535" i="37"/>
  <c r="K535" i="37"/>
  <c r="D535" i="37"/>
  <c r="L534" i="37"/>
  <c r="K534" i="37"/>
  <c r="D534" i="37"/>
  <c r="L533" i="37"/>
  <c r="K533" i="37"/>
  <c r="D533" i="37"/>
  <c r="L532" i="37"/>
  <c r="K532" i="37"/>
  <c r="D532" i="37"/>
  <c r="L531" i="37"/>
  <c r="K531" i="37"/>
  <c r="D531" i="37"/>
  <c r="L530" i="37"/>
  <c r="K530" i="37"/>
  <c r="D530" i="37"/>
  <c r="L529" i="37"/>
  <c r="K529" i="37"/>
  <c r="D529" i="37"/>
  <c r="L528" i="37"/>
  <c r="K528" i="37"/>
  <c r="D528" i="37"/>
  <c r="L527" i="37"/>
  <c r="K527" i="37"/>
  <c r="D527" i="37"/>
  <c r="L526" i="37"/>
  <c r="K526" i="37"/>
  <c r="D526" i="37"/>
  <c r="L525" i="37"/>
  <c r="K525" i="37"/>
  <c r="D525" i="37"/>
  <c r="L524" i="37"/>
  <c r="K524" i="37"/>
  <c r="D524" i="37"/>
  <c r="L523" i="37"/>
  <c r="K523" i="37"/>
  <c r="D523" i="37"/>
  <c r="L522" i="37"/>
  <c r="K522" i="37"/>
  <c r="D522" i="37"/>
  <c r="L521" i="37"/>
  <c r="K521" i="37"/>
  <c r="D521" i="37"/>
  <c r="L520" i="37"/>
  <c r="K520" i="37"/>
  <c r="D520" i="37"/>
  <c r="L519" i="37"/>
  <c r="K519" i="37"/>
  <c r="D519" i="37"/>
  <c r="L518" i="37"/>
  <c r="K518" i="37"/>
  <c r="D518" i="37"/>
  <c r="L517" i="37"/>
  <c r="K517" i="37"/>
  <c r="D517" i="37"/>
  <c r="L516" i="37"/>
  <c r="K516" i="37"/>
  <c r="D516" i="37"/>
  <c r="L515" i="37"/>
  <c r="K515" i="37"/>
  <c r="D515" i="37"/>
  <c r="L514" i="37"/>
  <c r="K514" i="37"/>
  <c r="D514" i="37"/>
  <c r="L513" i="37"/>
  <c r="K513" i="37"/>
  <c r="D513" i="37"/>
  <c r="L512" i="37"/>
  <c r="K512" i="37"/>
  <c r="D512" i="37"/>
  <c r="L511" i="37"/>
  <c r="K511" i="37"/>
  <c r="D511" i="37"/>
  <c r="L510" i="37"/>
  <c r="K510" i="37"/>
  <c r="D510" i="37"/>
  <c r="L509" i="37"/>
  <c r="K509" i="37"/>
  <c r="D509" i="37"/>
  <c r="L508" i="37"/>
  <c r="K508" i="37"/>
  <c r="D508" i="37"/>
  <c r="L507" i="37"/>
  <c r="K507" i="37"/>
  <c r="D507" i="37"/>
  <c r="L506" i="37"/>
  <c r="K506" i="37"/>
  <c r="D506" i="37"/>
  <c r="L505" i="37"/>
  <c r="K505" i="37"/>
  <c r="D505" i="37"/>
  <c r="L504" i="37"/>
  <c r="K504" i="37"/>
  <c r="D504" i="37"/>
  <c r="L503" i="37"/>
  <c r="K503" i="37"/>
  <c r="D503" i="37"/>
  <c r="L502" i="37"/>
  <c r="K502" i="37"/>
  <c r="D502" i="37"/>
  <c r="L501" i="37"/>
  <c r="K501" i="37"/>
  <c r="D501" i="37"/>
  <c r="L500" i="37"/>
  <c r="K500" i="37"/>
  <c r="D500" i="37"/>
  <c r="L499" i="37"/>
  <c r="K499" i="37"/>
  <c r="D499" i="37"/>
  <c r="L498" i="37"/>
  <c r="K498" i="37"/>
  <c r="D498" i="37"/>
  <c r="L497" i="37"/>
  <c r="K497" i="37"/>
  <c r="D497" i="37"/>
  <c r="L496" i="37"/>
  <c r="K496" i="37"/>
  <c r="D496" i="37"/>
  <c r="L495" i="37"/>
  <c r="K495" i="37"/>
  <c r="D495" i="37"/>
  <c r="L494" i="37"/>
  <c r="K494" i="37"/>
  <c r="D494" i="37"/>
  <c r="L493" i="37"/>
  <c r="K493" i="37"/>
  <c r="D493" i="37"/>
  <c r="L492" i="37"/>
  <c r="K492" i="37"/>
  <c r="D492" i="37"/>
  <c r="L491" i="37"/>
  <c r="K491" i="37"/>
  <c r="D491" i="37"/>
  <c r="L490" i="37"/>
  <c r="K490" i="37"/>
  <c r="D490" i="37"/>
  <c r="L489" i="37"/>
  <c r="K489" i="37"/>
  <c r="D489" i="37"/>
  <c r="L488" i="37"/>
  <c r="K488" i="37"/>
  <c r="D488" i="37"/>
  <c r="L487" i="37"/>
  <c r="K487" i="37"/>
  <c r="D487" i="37"/>
  <c r="L486" i="37"/>
  <c r="K486" i="37"/>
  <c r="D486" i="37"/>
  <c r="L485" i="37"/>
  <c r="K485" i="37"/>
  <c r="D485" i="37"/>
  <c r="L484" i="37"/>
  <c r="K484" i="37"/>
  <c r="D484" i="37"/>
  <c r="L483" i="37"/>
  <c r="K483" i="37"/>
  <c r="D483" i="37"/>
  <c r="L482" i="37"/>
  <c r="K482" i="37"/>
  <c r="D482" i="37"/>
  <c r="L481" i="37"/>
  <c r="K481" i="37"/>
  <c r="D481" i="37"/>
  <c r="L480" i="37"/>
  <c r="K480" i="37"/>
  <c r="D480" i="37"/>
  <c r="L479" i="37"/>
  <c r="K479" i="37"/>
  <c r="D479" i="37"/>
  <c r="L478" i="37"/>
  <c r="K478" i="37"/>
  <c r="D478" i="37"/>
  <c r="L477" i="37"/>
  <c r="K477" i="37"/>
  <c r="D477" i="37"/>
  <c r="L476" i="37"/>
  <c r="K476" i="37"/>
  <c r="D476" i="37"/>
  <c r="L475" i="37"/>
  <c r="K475" i="37"/>
  <c r="D475" i="37"/>
  <c r="L474" i="37"/>
  <c r="K474" i="37"/>
  <c r="D474" i="37"/>
  <c r="L473" i="37"/>
  <c r="K473" i="37"/>
  <c r="D473" i="37"/>
  <c r="L472" i="37"/>
  <c r="K472" i="37"/>
  <c r="D472" i="37"/>
  <c r="L471" i="37"/>
  <c r="K471" i="37"/>
  <c r="D471" i="37"/>
  <c r="L470" i="37"/>
  <c r="K470" i="37"/>
  <c r="D470" i="37"/>
  <c r="L469" i="37"/>
  <c r="K469" i="37"/>
  <c r="D469" i="37"/>
  <c r="L468" i="37"/>
  <c r="K468" i="37"/>
  <c r="D468" i="37"/>
  <c r="L467" i="37"/>
  <c r="K467" i="37"/>
  <c r="D467" i="37"/>
  <c r="L466" i="37"/>
  <c r="K466" i="37"/>
  <c r="D466" i="37"/>
  <c r="L465" i="37"/>
  <c r="K465" i="37"/>
  <c r="D465" i="37"/>
  <c r="L464" i="37"/>
  <c r="K464" i="37"/>
  <c r="D464" i="37"/>
  <c r="L463" i="37"/>
  <c r="K463" i="37"/>
  <c r="D463" i="37"/>
  <c r="L462" i="37"/>
  <c r="K462" i="37"/>
  <c r="D462" i="37"/>
  <c r="L461" i="37"/>
  <c r="K461" i="37"/>
  <c r="D461" i="37"/>
  <c r="L460" i="37"/>
  <c r="K460" i="37"/>
  <c r="D460" i="37"/>
  <c r="L459" i="37"/>
  <c r="K459" i="37"/>
  <c r="D459" i="37"/>
  <c r="L458" i="37"/>
  <c r="K458" i="37"/>
  <c r="D458" i="37"/>
  <c r="L457" i="37"/>
  <c r="K457" i="37"/>
  <c r="D457" i="37"/>
  <c r="L456" i="37"/>
  <c r="K456" i="37"/>
  <c r="D456" i="37"/>
  <c r="L455" i="37"/>
  <c r="K455" i="37"/>
  <c r="D455" i="37"/>
  <c r="L454" i="37"/>
  <c r="K454" i="37"/>
  <c r="D454" i="37"/>
  <c r="L453" i="37"/>
  <c r="K453" i="37"/>
  <c r="D453" i="37"/>
  <c r="L452" i="37"/>
  <c r="K452" i="37"/>
  <c r="D452" i="37"/>
  <c r="L451" i="37"/>
  <c r="K451" i="37"/>
  <c r="D451" i="37"/>
  <c r="L450" i="37"/>
  <c r="K450" i="37"/>
  <c r="D450" i="37"/>
  <c r="L449" i="37"/>
  <c r="K449" i="37"/>
  <c r="D449" i="37"/>
  <c r="L448" i="37"/>
  <c r="K448" i="37"/>
  <c r="D448" i="37"/>
  <c r="L447" i="37"/>
  <c r="K447" i="37"/>
  <c r="D447" i="37"/>
  <c r="L446" i="37"/>
  <c r="K446" i="37"/>
  <c r="D446" i="37"/>
  <c r="L445" i="37"/>
  <c r="K445" i="37"/>
  <c r="D445" i="37"/>
  <c r="L444" i="37"/>
  <c r="K444" i="37"/>
  <c r="D444" i="37"/>
  <c r="L443" i="37"/>
  <c r="K443" i="37"/>
  <c r="D443" i="37"/>
  <c r="L442" i="37"/>
  <c r="K442" i="37"/>
  <c r="D442" i="37"/>
  <c r="L441" i="37"/>
  <c r="K441" i="37"/>
  <c r="D441" i="37"/>
  <c r="L440" i="37"/>
  <c r="K440" i="37"/>
  <c r="D440" i="37"/>
  <c r="L439" i="37"/>
  <c r="K439" i="37"/>
  <c r="D439" i="37"/>
  <c r="L438" i="37"/>
  <c r="K438" i="37"/>
  <c r="D438" i="37"/>
  <c r="L437" i="37"/>
  <c r="K437" i="37"/>
  <c r="D437" i="37"/>
  <c r="L436" i="37"/>
  <c r="K436" i="37"/>
  <c r="D436" i="37"/>
  <c r="L435" i="37"/>
  <c r="K435" i="37"/>
  <c r="D435" i="37"/>
  <c r="L434" i="37"/>
  <c r="K434" i="37"/>
  <c r="D434" i="37"/>
  <c r="L433" i="37"/>
  <c r="K433" i="37"/>
  <c r="D433" i="37"/>
  <c r="L432" i="37"/>
  <c r="K432" i="37"/>
  <c r="D432" i="37"/>
  <c r="L431" i="37"/>
  <c r="K431" i="37"/>
  <c r="D431" i="37"/>
  <c r="L430" i="37"/>
  <c r="K430" i="37"/>
  <c r="D430" i="37"/>
  <c r="L429" i="37"/>
  <c r="K429" i="37"/>
  <c r="D429" i="37"/>
  <c r="L428" i="37"/>
  <c r="K428" i="37"/>
  <c r="D428" i="37"/>
  <c r="L427" i="37"/>
  <c r="K427" i="37"/>
  <c r="D427" i="37"/>
  <c r="L426" i="37"/>
  <c r="K426" i="37"/>
  <c r="D426" i="37"/>
  <c r="L425" i="37"/>
  <c r="K425" i="37"/>
  <c r="D425" i="37"/>
  <c r="L424" i="37"/>
  <c r="K424" i="37"/>
  <c r="D424" i="37"/>
  <c r="L423" i="37"/>
  <c r="K423" i="37"/>
  <c r="D423" i="37"/>
  <c r="L422" i="37"/>
  <c r="K422" i="37"/>
  <c r="D422" i="37"/>
  <c r="L421" i="37"/>
  <c r="K421" i="37"/>
  <c r="D421" i="37"/>
  <c r="L420" i="37"/>
  <c r="K420" i="37"/>
  <c r="D420" i="37"/>
  <c r="L419" i="37"/>
  <c r="K419" i="37"/>
  <c r="D419" i="37"/>
  <c r="L418" i="37"/>
  <c r="K418" i="37"/>
  <c r="D418" i="37"/>
  <c r="L417" i="37"/>
  <c r="K417" i="37"/>
  <c r="D417" i="37"/>
  <c r="L416" i="37"/>
  <c r="K416" i="37"/>
  <c r="D416" i="37"/>
  <c r="L415" i="37"/>
  <c r="K415" i="37"/>
  <c r="D415" i="37"/>
  <c r="L414" i="37"/>
  <c r="K414" i="37"/>
  <c r="D414" i="37"/>
  <c r="L413" i="37"/>
  <c r="K413" i="37"/>
  <c r="D413" i="37"/>
  <c r="L412" i="37"/>
  <c r="K412" i="37"/>
  <c r="D412" i="37"/>
  <c r="L411" i="37"/>
  <c r="K411" i="37"/>
  <c r="D411" i="37"/>
  <c r="L410" i="37"/>
  <c r="K410" i="37"/>
  <c r="D410" i="37"/>
  <c r="L409" i="37"/>
  <c r="D409" i="37"/>
  <c r="L408" i="37"/>
  <c r="D408" i="37"/>
  <c r="L407" i="37"/>
  <c r="D407" i="37"/>
  <c r="L406" i="37"/>
  <c r="D406" i="37"/>
  <c r="L405" i="37"/>
  <c r="D405" i="37"/>
  <c r="L404" i="37"/>
  <c r="D404" i="37"/>
  <c r="L403" i="37"/>
  <c r="D403" i="37"/>
  <c r="L402" i="37"/>
  <c r="D402" i="37"/>
  <c r="L401" i="37"/>
  <c r="D401" i="37"/>
  <c r="L400" i="37"/>
  <c r="D400" i="37"/>
  <c r="L399" i="37"/>
  <c r="D399" i="37"/>
  <c r="L398" i="37"/>
  <c r="D398" i="37"/>
  <c r="L397" i="37"/>
  <c r="D397" i="37"/>
  <c r="L396" i="37"/>
  <c r="D396" i="37"/>
  <c r="L395" i="37"/>
  <c r="D395" i="37"/>
  <c r="L394" i="37"/>
  <c r="D394" i="37"/>
  <c r="L393" i="37"/>
  <c r="D393" i="37"/>
  <c r="L392" i="37"/>
  <c r="D392" i="37"/>
  <c r="L391" i="37"/>
  <c r="D391" i="37"/>
  <c r="L390" i="37"/>
  <c r="D390" i="37"/>
  <c r="L389" i="37"/>
  <c r="D389" i="37"/>
  <c r="L388" i="37"/>
  <c r="D388" i="37"/>
  <c r="L387" i="37"/>
  <c r="D387" i="37"/>
  <c r="L386" i="37"/>
  <c r="D386" i="37"/>
  <c r="L385" i="37"/>
  <c r="D385" i="37"/>
  <c r="L384" i="37"/>
  <c r="D384" i="37"/>
  <c r="L383" i="37"/>
  <c r="D383" i="37"/>
  <c r="L382" i="37"/>
  <c r="D382" i="37"/>
  <c r="L381" i="37"/>
  <c r="D381" i="37"/>
  <c r="L380" i="37"/>
  <c r="D380" i="37"/>
  <c r="L379" i="37"/>
  <c r="D379" i="37"/>
  <c r="L378" i="37"/>
  <c r="D378" i="37"/>
  <c r="L377" i="37"/>
  <c r="D377" i="37"/>
  <c r="L376" i="37"/>
  <c r="D376" i="37"/>
  <c r="L375" i="37"/>
  <c r="D375" i="37"/>
  <c r="L374" i="37"/>
  <c r="D374" i="37"/>
  <c r="L373" i="37"/>
  <c r="D373" i="37"/>
  <c r="L372" i="37"/>
  <c r="D372" i="37"/>
  <c r="L371" i="37"/>
  <c r="D371" i="37"/>
  <c r="L370" i="37"/>
  <c r="D370" i="37"/>
  <c r="L369" i="37"/>
  <c r="D369" i="37"/>
  <c r="L368" i="37"/>
  <c r="D368" i="37"/>
  <c r="L367" i="37"/>
  <c r="D367" i="37"/>
  <c r="L366" i="37"/>
  <c r="D366" i="37"/>
  <c r="L365" i="37"/>
  <c r="D365" i="37"/>
  <c r="L364" i="37"/>
  <c r="D364" i="37"/>
  <c r="L363" i="37"/>
  <c r="D363" i="37"/>
  <c r="L362" i="37"/>
  <c r="D362" i="37"/>
  <c r="L361" i="37"/>
  <c r="D361" i="37"/>
  <c r="L360" i="37"/>
  <c r="D360" i="37"/>
  <c r="L359" i="37"/>
  <c r="J359" i="37"/>
  <c r="D359" i="37"/>
  <c r="L358" i="37"/>
  <c r="D358" i="37"/>
  <c r="L357" i="37"/>
  <c r="D357" i="37"/>
  <c r="L356" i="37"/>
  <c r="D356" i="37"/>
  <c r="L355" i="37"/>
  <c r="D355" i="37"/>
  <c r="L354" i="37"/>
  <c r="D354" i="37"/>
  <c r="L353" i="37"/>
  <c r="D353" i="37"/>
  <c r="L352" i="37"/>
  <c r="D352" i="37"/>
  <c r="L351" i="37"/>
  <c r="D351" i="37"/>
  <c r="L350" i="37"/>
  <c r="D350" i="37"/>
  <c r="L349" i="37"/>
  <c r="D349" i="37"/>
  <c r="L348" i="37"/>
  <c r="D348" i="37"/>
  <c r="L347" i="37"/>
  <c r="D347" i="37"/>
  <c r="L346" i="37"/>
  <c r="D346" i="37"/>
  <c r="L345" i="37"/>
  <c r="D345" i="37"/>
  <c r="L344" i="37"/>
  <c r="D344" i="37"/>
  <c r="L343" i="37"/>
  <c r="D343" i="37"/>
  <c r="L342" i="37"/>
  <c r="D342" i="37"/>
  <c r="L341" i="37"/>
  <c r="D341" i="37"/>
  <c r="L340" i="37"/>
  <c r="D340" i="37"/>
  <c r="L339" i="37"/>
  <c r="D339" i="37"/>
  <c r="L338" i="37"/>
  <c r="D338" i="37"/>
  <c r="L337" i="37"/>
  <c r="D337" i="37"/>
  <c r="L336" i="37"/>
  <c r="D336" i="37"/>
  <c r="L335" i="37"/>
  <c r="D335" i="37"/>
  <c r="L334" i="37"/>
  <c r="D334" i="37"/>
  <c r="L333" i="37"/>
  <c r="D333" i="37"/>
  <c r="L332" i="37"/>
  <c r="D332" i="37"/>
  <c r="L331" i="37"/>
  <c r="D331" i="37"/>
  <c r="L330" i="37"/>
  <c r="D330" i="37"/>
  <c r="L329" i="37"/>
  <c r="D329" i="37"/>
  <c r="L328" i="37"/>
  <c r="D328" i="37"/>
  <c r="L327" i="37"/>
  <c r="D327" i="37"/>
  <c r="L326" i="37"/>
  <c r="D326" i="37"/>
  <c r="L325" i="37"/>
  <c r="D325" i="37"/>
  <c r="L324" i="37"/>
  <c r="D324" i="37"/>
  <c r="L323" i="37"/>
  <c r="D323" i="37"/>
  <c r="L322" i="37"/>
  <c r="D322" i="37"/>
  <c r="L321" i="37"/>
  <c r="D321" i="37"/>
  <c r="L320" i="37"/>
  <c r="D320" i="37"/>
  <c r="L319" i="37"/>
  <c r="D319" i="37"/>
  <c r="L318" i="37"/>
  <c r="D318" i="37"/>
  <c r="L317" i="37"/>
  <c r="D317" i="37"/>
  <c r="L316" i="37"/>
  <c r="D316" i="37"/>
  <c r="L315" i="37"/>
  <c r="D315" i="37"/>
  <c r="L314" i="37"/>
  <c r="D314" i="37"/>
  <c r="D313" i="37"/>
  <c r="D312" i="37"/>
  <c r="D311" i="37"/>
  <c r="D310" i="37"/>
  <c r="D309" i="37"/>
  <c r="D308" i="37"/>
  <c r="J307" i="37"/>
  <c r="D307" i="37"/>
  <c r="D306" i="37"/>
  <c r="D305" i="37"/>
  <c r="D304" i="37"/>
  <c r="D303" i="37"/>
  <c r="J302" i="37"/>
  <c r="D302" i="37"/>
  <c r="D301" i="37"/>
  <c r="D300" i="37"/>
  <c r="D299" i="37"/>
  <c r="D298" i="37"/>
  <c r="D297" i="37"/>
  <c r="D296" i="37"/>
  <c r="D295" i="37"/>
  <c r="D294" i="37"/>
  <c r="D293" i="37"/>
  <c r="D292" i="37"/>
  <c r="J291" i="37"/>
  <c r="D291" i="37"/>
  <c r="D290" i="37"/>
  <c r="D289" i="37"/>
  <c r="D288" i="37"/>
  <c r="D287" i="37"/>
  <c r="D286" i="37"/>
  <c r="D285" i="37"/>
  <c r="D284" i="37"/>
  <c r="D283" i="37"/>
  <c r="D282" i="37"/>
  <c r="D281" i="37"/>
  <c r="D280" i="37"/>
  <c r="D279" i="37"/>
  <c r="D278" i="37"/>
  <c r="D277" i="37"/>
  <c r="D276" i="37"/>
  <c r="D275" i="37"/>
  <c r="D274" i="37"/>
  <c r="D273" i="37"/>
  <c r="D272" i="37"/>
  <c r="D271" i="37"/>
  <c r="D270" i="37"/>
  <c r="D269" i="37"/>
  <c r="D268" i="37"/>
  <c r="D267" i="37"/>
  <c r="D266" i="37"/>
  <c r="D265" i="37"/>
  <c r="D264" i="37"/>
  <c r="D263" i="37"/>
  <c r="D262" i="37"/>
  <c r="D261" i="37"/>
  <c r="D260" i="37"/>
  <c r="D259" i="37"/>
  <c r="D258" i="37"/>
  <c r="D257" i="37"/>
  <c r="D256" i="37"/>
  <c r="D255" i="37"/>
  <c r="D254" i="37"/>
  <c r="D253" i="37"/>
  <c r="D252" i="37"/>
  <c r="D251" i="37"/>
  <c r="D250" i="37"/>
  <c r="D249" i="37"/>
  <c r="D248" i="37"/>
  <c r="D247" i="37"/>
  <c r="D246" i="37"/>
  <c r="D245" i="37"/>
  <c r="D244" i="37"/>
  <c r="D243" i="37"/>
  <c r="D242" i="37"/>
  <c r="D241" i="37"/>
  <c r="D240" i="37"/>
  <c r="D239" i="37"/>
  <c r="D238" i="37"/>
  <c r="D237" i="37"/>
  <c r="D236" i="37"/>
  <c r="D235" i="37"/>
  <c r="D234" i="37"/>
  <c r="D233" i="37"/>
  <c r="D232" i="37"/>
  <c r="D231" i="37"/>
  <c r="D230" i="37"/>
  <c r="D229" i="37"/>
  <c r="D228" i="37"/>
  <c r="D227" i="37"/>
  <c r="D226" i="37"/>
  <c r="D225" i="37"/>
  <c r="D224" i="37"/>
  <c r="D223" i="37"/>
  <c r="D222" i="37"/>
  <c r="D221" i="37"/>
  <c r="D220" i="37"/>
  <c r="D219" i="37"/>
  <c r="D218" i="37"/>
  <c r="D217" i="37"/>
  <c r="D216" i="37"/>
  <c r="D215" i="37"/>
  <c r="D214" i="37"/>
  <c r="D213" i="37"/>
  <c r="D212" i="37"/>
  <c r="D211" i="37"/>
  <c r="D210" i="37"/>
  <c r="D209" i="37"/>
  <c r="D208" i="37"/>
  <c r="D207" i="37"/>
  <c r="D206" i="37"/>
  <c r="D205" i="37"/>
  <c r="D204" i="37"/>
  <c r="D203" i="37"/>
  <c r="D202" i="37"/>
  <c r="D201" i="37"/>
  <c r="D200" i="37"/>
  <c r="D199" i="37"/>
  <c r="D198" i="37"/>
  <c r="D197" i="37"/>
  <c r="D196" i="37"/>
  <c r="D195" i="37"/>
  <c r="D194" i="37"/>
  <c r="D193" i="37"/>
  <c r="D192" i="37"/>
  <c r="D191" i="37"/>
  <c r="D190" i="37"/>
  <c r="D189" i="37"/>
  <c r="D188" i="37"/>
  <c r="D187" i="37"/>
  <c r="D186" i="37"/>
  <c r="D185" i="37"/>
  <c r="D184" i="37"/>
  <c r="D183" i="37"/>
  <c r="D182" i="37"/>
  <c r="D181" i="37"/>
  <c r="D180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D167" i="37"/>
  <c r="D166" i="37"/>
  <c r="D165" i="37"/>
  <c r="D164" i="37"/>
  <c r="D163" i="37"/>
  <c r="D162" i="37"/>
  <c r="D161" i="37"/>
  <c r="D160" i="37"/>
  <c r="D159" i="37"/>
  <c r="D158" i="37"/>
  <c r="D157" i="37"/>
  <c r="D156" i="37"/>
  <c r="D155" i="37"/>
  <c r="D154" i="37"/>
  <c r="D153" i="37"/>
  <c r="D152" i="37"/>
  <c r="D151" i="37"/>
  <c r="D150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D137" i="37"/>
  <c r="D136" i="37"/>
  <c r="D135" i="37"/>
  <c r="D134" i="37"/>
  <c r="D133" i="37"/>
  <c r="D132" i="37"/>
  <c r="D131" i="37"/>
  <c r="D130" i="37"/>
  <c r="D129" i="37"/>
  <c r="D128" i="37"/>
  <c r="D127" i="37"/>
  <c r="D126" i="37"/>
  <c r="D125" i="37"/>
  <c r="D124" i="37"/>
  <c r="D123" i="37"/>
  <c r="D122" i="37"/>
  <c r="D121" i="37"/>
  <c r="D120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L76" i="37"/>
  <c r="D76" i="37"/>
  <c r="L75" i="37"/>
  <c r="D75" i="37"/>
  <c r="D74" i="37"/>
  <c r="D73" i="37"/>
  <c r="D72" i="37"/>
  <c r="D71" i="37"/>
  <c r="D70" i="37"/>
  <c r="D69" i="37"/>
  <c r="D68" i="37"/>
  <c r="D67" i="37"/>
  <c r="D66" i="37"/>
  <c r="D65" i="37"/>
  <c r="L64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L35" i="37"/>
  <c r="D35" i="37"/>
  <c r="L34" i="37"/>
  <c r="D34" i="37"/>
  <c r="L33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K8" i="37"/>
  <c r="K9" i="37" s="1"/>
  <c r="K10" i="37" s="1"/>
  <c r="K11" i="37" s="1"/>
  <c r="K12" i="37" s="1"/>
  <c r="K13" i="37" s="1"/>
  <c r="K14" i="37" s="1"/>
  <c r="K15" i="37" s="1"/>
  <c r="K16" i="37" s="1"/>
  <c r="K17" i="37" s="1"/>
  <c r="K18" i="37" s="1"/>
  <c r="K19" i="37" s="1"/>
  <c r="K20" i="37" s="1"/>
  <c r="K21" i="37" s="1"/>
  <c r="K22" i="37" s="1"/>
  <c r="K23" i="37" s="1"/>
  <c r="K24" i="37" s="1"/>
  <c r="K25" i="37" s="1"/>
  <c r="K26" i="37" s="1"/>
  <c r="K27" i="37" s="1"/>
  <c r="K28" i="37" s="1"/>
  <c r="K29" i="37" s="1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K67" i="37" s="1"/>
  <c r="K68" i="37" s="1"/>
  <c r="K69" i="37" s="1"/>
  <c r="K70" i="37" s="1"/>
  <c r="K71" i="37" s="1"/>
  <c r="K72" i="37" s="1"/>
  <c r="K73" i="37" s="1"/>
  <c r="K74" i="37" s="1"/>
  <c r="K75" i="37" s="1"/>
  <c r="K76" i="37" s="1"/>
  <c r="K77" i="37" s="1"/>
  <c r="K78" i="37" s="1"/>
  <c r="K79" i="37" s="1"/>
  <c r="K80" i="37" s="1"/>
  <c r="K81" i="37" s="1"/>
  <c r="K82" i="37" s="1"/>
  <c r="K83" i="37" s="1"/>
  <c r="K84" i="37" s="1"/>
  <c r="K85" i="37" s="1"/>
  <c r="K86" i="37" s="1"/>
  <c r="K87" i="37" s="1"/>
  <c r="K88" i="37" s="1"/>
  <c r="K89" i="37" s="1"/>
  <c r="K90" i="37" s="1"/>
  <c r="K91" i="37" s="1"/>
  <c r="K92" i="37" s="1"/>
  <c r="K93" i="37" s="1"/>
  <c r="K94" i="37" s="1"/>
  <c r="K95" i="37" s="1"/>
  <c r="K96" i="37" s="1"/>
  <c r="K97" i="37" s="1"/>
  <c r="K98" i="37" s="1"/>
  <c r="K99" i="37" s="1"/>
  <c r="K100" i="37" s="1"/>
  <c r="K101" i="37" s="1"/>
  <c r="K102" i="37" s="1"/>
  <c r="K103" i="37" s="1"/>
  <c r="K104" i="37" s="1"/>
  <c r="K105" i="37" s="1"/>
  <c r="K106" i="37" s="1"/>
  <c r="K107" i="37" s="1"/>
  <c r="K108" i="37" s="1"/>
  <c r="K109" i="37" s="1"/>
  <c r="K110" i="37" s="1"/>
  <c r="K111" i="37" s="1"/>
  <c r="K112" i="37" s="1"/>
  <c r="K113" i="37" s="1"/>
  <c r="K114" i="37" s="1"/>
  <c r="K115" i="37" s="1"/>
  <c r="K116" i="37" s="1"/>
  <c r="K117" i="37" s="1"/>
  <c r="K118" i="37" s="1"/>
  <c r="K119" i="37" s="1"/>
  <c r="K120" i="37" s="1"/>
  <c r="K121" i="37" s="1"/>
  <c r="K122" i="37" s="1"/>
  <c r="K123" i="37" s="1"/>
  <c r="K124" i="37" s="1"/>
  <c r="K125" i="37" s="1"/>
  <c r="K126" i="37" s="1"/>
  <c r="K127" i="37" s="1"/>
  <c r="K128" i="37" s="1"/>
  <c r="K129" i="37" s="1"/>
  <c r="K130" i="37" s="1"/>
  <c r="K131" i="37" s="1"/>
  <c r="K132" i="37" s="1"/>
  <c r="K133" i="37" s="1"/>
  <c r="K134" i="37" s="1"/>
  <c r="K135" i="37" s="1"/>
  <c r="K136" i="37" s="1"/>
  <c r="K137" i="37" s="1"/>
  <c r="K138" i="37" s="1"/>
  <c r="K139" i="37" s="1"/>
  <c r="K140" i="37" s="1"/>
  <c r="K141" i="37" s="1"/>
  <c r="K142" i="37" s="1"/>
  <c r="K143" i="37" s="1"/>
  <c r="K144" i="37" s="1"/>
  <c r="K145" i="37" s="1"/>
  <c r="K146" i="37" s="1"/>
  <c r="K147" i="37" s="1"/>
  <c r="K148" i="37" s="1"/>
  <c r="K149" i="37" s="1"/>
  <c r="K150" i="37" s="1"/>
  <c r="K151" i="37" s="1"/>
  <c r="K152" i="37" s="1"/>
  <c r="K153" i="37" s="1"/>
  <c r="K154" i="37" s="1"/>
  <c r="K155" i="37" s="1"/>
  <c r="K156" i="37" s="1"/>
  <c r="K157" i="37" s="1"/>
  <c r="K158" i="37" s="1"/>
  <c r="K159" i="37" s="1"/>
  <c r="K160" i="37" s="1"/>
  <c r="K161" i="37" s="1"/>
  <c r="K162" i="37" s="1"/>
  <c r="K163" i="37" s="1"/>
  <c r="K164" i="37" s="1"/>
  <c r="K165" i="37" s="1"/>
  <c r="K166" i="37" s="1"/>
  <c r="K167" i="37" s="1"/>
  <c r="K168" i="37" s="1"/>
  <c r="K169" i="37" s="1"/>
  <c r="K170" i="37" s="1"/>
  <c r="K171" i="37" s="1"/>
  <c r="K172" i="37" s="1"/>
  <c r="K173" i="37" s="1"/>
  <c r="K174" i="37" s="1"/>
  <c r="K175" i="37" s="1"/>
  <c r="K176" i="37" s="1"/>
  <c r="K177" i="37" s="1"/>
  <c r="K178" i="37" s="1"/>
  <c r="K179" i="37" s="1"/>
  <c r="K180" i="37" s="1"/>
  <c r="K181" i="37" s="1"/>
  <c r="K182" i="37" s="1"/>
  <c r="K183" i="37" s="1"/>
  <c r="K184" i="37" s="1"/>
  <c r="K185" i="37" s="1"/>
  <c r="K186" i="37" s="1"/>
  <c r="K187" i="37" s="1"/>
  <c r="K188" i="37" s="1"/>
  <c r="K189" i="37" s="1"/>
  <c r="K190" i="37" s="1"/>
  <c r="K191" i="37" s="1"/>
  <c r="K192" i="37" s="1"/>
  <c r="K193" i="37" s="1"/>
  <c r="K194" i="37" s="1"/>
  <c r="K195" i="37" s="1"/>
  <c r="K196" i="37" s="1"/>
  <c r="K197" i="37" s="1"/>
  <c r="K198" i="37" s="1"/>
  <c r="K199" i="37" s="1"/>
  <c r="K200" i="37" s="1"/>
  <c r="K201" i="37" s="1"/>
  <c r="K202" i="37" s="1"/>
  <c r="K203" i="37" s="1"/>
  <c r="K204" i="37" s="1"/>
  <c r="K205" i="37" s="1"/>
  <c r="K206" i="37" s="1"/>
  <c r="K207" i="37" s="1"/>
  <c r="K208" i="37" s="1"/>
  <c r="K209" i="37" s="1"/>
  <c r="K210" i="37" s="1"/>
  <c r="K211" i="37" s="1"/>
  <c r="K212" i="37" s="1"/>
  <c r="K213" i="37" s="1"/>
  <c r="K214" i="37" s="1"/>
  <c r="K215" i="37" s="1"/>
  <c r="K216" i="37" s="1"/>
  <c r="K217" i="37" s="1"/>
  <c r="K218" i="37" s="1"/>
  <c r="K219" i="37" s="1"/>
  <c r="K220" i="37" s="1"/>
  <c r="K221" i="37" s="1"/>
  <c r="K222" i="37" s="1"/>
  <c r="K223" i="37" s="1"/>
  <c r="K224" i="37" s="1"/>
  <c r="K225" i="37" s="1"/>
  <c r="K226" i="37" s="1"/>
  <c r="K227" i="37" s="1"/>
  <c r="K228" i="37" s="1"/>
  <c r="K229" i="37" s="1"/>
  <c r="K230" i="37" s="1"/>
  <c r="K231" i="37" s="1"/>
  <c r="K232" i="37" s="1"/>
  <c r="K233" i="37" s="1"/>
  <c r="K234" i="37" s="1"/>
  <c r="K235" i="37" s="1"/>
  <c r="K236" i="37" s="1"/>
  <c r="K237" i="37" s="1"/>
  <c r="K238" i="37" s="1"/>
  <c r="K239" i="37" s="1"/>
  <c r="K240" i="37" s="1"/>
  <c r="K241" i="37" s="1"/>
  <c r="K242" i="37" s="1"/>
  <c r="K243" i="37" s="1"/>
  <c r="K244" i="37" s="1"/>
  <c r="K245" i="37" s="1"/>
  <c r="K246" i="37" s="1"/>
  <c r="K247" i="37" s="1"/>
  <c r="K248" i="37" s="1"/>
  <c r="K249" i="37" s="1"/>
  <c r="K250" i="37" s="1"/>
  <c r="K251" i="37" s="1"/>
  <c r="K252" i="37" s="1"/>
  <c r="K253" i="37" s="1"/>
  <c r="K254" i="37" s="1"/>
  <c r="K255" i="37" s="1"/>
  <c r="K256" i="37" s="1"/>
  <c r="K257" i="37" s="1"/>
  <c r="K258" i="37" s="1"/>
  <c r="K259" i="37" s="1"/>
  <c r="K260" i="37" s="1"/>
  <c r="K261" i="37" s="1"/>
  <c r="K262" i="37" s="1"/>
  <c r="K263" i="37" s="1"/>
  <c r="K264" i="37" s="1"/>
  <c r="K265" i="37" s="1"/>
  <c r="K266" i="37" s="1"/>
  <c r="K267" i="37" s="1"/>
  <c r="K268" i="37" s="1"/>
  <c r="K269" i="37" s="1"/>
  <c r="K270" i="37" s="1"/>
  <c r="K271" i="37" s="1"/>
  <c r="K272" i="37" s="1"/>
  <c r="K273" i="37" s="1"/>
  <c r="K274" i="37" s="1"/>
  <c r="K275" i="37" s="1"/>
  <c r="K276" i="37" s="1"/>
  <c r="K277" i="37" s="1"/>
  <c r="K278" i="37" s="1"/>
  <c r="K279" i="37" s="1"/>
  <c r="K280" i="37" s="1"/>
  <c r="K281" i="37" s="1"/>
  <c r="K282" i="37" s="1"/>
  <c r="K283" i="37" s="1"/>
  <c r="K284" i="37" s="1"/>
  <c r="K285" i="37" s="1"/>
  <c r="K286" i="37" s="1"/>
  <c r="K287" i="37" s="1"/>
  <c r="K288" i="37" s="1"/>
  <c r="K289" i="37" s="1"/>
  <c r="K290" i="37" s="1"/>
  <c r="K291" i="37" s="1"/>
  <c r="K292" i="37" s="1"/>
  <c r="K293" i="37" s="1"/>
  <c r="K294" i="37" s="1"/>
  <c r="K295" i="37" s="1"/>
  <c r="K296" i="37" s="1"/>
  <c r="K297" i="37" s="1"/>
  <c r="K298" i="37" s="1"/>
  <c r="K299" i="37" s="1"/>
  <c r="K300" i="37" s="1"/>
  <c r="K301" i="37" s="1"/>
  <c r="K302" i="37" s="1"/>
  <c r="K303" i="37" s="1"/>
  <c r="K304" i="37" s="1"/>
  <c r="K305" i="37" s="1"/>
  <c r="K306" i="37" s="1"/>
  <c r="K307" i="37" s="1"/>
  <c r="K308" i="37" s="1"/>
  <c r="K309" i="37" s="1"/>
  <c r="K310" i="37" s="1"/>
  <c r="K311" i="37" s="1"/>
  <c r="K312" i="37" s="1"/>
  <c r="K313" i="37" s="1"/>
  <c r="K314" i="37" s="1"/>
  <c r="K315" i="37" s="1"/>
  <c r="K316" i="37" s="1"/>
  <c r="K317" i="37" s="1"/>
  <c r="K318" i="37" s="1"/>
  <c r="K319" i="37" s="1"/>
  <c r="K320" i="37" s="1"/>
  <c r="K321" i="37" s="1"/>
  <c r="K322" i="37" s="1"/>
  <c r="K323" i="37" s="1"/>
  <c r="K324" i="37" s="1"/>
  <c r="K325" i="37" s="1"/>
  <c r="K326" i="37" s="1"/>
  <c r="K327" i="37" s="1"/>
  <c r="K328" i="37" s="1"/>
  <c r="K329" i="37" s="1"/>
  <c r="K330" i="37" s="1"/>
  <c r="K331" i="37" s="1"/>
  <c r="K332" i="37" s="1"/>
  <c r="K333" i="37" s="1"/>
  <c r="K334" i="37" s="1"/>
  <c r="K335" i="37" s="1"/>
  <c r="K336" i="37" s="1"/>
  <c r="K337" i="37" s="1"/>
  <c r="K338" i="37" s="1"/>
  <c r="K339" i="37" s="1"/>
  <c r="K340" i="37" s="1"/>
  <c r="K341" i="37" s="1"/>
  <c r="K342" i="37" s="1"/>
  <c r="K343" i="37" s="1"/>
  <c r="K344" i="37" s="1"/>
  <c r="K345" i="37" s="1"/>
  <c r="K346" i="37" s="1"/>
  <c r="K347" i="37" s="1"/>
  <c r="K348" i="37" s="1"/>
  <c r="K349" i="37" s="1"/>
  <c r="K350" i="37" s="1"/>
  <c r="K351" i="37" s="1"/>
  <c r="K352" i="37" s="1"/>
  <c r="K353" i="37" s="1"/>
  <c r="K354" i="37" s="1"/>
  <c r="K355" i="37" s="1"/>
  <c r="K356" i="37" s="1"/>
  <c r="K357" i="37" s="1"/>
  <c r="K358" i="37" s="1"/>
  <c r="K359" i="37" s="1"/>
  <c r="K360" i="37" s="1"/>
  <c r="K361" i="37" s="1"/>
  <c r="K362" i="37" s="1"/>
  <c r="K363" i="37" s="1"/>
  <c r="K364" i="37" s="1"/>
  <c r="K365" i="37" s="1"/>
  <c r="K366" i="37" s="1"/>
  <c r="K367" i="37" s="1"/>
  <c r="K368" i="37" s="1"/>
  <c r="K369" i="37" s="1"/>
  <c r="K370" i="37" s="1"/>
  <c r="K371" i="37" s="1"/>
  <c r="K372" i="37" s="1"/>
  <c r="K373" i="37" s="1"/>
  <c r="K374" i="37" s="1"/>
  <c r="K375" i="37" s="1"/>
  <c r="K376" i="37" s="1"/>
  <c r="K377" i="37" s="1"/>
  <c r="K378" i="37" s="1"/>
  <c r="K379" i="37" s="1"/>
  <c r="K380" i="37" s="1"/>
  <c r="K381" i="37" s="1"/>
  <c r="K382" i="37" s="1"/>
  <c r="K383" i="37" s="1"/>
  <c r="K384" i="37" s="1"/>
  <c r="K385" i="37" s="1"/>
  <c r="K386" i="37" s="1"/>
  <c r="K387" i="37" s="1"/>
  <c r="K388" i="37" s="1"/>
  <c r="K389" i="37" s="1"/>
  <c r="K390" i="37" s="1"/>
  <c r="K391" i="37" s="1"/>
  <c r="K392" i="37" s="1"/>
  <c r="K393" i="37" s="1"/>
  <c r="K394" i="37" s="1"/>
  <c r="K395" i="37" s="1"/>
  <c r="K396" i="37" s="1"/>
  <c r="K397" i="37" s="1"/>
  <c r="K398" i="37" s="1"/>
  <c r="K399" i="37" s="1"/>
  <c r="K400" i="37" s="1"/>
  <c r="K401" i="37" s="1"/>
  <c r="K402" i="37" s="1"/>
  <c r="K403" i="37" s="1"/>
  <c r="K404" i="37" s="1"/>
  <c r="K405" i="37" s="1"/>
  <c r="K406" i="37" s="1"/>
  <c r="K407" i="37" s="1"/>
  <c r="K408" i="37" s="1"/>
  <c r="K409" i="37" s="1"/>
  <c r="D8" i="37"/>
  <c r="K7" i="37"/>
  <c r="D7" i="37"/>
  <c r="J3" i="37"/>
  <c r="I3" i="37"/>
  <c r="K3" i="37" s="1"/>
  <c r="C3" i="37"/>
  <c r="L7" i="37"/>
  <c r="F397" i="36" l="1"/>
  <c r="F396" i="36"/>
  <c r="L390" i="36"/>
  <c r="K390" i="36"/>
  <c r="D390" i="36"/>
  <c r="L389" i="36"/>
  <c r="K389" i="36"/>
  <c r="D389" i="36"/>
  <c r="L388" i="36"/>
  <c r="K388" i="36"/>
  <c r="D388" i="36"/>
  <c r="L387" i="36"/>
  <c r="K387" i="36"/>
  <c r="D387" i="36"/>
  <c r="L386" i="36"/>
  <c r="K386" i="36"/>
  <c r="D386" i="36"/>
  <c r="L385" i="36"/>
  <c r="D385" i="36"/>
  <c r="L384" i="36"/>
  <c r="D384" i="36"/>
  <c r="L383" i="36"/>
  <c r="D383" i="36"/>
  <c r="L382" i="36"/>
  <c r="D382" i="36"/>
  <c r="L381" i="36"/>
  <c r="D381" i="36"/>
  <c r="L380" i="36"/>
  <c r="D380" i="36"/>
  <c r="L379" i="36"/>
  <c r="D379" i="36"/>
  <c r="L378" i="36"/>
  <c r="D378" i="36"/>
  <c r="L377" i="36"/>
  <c r="D377" i="36"/>
  <c r="L376" i="36"/>
  <c r="D376" i="36"/>
  <c r="L375" i="36"/>
  <c r="D375" i="36"/>
  <c r="L374" i="36"/>
  <c r="D374" i="36"/>
  <c r="L373" i="36"/>
  <c r="D373" i="36"/>
  <c r="L372" i="36"/>
  <c r="D372" i="36"/>
  <c r="L371" i="36"/>
  <c r="D371" i="36"/>
  <c r="L370" i="36"/>
  <c r="D370" i="36"/>
  <c r="L369" i="36"/>
  <c r="D369" i="36"/>
  <c r="L368" i="36"/>
  <c r="D368" i="36"/>
  <c r="L367" i="36"/>
  <c r="D367" i="36"/>
  <c r="L366" i="36"/>
  <c r="D366" i="36"/>
  <c r="L365" i="36"/>
  <c r="D365" i="36"/>
  <c r="L364" i="36"/>
  <c r="D364" i="36"/>
  <c r="L363" i="36"/>
  <c r="D363" i="36"/>
  <c r="L362" i="36"/>
  <c r="D362" i="36"/>
  <c r="L361" i="36"/>
  <c r="D361" i="36"/>
  <c r="L360" i="36"/>
  <c r="D360" i="36"/>
  <c r="L359" i="36"/>
  <c r="D359" i="36"/>
  <c r="L358" i="36"/>
  <c r="D358" i="36"/>
  <c r="L357" i="36"/>
  <c r="D357" i="36"/>
  <c r="L356" i="36"/>
  <c r="D356" i="36"/>
  <c r="L355" i="36"/>
  <c r="D355" i="36"/>
  <c r="L354" i="36"/>
  <c r="D354" i="36"/>
  <c r="L353" i="36"/>
  <c r="D353" i="36"/>
  <c r="L352" i="36"/>
  <c r="D352" i="36"/>
  <c r="L351" i="36"/>
  <c r="D351" i="36"/>
  <c r="L350" i="36"/>
  <c r="D350" i="36"/>
  <c r="L349" i="36"/>
  <c r="D349" i="36"/>
  <c r="L348" i="36"/>
  <c r="D348" i="36"/>
  <c r="L347" i="36"/>
  <c r="D347" i="36"/>
  <c r="L346" i="36"/>
  <c r="D346" i="36"/>
  <c r="L345" i="36"/>
  <c r="D345" i="36"/>
  <c r="L344" i="36"/>
  <c r="D344" i="36"/>
  <c r="L343" i="36"/>
  <c r="D343" i="36"/>
  <c r="L342" i="36"/>
  <c r="D342" i="36"/>
  <c r="L341" i="36"/>
  <c r="D341" i="36"/>
  <c r="L340" i="36"/>
  <c r="D340" i="36"/>
  <c r="L339" i="36"/>
  <c r="D339" i="36"/>
  <c r="L338" i="36"/>
  <c r="D338" i="36"/>
  <c r="L337" i="36"/>
  <c r="D337" i="36"/>
  <c r="L336" i="36"/>
  <c r="D336" i="36"/>
  <c r="L335" i="36"/>
  <c r="D335" i="36"/>
  <c r="L334" i="36"/>
  <c r="D334" i="36"/>
  <c r="L333" i="36"/>
  <c r="D333" i="36"/>
  <c r="L332" i="36"/>
  <c r="D332" i="36"/>
  <c r="L331" i="36"/>
  <c r="D331" i="36"/>
  <c r="L330" i="36"/>
  <c r="D330" i="36"/>
  <c r="L329" i="36"/>
  <c r="D329" i="36"/>
  <c r="L328" i="36"/>
  <c r="D328" i="36"/>
  <c r="L327" i="36"/>
  <c r="J327" i="36"/>
  <c r="D327" i="36" s="1"/>
  <c r="L326" i="36"/>
  <c r="D326" i="36"/>
  <c r="L325" i="36"/>
  <c r="D325" i="36"/>
  <c r="L324" i="36"/>
  <c r="D324" i="36"/>
  <c r="L323" i="36"/>
  <c r="D323" i="36"/>
  <c r="L322" i="36"/>
  <c r="D322" i="36"/>
  <c r="L321" i="36"/>
  <c r="D321" i="36"/>
  <c r="L320" i="36"/>
  <c r="D320" i="36"/>
  <c r="L319" i="36"/>
  <c r="D319" i="36"/>
  <c r="L318" i="36"/>
  <c r="D318" i="36"/>
  <c r="L317" i="36"/>
  <c r="D317" i="36"/>
  <c r="L316" i="36"/>
  <c r="D316" i="36"/>
  <c r="D220" i="36"/>
  <c r="D215" i="36"/>
  <c r="D214" i="36"/>
  <c r="D211" i="36"/>
  <c r="D210" i="36"/>
  <c r="D209" i="36"/>
  <c r="D208" i="36"/>
  <c r="D207" i="36"/>
  <c r="D206" i="36"/>
  <c r="D205" i="36"/>
  <c r="D154" i="36"/>
  <c r="D153" i="36"/>
  <c r="D152" i="36"/>
  <c r="D151" i="36"/>
  <c r="D150" i="36"/>
  <c r="D149" i="36"/>
  <c r="D148" i="36"/>
  <c r="D147" i="36"/>
  <c r="D145" i="36"/>
  <c r="D144" i="36"/>
  <c r="D143" i="36"/>
  <c r="D142" i="36"/>
  <c r="D141" i="36"/>
  <c r="D140" i="36"/>
  <c r="D139" i="36"/>
  <c r="D138" i="36"/>
  <c r="D137" i="36"/>
  <c r="D136" i="36"/>
  <c r="D135" i="36"/>
  <c r="D13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9" i="36"/>
  <c r="D118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D100" i="36"/>
  <c r="D99" i="36"/>
  <c r="D98" i="36"/>
  <c r="D97" i="36"/>
  <c r="D96" i="36"/>
  <c r="D95" i="36"/>
  <c r="D94" i="36"/>
  <c r="D93" i="36"/>
  <c r="D92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L75" i="36"/>
  <c r="D75" i="36"/>
  <c r="D74" i="36"/>
  <c r="D73" i="36"/>
  <c r="D72" i="36"/>
  <c r="D71" i="36"/>
  <c r="D70" i="36"/>
  <c r="J69" i="36"/>
  <c r="D69" i="36"/>
  <c r="D68" i="36"/>
  <c r="D67" i="36"/>
  <c r="D66" i="36"/>
  <c r="D65" i="36"/>
  <c r="L64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L35" i="36"/>
  <c r="D35" i="36"/>
  <c r="L34" i="36"/>
  <c r="D34" i="36"/>
  <c r="L33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I7" i="36"/>
  <c r="F395" i="36" s="1"/>
  <c r="F399" i="36" s="1"/>
  <c r="J3" i="36"/>
  <c r="I3" i="36"/>
  <c r="C3" i="36"/>
  <c r="K3" i="36" l="1"/>
  <c r="D7" i="36"/>
  <c r="F405" i="35" l="1"/>
  <c r="F403" i="35"/>
  <c r="F406" i="35" s="1"/>
  <c r="L398" i="35"/>
  <c r="D398" i="35"/>
  <c r="L397" i="35"/>
  <c r="D397" i="35"/>
  <c r="L396" i="35"/>
  <c r="D396" i="35"/>
  <c r="L395" i="35"/>
  <c r="D395" i="35"/>
  <c r="L394" i="35"/>
  <c r="D394" i="35"/>
  <c r="L393" i="35"/>
  <c r="D393" i="35"/>
  <c r="L392" i="35"/>
  <c r="D392" i="35"/>
  <c r="L391" i="35"/>
  <c r="D391" i="35"/>
  <c r="L390" i="35"/>
  <c r="D390" i="35"/>
  <c r="L389" i="35"/>
  <c r="D389" i="35"/>
  <c r="L388" i="35"/>
  <c r="D388" i="35"/>
  <c r="L387" i="35"/>
  <c r="D387" i="35"/>
  <c r="L386" i="35"/>
  <c r="D386" i="35"/>
  <c r="L385" i="35"/>
  <c r="D385" i="35"/>
  <c r="L384" i="35"/>
  <c r="D384" i="35"/>
  <c r="L383" i="35"/>
  <c r="D383" i="35"/>
  <c r="L382" i="35"/>
  <c r="D382" i="35"/>
  <c r="L381" i="35"/>
  <c r="D381" i="35"/>
  <c r="L380" i="35"/>
  <c r="D380" i="35"/>
  <c r="L379" i="35"/>
  <c r="D379" i="35"/>
  <c r="L378" i="35"/>
  <c r="D378" i="35"/>
  <c r="L377" i="35"/>
  <c r="D377" i="35"/>
  <c r="L376" i="35"/>
  <c r="D376" i="35"/>
  <c r="L375" i="35"/>
  <c r="D375" i="35"/>
  <c r="L374" i="35"/>
  <c r="D374" i="35"/>
  <c r="L373" i="35"/>
  <c r="D373" i="35"/>
  <c r="L372" i="35"/>
  <c r="D372" i="35"/>
  <c r="L371" i="35"/>
  <c r="D371" i="35"/>
  <c r="L370" i="35"/>
  <c r="D370" i="35"/>
  <c r="L369" i="35"/>
  <c r="D369" i="35"/>
  <c r="L368" i="35"/>
  <c r="D368" i="35"/>
  <c r="L367" i="35"/>
  <c r="D367" i="35"/>
  <c r="L366" i="35"/>
  <c r="D366" i="35"/>
  <c r="L365" i="35"/>
  <c r="D365" i="35"/>
  <c r="L364" i="35"/>
  <c r="D364" i="35"/>
  <c r="L363" i="35"/>
  <c r="D363" i="35"/>
  <c r="L362" i="35"/>
  <c r="D362" i="35"/>
  <c r="L361" i="35"/>
  <c r="D361" i="35"/>
  <c r="L360" i="35"/>
  <c r="D360" i="35"/>
  <c r="L359" i="35"/>
  <c r="D359" i="35"/>
  <c r="L358" i="35"/>
  <c r="D358" i="35"/>
  <c r="L357" i="35"/>
  <c r="D357" i="35"/>
  <c r="L356" i="35"/>
  <c r="D356" i="35"/>
  <c r="L355" i="35"/>
  <c r="D355" i="35"/>
  <c r="L354" i="35"/>
  <c r="D354" i="35"/>
  <c r="L353" i="35"/>
  <c r="D353" i="35"/>
  <c r="L352" i="35"/>
  <c r="D352" i="35"/>
  <c r="L351" i="35"/>
  <c r="D351" i="35"/>
  <c r="L350" i="35"/>
  <c r="D350" i="35"/>
  <c r="L349" i="35"/>
  <c r="D349" i="35"/>
  <c r="L348" i="35"/>
  <c r="D348" i="35"/>
  <c r="L347" i="35"/>
  <c r="D347" i="35"/>
  <c r="L346" i="35"/>
  <c r="D346" i="35"/>
  <c r="L345" i="35"/>
  <c r="D345" i="35"/>
  <c r="L344" i="35"/>
  <c r="D344" i="35"/>
  <c r="L343" i="35"/>
  <c r="D343" i="35"/>
  <c r="L342" i="35"/>
  <c r="D342" i="35"/>
  <c r="L341" i="35"/>
  <c r="D341" i="35"/>
  <c r="L340" i="35"/>
  <c r="D340" i="35"/>
  <c r="L339" i="35"/>
  <c r="D339" i="35"/>
  <c r="L338" i="35"/>
  <c r="D338" i="35"/>
  <c r="L337" i="35"/>
  <c r="D337" i="35"/>
  <c r="L336" i="35"/>
  <c r="D336" i="35"/>
  <c r="L335" i="35"/>
  <c r="D335" i="35"/>
  <c r="L334" i="35"/>
  <c r="D334" i="35"/>
  <c r="L333" i="35"/>
  <c r="J333" i="35"/>
  <c r="D333" i="35" s="1"/>
  <c r="L332" i="35"/>
  <c r="D332" i="35"/>
  <c r="L331" i="35"/>
  <c r="D331" i="35"/>
  <c r="L330" i="35"/>
  <c r="D330" i="35"/>
  <c r="L329" i="35"/>
  <c r="D329" i="35"/>
  <c r="L328" i="35"/>
  <c r="D328" i="35"/>
  <c r="L327" i="35"/>
  <c r="D327" i="35"/>
  <c r="L326" i="35"/>
  <c r="D326" i="35"/>
  <c r="L325" i="35"/>
  <c r="D325" i="35"/>
  <c r="L324" i="35"/>
  <c r="D324" i="35"/>
  <c r="L323" i="35"/>
  <c r="D323" i="35"/>
  <c r="L322" i="35"/>
  <c r="D322" i="35"/>
  <c r="L321" i="35"/>
  <c r="D321" i="35"/>
  <c r="L320" i="35"/>
  <c r="D320" i="35"/>
  <c r="L319" i="35"/>
  <c r="D319" i="35"/>
  <c r="L318" i="35"/>
  <c r="D318" i="35"/>
  <c r="D317" i="35"/>
  <c r="D316" i="35"/>
  <c r="D315" i="35"/>
  <c r="D314" i="35"/>
  <c r="D313" i="35"/>
  <c r="D312" i="35"/>
  <c r="D311" i="35"/>
  <c r="D310" i="35"/>
  <c r="D309" i="35"/>
  <c r="L308" i="35"/>
  <c r="K308" i="35"/>
  <c r="D308" i="35"/>
  <c r="L307" i="35"/>
  <c r="K307" i="35"/>
  <c r="D307" i="35"/>
  <c r="L306" i="35"/>
  <c r="K306" i="35"/>
  <c r="D306" i="35"/>
  <c r="L305" i="35"/>
  <c r="K305" i="35"/>
  <c r="D305" i="35"/>
  <c r="L304" i="35"/>
  <c r="K304" i="35"/>
  <c r="D304" i="35"/>
  <c r="L303" i="35"/>
  <c r="K303" i="35"/>
  <c r="D303" i="35"/>
  <c r="L302" i="35"/>
  <c r="K302" i="35"/>
  <c r="D302" i="35"/>
  <c r="L301" i="35"/>
  <c r="K301" i="35"/>
  <c r="D301" i="35"/>
  <c r="L300" i="35"/>
  <c r="K300" i="35"/>
  <c r="D300" i="35"/>
  <c r="L299" i="35"/>
  <c r="K299" i="35"/>
  <c r="D299" i="35"/>
  <c r="L298" i="35"/>
  <c r="K298" i="35"/>
  <c r="D298" i="35"/>
  <c r="L297" i="35"/>
  <c r="K297" i="35"/>
  <c r="D297" i="35"/>
  <c r="L296" i="35"/>
  <c r="K296" i="35"/>
  <c r="D296" i="35"/>
  <c r="L295" i="35"/>
  <c r="K295" i="35"/>
  <c r="D295" i="35"/>
  <c r="L294" i="35"/>
  <c r="K294" i="35"/>
  <c r="D294" i="35"/>
  <c r="L293" i="35"/>
  <c r="K293" i="35"/>
  <c r="D293" i="35"/>
  <c r="L292" i="35"/>
  <c r="K292" i="35"/>
  <c r="D292" i="35"/>
  <c r="L291" i="35"/>
  <c r="K291" i="35"/>
  <c r="D291" i="35"/>
  <c r="L290" i="35"/>
  <c r="K290" i="35"/>
  <c r="D290" i="35"/>
  <c r="L289" i="35"/>
  <c r="K289" i="35"/>
  <c r="D289" i="35"/>
  <c r="L288" i="35"/>
  <c r="K288" i="35"/>
  <c r="D288" i="35"/>
  <c r="L287" i="35"/>
  <c r="K287" i="35"/>
  <c r="D287" i="35"/>
  <c r="L286" i="35"/>
  <c r="K286" i="35"/>
  <c r="D286" i="35"/>
  <c r="L285" i="35"/>
  <c r="K285" i="35"/>
  <c r="D285" i="35"/>
  <c r="L284" i="35"/>
  <c r="K284" i="35"/>
  <c r="D284" i="35"/>
  <c r="L283" i="35"/>
  <c r="K283" i="35"/>
  <c r="D283" i="35"/>
  <c r="L282" i="35"/>
  <c r="K282" i="35"/>
  <c r="D282" i="35"/>
  <c r="L281" i="35"/>
  <c r="K281" i="35"/>
  <c r="D281" i="35"/>
  <c r="L280" i="35"/>
  <c r="K280" i="35"/>
  <c r="D280" i="35"/>
  <c r="L279" i="35"/>
  <c r="K279" i="35"/>
  <c r="D279" i="35"/>
  <c r="D278" i="35"/>
  <c r="L277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L263" i="35"/>
  <c r="K263" i="35"/>
  <c r="D263" i="35"/>
  <c r="K262" i="35"/>
  <c r="D262" i="35"/>
  <c r="L261" i="35"/>
  <c r="K261" i="35"/>
  <c r="D261" i="35"/>
  <c r="L260" i="35"/>
  <c r="K260" i="35"/>
  <c r="D260" i="35"/>
  <c r="L259" i="35"/>
  <c r="K259" i="35"/>
  <c r="D259" i="35"/>
  <c r="L258" i="35"/>
  <c r="K258" i="35"/>
  <c r="D258" i="35"/>
  <c r="L257" i="35"/>
  <c r="K257" i="35"/>
  <c r="D257" i="35"/>
  <c r="L256" i="35"/>
  <c r="K256" i="35"/>
  <c r="D256" i="35"/>
  <c r="L255" i="35"/>
  <c r="K255" i="35"/>
  <c r="D255" i="35"/>
  <c r="L254" i="35"/>
  <c r="K254" i="35"/>
  <c r="D254" i="35"/>
  <c r="L253" i="35"/>
  <c r="K253" i="35"/>
  <c r="D253" i="35"/>
  <c r="L252" i="35"/>
  <c r="K252" i="35"/>
  <c r="D252" i="35"/>
  <c r="L251" i="35"/>
  <c r="K251" i="35"/>
  <c r="D251" i="35"/>
  <c r="L250" i="35"/>
  <c r="K250" i="35"/>
  <c r="D250" i="35"/>
  <c r="L249" i="35"/>
  <c r="K249" i="35"/>
  <c r="D249" i="35"/>
  <c r="L248" i="35"/>
  <c r="K248" i="35"/>
  <c r="D248" i="35"/>
  <c r="L247" i="35"/>
  <c r="K247" i="35"/>
  <c r="D247" i="35"/>
  <c r="K246" i="35"/>
  <c r="D246" i="35"/>
  <c r="K245" i="35"/>
  <c r="D245" i="35"/>
  <c r="K244" i="35"/>
  <c r="D244" i="35"/>
  <c r="K243" i="35"/>
  <c r="D243" i="35"/>
  <c r="K242" i="35"/>
  <c r="D242" i="35"/>
  <c r="K241" i="35"/>
  <c r="D241" i="35"/>
  <c r="K240" i="35"/>
  <c r="D240" i="35"/>
  <c r="K239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L181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L153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J64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J3" i="35"/>
  <c r="I3" i="35"/>
  <c r="C3" i="35"/>
  <c r="O1" i="35"/>
  <c r="K3" i="35" l="1"/>
  <c r="I350" i="38"/>
  <c r="I349" i="38"/>
  <c r="C340" i="38"/>
  <c r="F340" i="38"/>
  <c r="C341" i="38"/>
  <c r="C284" i="30"/>
  <c r="F322" i="26"/>
  <c r="C228" i="25"/>
  <c r="F200" i="23"/>
  <c r="F163" i="21"/>
  <c r="C163" i="21"/>
  <c r="J267" i="38"/>
  <c r="J248" i="38"/>
  <c r="J221" i="38"/>
  <c r="J191" i="38"/>
  <c r="J166" i="38"/>
  <c r="J141" i="38"/>
  <c r="J123" i="38"/>
  <c r="J115" i="38"/>
  <c r="J111" i="38"/>
  <c r="J98" i="38"/>
  <c r="J341" i="38" s="1"/>
  <c r="J343" i="38" s="1"/>
  <c r="C267" i="34"/>
  <c r="C268" i="34" s="1"/>
  <c r="I202" i="34"/>
  <c r="I91" i="34"/>
  <c r="I83" i="34"/>
  <c r="I267" i="34" s="1"/>
  <c r="H275" i="34" s="1"/>
  <c r="F9" i="34"/>
  <c r="F263" i="34" s="1"/>
  <c r="I351" i="38" l="1"/>
  <c r="H274" i="34"/>
  <c r="I268" i="34"/>
  <c r="H273" i="34"/>
  <c r="H277" i="34" s="1"/>
  <c r="I270" i="34"/>
  <c r="I269" i="34"/>
  <c r="I353" i="38" l="1"/>
  <c r="J342" i="38"/>
  <c r="I271" i="34"/>
  <c r="F288" i="32" l="1"/>
  <c r="H295" i="32" s="1"/>
  <c r="I210" i="32"/>
  <c r="I203" i="32"/>
  <c r="I189" i="32"/>
  <c r="I159" i="32"/>
  <c r="I133" i="32"/>
  <c r="I76" i="32"/>
  <c r="I34" i="32"/>
  <c r="C10" i="32"/>
  <c r="C288" i="32" s="1"/>
  <c r="I246" i="29"/>
  <c r="I177" i="29"/>
  <c r="I89" i="29"/>
  <c r="I71" i="29"/>
  <c r="F14" i="29"/>
  <c r="F320" i="29" s="1"/>
  <c r="C6" i="29"/>
  <c r="C320" i="29" s="1"/>
  <c r="I288" i="32" l="1"/>
  <c r="H296" i="32" s="1"/>
  <c r="I320" i="29"/>
  <c r="I329" i="29" s="1"/>
  <c r="C289" i="32"/>
  <c r="I328" i="29"/>
  <c r="C321" i="29"/>
  <c r="I289" i="32" l="1"/>
  <c r="I291" i="32" s="1"/>
  <c r="I290" i="32"/>
  <c r="I321" i="29"/>
  <c r="I323" i="29" s="1"/>
  <c r="I322" i="29"/>
  <c r="H294" i="32"/>
  <c r="H298" i="32" s="1"/>
  <c r="I327" i="29"/>
  <c r="I331" i="29" s="1"/>
  <c r="I292" i="32" l="1"/>
  <c r="I324" i="29"/>
  <c r="C285" i="30"/>
  <c r="I88" i="30"/>
  <c r="I54" i="30"/>
  <c r="F34" i="30"/>
  <c r="F284" i="30" s="1"/>
  <c r="I4" i="30"/>
  <c r="I286" i="30" l="1"/>
  <c r="I288" i="30" s="1"/>
  <c r="I294" i="30"/>
  <c r="I293" i="30"/>
  <c r="I295" i="30" l="1"/>
  <c r="I297" i="30" s="1"/>
  <c r="I287" i="30"/>
  <c r="I289" i="30" s="1"/>
  <c r="I290" i="30" l="1"/>
  <c r="I158" i="26" l="1"/>
  <c r="I150" i="26" l="1"/>
  <c r="F30" i="25" l="1"/>
  <c r="F228" i="25" s="1"/>
  <c r="C8" i="26" l="1"/>
  <c r="C322" i="26" s="1"/>
  <c r="I239" i="25" l="1"/>
  <c r="I27" i="26"/>
  <c r="I322" i="26" s="1"/>
  <c r="I324" i="26" l="1"/>
  <c r="C323" i="26"/>
  <c r="I237" i="25"/>
  <c r="C229" i="25"/>
  <c r="I143" i="25"/>
  <c r="I89" i="25"/>
  <c r="I228" i="25" l="1"/>
  <c r="I238" i="25" s="1"/>
  <c r="I236" i="25"/>
  <c r="I323" i="26"/>
  <c r="I331" i="26"/>
  <c r="I329" i="26"/>
  <c r="I330" i="26"/>
  <c r="I230" i="25" l="1"/>
  <c r="I240" i="25"/>
  <c r="I325" i="26"/>
  <c r="I333" i="26"/>
  <c r="I229" i="25"/>
  <c r="I231" i="25" l="1"/>
  <c r="I232" i="25" s="1"/>
  <c r="I326" i="26"/>
  <c r="I159" i="23" l="1"/>
  <c r="I156" i="23"/>
  <c r="I137" i="23"/>
  <c r="I72" i="23"/>
  <c r="I63" i="23"/>
  <c r="I61" i="23"/>
  <c r="C4" i="23"/>
  <c r="C200" i="23" s="1"/>
  <c r="I200" i="23" l="1"/>
  <c r="I201" i="23" s="1"/>
  <c r="I209" i="23"/>
  <c r="C201" i="23"/>
  <c r="I208" i="23" s="1"/>
  <c r="I203" i="23" l="1"/>
  <c r="I202" i="23"/>
  <c r="I210" i="23"/>
  <c r="I212" i="23" s="1"/>
  <c r="I204" i="23" l="1"/>
  <c r="I174" i="21" l="1"/>
  <c r="I172" i="21"/>
  <c r="C164" i="21"/>
  <c r="I153" i="21"/>
  <c r="I131" i="21"/>
  <c r="I130" i="21"/>
  <c r="I110" i="21"/>
  <c r="I76" i="21"/>
  <c r="I163" i="21" l="1"/>
  <c r="I171" i="21"/>
  <c r="I164" i="21" l="1"/>
  <c r="I166" i="21" s="1"/>
  <c r="I173" i="21"/>
  <c r="I175" i="21" s="1"/>
  <c r="I165" i="21"/>
  <c r="I167" i="21" l="1"/>
  <c r="L176" i="37"/>
  <c r="L224" i="37"/>
  <c r="L272" i="37"/>
  <c r="L311" i="37"/>
  <c r="L169" i="37"/>
  <c r="L245" i="37"/>
  <c r="L10" i="37"/>
  <c r="L197" i="37"/>
  <c r="L28" i="37"/>
  <c r="L242" i="37"/>
  <c r="L41" i="37"/>
  <c r="L187" i="37"/>
  <c r="L121" i="37"/>
  <c r="L44" i="37"/>
  <c r="L255" i="37"/>
  <c r="L133" i="37"/>
  <c r="L96" i="37"/>
  <c r="L148" i="37"/>
  <c r="L31" i="37"/>
  <c r="L91" i="37"/>
  <c r="L143" i="37"/>
  <c r="L50" i="37"/>
  <c r="L102" i="37"/>
  <c r="L154" i="37"/>
  <c r="L227" i="37"/>
  <c r="L214" i="37"/>
  <c r="L266" i="37"/>
  <c r="L173" i="37"/>
  <c r="L225" i="37"/>
  <c r="L273" i="37"/>
  <c r="L180" i="37"/>
  <c r="L228" i="37"/>
  <c r="L276" i="37"/>
  <c r="L152" i="37"/>
  <c r="L147" i="37"/>
  <c r="L106" i="37"/>
  <c r="L162" i="37"/>
  <c r="L218" i="37"/>
  <c r="L177" i="37"/>
  <c r="L229" i="37"/>
  <c r="L184" i="37"/>
  <c r="L232" i="37"/>
  <c r="L243" i="37"/>
  <c r="L181" i="37"/>
  <c r="L188" i="37"/>
  <c r="L38" i="37"/>
  <c r="L167" i="37"/>
  <c r="L286" i="37"/>
  <c r="L263" i="37"/>
  <c r="L89" i="37"/>
  <c r="L134" i="37"/>
  <c r="L208" i="37"/>
  <c r="L49" i="37"/>
  <c r="L199" i="37"/>
  <c r="L137" i="37"/>
  <c r="L48" i="37"/>
  <c r="L271" i="37"/>
  <c r="L145" i="37"/>
  <c r="L25" i="37"/>
  <c r="L86" i="37"/>
  <c r="L306" i="37"/>
  <c r="L71" i="37"/>
  <c r="L190" i="37"/>
  <c r="L93" i="37"/>
  <c r="L138" i="37"/>
  <c r="L57" i="37"/>
  <c r="L305" i="37"/>
  <c r="L260" i="37"/>
  <c r="L127" i="37"/>
  <c r="L212" i="37"/>
  <c r="L308" i="37"/>
  <c r="L15" i="37"/>
  <c r="L257" i="37"/>
  <c r="L132" i="37"/>
  <c r="L209" i="37"/>
  <c r="L37" i="37"/>
  <c r="L295" i="37"/>
  <c r="L85" i="37"/>
  <c r="L246" i="37"/>
  <c r="L183" i="37"/>
  <c r="L194" i="37"/>
  <c r="L18" i="37"/>
  <c r="L303" i="37"/>
  <c r="L11" i="37"/>
  <c r="L252" i="37"/>
  <c r="L120" i="37"/>
  <c r="L178" i="37"/>
  <c r="L12" i="37"/>
  <c r="L244" i="37"/>
  <c r="L282" i="37"/>
  <c r="L70" i="37"/>
  <c r="L112" i="37"/>
  <c r="L32" i="37"/>
  <c r="L302" i="37"/>
  <c r="L253" i="37"/>
  <c r="L201" i="37"/>
  <c r="L283" i="37"/>
  <c r="L82" i="37"/>
  <c r="L123" i="37"/>
  <c r="L124" i="37"/>
  <c r="L77" i="37"/>
  <c r="L17" i="37"/>
  <c r="L301" i="37"/>
  <c r="L204" i="37"/>
  <c r="L249" i="37"/>
  <c r="L290" i="37"/>
  <c r="L238" i="37"/>
  <c r="L275" i="37"/>
  <c r="L130" i="37"/>
  <c r="L78" i="37"/>
  <c r="L292" i="37"/>
  <c r="L119" i="37"/>
  <c r="L72" i="37"/>
  <c r="L9" i="37"/>
  <c r="L200" i="37"/>
  <c r="L234" i="37"/>
  <c r="L74" i="37"/>
  <c r="L55" i="37"/>
  <c r="L116" i="37"/>
  <c r="L68" i="37"/>
  <c r="L36" i="37"/>
  <c r="L293" i="37"/>
  <c r="L219" i="37"/>
  <c r="L158" i="37"/>
  <c r="L110" i="37"/>
  <c r="L100" i="37"/>
  <c r="L39" i="37"/>
  <c r="L95" i="37"/>
  <c r="L54" i="37"/>
  <c r="L235" i="37"/>
  <c r="L270" i="37"/>
  <c r="L277" i="37"/>
  <c r="L280" i="37"/>
  <c r="L274" i="37"/>
  <c r="L281" i="37"/>
  <c r="L236" i="37"/>
  <c r="L168" i="37"/>
  <c r="L294" i="37"/>
  <c r="L81" i="37"/>
  <c r="L300" i="37"/>
  <c r="L69" i="37"/>
  <c r="L231" i="37"/>
  <c r="L141" i="37"/>
  <c r="L52" i="37"/>
  <c r="L287" i="37"/>
  <c r="L153" i="37"/>
  <c r="L104" i="37"/>
  <c r="L156" i="37"/>
  <c r="L43" i="37"/>
  <c r="L99" i="37"/>
  <c r="L151" i="37"/>
  <c r="L58" i="37"/>
  <c r="L114" i="37"/>
  <c r="L166" i="37"/>
  <c r="L222" i="37"/>
  <c r="L233" i="37"/>
  <c r="L284" i="37"/>
  <c r="L269" i="37"/>
  <c r="L221" i="37"/>
  <c r="L313" i="37"/>
  <c r="L262" i="37"/>
  <c r="L210" i="37"/>
  <c r="L211" i="37"/>
  <c r="L150" i="37"/>
  <c r="L98" i="37"/>
  <c r="L46" i="37"/>
  <c r="L139" i="37"/>
  <c r="L87" i="37"/>
  <c r="L27" i="37"/>
  <c r="L144" i="37"/>
  <c r="L92" i="37"/>
  <c r="L125" i="37"/>
  <c r="L239" i="37"/>
  <c r="L29" i="37"/>
  <c r="L113" i="37"/>
  <c r="L179" i="37"/>
  <c r="L73" i="37"/>
  <c r="L67" i="37"/>
  <c r="L20" i="37"/>
  <c r="L248" i="37"/>
  <c r="L126" i="37"/>
  <c r="L220" i="37"/>
  <c r="L172" i="37"/>
  <c r="L265" i="37"/>
  <c r="L217" i="37"/>
  <c r="L309" i="37"/>
  <c r="L258" i="37"/>
  <c r="L202" i="37"/>
  <c r="L203" i="37"/>
  <c r="L146" i="37"/>
  <c r="L94" i="37"/>
  <c r="L42" i="37"/>
  <c r="L135" i="37"/>
  <c r="L83" i="37"/>
  <c r="L206" i="37"/>
  <c r="L254" i="37"/>
  <c r="L299" i="37"/>
  <c r="L205" i="37"/>
  <c r="L45" i="37"/>
  <c r="L53" i="37"/>
  <c r="L101" i="37"/>
  <c r="L21" i="37"/>
  <c r="L191" i="37"/>
  <c r="L97" i="37"/>
  <c r="L84" i="37"/>
  <c r="L136" i="37"/>
  <c r="L19" i="37"/>
  <c r="L79" i="37"/>
  <c r="L131" i="37"/>
  <c r="L310" i="37"/>
  <c r="L23" i="37"/>
  <c r="L140" i="37"/>
  <c r="L88" i="37"/>
  <c r="L117" i="37"/>
  <c r="L207" i="37"/>
  <c r="L26" i="37"/>
  <c r="L105" i="37"/>
  <c r="L65" i="37"/>
  <c r="L61" i="37"/>
  <c r="L256" i="37"/>
  <c r="L186" i="37"/>
  <c r="L175" i="37"/>
  <c r="L63" i="37"/>
  <c r="L297" i="37"/>
  <c r="L193" i="37"/>
  <c r="L115" i="37"/>
  <c r="L268" i="37"/>
  <c r="L307" i="37"/>
  <c r="L264" i="37"/>
  <c r="L216" i="37"/>
  <c r="L312" i="37"/>
  <c r="L261" i="37"/>
  <c r="L213" i="37"/>
  <c r="L304" i="37"/>
  <c r="L250" i="37"/>
  <c r="L198" i="37"/>
  <c r="L195" i="37"/>
  <c r="L142" i="37"/>
  <c r="L90" i="37"/>
  <c r="L62" i="37"/>
  <c r="L159" i="37"/>
  <c r="L111" i="37"/>
  <c r="L59" i="37"/>
  <c r="L279" i="37"/>
  <c r="L128" i="37"/>
  <c r="L80" i="37"/>
  <c r="L109" i="37"/>
  <c r="L223" i="37"/>
  <c r="L40" i="37"/>
  <c r="L129" i="37"/>
  <c r="L215" i="37"/>
  <c r="L14" i="37"/>
  <c r="L196" i="37"/>
  <c r="L289" i="37"/>
  <c r="L241" i="37"/>
  <c r="L189" i="37"/>
  <c r="L230" i="37"/>
  <c r="L259" i="37"/>
  <c r="L174" i="37"/>
  <c r="L122" i="37"/>
  <c r="L163" i="37"/>
  <c r="L107" i="37"/>
  <c r="L51" i="37"/>
  <c r="L164" i="37"/>
  <c r="L165" i="37"/>
  <c r="L171" i="37"/>
  <c r="L60" i="37"/>
  <c r="L157" i="37"/>
  <c r="L30" i="37"/>
  <c r="L288" i="37"/>
  <c r="L240" i="37"/>
  <c r="L192" i="37"/>
  <c r="L285" i="37"/>
  <c r="L237" i="37"/>
  <c r="L185" i="37"/>
  <c r="L278" i="37"/>
  <c r="L226" i="37"/>
  <c r="L251" i="37"/>
  <c r="L170" i="37"/>
  <c r="L118" i="37"/>
  <c r="L66" i="37"/>
  <c r="L155" i="37"/>
  <c r="L103" i="37"/>
  <c r="L47" i="37"/>
  <c r="L160" i="37"/>
  <c r="L108" i="37"/>
  <c r="L161" i="37"/>
  <c r="L296" i="37"/>
  <c r="L56" i="37"/>
  <c r="L149" i="37"/>
  <c r="L247" i="37"/>
  <c r="L22" i="37"/>
  <c r="L291" i="37"/>
  <c r="L13" i="37"/>
  <c r="L298" i="37"/>
  <c r="L182" i="37"/>
  <c r="L24" i="37"/>
  <c r="L267" i="37"/>
  <c r="L8" i="37"/>
  <c r="L16" i="37"/>
  <c r="K8" i="36"/>
  <c r="K385" i="36"/>
  <c r="K337" i="36"/>
  <c r="L302" i="36"/>
  <c r="L278" i="36"/>
  <c r="L254" i="36"/>
  <c r="L230" i="36"/>
  <c r="L206" i="36"/>
  <c r="L183" i="36"/>
  <c r="L159" i="36"/>
  <c r="K346" i="36"/>
  <c r="K306" i="36"/>
  <c r="K282" i="36"/>
  <c r="K258" i="36"/>
  <c r="K234" i="36"/>
  <c r="K210" i="36"/>
  <c r="K185" i="36"/>
  <c r="K161" i="36"/>
  <c r="K137" i="36"/>
  <c r="K113" i="36"/>
  <c r="K367" i="36"/>
  <c r="K293" i="36"/>
  <c r="K245" i="36"/>
  <c r="L202" i="36"/>
  <c r="L154" i="36"/>
  <c r="K127" i="36"/>
  <c r="K103" i="36"/>
  <c r="K80" i="36"/>
  <c r="K55" i="36"/>
  <c r="K31" i="36"/>
  <c r="K104" i="36"/>
  <c r="K322" i="36"/>
  <c r="L271" i="36"/>
  <c r="L223" i="36"/>
  <c r="K174" i="36"/>
  <c r="K136" i="36"/>
  <c r="K347" i="36"/>
  <c r="K283" i="36"/>
  <c r="K235" i="36"/>
  <c r="L184" i="36"/>
  <c r="L140" i="36"/>
  <c r="L116" i="36"/>
  <c r="L91" i="36"/>
  <c r="K65" i="36"/>
  <c r="K41" i="36"/>
  <c r="K318" i="36"/>
  <c r="K132" i="36"/>
  <c r="K77" i="36"/>
  <c r="K381" i="36"/>
  <c r="K333" i="36"/>
  <c r="L300" i="36"/>
  <c r="L276" i="36"/>
  <c r="L252" i="36"/>
  <c r="L228" i="36"/>
  <c r="K205" i="36"/>
  <c r="L181" i="36"/>
  <c r="L157" i="36"/>
  <c r="K342" i="36"/>
  <c r="K304" i="36"/>
  <c r="K280" i="36"/>
  <c r="K256" i="36"/>
  <c r="K232" i="36"/>
  <c r="L207" i="36"/>
  <c r="K183" i="36"/>
  <c r="K159" i="36"/>
  <c r="L134" i="36"/>
  <c r="L110" i="36"/>
  <c r="K359" i="36"/>
  <c r="K289" i="36"/>
  <c r="K241" i="36"/>
  <c r="L198" i="36"/>
  <c r="K151" i="36"/>
  <c r="L125" i="36"/>
  <c r="L101" i="36"/>
  <c r="L77" i="36"/>
  <c r="K377" i="36"/>
  <c r="K329" i="36"/>
  <c r="L298" i="36"/>
  <c r="L274" i="36"/>
  <c r="L250" i="36"/>
  <c r="L226" i="36"/>
  <c r="L203" i="36"/>
  <c r="L179" i="36"/>
  <c r="L155" i="36"/>
  <c r="K338" i="36"/>
  <c r="K302" i="36"/>
  <c r="K278" i="36"/>
  <c r="K254" i="36"/>
  <c r="K230" i="36"/>
  <c r="K206" i="36"/>
  <c r="K181" i="36"/>
  <c r="K157" i="36"/>
  <c r="K133" i="36"/>
  <c r="K109" i="36"/>
  <c r="K351" i="36"/>
  <c r="K285" i="36"/>
  <c r="K237" i="36"/>
  <c r="L194" i="36"/>
  <c r="L146" i="36"/>
  <c r="K122" i="36"/>
  <c r="K98" i="36"/>
  <c r="K76" i="36"/>
  <c r="K51" i="36"/>
  <c r="K27" i="36"/>
  <c r="K96" i="36"/>
  <c r="L311" i="36"/>
  <c r="L263" i="36"/>
  <c r="K214" i="36"/>
  <c r="K373" i="36"/>
  <c r="K324" i="36"/>
  <c r="L296" i="36"/>
  <c r="L272" i="36"/>
  <c r="L248" i="36"/>
  <c r="L224" i="36"/>
  <c r="L201" i="36"/>
  <c r="L177" i="36"/>
  <c r="K382" i="36"/>
  <c r="K334" i="36"/>
  <c r="K300" i="36"/>
  <c r="K276" i="36"/>
  <c r="K252" i="36"/>
  <c r="K228" i="36"/>
  <c r="K203" i="36"/>
  <c r="K179" i="36"/>
  <c r="K155" i="36"/>
  <c r="L130" i="36"/>
  <c r="L106" i="36"/>
  <c r="K343" i="36"/>
  <c r="K281" i="36"/>
  <c r="K233" i="36"/>
  <c r="L190" i="36"/>
  <c r="L144" i="36"/>
  <c r="L120" i="36"/>
  <c r="L96" i="36"/>
  <c r="L73" i="36"/>
  <c r="L48" i="36"/>
  <c r="L24" i="36"/>
  <c r="K93" i="36"/>
  <c r="L307" i="36"/>
  <c r="L259" i="36"/>
  <c r="K211" i="36"/>
  <c r="K162" i="36"/>
  <c r="L123" i="36"/>
  <c r="K323" i="36"/>
  <c r="K369" i="36"/>
  <c r="K320" i="36"/>
  <c r="L294" i="36"/>
  <c r="L270" i="36"/>
  <c r="L246" i="36"/>
  <c r="L222" i="36"/>
  <c r="L199" i="36"/>
  <c r="L175" i="36"/>
  <c r="K378" i="36"/>
  <c r="K330" i="36"/>
  <c r="K298" i="36"/>
  <c r="K274" i="36"/>
  <c r="K250" i="36"/>
  <c r="K226" i="36"/>
  <c r="K201" i="36"/>
  <c r="K177" i="36"/>
  <c r="L153" i="36"/>
  <c r="K129" i="36"/>
  <c r="K105" i="36"/>
  <c r="K335" i="36"/>
  <c r="K277" i="36"/>
  <c r="K229" i="36"/>
  <c r="L186" i="36"/>
  <c r="K143" i="36"/>
  <c r="K119" i="36"/>
  <c r="K95" i="36"/>
  <c r="K72" i="36"/>
  <c r="K47" i="36"/>
  <c r="K23" i="36"/>
  <c r="K384" i="36"/>
  <c r="L303" i="36"/>
  <c r="L255" i="36"/>
  <c r="K207" i="36"/>
  <c r="K158" i="36"/>
  <c r="K120" i="36"/>
  <c r="K315" i="36"/>
  <c r="K365" i="36"/>
  <c r="K316" i="36"/>
  <c r="L292" i="36"/>
  <c r="L268" i="36"/>
  <c r="L244" i="36"/>
  <c r="L220" i="36"/>
  <c r="L197" i="36"/>
  <c r="L173" i="36"/>
  <c r="K374" i="36"/>
  <c r="K325" i="36"/>
  <c r="K296" i="36"/>
  <c r="K272" i="36"/>
  <c r="K248" i="36"/>
  <c r="K224" i="36"/>
  <c r="K199" i="36"/>
  <c r="K175" i="36"/>
  <c r="K152" i="36"/>
  <c r="L126" i="36"/>
  <c r="L102" i="36"/>
  <c r="K327" i="36"/>
  <c r="K273" i="36"/>
  <c r="K225" i="36"/>
  <c r="L182" i="36"/>
  <c r="L141" i="36"/>
  <c r="L117" i="36"/>
  <c r="L93" i="36"/>
  <c r="L69" i="36"/>
  <c r="L44" i="36"/>
  <c r="L20" i="36"/>
  <c r="K376" i="36"/>
  <c r="K361" i="36"/>
  <c r="L314" i="36"/>
  <c r="L290" i="36"/>
  <c r="L266" i="36"/>
  <c r="L242" i="36"/>
  <c r="K219" i="36"/>
  <c r="L195" i="36"/>
  <c r="L171" i="36"/>
  <c r="K370" i="36"/>
  <c r="K321" i="36"/>
  <c r="K294" i="36"/>
  <c r="K270" i="36"/>
  <c r="K246" i="36"/>
  <c r="K222" i="36"/>
  <c r="K197" i="36"/>
  <c r="K173" i="36"/>
  <c r="L149" i="36"/>
  <c r="K125" i="36"/>
  <c r="K101" i="36"/>
  <c r="K319" i="36"/>
  <c r="K269" i="36"/>
  <c r="K221" i="36"/>
  <c r="L178" i="36"/>
  <c r="K138" i="36"/>
  <c r="K114" i="36"/>
  <c r="K92" i="36"/>
  <c r="L68" i="36"/>
  <c r="K43" i="36"/>
  <c r="K19" i="36"/>
  <c r="K368" i="36"/>
  <c r="L295" i="36"/>
  <c r="L247" i="36"/>
  <c r="K198" i="36"/>
  <c r="L152" i="36"/>
  <c r="K112" i="36"/>
  <c r="K307" i="36"/>
  <c r="K259" i="36"/>
  <c r="L208" i="36"/>
  <c r="L160" i="36"/>
  <c r="L129" i="36"/>
  <c r="L105" i="36"/>
  <c r="L79" i="36"/>
  <c r="K53" i="36"/>
  <c r="L26" i="36"/>
  <c r="L225" i="36"/>
  <c r="K89" i="36"/>
  <c r="L25" i="36"/>
  <c r="L301" i="36"/>
  <c r="K73" i="36"/>
  <c r="K46" i="36"/>
  <c r="L229" i="36"/>
  <c r="K364" i="36"/>
  <c r="K160" i="36"/>
  <c r="L86" i="36"/>
  <c r="K26" i="36"/>
  <c r="L309" i="36"/>
  <c r="L39" i="36"/>
  <c r="K357" i="36"/>
  <c r="L312" i="36"/>
  <c r="L288" i="36"/>
  <c r="L264" i="36"/>
  <c r="L240" i="36"/>
  <c r="K217" i="36"/>
  <c r="L310" i="36"/>
  <c r="L238" i="36"/>
  <c r="L185" i="36"/>
  <c r="K314" i="36"/>
  <c r="K262" i="36"/>
  <c r="K195" i="36"/>
  <c r="L142" i="36"/>
  <c r="K375" i="36"/>
  <c r="L214" i="36"/>
  <c r="K130" i="36"/>
  <c r="K67" i="36"/>
  <c r="L16" i="36"/>
  <c r="L299" i="36"/>
  <c r="L227" i="36"/>
  <c r="L147" i="36"/>
  <c r="K339" i="36"/>
  <c r="K263" i="36"/>
  <c r="L200" i="36"/>
  <c r="L145" i="36"/>
  <c r="K115" i="36"/>
  <c r="K86" i="36"/>
  <c r="L54" i="36"/>
  <c r="L22" i="36"/>
  <c r="L151" i="36"/>
  <c r="K68" i="36"/>
  <c r="L51" i="36"/>
  <c r="K153" i="36"/>
  <c r="K50" i="36"/>
  <c r="L261" i="36"/>
  <c r="K332" i="36"/>
  <c r="L143" i="36"/>
  <c r="L80" i="36"/>
  <c r="L18" i="36"/>
  <c r="K156" i="36"/>
  <c r="L260" i="36"/>
  <c r="K163" i="36"/>
  <c r="K35" i="36"/>
  <c r="L219" i="36"/>
  <c r="K200" i="36"/>
  <c r="K56" i="36"/>
  <c r="L189" i="36"/>
  <c r="L32" i="36"/>
  <c r="L215" i="36"/>
  <c r="K81" i="36"/>
  <c r="L84" i="36"/>
  <c r="K317" i="36"/>
  <c r="L308" i="36"/>
  <c r="L236" i="36"/>
  <c r="L169" i="36"/>
  <c r="K312" i="36"/>
  <c r="K260" i="36"/>
  <c r="K193" i="36"/>
  <c r="K141" i="36"/>
  <c r="K313" i="36"/>
  <c r="L212" i="36"/>
  <c r="L128" i="36"/>
  <c r="K63" i="36"/>
  <c r="K15" i="36"/>
  <c r="L291" i="36"/>
  <c r="K216" i="36"/>
  <c r="K146" i="36"/>
  <c r="K331" i="36"/>
  <c r="K255" i="36"/>
  <c r="L196" i="36"/>
  <c r="K142" i="36"/>
  <c r="L113" i="36"/>
  <c r="L83" i="36"/>
  <c r="L50" i="36"/>
  <c r="K21" i="36"/>
  <c r="L135" i="36"/>
  <c r="K66" i="36"/>
  <c r="L41" i="36"/>
  <c r="L148" i="36"/>
  <c r="K48" i="36"/>
  <c r="K204" i="36"/>
  <c r="L313" i="36"/>
  <c r="K140" i="36"/>
  <c r="L78" i="36"/>
  <c r="K17" i="36"/>
  <c r="L74" i="36"/>
  <c r="L239" i="36"/>
  <c r="L9" i="36"/>
  <c r="K180" i="36"/>
  <c r="K383" i="36"/>
  <c r="L306" i="36"/>
  <c r="L234" i="36"/>
  <c r="L167" i="36"/>
  <c r="K310" i="36"/>
  <c r="K244" i="36"/>
  <c r="K191" i="36"/>
  <c r="L138" i="36"/>
  <c r="K309" i="36"/>
  <c r="L209" i="36"/>
  <c r="L112" i="36"/>
  <c r="L60" i="36"/>
  <c r="L12" i="36"/>
  <c r="L287" i="36"/>
  <c r="K202" i="36"/>
  <c r="K144" i="36"/>
  <c r="K311" i="36"/>
  <c r="K251" i="36"/>
  <c r="L192" i="36"/>
  <c r="K139" i="36"/>
  <c r="K110" i="36"/>
  <c r="K82" i="36"/>
  <c r="K49" i="36"/>
  <c r="K380" i="36"/>
  <c r="L119" i="36"/>
  <c r="L31" i="36"/>
  <c r="K372" i="36"/>
  <c r="K75" i="36"/>
  <c r="K44" i="36"/>
  <c r="K172" i="36"/>
  <c r="L297" i="36"/>
  <c r="L127" i="36"/>
  <c r="L76" i="36"/>
  <c r="L15" i="36"/>
  <c r="L72" i="36"/>
  <c r="L30" i="36"/>
  <c r="K350" i="36"/>
  <c r="K90" i="36"/>
  <c r="K176" i="36"/>
  <c r="L304" i="36"/>
  <c r="L232" i="36"/>
  <c r="L165" i="36"/>
  <c r="K308" i="36"/>
  <c r="K242" i="36"/>
  <c r="K189" i="36"/>
  <c r="L122" i="36"/>
  <c r="K305" i="36"/>
  <c r="L205" i="36"/>
  <c r="K111" i="36"/>
  <c r="K59" i="36"/>
  <c r="K11" i="36"/>
  <c r="L283" i="36"/>
  <c r="K194" i="36"/>
  <c r="L139" i="36"/>
  <c r="K303" i="36"/>
  <c r="K247" i="36"/>
  <c r="L188" i="36"/>
  <c r="L137" i="36"/>
  <c r="L108" i="36"/>
  <c r="K78" i="36"/>
  <c r="L46" i="36"/>
  <c r="K348" i="36"/>
  <c r="K116" i="36"/>
  <c r="L29" i="36"/>
  <c r="K340" i="36"/>
  <c r="K71" i="36"/>
  <c r="K42" i="36"/>
  <c r="L70" i="36"/>
  <c r="L281" i="36"/>
  <c r="K124" i="36"/>
  <c r="L67" i="36"/>
  <c r="K12" i="36"/>
  <c r="L59" i="36"/>
  <c r="L262" i="36"/>
  <c r="K58" i="36"/>
  <c r="L191" i="36"/>
  <c r="L136" i="36"/>
  <c r="K166" i="36"/>
  <c r="K94" i="36"/>
  <c r="L14" i="36"/>
  <c r="L245" i="36"/>
  <c r="L258" i="36"/>
  <c r="K154" i="36"/>
  <c r="K184" i="36"/>
  <c r="L37" i="36"/>
  <c r="L256" i="36"/>
  <c r="L81" i="36"/>
  <c r="L286" i="36"/>
  <c r="K215" i="36"/>
  <c r="L163" i="36"/>
  <c r="K292" i="36"/>
  <c r="K240" i="36"/>
  <c r="K187" i="36"/>
  <c r="K121" i="36"/>
  <c r="K301" i="36"/>
  <c r="L174" i="36"/>
  <c r="L109" i="36"/>
  <c r="L56" i="36"/>
  <c r="L8" i="36"/>
  <c r="L279" i="36"/>
  <c r="K190" i="36"/>
  <c r="L131" i="36"/>
  <c r="K299" i="36"/>
  <c r="K243" i="36"/>
  <c r="L180" i="36"/>
  <c r="K134" i="36"/>
  <c r="K107" i="36"/>
  <c r="K74" i="36"/>
  <c r="K45" i="36"/>
  <c r="L305" i="36"/>
  <c r="L103" i="36"/>
  <c r="L27" i="36"/>
  <c r="L285" i="36"/>
  <c r="K69" i="36"/>
  <c r="K40" i="36"/>
  <c r="L63" i="36"/>
  <c r="L265" i="36"/>
  <c r="L111" i="36"/>
  <c r="L65" i="36"/>
  <c r="L10" i="36"/>
  <c r="L55" i="36"/>
  <c r="L193" i="36"/>
  <c r="K85" i="36"/>
  <c r="L13" i="36"/>
  <c r="K271" i="36"/>
  <c r="L211" i="36"/>
  <c r="L284" i="36"/>
  <c r="K212" i="36"/>
  <c r="L161" i="36"/>
  <c r="K290" i="36"/>
  <c r="K238" i="36"/>
  <c r="K171" i="36"/>
  <c r="L118" i="36"/>
  <c r="K297" i="36"/>
  <c r="L170" i="36"/>
  <c r="K106" i="36"/>
  <c r="L52" i="36"/>
  <c r="L99" i="36"/>
  <c r="L275" i="36"/>
  <c r="K186" i="36"/>
  <c r="K128" i="36"/>
  <c r="K295" i="36"/>
  <c r="K239" i="36"/>
  <c r="L176" i="36"/>
  <c r="L132" i="36"/>
  <c r="K102" i="36"/>
  <c r="L71" i="36"/>
  <c r="L42" i="36"/>
  <c r="L289" i="36"/>
  <c r="K100" i="36"/>
  <c r="L23" i="36"/>
  <c r="L269" i="36"/>
  <c r="K64" i="36"/>
  <c r="K38" i="36"/>
  <c r="L61" i="36"/>
  <c r="L249" i="36"/>
  <c r="K108" i="36"/>
  <c r="K34" i="36"/>
  <c r="K9" i="36"/>
  <c r="L49" i="36"/>
  <c r="L218" i="36"/>
  <c r="L221" i="36"/>
  <c r="K28" i="36"/>
  <c r="K354" i="36"/>
  <c r="K123" i="36"/>
  <c r="K192" i="36"/>
  <c r="L121" i="36"/>
  <c r="L133" i="36"/>
  <c r="L282" i="36"/>
  <c r="L210" i="36"/>
  <c r="K366" i="36"/>
  <c r="K288" i="36"/>
  <c r="K236" i="36"/>
  <c r="K169" i="36"/>
  <c r="K117" i="36"/>
  <c r="K265" i="36"/>
  <c r="L166" i="36"/>
  <c r="L104" i="36"/>
  <c r="L40" i="36"/>
  <c r="K360" i="36"/>
  <c r="L267" i="36"/>
  <c r="K182" i="36"/>
  <c r="L115" i="36"/>
  <c r="K291" i="36"/>
  <c r="K231" i="36"/>
  <c r="L172" i="36"/>
  <c r="K131" i="36"/>
  <c r="L100" i="36"/>
  <c r="K70" i="36"/>
  <c r="L38" i="36"/>
  <c r="L273" i="36"/>
  <c r="K91" i="36"/>
  <c r="L21" i="36"/>
  <c r="L253" i="36"/>
  <c r="K62" i="36"/>
  <c r="K36" i="36"/>
  <c r="L57" i="36"/>
  <c r="L233" i="36"/>
  <c r="L95" i="36"/>
  <c r="K32" i="36"/>
  <c r="L7" i="36"/>
  <c r="L45" i="36"/>
  <c r="L280" i="36"/>
  <c r="K362" i="36"/>
  <c r="K286" i="36"/>
  <c r="K220" i="36"/>
  <c r="K167" i="36"/>
  <c r="L114" i="36"/>
  <c r="K261" i="36"/>
  <c r="L162" i="36"/>
  <c r="K39" i="36"/>
  <c r="K352" i="36"/>
  <c r="L251" i="36"/>
  <c r="K178" i="36"/>
  <c r="K287" i="36"/>
  <c r="K227" i="36"/>
  <c r="L168" i="36"/>
  <c r="K99" i="36"/>
  <c r="L66" i="36"/>
  <c r="L257" i="36"/>
  <c r="K87" i="36"/>
  <c r="L19" i="36"/>
  <c r="K60" i="36"/>
  <c r="L17" i="36"/>
  <c r="L53" i="36"/>
  <c r="L92" i="36"/>
  <c r="K30" i="36"/>
  <c r="K18" i="36"/>
  <c r="K353" i="36"/>
  <c r="K284" i="36"/>
  <c r="K165" i="36"/>
  <c r="L98" i="36"/>
  <c r="L158" i="36"/>
  <c r="K88" i="36"/>
  <c r="L36" i="36"/>
  <c r="L243" i="36"/>
  <c r="K379" i="36"/>
  <c r="K279" i="36"/>
  <c r="L164" i="36"/>
  <c r="L124" i="36"/>
  <c r="L62" i="36"/>
  <c r="L241" i="36"/>
  <c r="K16" i="36"/>
  <c r="L47" i="36"/>
  <c r="K208" i="36"/>
  <c r="L90" i="36"/>
  <c r="K349" i="36"/>
  <c r="K268" i="36"/>
  <c r="L216" i="36"/>
  <c r="K97" i="36"/>
  <c r="K253" i="36"/>
  <c r="L85" i="36"/>
  <c r="K336" i="36"/>
  <c r="K275" i="36"/>
  <c r="L156" i="36"/>
  <c r="K61" i="36"/>
  <c r="K83" i="36"/>
  <c r="K196" i="36"/>
  <c r="L43" i="36"/>
  <c r="K24" i="36"/>
  <c r="K345" i="36"/>
  <c r="K266" i="36"/>
  <c r="L213" i="36"/>
  <c r="K148" i="36"/>
  <c r="K249" i="36"/>
  <c r="K135" i="36"/>
  <c r="K84" i="36"/>
  <c r="K328" i="36"/>
  <c r="L235" i="36"/>
  <c r="K363" i="36"/>
  <c r="L150" i="36"/>
  <c r="K29" i="36"/>
  <c r="K13" i="36"/>
  <c r="K54" i="36"/>
  <c r="K356" i="36"/>
  <c r="K218" i="36"/>
  <c r="K341" i="36"/>
  <c r="L187" i="36"/>
  <c r="K264" i="36"/>
  <c r="K145" i="36"/>
  <c r="L217" i="36"/>
  <c r="L28" i="36"/>
  <c r="L315" i="36"/>
  <c r="K209" i="36"/>
  <c r="L89" i="36"/>
  <c r="L107" i="36"/>
  <c r="K126" i="36"/>
  <c r="K37" i="36"/>
  <c r="L237" i="36"/>
  <c r="K213" i="36"/>
  <c r="K326" i="36"/>
  <c r="K358" i="36"/>
  <c r="K257" i="36"/>
  <c r="K344" i="36"/>
  <c r="K170" i="36"/>
  <c r="K223" i="36"/>
  <c r="L97" i="36"/>
  <c r="K33" i="36"/>
  <c r="K14" i="36"/>
  <c r="L277" i="36"/>
  <c r="K371" i="36"/>
  <c r="L88" i="36"/>
  <c r="L94" i="36"/>
  <c r="L58" i="36"/>
  <c r="K22" i="36"/>
  <c r="L231" i="36"/>
  <c r="L11" i="36"/>
  <c r="K149" i="36"/>
  <c r="K164" i="36"/>
  <c r="K52" i="36"/>
  <c r="K267" i="36"/>
  <c r="L293" i="36"/>
  <c r="L204" i="36"/>
  <c r="K10" i="36"/>
  <c r="K147" i="36"/>
  <c r="K150" i="36"/>
  <c r="K118" i="36"/>
  <c r="L82" i="36"/>
  <c r="L87" i="36"/>
  <c r="K188" i="36"/>
  <c r="K25" i="36"/>
  <c r="K168" i="36"/>
  <c r="K355" i="36"/>
  <c r="K20" i="36"/>
  <c r="K57" i="36"/>
  <c r="K7" i="36"/>
  <c r="K79" i="36"/>
  <c r="K366" i="35"/>
  <c r="L98" i="35"/>
  <c r="K101" i="35"/>
  <c r="L272" i="35"/>
  <c r="K43" i="35"/>
  <c r="L111" i="35"/>
  <c r="L187" i="35"/>
  <c r="L22" i="35"/>
  <c r="K38" i="35"/>
  <c r="K57" i="35"/>
  <c r="K134" i="35"/>
  <c r="K206" i="35"/>
  <c r="K349" i="35"/>
  <c r="L84" i="35"/>
  <c r="L156" i="35"/>
  <c r="L228" i="35"/>
  <c r="K392" i="35"/>
  <c r="K81" i="35"/>
  <c r="K153" i="35"/>
  <c r="K225" i="35"/>
  <c r="K370" i="35"/>
  <c r="K19" i="35"/>
  <c r="L48" i="35"/>
  <c r="K22" i="35"/>
  <c r="L85" i="35"/>
  <c r="L113" i="35"/>
  <c r="L137" i="35"/>
  <c r="L163" i="35"/>
  <c r="L189" i="35"/>
  <c r="L213" i="35"/>
  <c r="L237" i="35"/>
  <c r="K25" i="35"/>
  <c r="K49" i="35"/>
  <c r="L7" i="35"/>
  <c r="L39" i="35"/>
  <c r="K8" i="35"/>
  <c r="K32" i="35"/>
  <c r="K64" i="35"/>
  <c r="K88" i="35"/>
  <c r="K112" i="35"/>
  <c r="K136" i="35"/>
  <c r="K160" i="35"/>
  <c r="K184" i="35"/>
  <c r="K208" i="35"/>
  <c r="K232" i="35"/>
  <c r="K278" i="35"/>
  <c r="K365" i="35"/>
  <c r="K377" i="35"/>
  <c r="L63" i="35"/>
  <c r="K87" i="35"/>
  <c r="K111" i="35"/>
  <c r="K135" i="35"/>
  <c r="K159" i="35"/>
  <c r="K183" i="35"/>
  <c r="K207" i="35"/>
  <c r="K231" i="35"/>
  <c r="L276" i="35"/>
  <c r="K348" i="35"/>
  <c r="K396" i="35"/>
  <c r="K347" i="35"/>
  <c r="K395" i="35"/>
  <c r="L82" i="35"/>
  <c r="L106" i="35"/>
  <c r="L130" i="35"/>
  <c r="L154" i="35"/>
  <c r="L178" i="35"/>
  <c r="L202" i="35"/>
  <c r="L226" i="35"/>
  <c r="K269" i="35"/>
  <c r="K325" i="35"/>
  <c r="K374" i="35"/>
  <c r="K35" i="35"/>
  <c r="L12" i="35"/>
  <c r="L23" i="35"/>
  <c r="L89" i="35"/>
  <c r="L115" i="35"/>
  <c r="L139" i="35"/>
  <c r="L165" i="35"/>
  <c r="L191" i="35"/>
  <c r="L215" i="35"/>
  <c r="L245" i="35"/>
  <c r="L26" i="35"/>
  <c r="L50" i="35"/>
  <c r="K10" i="35"/>
  <c r="K46" i="35"/>
  <c r="L9" i="35"/>
  <c r="L33" i="35"/>
  <c r="K66" i="35"/>
  <c r="K90" i="35"/>
  <c r="K114" i="35"/>
  <c r="K138" i="35"/>
  <c r="K162" i="35"/>
  <c r="K186" i="35"/>
  <c r="K210" i="35"/>
  <c r="K234" i="35"/>
  <c r="K175" i="35"/>
  <c r="K335" i="35"/>
  <c r="K339" i="35"/>
  <c r="K63" i="35"/>
  <c r="L95" i="35"/>
  <c r="K230" i="35"/>
  <c r="K177" i="35"/>
  <c r="K24" i="35"/>
  <c r="L194" i="35"/>
  <c r="K56" i="35"/>
  <c r="L129" i="35"/>
  <c r="L205" i="35"/>
  <c r="K41" i="35"/>
  <c r="L79" i="35"/>
  <c r="K80" i="35"/>
  <c r="K152" i="35"/>
  <c r="K224" i="35"/>
  <c r="L246" i="35"/>
  <c r="L57" i="35"/>
  <c r="L131" i="35"/>
  <c r="L207" i="35"/>
  <c r="L42" i="35"/>
  <c r="L83" i="35"/>
  <c r="K82" i="35"/>
  <c r="K154" i="35"/>
  <c r="K226" i="35"/>
  <c r="L262" i="35"/>
  <c r="K59" i="35"/>
  <c r="L133" i="35"/>
  <c r="L209" i="35"/>
  <c r="K45" i="35"/>
  <c r="L87" i="35"/>
  <c r="K84" i="35"/>
  <c r="K156" i="35"/>
  <c r="K228" i="35"/>
  <c r="K265" i="35"/>
  <c r="L135" i="35"/>
  <c r="L211" i="35"/>
  <c r="L46" i="35"/>
  <c r="K86" i="35"/>
  <c r="K158" i="35"/>
  <c r="K373" i="35"/>
  <c r="L108" i="35"/>
  <c r="L180" i="35"/>
  <c r="K275" i="35"/>
  <c r="K343" i="35"/>
  <c r="K105" i="35"/>
  <c r="L266" i="35"/>
  <c r="L8" i="35"/>
  <c r="L69" i="35"/>
  <c r="L155" i="35"/>
  <c r="L229" i="35"/>
  <c r="L239" i="35"/>
  <c r="K104" i="35"/>
  <c r="K176" i="35"/>
  <c r="K270" i="35"/>
  <c r="L55" i="35"/>
  <c r="K127" i="35"/>
  <c r="K199" i="35"/>
  <c r="K331" i="35"/>
  <c r="K379" i="35"/>
  <c r="L122" i="35"/>
  <c r="K313" i="35"/>
  <c r="L73" i="35"/>
  <c r="L157" i="35"/>
  <c r="L231" i="35"/>
  <c r="K324" i="35"/>
  <c r="L25" i="35"/>
  <c r="K106" i="35"/>
  <c r="K178" i="35"/>
  <c r="K272" i="35"/>
  <c r="K58" i="35"/>
  <c r="L128" i="35"/>
  <c r="L200" i="35"/>
  <c r="K336" i="35"/>
  <c r="K383" i="35"/>
  <c r="K125" i="35"/>
  <c r="K197" i="35"/>
  <c r="L314" i="35"/>
  <c r="K103" i="35"/>
  <c r="K173" i="35"/>
  <c r="K179" i="35"/>
  <c r="K11" i="35"/>
  <c r="L77" i="35"/>
  <c r="L159" i="35"/>
  <c r="L233" i="35"/>
  <c r="K341" i="35"/>
  <c r="K28" i="35"/>
  <c r="K108" i="35"/>
  <c r="K180" i="35"/>
  <c r="K274" i="35"/>
  <c r="L59" i="35"/>
  <c r="K131" i="35"/>
  <c r="K203" i="35"/>
  <c r="K340" i="35"/>
  <c r="K387" i="35"/>
  <c r="L126" i="35"/>
  <c r="L198" i="35"/>
  <c r="K317" i="35"/>
  <c r="K337" i="35"/>
  <c r="K271" i="35"/>
  <c r="K369" i="35"/>
  <c r="L16" i="35"/>
  <c r="L81" i="35"/>
  <c r="L161" i="35"/>
  <c r="L235" i="35"/>
  <c r="K357" i="35"/>
  <c r="L29" i="35"/>
  <c r="K110" i="35"/>
  <c r="K182" i="35"/>
  <c r="K276" i="35"/>
  <c r="K62" i="35"/>
  <c r="L132" i="35"/>
  <c r="L204" i="35"/>
  <c r="K344" i="35"/>
  <c r="K391" i="35"/>
  <c r="K129" i="35"/>
  <c r="K201" i="35"/>
  <c r="K321" i="35"/>
  <c r="K330" i="35"/>
  <c r="K353" i="35"/>
  <c r="L174" i="35"/>
  <c r="K27" i="35"/>
  <c r="L105" i="35"/>
  <c r="L179" i="35"/>
  <c r="K17" i="35"/>
  <c r="L27" i="35"/>
  <c r="K48" i="35"/>
  <c r="K128" i="35"/>
  <c r="K200" i="35"/>
  <c r="L243" i="35"/>
  <c r="K79" i="35"/>
  <c r="K151" i="35"/>
  <c r="K223" i="35"/>
  <c r="K380" i="35"/>
  <c r="L74" i="35"/>
  <c r="L146" i="35"/>
  <c r="L218" i="35"/>
  <c r="K358" i="35"/>
  <c r="L170" i="35"/>
  <c r="L176" i="35"/>
  <c r="L102" i="35"/>
  <c r="L32" i="35"/>
  <c r="L107" i="35"/>
  <c r="L183" i="35"/>
  <c r="L18" i="35"/>
  <c r="K34" i="35"/>
  <c r="L49" i="35"/>
  <c r="K130" i="35"/>
  <c r="K202" i="35"/>
  <c r="K332" i="35"/>
  <c r="L80" i="35"/>
  <c r="L152" i="35"/>
  <c r="L224" i="35"/>
  <c r="K384" i="35"/>
  <c r="K77" i="35"/>
  <c r="K149" i="35"/>
  <c r="K221" i="35"/>
  <c r="K362" i="35"/>
  <c r="L268" i="35"/>
  <c r="L104" i="35"/>
  <c r="K107" i="35"/>
  <c r="L40" i="35"/>
  <c r="L109" i="35"/>
  <c r="L185" i="35"/>
  <c r="K21" i="35"/>
  <c r="L35" i="35"/>
  <c r="L52" i="35"/>
  <c r="K132" i="35"/>
  <c r="K204" i="35"/>
  <c r="K333" i="35"/>
  <c r="K83" i="35"/>
  <c r="K155" i="35"/>
  <c r="K227" i="35"/>
  <c r="K388" i="35"/>
  <c r="L78" i="35"/>
  <c r="L150" i="35"/>
  <c r="L222" i="35"/>
  <c r="K354" i="35"/>
  <c r="L310" i="35"/>
  <c r="L242" i="35"/>
  <c r="K217" i="35"/>
  <c r="K193" i="35"/>
  <c r="K169" i="35"/>
  <c r="K145" i="35"/>
  <c r="K121" i="35"/>
  <c r="K97" i="35"/>
  <c r="K73" i="35"/>
  <c r="K375" i="35"/>
  <c r="K326" i="35"/>
  <c r="K376" i="35"/>
  <c r="K327" i="35"/>
  <c r="K267" i="35"/>
  <c r="L220" i="35"/>
  <c r="L196" i="35"/>
  <c r="L172" i="35"/>
  <c r="L148" i="35"/>
  <c r="L124" i="35"/>
  <c r="L100" i="35"/>
  <c r="L76" i="35"/>
  <c r="K54" i="35"/>
  <c r="K320" i="35"/>
  <c r="K61" i="35"/>
  <c r="K268" i="35"/>
  <c r="K222" i="35"/>
  <c r="K198" i="35"/>
  <c r="K174" i="35"/>
  <c r="K150" i="35"/>
  <c r="K126" i="35"/>
  <c r="K102" i="35"/>
  <c r="K78" i="35"/>
  <c r="L45" i="35"/>
  <c r="L21" i="35"/>
  <c r="L75" i="35"/>
  <c r="K26" i="35"/>
  <c r="L62" i="35"/>
  <c r="L38" i="35"/>
  <c r="L14" i="35"/>
  <c r="L227" i="35"/>
  <c r="L203" i="35"/>
  <c r="L177" i="35"/>
  <c r="L151" i="35"/>
  <c r="L127" i="35"/>
  <c r="L103" i="35"/>
  <c r="L65" i="35"/>
  <c r="L54" i="35"/>
  <c r="L24" i="35"/>
  <c r="K398" i="35"/>
  <c r="K350" i="35"/>
  <c r="K309" i="35"/>
  <c r="L238" i="35"/>
  <c r="L214" i="35"/>
  <c r="L190" i="35"/>
  <c r="L166" i="35"/>
  <c r="L142" i="35"/>
  <c r="L118" i="35"/>
  <c r="L94" i="35"/>
  <c r="L70" i="35"/>
  <c r="K371" i="35"/>
  <c r="K322" i="35"/>
  <c r="K372" i="35"/>
  <c r="K323" i="35"/>
  <c r="L264" i="35"/>
  <c r="K219" i="35"/>
  <c r="K195" i="35"/>
  <c r="K171" i="35"/>
  <c r="K147" i="35"/>
  <c r="K123" i="35"/>
  <c r="K99" i="35"/>
  <c r="K75" i="35"/>
  <c r="L51" i="35"/>
  <c r="K316" i="35"/>
  <c r="K361" i="35"/>
  <c r="K266" i="35"/>
  <c r="K220" i="35"/>
  <c r="K196" i="35"/>
  <c r="K172" i="35"/>
  <c r="K148" i="35"/>
  <c r="K124" i="35"/>
  <c r="K100" i="35"/>
  <c r="K76" i="35"/>
  <c r="K44" i="35"/>
  <c r="K20" i="35"/>
  <c r="L71" i="35"/>
  <c r="L19" i="35"/>
  <c r="L60" i="35"/>
  <c r="K37" i="35"/>
  <c r="K13" i="35"/>
  <c r="L225" i="35"/>
  <c r="L201" i="35"/>
  <c r="L175" i="35"/>
  <c r="L149" i="35"/>
  <c r="L125" i="35"/>
  <c r="L101" i="35"/>
  <c r="K50" i="35"/>
  <c r="K51" i="35"/>
  <c r="K47" i="35"/>
  <c r="K394" i="35"/>
  <c r="K346" i="35"/>
  <c r="L278" i="35"/>
  <c r="K237" i="35"/>
  <c r="K213" i="35"/>
  <c r="K189" i="35"/>
  <c r="K165" i="35"/>
  <c r="K141" i="35"/>
  <c r="K117" i="35"/>
  <c r="K93" i="35"/>
  <c r="K69" i="35"/>
  <c r="K367" i="35"/>
  <c r="K318" i="35"/>
  <c r="K368" i="35"/>
  <c r="K319" i="35"/>
  <c r="L244" i="35"/>
  <c r="L216" i="35"/>
  <c r="L192" i="35"/>
  <c r="L168" i="35"/>
  <c r="L144" i="35"/>
  <c r="L120" i="35"/>
  <c r="L96" i="35"/>
  <c r="L72" i="35"/>
  <c r="K397" i="35"/>
  <c r="L313" i="35"/>
  <c r="K345" i="35"/>
  <c r="K264" i="35"/>
  <c r="K218" i="35"/>
  <c r="K194" i="35"/>
  <c r="K170" i="35"/>
  <c r="K146" i="35"/>
  <c r="K122" i="35"/>
  <c r="K98" i="35"/>
  <c r="K74" i="35"/>
  <c r="L41" i="35"/>
  <c r="L17" i="35"/>
  <c r="L67" i="35"/>
  <c r="K18" i="35"/>
  <c r="L58" i="35"/>
  <c r="L34" i="35"/>
  <c r="L10" i="35"/>
  <c r="L223" i="35"/>
  <c r="L199" i="35"/>
  <c r="L173" i="35"/>
  <c r="L147" i="35"/>
  <c r="L123" i="35"/>
  <c r="L99" i="35"/>
  <c r="L43" i="35"/>
  <c r="K31" i="35"/>
  <c r="L44" i="35"/>
  <c r="K390" i="35"/>
  <c r="K342" i="35"/>
  <c r="K277" i="35"/>
  <c r="L234" i="35"/>
  <c r="L210" i="35"/>
  <c r="L186" i="35"/>
  <c r="L162" i="35"/>
  <c r="L138" i="35"/>
  <c r="L114" i="35"/>
  <c r="L90" i="35"/>
  <c r="L66" i="35"/>
  <c r="K363" i="35"/>
  <c r="L315" i="35"/>
  <c r="K364" i="35"/>
  <c r="L316" i="35"/>
  <c r="L240" i="35"/>
  <c r="K215" i="35"/>
  <c r="K191" i="35"/>
  <c r="K167" i="35"/>
  <c r="K143" i="35"/>
  <c r="K119" i="35"/>
  <c r="K95" i="35"/>
  <c r="K71" i="35"/>
  <c r="K393" i="35"/>
  <c r="L275" i="35"/>
  <c r="K328" i="35"/>
  <c r="L241" i="35"/>
  <c r="K216" i="35"/>
  <c r="K192" i="35"/>
  <c r="K168" i="35"/>
  <c r="K144" i="35"/>
  <c r="K120" i="35"/>
  <c r="K96" i="35"/>
  <c r="K72" i="35"/>
  <c r="K40" i="35"/>
  <c r="K16" i="35"/>
  <c r="L56" i="35"/>
  <c r="L15" i="35"/>
  <c r="K55" i="35"/>
  <c r="K33" i="35"/>
  <c r="K9" i="35"/>
  <c r="L221" i="35"/>
  <c r="L197" i="35"/>
  <c r="L171" i="35"/>
  <c r="L145" i="35"/>
  <c r="L121" i="35"/>
  <c r="L97" i="35"/>
  <c r="K42" i="35"/>
  <c r="K23" i="35"/>
  <c r="K39" i="35"/>
  <c r="K386" i="35"/>
  <c r="K338" i="35"/>
  <c r="L274" i="35"/>
  <c r="K233" i="35"/>
  <c r="K209" i="35"/>
  <c r="K185" i="35"/>
  <c r="K161" i="35"/>
  <c r="K137" i="35"/>
  <c r="K113" i="35"/>
  <c r="K89" i="35"/>
  <c r="K65" i="35"/>
  <c r="K359" i="35"/>
  <c r="K314" i="35"/>
  <c r="K360" i="35"/>
  <c r="K315" i="35"/>
  <c r="L236" i="35"/>
  <c r="L212" i="35"/>
  <c r="L188" i="35"/>
  <c r="L164" i="35"/>
  <c r="L140" i="35"/>
  <c r="L116" i="35"/>
  <c r="L92" i="35"/>
  <c r="L68" i="35"/>
  <c r="K389" i="35"/>
  <c r="L273" i="35"/>
  <c r="L317" i="35"/>
  <c r="K238" i="35"/>
  <c r="K214" i="35"/>
  <c r="K190" i="35"/>
  <c r="K166" i="35"/>
  <c r="K142" i="35"/>
  <c r="K118" i="35"/>
  <c r="K94" i="35"/>
  <c r="K70" i="35"/>
  <c r="L37" i="35"/>
  <c r="L13" i="35"/>
  <c r="K53" i="35"/>
  <c r="K14" i="35"/>
  <c r="L53" i="35"/>
  <c r="L30" i="35"/>
  <c r="L267" i="35"/>
  <c r="L219" i="35"/>
  <c r="L195" i="35"/>
  <c r="L169" i="35"/>
  <c r="L143" i="35"/>
  <c r="L119" i="35"/>
  <c r="L93" i="35"/>
  <c r="L31" i="35"/>
  <c r="L20" i="35"/>
  <c r="L36" i="35"/>
  <c r="K382" i="35"/>
  <c r="K334" i="35"/>
  <c r="K273" i="35"/>
  <c r="L230" i="35"/>
  <c r="L206" i="35"/>
  <c r="L182" i="35"/>
  <c r="L158" i="35"/>
  <c r="L134" i="35"/>
  <c r="L110" i="35"/>
  <c r="L86" i="35"/>
  <c r="L61" i="35"/>
  <c r="K355" i="35"/>
  <c r="L311" i="35"/>
  <c r="K356" i="35"/>
  <c r="L312" i="35"/>
  <c r="K235" i="35"/>
  <c r="K211" i="35"/>
  <c r="K187" i="35"/>
  <c r="K163" i="35"/>
  <c r="K139" i="35"/>
  <c r="K115" i="35"/>
  <c r="K91" i="35"/>
  <c r="K67" i="35"/>
  <c r="K385" i="35"/>
  <c r="L271" i="35"/>
  <c r="K312" i="35"/>
  <c r="K236" i="35"/>
  <c r="K212" i="35"/>
  <c r="K188" i="35"/>
  <c r="K164" i="35"/>
  <c r="K140" i="35"/>
  <c r="K116" i="35"/>
  <c r="K92" i="35"/>
  <c r="K68" i="35"/>
  <c r="K36" i="35"/>
  <c r="K12" i="35"/>
  <c r="L47" i="35"/>
  <c r="L11" i="35"/>
  <c r="K52" i="35"/>
  <c r="K29" i="35"/>
  <c r="L265" i="35"/>
  <c r="L217" i="35"/>
  <c r="L193" i="35"/>
  <c r="L167" i="35"/>
  <c r="L141" i="35"/>
  <c r="L117" i="35"/>
  <c r="L91" i="35"/>
  <c r="K30" i="35"/>
  <c r="K15" i="35"/>
  <c r="L28" i="35"/>
  <c r="K378" i="35"/>
  <c r="K329" i="35"/>
  <c r="L270" i="35"/>
  <c r="K229" i="35"/>
  <c r="K205" i="35"/>
  <c r="K181" i="35"/>
  <c r="K157" i="35"/>
  <c r="K133" i="35"/>
  <c r="K109" i="35"/>
  <c r="K85" i="35"/>
  <c r="K60" i="35"/>
  <c r="K351" i="35"/>
  <c r="K310" i="35"/>
  <c r="K352" i="35"/>
  <c r="K311" i="35"/>
  <c r="L232" i="35"/>
  <c r="L208" i="35"/>
  <c r="L184" i="35"/>
  <c r="L160" i="35"/>
  <c r="L136" i="35"/>
  <c r="L112" i="35"/>
  <c r="L88" i="35"/>
  <c r="L64" i="35"/>
  <c r="K381" i="35"/>
  <c r="L269" i="35"/>
  <c r="K7" i="35"/>
  <c r="L309" i="35"/>
</calcChain>
</file>

<file path=xl/sharedStrings.xml><?xml version="1.0" encoding="utf-8"?>
<sst xmlns="http://schemas.openxmlformats.org/spreadsheetml/2006/main" count="7575" uniqueCount="3811">
  <si>
    <t>DATE</t>
  </si>
  <si>
    <t>LIBELLE</t>
  </si>
  <si>
    <t>MONTANT</t>
  </si>
  <si>
    <t>ENTREE</t>
  </si>
  <si>
    <t>ENTREES</t>
  </si>
  <si>
    <t>SORTIES</t>
  </si>
  <si>
    <t xml:space="preserve"> </t>
  </si>
  <si>
    <t>TOTAL</t>
  </si>
  <si>
    <t>DECAISSEMENTS FOURNISSEURS</t>
  </si>
  <si>
    <t>DECAISSEMENTS CHARGES ET FONDS PERDUS</t>
  </si>
  <si>
    <t>RESTE EN CAISSE</t>
  </si>
  <si>
    <t>TRANSPORT MISS AMA POUR BDU</t>
  </si>
  <si>
    <t>MORY CARBURANT</t>
  </si>
  <si>
    <t>TOTAL DEBIT</t>
  </si>
  <si>
    <t>MORY LAVAGE</t>
  </si>
  <si>
    <t>COMMISSION VENANCE</t>
  </si>
  <si>
    <t>COMMISSION ADAMO</t>
  </si>
  <si>
    <t>COMMISSION FABRICE</t>
  </si>
  <si>
    <t>APPRO CAISSE EN ESPECE PAR MADAME TOURE</t>
  </si>
  <si>
    <t>TRANSPORT AMA POUR BDU</t>
  </si>
  <si>
    <t>TOTAL CREDIT(TOTAL FOURNISSEURS + AUTRES DEPENSES)</t>
  </si>
  <si>
    <t>CREDIT TELEPHONIQUE MISS DIABY</t>
  </si>
  <si>
    <t>RECAPITULATIF</t>
  </si>
  <si>
    <t>SORTIES PAIEMENT FOURNISSEURS</t>
  </si>
  <si>
    <t>AUTRES SORTIES</t>
  </si>
  <si>
    <t>EN CAISSE</t>
  </si>
  <si>
    <t>JOURNAL DE CAISSE KENAM SERVICE : JANVIER 2025</t>
  </si>
  <si>
    <t>SOLDE DE DECEMBRE 2024</t>
  </si>
  <si>
    <t>EXPEDITION DE LA CARTE GRISE DE LA BENNE A BOUAKE</t>
  </si>
  <si>
    <t>MORY LAVAAGE ET CARBURANT</t>
  </si>
  <si>
    <t>ACHAT DE DIVERS POUR LA REUNION DU SAMEDI 04/01/25</t>
  </si>
  <si>
    <t>TRANSPORT MECANO POUR REPARATION DE LA PELLE 320</t>
  </si>
  <si>
    <t>M SANOGO/ACHAT DE 750 LITRES DE CARBURANTS POUR LES 3 BENNES</t>
  </si>
  <si>
    <t>ABOU/VOYAGE SUR NASSIAN</t>
  </si>
  <si>
    <t>CREDIT TELEPHONIQUE DE LA CAISSIERE ET LA COMPTABLE</t>
  </si>
  <si>
    <t>LIVRAISON DE GLACIERE A M ENZA</t>
  </si>
  <si>
    <t>DEPOT A M YOBOUET POUR 1L D HUILE HYDRAULIQUE ET ACHAT DE JOUINT POUR LA 325</t>
  </si>
  <si>
    <t>NOURRITURE DES POISSONS</t>
  </si>
  <si>
    <t>DDEPOT DE DOCUMENT A RIMCO MARCORY</t>
  </si>
  <si>
    <t>DEPOT DE FACTURES A LA PFO</t>
  </si>
  <si>
    <t>APPRO CAISSE PAR CHQ BDU KS 701</t>
  </si>
  <si>
    <t>BARRY/ACHAT D HUILE DE BOITE POUR LA BULL ET MAIN D ŒUVRE A KONG</t>
  </si>
  <si>
    <t>BARRY/AVANCE 5 JRS DE 2 CITERNES ET CARBURANT</t>
  </si>
  <si>
    <t>LIVRAISON DES FACTURES D'ACHAT A LA COMPTABLE</t>
  </si>
  <si>
    <t>MISS KOUASSI/ACHAT D EMBALLAGE</t>
  </si>
  <si>
    <t>M DOUKOURE /DEDOIANEMENT DES CAMIONS</t>
  </si>
  <si>
    <t>TRANSPORT SCGI DJIBI ET PALMERAIE</t>
  </si>
  <si>
    <t>VASSIRIKI /AVANCE REPARATION DE LA PELLE A CHENILLE 320</t>
  </si>
  <si>
    <t>ENTRETIEN AQUARIUM</t>
  </si>
  <si>
    <t>MORY LAVAAGE ET PEAGE</t>
  </si>
  <si>
    <t>TRANSPORT MISS AMA POUR ECOBANK</t>
  </si>
  <si>
    <t>APPRO CAISSE PAR CHQ BDU FF 1514</t>
  </si>
  <si>
    <t>MECANICIEN CAMARA FOUSSENI /TRANSPORT POUR KONG</t>
  </si>
  <si>
    <t>DEPOT A YOBOUT POUR 20L D'HUILE HYDRAULIQUE POUR LA 325 DE KONG</t>
  </si>
  <si>
    <t>APPRO CAISSE PAR LE REMBOUREESEMNT DU COMPACTEUR ET PORTE CHAR</t>
  </si>
  <si>
    <t>DEPOT DE FACTURE A LA PFO</t>
  </si>
  <si>
    <t>REMISE DECHQ BICICI FF 5079283 SUR BDU KS(REMBOURSSEMENT MADAME)</t>
  </si>
  <si>
    <t>LIVRAISON DE COLIS KS A M KOFFI</t>
  </si>
  <si>
    <t>DEPOT A ADAMO POUR LE LOYER KONG DECEMBRE</t>
  </si>
  <si>
    <t>DEPOT A BAMBA POUR LE LOYER DABAKALA DECEMBRE</t>
  </si>
  <si>
    <t>DEPOT A ALMAMY POUR LE LOYER NASSIAN DECEMBRE</t>
  </si>
  <si>
    <t>DEPOT A M CISSE POUR ISTALLATION DE GPS SUR LES NOUVEAUX CAMIONS</t>
  </si>
  <si>
    <t>DEPOT A M KOUASSI POUR LA CERTIFICATION DE LA CHARGEUSE950</t>
  </si>
  <si>
    <t>ACHAT DE 15 CHAUSSURES A LA QUINCAILLERIE</t>
  </si>
  <si>
    <t>RECUPERATION DE L'ORDINATEUR DE FRANCK</t>
  </si>
  <si>
    <t>CREEDIT TELEPHONIQUE POUR MISS KOUASSI</t>
  </si>
  <si>
    <t xml:space="preserve">LAVAGE DE TAPI DU SALON </t>
  </si>
  <si>
    <t>TRANSPORT MISS AMA POUR CNPS ET PFO</t>
  </si>
  <si>
    <t>COURSES JEAN A RIMCO PANASSUR ET AFRIQUE BETON</t>
  </si>
  <si>
    <t>EN BANQUE</t>
  </si>
  <si>
    <t>ACHAT DE 10 BOITES DE FILS DE FER D'ATTACHE</t>
  </si>
  <si>
    <t>FRAIS DE LIVRAISON  DE COLIS AGENDA POUR DABAKALA KONG ET NASSIAN A M SANOGO</t>
  </si>
  <si>
    <t>AVANCE AU MACON POUR LA CONTRUCTION DE 2 MPAGASINS AU GARAGE</t>
  </si>
  <si>
    <t>VASSIRIKI / REPARATION DE LA PELLE A CHENILLE 320</t>
  </si>
  <si>
    <t>BARRY/AVANCE PORTE CHAR D''ENGEIN AU PORT IMMAT 9883JH01/625LS01 ET 7850GN01</t>
  </si>
  <si>
    <t>BARRY/SOLDE PORTE CHAR D''ENGEIN AU PORT IMMAT 9883JH01/625LS01 ET 7850GN02</t>
  </si>
  <si>
    <t>APPRO CAISSE PAR RETRAIT AU GUICHET BDU FF</t>
  </si>
  <si>
    <t>BAMBA/PAIEMENT POUR LE CAMION 1403LG01</t>
  </si>
  <si>
    <t>APPRO CAISSE PAR  CHQ BDU FF 1048</t>
  </si>
  <si>
    <t>MORY/LAVAGE VEHICULE</t>
  </si>
  <si>
    <t>TRANSPORT MISS AMA BDU</t>
  </si>
  <si>
    <t>O</t>
  </si>
  <si>
    <t>DEPOT A ADAMO POUR DEPANNAGE DE LA CITERNE</t>
  </si>
  <si>
    <t>REMISE DE CALANDRIER AU 22EME ET VRIDI/RECUPERATION DE L ATTESTATION A VRIDI ET REMISE DE DEOCUMENT A RIMCO</t>
  </si>
  <si>
    <t>DISIRE/PAIEGEMENT 21/11-20/12 CAR DE RAMASSAGE</t>
  </si>
  <si>
    <t>M SANOGO/DROIT DE STATIONNEMENT ET PATENTE DES 4 CAMIONS PLATEAUX</t>
  </si>
  <si>
    <t xml:space="preserve">DEPOT A ADAMO POUR ACHAT DE MATELA ET VENTILATEURS DES NOUVEAUX CHAUFFEUR ET SOUDURE DE LA 320 </t>
  </si>
  <si>
    <t xml:space="preserve">DEPOT A ADAMO POUR LOCATION DE MAISONS DES NOUVEAUX CHAUFFEUR ET SOUDURE DE LA 320 </t>
  </si>
  <si>
    <t>LASSO/PAIEMENT CAR DE RAMASSAGE 1931 ODIENNE</t>
  </si>
  <si>
    <t>APPRO CAISSE PAR  CHQ BDU FF 1049</t>
  </si>
  <si>
    <t>VASSIRIKI/25 L DE CARBURANT POUR LA 330 POUR DECHARGER LE PORTE CHAR</t>
  </si>
  <si>
    <t>TRANSPORT MISS AMA POUR BDU PLATEAU</t>
  </si>
  <si>
    <t>RECUPERATION DU CACHET KS AU BUREAU ET DU CHEQUE IMPAYE A RIMCO</t>
  </si>
  <si>
    <t>DIABY /  RECHARGEMENT  DE WIFI</t>
  </si>
  <si>
    <t>REMBOURSSEMNT ACHAT DE 15 PUCES MTN PAR BARRY</t>
  </si>
  <si>
    <t>BARRY/REMBOURSSEMENT POUR ACHAT DE 3 COMPTEUR D'HEURE DES 2 CITERNES ET HYAB DE KONG</t>
  </si>
  <si>
    <t>DEPOT AU MECANO POUR MONTAGE DE 2 PNEUS DU CAMION DE SAWADOGO ADAMA AKOUEDO</t>
  </si>
  <si>
    <t>TRANSPOT MISS AMA POUR BDU ET ECOBANK</t>
  </si>
  <si>
    <t>APPRO CAISSE PAR  CHQ BDU FF 1677</t>
  </si>
  <si>
    <t>LIVRAISON DE CHASUBLE ET AUTOCOLLANTS A M MAMADOU POUR LES CAMIONS PLATEAUX</t>
  </si>
  <si>
    <t xml:space="preserve">SANGARE SIRIKI/PAIEMENTCABINE 134 NASSIAN </t>
  </si>
  <si>
    <t>LIVRAISON DES DIFFERENT ACHAT DE CLEE FAIT A LA QUINCAILLERIE</t>
  </si>
  <si>
    <t>CONFECTION DE CARNET /AUTOCOLLANT ET AGENDA</t>
  </si>
  <si>
    <t>DEPOT A M KONATE ENZA</t>
  </si>
  <si>
    <t>ACHAT DIVER POUR LE BUREAU ET TRANSPORT</t>
  </si>
  <si>
    <t>ACHAT DE FIL D'ATTACHE CHEZ KING IVOIRE</t>
  </si>
  <si>
    <t>MACON DOLI POUR ACHAT DE MATERIAUX POUR LE GARAGE</t>
  </si>
  <si>
    <t>DEPOT A ALMAMY POUR ACHAT DE 50 L D HUILE DE MOTEUR DE LA D7/ACHAT DE CARBURANT ET FRAIS DE ROUTE  A FERKR</t>
  </si>
  <si>
    <t>DEPOT A ADAMO POUR MONTAGE DE 3 NOUVEAUX PNEU DU CAMION DE SANGARA</t>
  </si>
  <si>
    <t>ACHAT DIVERS A LA QUINCAILLERIE  (BARRY)</t>
  </si>
  <si>
    <t>BARRY/DEPENSE SUR LA 320 ET REPARATION DE LA CITERNE DE NASSIAN</t>
  </si>
  <si>
    <t>BARRY/ACHAT DE BATTERIES POUR LA BULL ,TRANSPORT ET FRAIS D'EXPEDITION</t>
  </si>
  <si>
    <t>COURSES JEAN 2 VOYAGES DE CHEZ MADAME ET DEPOT DE FACTURES A LA PFO</t>
  </si>
  <si>
    <t>APPRO CAISSE PAR  CHQ BICICI KS 5079576</t>
  </si>
  <si>
    <t>DEPOT A BAMBA POUR COLLAGE DE 2 PNEUS DE LA BENNE</t>
  </si>
  <si>
    <t>TRANSPORT ET ACHAT DE 5 PUCES MTN</t>
  </si>
  <si>
    <t>M MAMADOU/LAISSER PASSER DES 2 CAMIONS PLATEAUX</t>
  </si>
  <si>
    <t>REMISE DE CHEQUE A M KOUYATE ET DE GADGET A VRIDI</t>
  </si>
  <si>
    <t>CONFECTION DE 2 CACHETS ET RECHARGE ENCRE</t>
  </si>
  <si>
    <t>MISS KOUASSI TRANSPORT POUR CONFECTION DE CACHETS</t>
  </si>
  <si>
    <t>ISSA /TRANSPORT ETVACHAT D ENCRE ROUGE POUR CACHET</t>
  </si>
  <si>
    <t>YOBOUET/HUILE HYDRAULIQUE ,DE MOTEURET INSTALLATION DE COMPTEUR</t>
  </si>
  <si>
    <t>ADAMO/COMMISSIONS</t>
  </si>
  <si>
    <t>FRABRICE/COMMISSIONS</t>
  </si>
  <si>
    <t>VENANCE/COMMISSIONS</t>
  </si>
  <si>
    <t>ALMAMY POUR ACHAT DE BOULLON DU RADIATEUR DE LA BULL</t>
  </si>
  <si>
    <t>LIVRAISON DE COURRIER A M MAMADOU</t>
  </si>
  <si>
    <t>COMMISSIONS M MARC LOUABA</t>
  </si>
  <si>
    <t>M NELSON POUR LES DEPENSES DE BONGOUANOU APRES ENCAISSEMENT DU CHQ BDU KS 701</t>
  </si>
  <si>
    <t>MODIFICATION DES CACHETS</t>
  </si>
  <si>
    <t>REPARATION D'IMPRIMANTE ET ACHAT DE CABLE</t>
  </si>
  <si>
    <t>COURSES JEANS AU PLATEAU LA VIE ET KOUMASSI</t>
  </si>
  <si>
    <t>FRAIS D'EXPEDOTION DE BATTERIE DU CAMION HYAB A ADAMO</t>
  </si>
  <si>
    <t>DEPOT A SALIF POUR LAVAGE DU CAMION 320</t>
  </si>
  <si>
    <t>COMMISSION M BAMBA</t>
  </si>
  <si>
    <t>DEPOT A BAMBA POUR LES 3 CHAUFFEURS DES BENNES</t>
  </si>
  <si>
    <t>DEPOT ALMAMY POUR CONFECTION DE 2 FLEXIBLE DE LA BULL D7</t>
  </si>
  <si>
    <t>M MAMADOU/LAISSER PASSER DU 23/01-26/01/25 ET VIGNETTE DES 4 CAMIONS PLATEAUX</t>
  </si>
  <si>
    <t>DEPOT A ADAMO POIUR ACHAT DE GRAISSE DE LA 325</t>
  </si>
  <si>
    <t>DEPOT A M MAMADOU POUR ACHAT DE 400L DE CARBURANT DES 4 CAMIONS PLATEAUX</t>
  </si>
  <si>
    <t>LIVRAISON DE COLIS DE LA QUINCAILLERIE AU BUREAU  (DES CASQUES)</t>
  </si>
  <si>
    <t>DEPOT A ALMAMY POUR MAIN D ŒUVRE DE REMPLACEMENT DES FILS DE LA BULL D7</t>
  </si>
  <si>
    <t>DEPOT A BARRY POUR CONFECTION DE FLEXIBLE POUR LA NIVELLEUSE</t>
  </si>
  <si>
    <t>ACHAT DE FIL D'ATTACHE ET FRAIS DE LIVRAISON</t>
  </si>
  <si>
    <t>DEPOT DES FACTURES A LA PFO (2 TOURS)</t>
  </si>
  <si>
    <t>DEPOT A BARRY POUR ACHAT DE JOINT ET TUNBO DE LA BULL DE NASSIAN</t>
  </si>
  <si>
    <t>BARRY/REMBOURSSENT DU RELIQUAT D ACHAT DES 2 BATTERIES DE LA BULL ET LE TRANSPORT DES BATTERIES</t>
  </si>
  <si>
    <t>AVANCE A M GOSE IMPRIMEUR FAIT PAR MADAME</t>
  </si>
  <si>
    <t>MECANO KALLO POUR REPARATION DE LA NIVELLEUSE</t>
  </si>
  <si>
    <t>TRANSPORT MISS AMA BDU ET SGCI</t>
  </si>
  <si>
    <t>COURSES JEAN POUR LA PFO /AGENCE SIRE ET BDU PLATEAU</t>
  </si>
  <si>
    <t>DEPOT A M MAMADOU POUR LE LAISSER PASSER DE NOS 2 CAMIONS PLATEAU DU 27/01-02/02/25</t>
  </si>
  <si>
    <t>DEPOT A COULIBALY LACINE POUR ALLER A RIMCO (CARBURANT ET PEAGE )</t>
  </si>
  <si>
    <t>APPRO CAISSE PAR CHQ SGCI FF 172</t>
  </si>
  <si>
    <t>BARRY/CARBURANT POUR LES CAMION SOGENA ET LEUR LAISSER PASSER AU PORT (Mm MAMADOU)</t>
  </si>
  <si>
    <t>DEPOT A HAMIDOU POUR ACHAT D'HUILE DE MOTEUR ET FILTRE A HUILE</t>
  </si>
  <si>
    <t>DEPOT M MAMADOU POUR LE LAISSER PASSER DE 2 JOURS  DES 2 CHAUFFEURS DE LA PFO AU PORT</t>
  </si>
  <si>
    <t>DEPOT A M MAMADOU POUR ACHAT DE CARBURANT POUR SES 2 CAMIONS PLATEAU</t>
  </si>
  <si>
    <t>DEPOT A LACINE POUR ACHAT DE CARBURANT POUR LA BENNE POUR VENIR A ABIDJAN</t>
  </si>
  <si>
    <t>DEPOT A MAMADOU POUR LE LAISSER PASSER DE SES 2 CAMIONS DU 28/01-02/02/2025</t>
  </si>
  <si>
    <t>DEPOT A SANKARA MOUSSA POUR SON TRANSPORT SUR KONG</t>
  </si>
  <si>
    <t>MISS AMA CREDIT TELEPHONIQUE</t>
  </si>
  <si>
    <t>DEPOT A M MIAN POUR ACHAT DE 1 BATTERIE POUR LE CAMION HIAB</t>
  </si>
  <si>
    <t>DEPOT A M MAMADOU POUR ACHAT DE 800L DE CARBURANT POUR NOS 4 CAMIONS PLATEAU</t>
  </si>
  <si>
    <t>DEPOT NOUFFOU POUR CARBURANT /NETTOYER LE GARAGE</t>
  </si>
  <si>
    <t>PEAGE POUR ALLER A KOIRA</t>
  </si>
  <si>
    <t>LIVRAISON DE LA NOURRITURE DES POPISSONS</t>
  </si>
  <si>
    <t>APRRO CAISSE EN ESPECE PAR MADAME TOURE</t>
  </si>
  <si>
    <t>DEPOT A M MAMADOU POUR ACHAT DE 2 BATTERIE ET SON TRANSPORT</t>
  </si>
  <si>
    <t>DEPOT A MAMADOU POUR VIDANDE / FILTRE ET MAIN D ŒUVRE D UN CAMION KS ET UN DE SES CAMIONS</t>
  </si>
  <si>
    <t>DEPOT M LASSO AVANCE/LOCATION DE FOURGON POUR LIVRAISON DE FER A BETON ET BOIS</t>
  </si>
  <si>
    <t>DEPOT DE CHEQUE A MTN PLATEAU</t>
  </si>
  <si>
    <t xml:space="preserve">NOUFFOU CHAUF 320/SALAIRE 25 JOURS </t>
  </si>
  <si>
    <t>TRANSPORT MISS AMA POUR LA BDU ET AU IMPOT</t>
  </si>
  <si>
    <t>DEPOT A COULIBALY LACINE POUR PEAGE ABIDJAN-ODIENNE</t>
  </si>
  <si>
    <t>DEPOT A NOUFFOU POUR ACHAT DE CARBURANT DE LA 320</t>
  </si>
  <si>
    <t>DEPOT A M KEITA POUR LOCATION DE GRUE POUR SOULEVER LA TRACTOPELLE</t>
  </si>
  <si>
    <t>M MAMADOU POUR LE LAISSER DU 01/02-02/02/25 DES 2 NOUVEAUX CAMIONS KS AU PORT</t>
  </si>
  <si>
    <t>APPRO CAISSE PAR  CHQ SGCI FF 175</t>
  </si>
  <si>
    <t>RECUPERATION DE VIGNETTE A RIMCO ET DEPOT DE FACTURES A LA PFO</t>
  </si>
  <si>
    <t>TRANSPORT MISS AMA POUR LA SGCI</t>
  </si>
  <si>
    <t>FRAIS DE LIVRAISON DE CHEQUE A LA NOTAIRE</t>
  </si>
  <si>
    <t>DEPOT A M MARRE POUR ACHAT DE PLANCHES</t>
  </si>
  <si>
    <t>DEPOT A M HAMZA POUR ACHAT DE BOIS</t>
  </si>
  <si>
    <t>JOURNAL DE CAISSE KENAM SERVICE : FEVRIER 2025</t>
  </si>
  <si>
    <t>TRANSPORT DU CHAUFFEUR DE LA CHARGEUSE NOUFFO A ENLEVER DANS LE SALAIRE DE MISS KOUASSI</t>
  </si>
  <si>
    <t>SOLDE DU MOIS DE JANVIER</t>
  </si>
  <si>
    <t>DEPOT A SAWADOGO ADAMA POUR PEAGE POUR ODIENNE</t>
  </si>
  <si>
    <t>DEPOT A SANKARA MOUSSA ACHAT DE GASOIL</t>
  </si>
  <si>
    <t>ACHAT DE 20 BOTTES CHEZ KING IVOIRE</t>
  </si>
  <si>
    <t>DEPOT A M KEITA POUR LOCATION DE PORTE CHAR POUR SOULEVER LA TRACTOPELLE</t>
  </si>
  <si>
    <t>DEPOT A M FOFANA POUR LOCATION DE MAISON A ODIENNE</t>
  </si>
  <si>
    <t>DEPOT A COULIBALY LACINE POUR SA PRISE EN CHARGE A ODIENNE</t>
  </si>
  <si>
    <t>ACHAT DIVERS A LA QUINCAILLERIE</t>
  </si>
  <si>
    <t>MISS KOUASSI</t>
  </si>
  <si>
    <t>DEPOT A M VAGBE POUR ACHAT DIVERS</t>
  </si>
  <si>
    <t>TRANSPORT BEN ALLER RECUPERER LA VOITURE DE SERVICE</t>
  </si>
  <si>
    <t>DEPOT A SAWADOGO POUR ACHAT DE VENTILATRUR ET MATELA A ODIENNE</t>
  </si>
  <si>
    <t>RESTE DE COMMISSION M BAMBA</t>
  </si>
  <si>
    <t>ACHAT DE TELEPHONE FIX SANS FIL</t>
  </si>
  <si>
    <t>M ANOH POUR BP CONSTRUCTION R+6</t>
  </si>
  <si>
    <t>M MAMADOU POUR ACHAT DE CARBURANT ET LAISSER PASSER DU 03-05 DE 3 CAMIONS KS ET 1 MAMADOU</t>
  </si>
  <si>
    <t>TRANSPORT MISS AMA POUR LA BDU ET BICICI</t>
  </si>
  <si>
    <t>MOCON BOLI / DEPENSES POUR LA CONSTRUCTION AU GARAGE</t>
  </si>
  <si>
    <t>COURSES JEAN DEPOT DE FACTURES /DE CHEQUE ET DE TELEPHONE</t>
  </si>
  <si>
    <t>CREDIT TELEPHONIQUE MISS KOIUASSI</t>
  </si>
  <si>
    <t>DEPOT A M MAMADOU POUR ACHAT DE FILTRE A AIR</t>
  </si>
  <si>
    <t>M BAARY AVANCE SUR LES DEPENSES</t>
  </si>
  <si>
    <t>MORY POUR LIVRAISON DE POINTE DE LA PFO AU PLATEAU</t>
  </si>
  <si>
    <t>COMMISSION M KAYE</t>
  </si>
  <si>
    <t>DEPOT A M CISSE GPS POUR KONG</t>
  </si>
  <si>
    <t>BEN DIAKITE POUR LAVAGE ET CARBURANT</t>
  </si>
  <si>
    <t>MACON DOLI POUR ACHAT DE 300 BRIQUES ET CIEMENT</t>
  </si>
  <si>
    <t>DEPOT AU MECANO KALLO POUR ALLER VOIR UN CAMION A ABOBO</t>
  </si>
  <si>
    <t>APPRO CCAISSE PAR CHQ ECOBANK SOGIMAS 6298886</t>
  </si>
  <si>
    <t>TRANSPORT AMA POUR BDU ET ECOBANK</t>
  </si>
  <si>
    <t>DEPOT A M BOLLO BI</t>
  </si>
  <si>
    <t xml:space="preserve">DEPOT AU SOUDEUR NOUFFOU POUR LES TRAVAUX </t>
  </si>
  <si>
    <t>DEPOT A SANOGO BEMA POUR LE CONTRÔLE POUR VENIR A LA PFO BINGERVILLE</t>
  </si>
  <si>
    <t>DEPOT A M MAMADOU POUR LE PEAGE ET LAISSER PASSER DE 2 CAMIONS KS POUR BASSAM</t>
  </si>
  <si>
    <t>DEPOT AU PEINTRE POUR LES TRAVAUX</t>
  </si>
  <si>
    <t>CREDIT TELEPHONIQUE MISS AMA POUR APPELER WAVE</t>
  </si>
  <si>
    <t>SALAIRE CHAUFFER SALIF DE LA 325 DE KONG</t>
  </si>
  <si>
    <t>SALAIRE CHAUFFEUR NOUNHO DE LA CHARGEUSE NASSIAN</t>
  </si>
  <si>
    <t>SALAIRE KONATE KARIM CHAUFFEUR DE LA CITERNE A NASSIZN</t>
  </si>
  <si>
    <t>SALAIRE FOFANA AMIDOU CHAUFFEUR PLATEAU ABJ</t>
  </si>
  <si>
    <t>SALAIRE COULIBALY ABOU CHAUFFEUR PLATEAU ABJ</t>
  </si>
  <si>
    <t>SALAIRE SANOGO CHAUFFEUR PLATEAU ABJ</t>
  </si>
  <si>
    <t>SALAIRE  JANVIER MARYAM</t>
  </si>
  <si>
    <t>SALAIRE  JANVIER COULIBALY LACINE</t>
  </si>
  <si>
    <t>SALAIRE  JANVIER DAO ISMAEL</t>
  </si>
  <si>
    <t>SALAIRE  JANVIER ADAMO</t>
  </si>
  <si>
    <t>SALAIRE  JANVIER ALMAMY</t>
  </si>
  <si>
    <t xml:space="preserve">SALAIRE  JANVIER HAMIDOU </t>
  </si>
  <si>
    <t>SALAIRE  JANVIER SANKARA MOUSSA</t>
  </si>
  <si>
    <t>SALAIRE  JANVIER SAWADOGO ADAMA</t>
  </si>
  <si>
    <t>APPRO CCAISSE PAR CHQ ECOBANK SOGIMAS 6298887</t>
  </si>
  <si>
    <t>SALAIRE JANVIER BAMBA</t>
  </si>
  <si>
    <t>SALAIRE BAKAYOKO CHAUFFEUR BULL D7 NASSIAN</t>
  </si>
  <si>
    <t xml:space="preserve">DEPOT A M MAMADOU </t>
  </si>
  <si>
    <t>DEPOT A M MAMADOU LAISSER PASSER 4JRS 3 CAMIONS KS ET 1 MAMADOU</t>
  </si>
  <si>
    <t>DEPOT A M SOUMAHORO D'AKOUEDO</t>
  </si>
  <si>
    <t>DEPOT A TRAORE DE M SIAOU</t>
  </si>
  <si>
    <t>PAIEMENT 21/12/24-20/01/25 DE M DIAKITE BEN</t>
  </si>
  <si>
    <t>PAIEMENT 21/12/24-20/01/25 DE M CISSE</t>
  </si>
  <si>
    <t>CARBURANT VEHICULE POUR PLATEAU ET YOPOUGON</t>
  </si>
  <si>
    <t>DEPOT A TRAORE NAMBAGA POUR FRAIS DE ROUTES</t>
  </si>
  <si>
    <t>DEPOT A M KOITA POUR ACHAT DE 100LDE CARBURANT</t>
  </si>
  <si>
    <t>SALAIRE  JANVIER TRAORE NAMBAGA</t>
  </si>
  <si>
    <t>SALAIRE JANVIER GAOUSSOU</t>
  </si>
  <si>
    <t>SALAIRE ABOU CHAUFFEUR BENNE DABAKALA</t>
  </si>
  <si>
    <t>SALAIRE SIGUE CHAUFFEUR DOUBLE CABINE NASSIAN</t>
  </si>
  <si>
    <t>SALAIRE SANOGO MOUSTAPHA CHAUFFEUR DOUBLE CABINE NASSIAN</t>
  </si>
  <si>
    <t>SALAIRE CISSE MAMADOU CHAUFFEUR DOUBLE CABINE NASSIAN</t>
  </si>
  <si>
    <t>SALAIRE DIARRASSOUBA YACOU CHAUFFEUR BENNE DABAKALA</t>
  </si>
  <si>
    <t>DEPOT SIGUIE POUR PRISE EN CHARGE A BOUAKE</t>
  </si>
  <si>
    <t>PAIEMENT 21/12/24-20/01/25 SANGARE</t>
  </si>
  <si>
    <t>SALAIRE JANVIER M SANOGO</t>
  </si>
  <si>
    <t>PAIEMENT 21/12/24-20/01/25 M GANA</t>
  </si>
  <si>
    <t>SALAIRE JANVIER M BARRY</t>
  </si>
  <si>
    <t>TRANSPORT ISSA POUR BDU</t>
  </si>
  <si>
    <t>DEPOT POUR AVANCE PORTE CHAR DU GARAGE A ABOBO</t>
  </si>
  <si>
    <t>DEPOT POUR SOLDE PORTE CHAR DU GARAGE A ABOBO</t>
  </si>
  <si>
    <t>OFFRANDE MADAME</t>
  </si>
  <si>
    <t>PAIEMENT 21/12/24-20/01/25 M NAPO</t>
  </si>
  <si>
    <t>COMMISSION M TUO</t>
  </si>
  <si>
    <t>LOCATION DE 5 CAR DE RAMASSAGE 3 NASSIAN 2 ODIENNE</t>
  </si>
  <si>
    <t>CREDIT TELEPHONIQUE POUR DIABY ET LA COMPTABLE</t>
  </si>
  <si>
    <t>COMMISSION M MAIGA</t>
  </si>
  <si>
    <t>DEPOT TRAORE NAMBAGA POUR PEAGE</t>
  </si>
  <si>
    <t>TRANSPORT MISS KOUASSI POUR LA CIE</t>
  </si>
  <si>
    <t>TRANSPORT MISS AMA BDU ET BICICI</t>
  </si>
  <si>
    <t>FACTURE CIE</t>
  </si>
  <si>
    <t>M MAMADOU POUR ACHAT DE CARBURANT DE SON CAMION ET LAISSER PASSER 7JRS DE 1CAMIONS KS ET 1 MAMADOU</t>
  </si>
  <si>
    <t>DEPOT A FOFANA POUR REPATION DE LA BENNE DE SAWADOGO</t>
  </si>
  <si>
    <t>SANOGO BEMA POUR LE PONT PEAGE</t>
  </si>
  <si>
    <t>RELIQUAT SALAIRE DIARRASSOUBA YACOU CHAUFFEUR BENNE DABAKALA</t>
  </si>
  <si>
    <t>RELIQUAT SALAIRE KONATE KARIM CHAUFFEUR DE LA CITERNE A NASSIZN</t>
  </si>
  <si>
    <t>APPRO CAISSE PAR CHQ BICICI KS 5079641</t>
  </si>
  <si>
    <t>ALMAMY POUR CHANGEMENT DE PNEU DE LA CITERNE</t>
  </si>
  <si>
    <t>PAIEMENT 21/12/24-20/01/25 DESIRE 533LB01</t>
  </si>
  <si>
    <t>PAIEMENT 21/12/24-20/01/25 DESIRE CAR 3102</t>
  </si>
  <si>
    <t>PAIEMENT 21/12/24-20/01/25 LASSO 1931</t>
  </si>
  <si>
    <t>APPRO PAR RETRAIT AU GUICHET BICICI FF</t>
  </si>
  <si>
    <t>LOCATION DE LA D7 DE M NGUETTA POUR KORHOGO</t>
  </si>
  <si>
    <t>PORTE CHAR DE LA 320 POUR ALLER A BIABOU</t>
  </si>
  <si>
    <t>ACHAT DE CHARGEUR DE TELEPHONE DE MISS KASSI</t>
  </si>
  <si>
    <t>VERITAS POUR CONTRÔLE DES 4 ENGEINS</t>
  </si>
  <si>
    <t>DEPOT A HAMIDOU POUR VIDANGE ET FILTRE DE LA CITERNE</t>
  </si>
  <si>
    <t>M MAMADOU POUR FRAIS DE ROUTE DU CHAUFFEUR KONE</t>
  </si>
  <si>
    <t>ALAMAMY/LOYER NASSIAN</t>
  </si>
  <si>
    <t>ADAMO/LOYER KONG</t>
  </si>
  <si>
    <t>BAMBA/LOYER DABAKALA</t>
  </si>
  <si>
    <t>ACHAT DE MOTEUR HUILE DE LA NIVELLEUSE LA 325 ET LA TRACTOPELLE</t>
  </si>
  <si>
    <t>DEPOT A M TRAORE POUR LE LOGICIEL</t>
  </si>
  <si>
    <t>BEN DIAKITE/ACHAT DE 4 COCHES ET 3 SCEAU DE GRAISSES POUR LE 330/NIVELLEUSE ET TRACTOPELLE</t>
  </si>
  <si>
    <t>DEPOT DE FACTURES A LA PFO ET DE CHEQUE CHEZ LA NOTAIRE</t>
  </si>
  <si>
    <t>ACHAT DE 5KILO D'OXYDE POUR LE MAGASIN DU GARAGE PAR MADAME</t>
  </si>
  <si>
    <t>DEPOT A SOUMAHORO CAUFFEUR POUR 100L DE CARBURANT PEAGE ET FRAIS DE ROUTE/MAMADOU</t>
  </si>
  <si>
    <t>DEPOT MAMADOU POUR AMANDE DE AA62 ET AA294</t>
  </si>
  <si>
    <t>SALAIRE JANVIER MECANICIEN DE KONG</t>
  </si>
  <si>
    <t>DEPOT AUX CHAUFFEUR DES DOUBLES CABINES POUR ALLER CHERCHER LA CAMIONNELLE A BOUAKE</t>
  </si>
  <si>
    <t>BARRY/RELIQUAT PORTE CHAR DE LA D7 A NASSIAN</t>
  </si>
  <si>
    <t>MAISS AMA ACHAT DE 2 PAQUETS DE RAM</t>
  </si>
  <si>
    <t>DEPOT A SANOGO MOUSTAPHA POUR 80L /DOUBLE CABINES POUR RENTRER A KONG</t>
  </si>
  <si>
    <t>BARRY/REMBOURSSEMENT D ACHAT DE CARBURANT DE LA 330 POUR ALLER A BINGERVILLE LE 24/01</t>
  </si>
  <si>
    <t>BARRY/ ACHAT DE COMPTEUR ET HUILE HYDRAULIQUE DE LA 330</t>
  </si>
  <si>
    <t>BEN DIAKITE POUR CARBURANT</t>
  </si>
  <si>
    <t>MAMADOU POUR FRAIS DE ROUTE ET PEAGE DU AA294 ET AA407</t>
  </si>
  <si>
    <t>MISS AMA TRANSPORT POUR LA BDU</t>
  </si>
  <si>
    <t>LIVRAISON DE LA CARTE GRISE DE VASSIRIKI</t>
  </si>
  <si>
    <t>CREDIT TELEPHONIQUE DE LA CAISSIERE</t>
  </si>
  <si>
    <t>PEAGE POUR  ALLER A LA BNI ET BOSH</t>
  </si>
  <si>
    <t>ISSSA/RECHARGEMENT WIFI</t>
  </si>
  <si>
    <t>RETRAIT DE CHEQUE A KOIRA</t>
  </si>
  <si>
    <t>FRAIS DE ROUTE DU CHAUFFEUR DU PLATEAU AA294</t>
  </si>
  <si>
    <t>BEN CARBURANT ET LAVAGE</t>
  </si>
  <si>
    <t>BARRY/HUILE HYDRAULIQUE POUR LA GRUE</t>
  </si>
  <si>
    <t>BARRY/SOLDE PORTE CHAR DE LA BULL DE NASSIAN AU GARAGE</t>
  </si>
  <si>
    <t>BARRY/SOLDE 1 ROUGEO POUR LE TRANSPORT DE LA 320 A BIABOU</t>
  </si>
  <si>
    <t>RELIQUAT ACHAT DE 2 BATTERIES CHEZ BOCH</t>
  </si>
  <si>
    <t>BARRY/REMB POUR ACHAT DE CLE DU GRADEUR ET 2 MOIS DE CAUTION A KOUTO</t>
  </si>
  <si>
    <t>DEPOT ALMAMY RELIQUAT DE LOYER 2PIECES</t>
  </si>
  <si>
    <t>DEPOT A M KAYE /FOND PERDU</t>
  </si>
  <si>
    <t>PAIEMENT 21/12/24-20/01/25 GANA MOHAMED POUR KOIARA</t>
  </si>
  <si>
    <t>ENTRETIEN ACQUARIUM</t>
  </si>
  <si>
    <t>BARRY/PORTE CHAR</t>
  </si>
  <si>
    <t>ACHAT DE CARBURANT POUR LE MINI CAR</t>
  </si>
  <si>
    <t>BEN DIAKITE /AVANCE SUR SALAIRE</t>
  </si>
  <si>
    <t>ALMAMY POUR ACAHT DE RACCORD</t>
  </si>
  <si>
    <t>SOUMAHORO ACHAT DE 100L DE CARBURANTAA407</t>
  </si>
  <si>
    <t>ACHAT DE BATTERIE BOSH</t>
  </si>
  <si>
    <t>KALO/POUR LES TRAVAUX MECANIQUES DE LA PELLE 325 C</t>
  </si>
  <si>
    <t>AVANCE 5JRS ET ACHAT DE MATELAT ET VENTILATEUR DU CHAUFFFEUR DE LA NIVELLEUSE DE KOUTO</t>
  </si>
  <si>
    <t>BEN EXPEDITION DE BATTERIE A KONG</t>
  </si>
  <si>
    <t xml:space="preserve">DIABY/LOCATION DE CAR DE RAMMASSAGE </t>
  </si>
  <si>
    <t>COMMISSION M HAIDARA</t>
  </si>
  <si>
    <t>PEAGE POUR LA BNI</t>
  </si>
  <si>
    <t>ACHAT DE PACK D EAU</t>
  </si>
  <si>
    <t>ACHAT DIVERS POUR LE BUREAU</t>
  </si>
  <si>
    <t>APPRO PAR RETRAIT AU GUICHET BICICI KS</t>
  </si>
  <si>
    <t>BEN ACHAT DE CARBURANT</t>
  </si>
  <si>
    <t>ACHAT DE CARBURANT ET FRAIS DE ROUTE POUR CHAUFFEUR SOUMAHORO AA407</t>
  </si>
  <si>
    <t>ACHAT DE CHEMISE ET JOINT DE CHEMISE POUR LA D7</t>
  </si>
  <si>
    <t>DESIRE/ PAIEMENT DE LA D7 DU 21/12-20/01/25</t>
  </si>
  <si>
    <t>FRAIS DE ROUTE DES CHAUFFEURS AA294 ET AA624</t>
  </si>
  <si>
    <t>MISS DIABY ACHAT DE RAM</t>
  </si>
  <si>
    <t>ACHAT DE 10 CHAUSSURES DE SECURITE A LA QUINCAILLERIE</t>
  </si>
  <si>
    <t>LIVRAISON DE 10 CHAUSSURES DE SECURITE AU BUREAU</t>
  </si>
  <si>
    <t>BARRY PAIEMENT DU MASSA 1388CZ01</t>
  </si>
  <si>
    <t>M MAMADOU / REMBOURSSEMENT DE FRAIS DE ROUTE DU CHAUFFEUR AA407</t>
  </si>
  <si>
    <t>ACHAT DE CARBURANT 50L POUR CHAUFFEUR SOUMAHORO AA407</t>
  </si>
  <si>
    <t>FRAIS DE ROUTE DES CHAUFFEURS AA294 ET AA624 ET AA407</t>
  </si>
  <si>
    <t>JEAN RECUPERATION DE TEL CHEZ MISS KASSI ET DEPOT DES LUNETTES DE MADAME</t>
  </si>
  <si>
    <t>FOFANA/COLLAGE DE PNEU DE COULIBALY LACIE A ODIENNE</t>
  </si>
  <si>
    <t>PORTE CHAR POUR CHERGER LA NIVELLEUSE DE KOIRA</t>
  </si>
  <si>
    <t>RELIQUAT FRAIS DE ROUTE DES CHAUFFEURS AA294 ET AA624</t>
  </si>
  <si>
    <t>TRAORE NAMBAGA AMANDE AUX POLICIERS</t>
  </si>
  <si>
    <t>PORTE CHAR POUR CHERGER LA 325</t>
  </si>
  <si>
    <t>BARRY/ 1MOIS DE LOYER UN MOIS DE CAUTION MAISON KOUTO</t>
  </si>
  <si>
    <t>BARRY/ SOUDURE DE LA PELLE 320</t>
  </si>
  <si>
    <t>SALAIRE MISS KASSI</t>
  </si>
  <si>
    <t>100L DE CARBURANT ET FRAIS DE ROUTE DU CHAUFFEUR DE AA407</t>
  </si>
  <si>
    <t>PEAGE POUR SOGENA SUR 2RS</t>
  </si>
  <si>
    <t>TRANSPORT MISS AMA POUR BICICI</t>
  </si>
  <si>
    <t>CARBURANT POUR LE CHAUFFEUR DE LA BENNE QUI QUITTE BONOUA POUR KOUTO</t>
  </si>
  <si>
    <t>APPRO CAISSE PAR CHQ BICICI KS 5079643</t>
  </si>
  <si>
    <t>AVANCE 10JRS LOCATION BENNE 4254GV01 POUR KOUTO</t>
  </si>
  <si>
    <t>VERSEMENT A LA BICICI POUR LA NON REDEVANCE</t>
  </si>
  <si>
    <t>TRANSPORT MISS AMA POUR BICICI 2</t>
  </si>
  <si>
    <t>FOFANA ODIENNE/ACHAT HUILE DE VERIN POUR LA BENNE AA0407JZ</t>
  </si>
  <si>
    <t>APPRO CAISSE PAR CHQ BDU FF 1211</t>
  </si>
  <si>
    <t>BARRY/PORTE CHAR DE LA NIVELLEUSE</t>
  </si>
  <si>
    <t>ALAMAMY POUR LAVAGE DES CAMIONS ET CHANGEMENT DE PNEU</t>
  </si>
  <si>
    <t>BARRY/ACHAT DE 2 BATTERIES POUR LA 330</t>
  </si>
  <si>
    <t>CONFECTIONS D AUTOCOLLANTS/ELISE</t>
  </si>
  <si>
    <t>JEAN DEPOT DE FACTURES A LA PFO/REMISE DE CHEQUE A ELISE ET DEMANDE DE CHEQUE A M EPONO</t>
  </si>
  <si>
    <t>ACHAT DIVERS POUR LA DAME DE MENAGE</t>
  </si>
  <si>
    <t>COMMISSION M FABRICE</t>
  </si>
  <si>
    <t>COMMISSION M VENANCE</t>
  </si>
  <si>
    <t>COMMISSION M MARC</t>
  </si>
  <si>
    <t>PORTE CHAR M DIALLO</t>
  </si>
  <si>
    <t>TRANSPORT AMA POUR LE PLATEAU</t>
  </si>
  <si>
    <t>100L DE CARBURANT  DU CHAUFFEUR KONE MORY DE AA264</t>
  </si>
  <si>
    <t>CREDIT TELEPHONIQUE MISS CYNTHIA</t>
  </si>
  <si>
    <t>M SANOGO/ACHAT DE CARB 950L/CAMION ET FRAIS DE ROUTE ET PEAGES POUR LES 2 CAMIONS QUI VONT A ODIENNE</t>
  </si>
  <si>
    <t>APPRO CAISSE PAR CHQ BDU FF 1213</t>
  </si>
  <si>
    <t>M KANGOU AVANCE 5JRS DU CHAUFFEUR DE LA TRACTOPELLE BINGERVILLE</t>
  </si>
  <si>
    <t xml:space="preserve">BEN CARBURANT </t>
  </si>
  <si>
    <t>CREDIT TELEPHONIQUE MISS KOUASSI ET BARRY</t>
  </si>
  <si>
    <t>ALMAMY /FRAIS RETRAIT DES 4 BIDONS D HULE ET POMPE A GRAISSE</t>
  </si>
  <si>
    <t>BARRY/AVANCE PAIEMENT 21/01-20/02 DE LA CITERNE 7207GY01</t>
  </si>
  <si>
    <t>CHAUFFEUR DU CAR POUR ACHAT DE CARBURANT</t>
  </si>
  <si>
    <t>ADAMO/PRISE DE BAGAGE SUR MOTO ET TRANSPORT</t>
  </si>
  <si>
    <t>VASIRIKI POUR ACHAT DE CARBURANT POUR ESSAYER LA D7</t>
  </si>
  <si>
    <t>JEAN DEPOT DE COURRIER A LA PFO</t>
  </si>
  <si>
    <t>TIDIANE/LOCATION DE PORTE CHAR POUR LA D7 DU CHU A ANGRE</t>
  </si>
  <si>
    <t>AVANCE PAIEMENT 21/01-20/02 DE LA CITERNE 7207GY01/FRAIS DE ROUTE DU CHAUFFEUR</t>
  </si>
  <si>
    <t>MISS FOBH</t>
  </si>
  <si>
    <t>AVANCE PAIEMENT 21/01-20/02 DE LA CITERNE 7207GY01/CARBURANT</t>
  </si>
  <si>
    <t>ADAMO POUR PRISE EN CHARGE</t>
  </si>
  <si>
    <t>ACHAT DE CARBURANT POUR LE CAR DE RAMASSAGE</t>
  </si>
  <si>
    <t>SALAIRE M SALIF CHAUFFFEUR DE LA 325</t>
  </si>
  <si>
    <t>VASSIRIKI POUR DEBOUCHER LE RADIATEUR DE LA 330</t>
  </si>
  <si>
    <t>TRANSPORT PFO MISS AMA</t>
  </si>
  <si>
    <t>TRANSPORT MISS CYNTHIA/BARRY ET DIABY POUR LE RETOUR DU PLATEAU</t>
  </si>
  <si>
    <t>SOLDE DU MOIS DE FEVRIER</t>
  </si>
  <si>
    <t>JOURNAL DE CAISSE KENAM SERVICE : MARS 2025</t>
  </si>
  <si>
    <t>MECANO YEO POUR ACHAT DE VENTILATEUR ET MATELA POUR ALLER A KOUTO</t>
  </si>
  <si>
    <t>ACHAT DE 2 GALETS SUPERIEUR POUR LA 325</t>
  </si>
  <si>
    <t>M HAMZA /ACAHT POUR LE GARAGE</t>
  </si>
  <si>
    <t>HAMZA /ACHAT POUR LE GARAGE</t>
  </si>
  <si>
    <t>DEPOT A MOUSTAPHA POUR FRAIS DE ROUTE POUR BOUAKE</t>
  </si>
  <si>
    <t>JEAN COURSES A KOIRA/RIMCO ET BDU YOP</t>
  </si>
  <si>
    <t>ACHAT A LA QUINCAILLERIE(REMBOURSSEMENT JANVIER)</t>
  </si>
  <si>
    <t>BEN CARBURANT</t>
  </si>
  <si>
    <t>BEN TRANSPORT DE CHEZ MADAME A CHEZ LUI</t>
  </si>
  <si>
    <t>ELECTICIEN M BAMBA POUR INSTALLATION DE GROUPE ELECTROGENE</t>
  </si>
  <si>
    <t>APPRO CAISSE PAR REMBOURSSENT DU DEPOT FAIT PAR ERREUR</t>
  </si>
  <si>
    <t>ACHAT DE RALLONGE / ADAPTATEUR ET BALANCE A LA QUINCAILLERIE</t>
  </si>
  <si>
    <t>BARRY COMMISSION SUR PORTE CHAR POUR LE MALI</t>
  </si>
  <si>
    <t>PAIEMENT ACHAT DE BONBONNES D EAU 2 MOIS</t>
  </si>
  <si>
    <t>M FOFANA COLLAGE ET CHANGEMENT DE PNEUS DE LA BENNE 047 A ODIENNE</t>
  </si>
  <si>
    <t>JEAN RECUPERATION DE CHEQUE A KOIRA</t>
  </si>
  <si>
    <t>DOSSO TRANSPORT POUR RENTRER SUR ABIDJAN</t>
  </si>
  <si>
    <t>BEMA/ACHAT DE 5 AD BLEU POUR LE AA730LE03</t>
  </si>
  <si>
    <t>BEMA/ACHAT DE 2 AD BLEU POUR LE AA730LE03</t>
  </si>
  <si>
    <t>ALAMAMY/SOUDURE ET TRAVAIL MECANO DE LA BENNEAA951 ET DE LA CITERNE 8207EJ</t>
  </si>
  <si>
    <t>ACHAT DE RAME</t>
  </si>
  <si>
    <t>SANOGO MOUSTAPHA ACHAT DE CARBURANT POUR LA DOUBLE CABINE 52WWW01 DE BOUAKE A NASSIAN</t>
  </si>
  <si>
    <t>SIGUI ACHAT DE CARBURANT POUR LA DOUBLE CABINE 52WWW02 DE BOUAKE A NASSIAN</t>
  </si>
  <si>
    <t>SALAIRE FEVRIER SAWADOGO ADAMA</t>
  </si>
  <si>
    <t>TRANSPORT RETOUR DE LA PFO /JOEL</t>
  </si>
  <si>
    <t>SALAIRE FEVRIER BAMBA KADIN</t>
  </si>
  <si>
    <t>LIVRAISON DE BALANCE CHEZ MADAME</t>
  </si>
  <si>
    <t>SALAIRE FEVRIER TRAORE NAMBAGA</t>
  </si>
  <si>
    <t>SALAIRE FEVRIER SANKARA MOUSSA</t>
  </si>
  <si>
    <t>SALAIRE FEVRIER COULIBALY LACINE</t>
  </si>
  <si>
    <t>SALAIRE FEVRIER KONATE KARIM</t>
  </si>
  <si>
    <t>SALAIRE FEVRIER HAMIDOU DJIGUEMBE</t>
  </si>
  <si>
    <t>SALAIRE FEVRIER SAMAKE FOUSSENI</t>
  </si>
  <si>
    <t>SALAIRE FEVRIER DAO ISMAEL</t>
  </si>
  <si>
    <t>SALAIRE FEVRIER FOFANA ODIENNE</t>
  </si>
  <si>
    <t>SALAIRE FEVRIER FOFANA ALMAMY</t>
  </si>
  <si>
    <t>SALAIRE FEVRIER KONE MORY</t>
  </si>
  <si>
    <t>SALAIRE FEVRIER CISSE MAMADOU</t>
  </si>
  <si>
    <t>SALAIRE FEVRIER SANOGO BEMA</t>
  </si>
  <si>
    <t>SALAIRE FEVRIER SOUMAHORO SOULEYMAN</t>
  </si>
  <si>
    <t>SALAIRE FEVRIER DIARRASSOUBA ADAMA</t>
  </si>
  <si>
    <t>SALAIRE FEVREIR KAMAGATE ABOU</t>
  </si>
  <si>
    <t>SALAIRE FEVRIER DIARRASSOUBA YACOU</t>
  </si>
  <si>
    <t>TRANSPOT TOSSAVI POUR BDU</t>
  </si>
  <si>
    <t>SALAIRE FEVRIER MARYAM</t>
  </si>
  <si>
    <t>APPRO PAR CHEQUE SGCI FF 91</t>
  </si>
  <si>
    <t>VASSIRIKI/ACHAT DE GANT ET DE BATTERIE LA CITERNE 8207PJ01 NASSIAN</t>
  </si>
  <si>
    <t>OFFRANDE</t>
  </si>
  <si>
    <t>LIVRAISON DE FACTURES A M KOFFI</t>
  </si>
  <si>
    <t>KONE MORY FRAIS DE ROUTE POUR ABOBO</t>
  </si>
  <si>
    <t>SALAIRE FEVRIER SANOGO MOUSTAOHA</t>
  </si>
  <si>
    <t>MAMADOU/AVANCE LOCATION DE CAMION POUR DABAKALA</t>
  </si>
  <si>
    <t>DEUXIEME AVANCE DU PORTE CHAR POUR LE MALI</t>
  </si>
  <si>
    <t>SALAIRE FEVRIER MISS LOUTINE</t>
  </si>
  <si>
    <t xml:space="preserve">SALAIRE FEVRIER SIGUIE </t>
  </si>
  <si>
    <t>MISS KOUASSI/ACHAT D ENCRE ET AUTRES POUR LE BUREAU</t>
  </si>
  <si>
    <t>ISSA/CONFECTION DE 2 CACHETS POUR LA CAISSIEREA</t>
  </si>
  <si>
    <t>SALAIRE FEVRIER BEN DIAKITE</t>
  </si>
  <si>
    <t>APPRO CAISSE EN ESPECE PAR  RETRAIT AU GUICHET BDU FF</t>
  </si>
  <si>
    <t>COMMISSION M ENZA KONATE</t>
  </si>
  <si>
    <t>CREDIT TELEPHONIQUE POUR LA CAISSIERE ET LA COMPTABLE</t>
  </si>
  <si>
    <t>LIVRAISON DE BETTERIE DE M BARRY</t>
  </si>
  <si>
    <t>MODIFICATION DE L ENTREE DE L IMMEUBLE</t>
  </si>
  <si>
    <t>TRANSPORT PFO</t>
  </si>
  <si>
    <t>LOCATION DE BULL D7R POUR BINGERVILLE</t>
  </si>
  <si>
    <t>AVANCE SALAIRE BARRY HAMIDOU</t>
  </si>
  <si>
    <t>MARC/PORTE CHAR POUR LA BULL D7 (BINGERVIELLE)</t>
  </si>
  <si>
    <t>M DRISSA/FRAIS DE ROUTE ET CARBURANT DU CAMION HIAB POUR ALLER KORHOGO</t>
  </si>
  <si>
    <t>M DRISSA/ HIAB POUR ALLER KORHOGO</t>
  </si>
  <si>
    <t>ADAMO/ACHAT D'HUILE DE BOITE ET HUILE HYDRAULIQUE POUR LE HIAB DE KOUTO(NAMBAGA)</t>
  </si>
  <si>
    <t>TANSPORT AMA POUR SOGIMAS</t>
  </si>
  <si>
    <t>M MAMADOU/SALAIRE COULIBALY ABOU ET PRISE EN CHARGE DES 2 CHAUFFEURS A ODIENNE</t>
  </si>
  <si>
    <t>OUMAR/TRANSPORT DU CHAUFFEUR DE LA BENNE DE NASSIAN POUR ALLER A KONG</t>
  </si>
  <si>
    <t>ADAMO/ACHAT DE COLLE AB ET SOUDURE</t>
  </si>
  <si>
    <t>JEAN DEPOTS DE FACTURES A FINANCER LOT 2 A MONSIEUR KOFFI</t>
  </si>
  <si>
    <t>APPRO CAISSE PAR CHQ SGCI FF 94</t>
  </si>
  <si>
    <t>MORY EXPEDITION DE COLIS</t>
  </si>
  <si>
    <t>ACHAT CHEZ LE FOURNISSEUR CHINOIS POUR LE GARAGE</t>
  </si>
  <si>
    <t>MAMADOU/ACHAT DE 5 CEINTURES POUR LE CAMION AA294</t>
  </si>
  <si>
    <t>SOLDE SALAIRE M BARRY</t>
  </si>
  <si>
    <t>MAMADOU/AVANCE LOCATION DE CAMION PLATEAU</t>
  </si>
  <si>
    <t xml:space="preserve">LOYER NASSIAN </t>
  </si>
  <si>
    <t>LOYER KONG</t>
  </si>
  <si>
    <t>LOYER DABAKALA</t>
  </si>
  <si>
    <t>ACHAT D'HUILE DE MOTEUR A PETRO</t>
  </si>
  <si>
    <t>SALAIRE BAKAYOKO INZA CHAUFFEUR BULL NASSIAN</t>
  </si>
  <si>
    <t>SALAIRE RAZAK CHAUFFEUR PELLE 320</t>
  </si>
  <si>
    <t>SALAIRE NOUFFOU CHAUFFEUR 330</t>
  </si>
  <si>
    <t>SALAIRE NOUNHO CHAUFFEUR CHARGEUSE 950</t>
  </si>
  <si>
    <t>LOUTINE TRANSPORT POUR LA DJIBI</t>
  </si>
  <si>
    <t>SALAIRE SALIF CHAUFFEUR 325</t>
  </si>
  <si>
    <t>MORY CARBURANT/LAVAHE ET REGLAGE DE PHARE</t>
  </si>
  <si>
    <t>TRANSPORT MISS AMA POUR SGCI ET PETRO</t>
  </si>
  <si>
    <t>SALAIRE FEVRIER BARRY ISSA</t>
  </si>
  <si>
    <t>SALAIRE FEVRIER KOUASSI</t>
  </si>
  <si>
    <t>SALAIRE FEVRIER  TOSSAVI</t>
  </si>
  <si>
    <t>SALAIRE FEVRIER DIABY</t>
  </si>
  <si>
    <t>SALAIRE FEVRIER LA COMPTABLE TOURE ADJA</t>
  </si>
  <si>
    <t xml:space="preserve">ELISEE/CONFECTION DE CASQUETTES ET T SHIRT </t>
  </si>
  <si>
    <t>TRANPORT AMA POUR LE PLATEAU</t>
  </si>
  <si>
    <t>ALMAMY/CONFECTION DE FLEXIBLE POUR LA BULL</t>
  </si>
  <si>
    <t>DEPOT A ADAMO POUR ACHAT DE CARBURANT POUR ALLER A KOIRA DABAKALA</t>
  </si>
  <si>
    <t>ACHAT DE JAVEL ET DESODORISANT</t>
  </si>
  <si>
    <t>ADAMO CARBURANT POUR BOUNDIALI POUR DEPANNER LA 325</t>
  </si>
  <si>
    <t>ADAMO CARBURANT POUR BOUNDIALI ET ACHAT DE TEFLON</t>
  </si>
  <si>
    <t>TRANSPORT JOEL POUR LA PFO</t>
  </si>
  <si>
    <t>JEAN/RECUPERATION D ORDINATEUR DE JOEL POUR CHEZ KAMAL /ALLER ET RETOUR</t>
  </si>
  <si>
    <t>TRANSPORT AMA POUR LA BICICI</t>
  </si>
  <si>
    <t>SALAIRE FOUSSENI</t>
  </si>
  <si>
    <t>ADAMO LOYER DE 3 PIECES ET 2 PIECES</t>
  </si>
  <si>
    <t>DIABY/ACHATBD ACIDE POUR LES TOILETTES</t>
  </si>
  <si>
    <t>TRANSPORT AMA POUR LA BICICI ET BDU</t>
  </si>
  <si>
    <t>VASSIRIKI/ALLER AU NORD POUR LA REPARATION DES MACHINES</t>
  </si>
  <si>
    <t>M MIEZAN POUR LA CREATION DU RCCM</t>
  </si>
  <si>
    <t>APPRO CAISSE PAR CHQ BDU FF 1217</t>
  </si>
  <si>
    <t>BEMA/LAVAGE DE CAMION</t>
  </si>
  <si>
    <t>BARRY ACHAT DE FILTRE A GASOIL ET HUILE POUR AA624 ET 8 AD BLEU POUR AA294/AA407</t>
  </si>
  <si>
    <t>REMBOURSSEMENT A M BARRY POUR LE TRANSPORT DE FOUSSENI POUR ALLER LA KONG</t>
  </si>
  <si>
    <t>M MAMADOU/CARB 300L ET FRAIS DE ROUTE DE AA294 POUR ODIENNE ET MAIN D ŒUVRE DE LA AA624</t>
  </si>
  <si>
    <t>BAMBA TRANSPORT POUR ALLER A KORHOGO</t>
  </si>
  <si>
    <t>YOUSSOUF TOURE/AVANCE 3JRS SUR SALAIRE/CHAUFFEUR BULL A NASSIAN</t>
  </si>
  <si>
    <t>FRAIS DE ROUTE CHAUFFEUR AA407 SOUMAHORO POUR CHARGEMENT AU 22 AFRIK BETON</t>
  </si>
  <si>
    <t>FRAIS DE ROUTE CHAUFFEUR AA624 COULIBALY  POUR CHARGEMENT AU 22 AFRIK BETON</t>
  </si>
  <si>
    <t>APPRO CAISSE PAR CHQ BDU FF 1225</t>
  </si>
  <si>
    <t>TRANSPORT AMA POUR BDU ET SGCI</t>
  </si>
  <si>
    <t>REGLEMENT BUREAU VERITAS</t>
  </si>
  <si>
    <t>M MAMADOU/ FRAIS DE ROUTE DE AA294 POUR ODIENNE</t>
  </si>
  <si>
    <t xml:space="preserve">VASSIRIKI ACHAT D HUILE </t>
  </si>
  <si>
    <t>VASSIRIKI POUR CONFECTION DE FLEXIBLE POUR LA 325</t>
  </si>
  <si>
    <t>MAMADOU/ACHAT DE 2 BACHES POUR AA407 ET AA624</t>
  </si>
  <si>
    <t>M BERNABE POUR REPARATION DE LA TRACTOPELLE</t>
  </si>
  <si>
    <t xml:space="preserve">M MAMADOU/CARB 300L  DE AA294 POUR QUITTER ODIENNE </t>
  </si>
  <si>
    <t>BARRY/TRANSPORT ET DEDOINNEMENT DE LA POMPE/ENTRETIEN DE LA TRACTOPELLE</t>
  </si>
  <si>
    <t>VASSIRIKI/ACHAT D HUILE POUR LE HIAB</t>
  </si>
  <si>
    <t>ALAMAMY/LAVAGE DE BENNE ET 2 CAMIONNETTES COLLAGE DE PNEU</t>
  </si>
  <si>
    <t>RECHARGE WIFI</t>
  </si>
  <si>
    <t>LOYER BOUNDIALI 1 MOIS /1 MOIS DE CAUTION ET FRAIS D AGENCE</t>
  </si>
  <si>
    <t>TRANSPORT POUR DEPOT DE FACTURES A LA PFO</t>
  </si>
  <si>
    <t>ARRANGEMENT DES MEUBLES</t>
  </si>
  <si>
    <t>COMMISSIONS ADAMO</t>
  </si>
  <si>
    <t>DEPOT DE FACTURE A KOIRA ET DE CONTRAT A PFO</t>
  </si>
  <si>
    <t>APPRO CAISSE PAR CHQ BDU FF 1227</t>
  </si>
  <si>
    <t>M MAMADOU/CARBURANT 750L / AA624 ET 800L/AA407 ET FRAIS DE ROUTE POUR ODIENNE</t>
  </si>
  <si>
    <t>COMMISSIONS M KAYE</t>
  </si>
  <si>
    <t>SANKARA /POUR SA PRISE EN CHARGE</t>
  </si>
  <si>
    <t>VASSIR IKI / 2 HUILE DE MOTEURS FILTRE A HUILE ET GAZOIL POUR LA CITERNE ET 2 HUILE DE MOTEURS POUR LA CHARGEUSE (NASSIAN)</t>
  </si>
  <si>
    <t>COMMISSIONS M MAIGA</t>
  </si>
  <si>
    <t>CREDIT TELEPHONIQUE POUR ISSA ET MISS KOUASSI</t>
  </si>
  <si>
    <t>ADAMO/LE CHARGEMENT DU CHAUFFEUR DU GRADAIRE OU NIVELLEUSE</t>
  </si>
  <si>
    <t>LIVRAISON DE DOCUMENT DE L ENTREPRISE</t>
  </si>
  <si>
    <t>COMMISSIONS M KASSI KOIRA</t>
  </si>
  <si>
    <t>ACHAT DE 2 PANIERS ET TANSPORT</t>
  </si>
  <si>
    <t>TRANSPORT AMA POUR REMISE DE CHEQUE A LA BDU</t>
  </si>
  <si>
    <t>BEN CARBURANT ET PEAGE POUR KOIRA</t>
  </si>
  <si>
    <t>KOUASSI POUR DEPOT DE CHEQUE A AKWABA LOGISTIQUA</t>
  </si>
  <si>
    <t>BAMBA POUR ACHAT DE MATELA ET VENTILATEUR</t>
  </si>
  <si>
    <t>SANKARA/ PEAGE</t>
  </si>
  <si>
    <t>LASSO/LOCATION DE CAMION POUR ODIENNE</t>
  </si>
  <si>
    <t>ISSA ACHAT DE CARTON POUR LES CHAUSSURES QUI VONT A NASSIAN</t>
  </si>
  <si>
    <t>"</t>
  </si>
  <si>
    <t>ALMAMY/ACHAT DE CONTACTEUR DE DEMAREUR ET MAIN D ŒUVRE POUR LA REPARATION DE LA CITERNE</t>
  </si>
  <si>
    <t>AVANCE 5JRS LOCATION DE BU POUR KORHOGOLL D7H</t>
  </si>
  <si>
    <t>LIVRAISON DE DOCUMENT RECU PAR MISS DIABY</t>
  </si>
  <si>
    <t>M DOUKOURE/DEPENSES POUR ACHAT DE MACHINES</t>
  </si>
  <si>
    <t>M DOUKOURE/LOCATION DE 2 PORTCE CHAR</t>
  </si>
  <si>
    <t>MISS DIABY ACHAT DIVERS POUR LE BUREAU</t>
  </si>
  <si>
    <t>CARBURANT POUR LE CAR DE RAMMASSAGE QUI VA A BINGERVILLE</t>
  </si>
  <si>
    <t>DJIBRIL AVANCE PORTE CHAR POUR KORHOGO</t>
  </si>
  <si>
    <t>TRANSPORT BDU 2 TOURS</t>
  </si>
  <si>
    <t>5JRS ET PORTE CHAR RETOUR POUR LA BULL D7 NASSIAN</t>
  </si>
  <si>
    <t xml:space="preserve">ALAMAMY/LAVAGE DE BENNE ET COLLAGE DE PNEU </t>
  </si>
  <si>
    <t>ELISEE POUR CONFECTION DE T SHIRT M KAMAGATE ABOU</t>
  </si>
  <si>
    <t>M GANA PAIEMENT CAMIONNETTE 9697 NASSIAN DU 21/01-20/02</t>
  </si>
  <si>
    <t>PAIEMENT TRUCK IVOIRE POUR PLATEAU 2561 DU 21/01-20/02</t>
  </si>
  <si>
    <t>BARRY/AVANCE 3 JRS PELLE A PNEU 318 POUR N DOTRE</t>
  </si>
  <si>
    <t>M MAMADOU /300L ET FRAIS DE ROUTE AA294 POUR YAMOUSSOKRO ET 100L POUR LES 2 AUTRES</t>
  </si>
  <si>
    <t>VASSIRIKI/2 FILTRES A HUILE /COLLAGEBOSTIQUE HUILE DE FREIN</t>
  </si>
  <si>
    <t>LOCATION DE BULL POUR L AEROPORT</t>
  </si>
  <si>
    <t>M SANOGO PAINEMENT DE LA BENNE DU 21/12 AU 20/02</t>
  </si>
  <si>
    <t xml:space="preserve">MORY CARBURANT </t>
  </si>
  <si>
    <t>RELIQUAT PAIEMENT DE LA BENNE L1403/M BAMBA</t>
  </si>
  <si>
    <t>COURSES JEAN CHEZ LA NOTAIRE ET AGENCE DE VOYAGE</t>
  </si>
  <si>
    <t>DEPOT A M HAMZA</t>
  </si>
  <si>
    <t>BARRY/SOUDURE SUR L AXE DU GODET DE LA TRACTOPELLE</t>
  </si>
  <si>
    <t>REMBOURSSEMENT JOEL POUR TRANSPORT A LA PFO</t>
  </si>
  <si>
    <t>TRANSPORT AMA A LA BDU</t>
  </si>
  <si>
    <t>DEPOT SUR LE COMPTE KS BDU</t>
  </si>
  <si>
    <t>M KOITA PAIEMENT DES VOYAGES ET FRAIS DE ROUTE POUR LE CHAUFFEUR DE BASSAM</t>
  </si>
  <si>
    <t>TANSPORT AMA POUR LA PFO</t>
  </si>
  <si>
    <t>APPRO CAISSE PAR CHQ BDU FF 1234</t>
  </si>
  <si>
    <t>DJIBRIL SOLDE PORTE CHAR POUR KORHOGO</t>
  </si>
  <si>
    <t>MORY LAVEGE</t>
  </si>
  <si>
    <t>TRANSPORT AMA POUR LA BDU</t>
  </si>
  <si>
    <t>COMMISSION DESIRE</t>
  </si>
  <si>
    <t>APPRO CAISSE PAR CHQ BDU FF 1237</t>
  </si>
  <si>
    <t>SALAIRE KAMAGATE ABOU</t>
  </si>
  <si>
    <t>LAVAGE BEN</t>
  </si>
  <si>
    <t>TROISIEME AVANCE DU PORTE CHAR POUR LE MALI</t>
  </si>
  <si>
    <t>DIABY/AVANCE LOCATION DE CAR DE RAMASSAGE 4115KP01 POUR BINGERVILLE</t>
  </si>
  <si>
    <t>LIVRAISON DE DOCUMENT A ELISEE</t>
  </si>
  <si>
    <t>JOEL TRANSPORT POUR DEPOT DE DOCS POUR ACHAT DE PIK UP ET DOUBLE CABINE</t>
  </si>
  <si>
    <t>SOLDE DU PORTE CHAR POUR LE MALI</t>
  </si>
  <si>
    <t>AVANCE POUR LE PEINTRE DE LA BETONNIERE</t>
  </si>
  <si>
    <t>M MOISE ACHAT DE 10 BOTTES DE FILS D ATTACHES</t>
  </si>
  <si>
    <t>M MARRE POUR ACHAT DE PLANCHES ET CHEVRONS</t>
  </si>
  <si>
    <t>DEPENSE POUR LE NOUVEAU BUREAU/LES SEPARATEUR</t>
  </si>
  <si>
    <t>MOUSTAPHA ACHAT DE CARBURANT ET REPARATION DE PARALYSE 52WWW01</t>
  </si>
  <si>
    <t>M GOSE POUR CONFECTION DE TENUES</t>
  </si>
  <si>
    <t>MOUSTAPHA REPARATION DE PARALYSE 52WWW01</t>
  </si>
  <si>
    <t>APPRO CAISSE PAR CHQ BDU FF 1050</t>
  </si>
  <si>
    <t>TRANSPORT MISS KOUASSI POUR LA BDU</t>
  </si>
  <si>
    <t>POUR TRAVAUX DE FERRONERIE DANS LE NOUVEAU BATIMENT</t>
  </si>
  <si>
    <t>TRANSPORT ISSA POUR DEMANDE DE RAPPORT A ABOBO</t>
  </si>
  <si>
    <t xml:space="preserve">REMBOURSSEMENT A M MAMADOU  FRAIS DE ROUTE AA294 POUR YAMOUSSOKRO </t>
  </si>
  <si>
    <t>BEMA FRAIS DE ROUTE AA730 POUR ALLER CHERCHER LABACHE A BINGERVILLE</t>
  </si>
  <si>
    <t>ALMAMY/PEAGE POUR LA CAMIONNETTE DE KOUAKE</t>
  </si>
  <si>
    <t>M ALIOU POUR ACHAT DE LUMIERE</t>
  </si>
  <si>
    <t>M MAMADOU ACHAT D APPAREIL / HUILE DE DIRECTION ET REPARATION DE LA AA407</t>
  </si>
  <si>
    <t>LAVAGE DE 2 TAPIS</t>
  </si>
  <si>
    <t>APPRO CAISSE PAR CHQ SGCI FF 99</t>
  </si>
  <si>
    <t>TRANSPORT AMA POUR LES BANQUES</t>
  </si>
  <si>
    <t>MORY AVANCE SUR SALAIRE</t>
  </si>
  <si>
    <t>ACHAT DE CONTREPLAQUES</t>
  </si>
  <si>
    <t>28/032025</t>
  </si>
  <si>
    <t xml:space="preserve">APPRO CAISSE PAR GUICHET BDU FF </t>
  </si>
  <si>
    <t>M KOITA PAIEMENT 3 ACTURES ET  AVANCE DEUX CAMIONS ABOBO</t>
  </si>
  <si>
    <t>TRANSPORT TOURE ISSOUF NASSIAN POUR ABIDJAN</t>
  </si>
  <si>
    <t xml:space="preserve">VASSIRIKI </t>
  </si>
  <si>
    <t>LIVRAISON DE FACTURE A KOIRA</t>
  </si>
  <si>
    <t>WESTERN A M OUATTARA MAHAMADOU</t>
  </si>
  <si>
    <t>COMMISSION MISS DIABY</t>
  </si>
  <si>
    <t>AVANCE SUR SALAIRE BARRY ISSA</t>
  </si>
  <si>
    <t>M KAYE</t>
  </si>
  <si>
    <t xml:space="preserve">AVANCE SUR SALAIRE M BAMBA </t>
  </si>
  <si>
    <t>CARBURANT RETOUR 300L/CAMION ET FRAIS DE ROUTE POUR AA624 ET AA294 POUR ODIENNE ET RECUPERATION DE BACHE</t>
  </si>
  <si>
    <t>CARBURANT ALLER 300L/CAMION ET FRAIS DE ROUTE POUR AA624 ET AA294 POUR ODIENNE ET RECUPERATION DE BACHE</t>
  </si>
  <si>
    <t>ENTRETIEN /NOURRITURE ET PRODUIT POUR LES POISSONS</t>
  </si>
  <si>
    <t>LIVRAISON DE PUCE A M VASSIRIKI A BIABOU</t>
  </si>
  <si>
    <t>VASSIRIKI ACHAT D HUILE POUR LA 320</t>
  </si>
  <si>
    <t>APPRO CAISSE PAR CHEQUE BDU FF 1243</t>
  </si>
  <si>
    <t xml:space="preserve">COMMISSION M JOEL </t>
  </si>
  <si>
    <t>SOGIMAS SOLDE TRAVAUS DE CLIMATISATION ET AVANCE NETOYAGE</t>
  </si>
  <si>
    <t>TRAVAUX MACONNERIE AU GARAGE</t>
  </si>
  <si>
    <t>JOEL TRANSPORT POUR LA PFO</t>
  </si>
  <si>
    <t>ALMAMY / ACHAT DE MATELA ET VENTILATEUR POUR LE CHAUFFEUR DE LA BULL</t>
  </si>
  <si>
    <t>FRAIS DE LIVRAISON AUTOCOLLANT A M MAMADOU</t>
  </si>
  <si>
    <t>TRANSPORT POUR REMETTRE LA CLE AU CHANTIER</t>
  </si>
  <si>
    <t>BEN AVANCE CAR DE RAMASSAGE A BOUNDIALY</t>
  </si>
  <si>
    <t>M BARRY OUSMAN PAIEMENT 21/01-20/02 DE LA CITERNE 3705 ET MASSA 1832</t>
  </si>
  <si>
    <t>LA COMPTABLE /CREDIT TELEPHONIQUE ET FRAIS D'AUGMENTATION DE CAPITAL</t>
  </si>
  <si>
    <t>M MAMADOU CARBURANT 250L ET FRAIS DE ROUTE POUR DIVO</t>
  </si>
  <si>
    <t>APPRO CAISSE PAR CHEQUE BDU FF</t>
  </si>
  <si>
    <t>TRANSPORT POUR LA BDU AMA</t>
  </si>
  <si>
    <t>SANOGO MOUSTAPHA/ ACHAT DE 3 CROIX ET MAIN D ŒUVRE POUR LA CAMIONNETTE 52WWW01</t>
  </si>
  <si>
    <t>BARRY/ REMBOURSSEMENT POUR LA FLEXIBLE DE LA 330</t>
  </si>
  <si>
    <t>ALMAMY / ACHAT D HUILE POUR LA BULL D7</t>
  </si>
  <si>
    <t>COURSES JEAN CHEZ LA NOTAIRE ET ISIS</t>
  </si>
  <si>
    <t>TRANSPORT MORRY POUR RECUPERATION DE LA DOUBLE CABINE A FOTON</t>
  </si>
  <si>
    <t>TRANSPORT ISSA ET JOEL POUR ALLER AU GARAGE</t>
  </si>
  <si>
    <t>HAMIDOU POUR REPARATION DE LA CITERNE 3337JP01</t>
  </si>
  <si>
    <t>M MAMADOU CARBURANT 20L/CAMION AA294 ET AA624</t>
  </si>
  <si>
    <t>PAIEMENT DE LA BENNE DEFLEXIEN 21/02-20/03</t>
  </si>
  <si>
    <t>ELISE TRANSPORT POUR ALLER PRENDRE LES MESURES DU CAMION A TATA</t>
  </si>
  <si>
    <t>JEAN REMISE DE CACHET A ZONE 4</t>
  </si>
  <si>
    <t>ALMAMY/CHAMBRE A AIR DU PNEU DE LA CHARGEUSE</t>
  </si>
  <si>
    <t>M MAMADOU 60L DE CARB/CAMION /FRAIS DE ROUTE  DE AA407 ET AA624</t>
  </si>
  <si>
    <t>KONE DRISSA CARBURANT POUR LE CAMION HIAB</t>
  </si>
  <si>
    <t>MORRY TRNASPORT POUR ALLER CHERCHER LES PORTES</t>
  </si>
  <si>
    <t>HAMZA POUR ACHAT DE PLANCHES ET CHEVRONS</t>
  </si>
  <si>
    <t>JOEL CARBURANT ET PEAGE POUR ALLER REPARARER LA NOUVELLE DOUBLE CABIEN</t>
  </si>
  <si>
    <t>LA FEMME DE M NANGO</t>
  </si>
  <si>
    <t>TRANSPORT AMA POUR ECOBANK</t>
  </si>
  <si>
    <t>APPRO CAISSE PAR CHEQUE BDU FF 1607</t>
  </si>
  <si>
    <t>COMMISSION JOEL</t>
  </si>
  <si>
    <t>ACHAT DE 20 COMPTEURS</t>
  </si>
  <si>
    <t>SALAIRE CHAUFFEUR DE LA 320 SIESSOU</t>
  </si>
  <si>
    <t>M MAMADOU POUR AVANCE SUR SES VOYAGES</t>
  </si>
  <si>
    <t>M ALEX ACHAT DE COLLE ET PIECES</t>
  </si>
  <si>
    <t>APPRO CAISSE PAR CHEQUE BDU FF 1153 ET 1154</t>
  </si>
  <si>
    <t>SALAIRE DIAKITE BEN</t>
  </si>
  <si>
    <t>PAIEMENT DU CAR DE RAMASSAGE DE BEN DIAKITE 21/02-20/04</t>
  </si>
  <si>
    <t>05/04/52025</t>
  </si>
  <si>
    <t>BARRY/ACHAT DE PIECE POUR RAPARATION DU CAMION PLATEAU AA294 ET AA624</t>
  </si>
  <si>
    <t>PAIEMENT DU CAR DE RAMASSAGE DIABY DE KOUTO21/02-20/05</t>
  </si>
  <si>
    <t>MORY TRANSPORT POUR ALLER CHEZ MADAME</t>
  </si>
  <si>
    <t>MISS KOUASSI POUR ACHAT DE PRODUITS POUR LE BUREAU</t>
  </si>
  <si>
    <t>M BOLLO BI POUR BAIEMENT DE RESTE DE BC DE LA PFO</t>
  </si>
  <si>
    <t>LIVRAISON DE CHEQUE A TATA</t>
  </si>
  <si>
    <t>SALAIRE MARS JOEL GUEI</t>
  </si>
  <si>
    <t>SALAIRE MARS MARYAM</t>
  </si>
  <si>
    <t>SALAIRE MARS FOFANA ALMAMY</t>
  </si>
  <si>
    <t>SALAIRE MARS DIARRASSOUBA YAKOU</t>
  </si>
  <si>
    <t>SALAIRE MARS SIGUIE IBRAHIM</t>
  </si>
  <si>
    <t>SALAIRE MARS SANOGO MOUSTAPHA</t>
  </si>
  <si>
    <t>SALAIRE MARS DIARRASSOUBA ADAMA</t>
  </si>
  <si>
    <t>SALAIRE MARS KONE MORY</t>
  </si>
  <si>
    <t>SALAIRE MARS M FOFANA</t>
  </si>
  <si>
    <t>SALAIRE MARS CISSE MAMADOU</t>
  </si>
  <si>
    <t>SALAIRE MARS SOUMAHORO SOULEYMAN</t>
  </si>
  <si>
    <t>SALAIRE MARS TRAORE NAMBAGA</t>
  </si>
  <si>
    <t>SALAIRE MARS SANKARA MOUSSA</t>
  </si>
  <si>
    <t>SALAIRE MARS DAO ISMAEL</t>
  </si>
  <si>
    <t>SALAIRE MARS SAMAKE FOUSSENI</t>
  </si>
  <si>
    <t>SALAIRE MARS HAMIDOU</t>
  </si>
  <si>
    <t>SALAIRE MARS COULIBALY LACINE</t>
  </si>
  <si>
    <t>M SANOGO POUR LE VISITE DES CAMIONS BENNES A ODIENNE</t>
  </si>
  <si>
    <t>DON EN NUMMERAIRE</t>
  </si>
  <si>
    <t>SALAIRE MARS KONATE KARIM</t>
  </si>
  <si>
    <t>RELIQUAT ACHAT DE 20 COMPTEURS</t>
  </si>
  <si>
    <t>VASSIRIKI POUR SOUDURE DU CAMION AA 624</t>
  </si>
  <si>
    <t>VASSIRIKI POUR ACHAT DE 10 BIDONS</t>
  </si>
  <si>
    <t>SALAIRE MARS COULIBALY ABOU</t>
  </si>
  <si>
    <t>BARRY POUR ACHAT DE GIRONFAR POUR LES 3 PLATEAU ET 1 CAMIONNETTE/LE CHAUFFEUR DE LA 320</t>
  </si>
  <si>
    <t>ADAMO POUR LA REPARATION DU CAMION HIAB</t>
  </si>
  <si>
    <t>M ADJE POUR L ENSEIGNE SUR LE NOUVEUAU BUREAU</t>
  </si>
  <si>
    <t>BEN POUR LES OFFRANDES ET EXPEDITION DE COLI</t>
  </si>
  <si>
    <t xml:space="preserve">MORY TRANSPORT POUR ALLER CHERCHER AMORTISSEUR AU GARAGE </t>
  </si>
  <si>
    <t>APPRO CAISSE PAR CHEQUE SGCI FF 328</t>
  </si>
  <si>
    <t>TRANSPORT AMA POUR LA GENERALE</t>
  </si>
  <si>
    <t>BARRY /FLEXIBLE DE LA 325/2 AMORTISSEURS DES CAMIONS PLATEAUX ET MOD/LAVAGE ET PLAQUETTE DE LA AA407</t>
  </si>
  <si>
    <t>SALAIRE MARS SANOGO BEMA</t>
  </si>
  <si>
    <t>SALAIRE MARS FOUSSENI LE MECANO</t>
  </si>
  <si>
    <t>SALAIRE MARS BAMBA KADIN</t>
  </si>
  <si>
    <t xml:space="preserve">DEPOT DE DOCUMENTS AU TRIBUNAL DE COMMERCE </t>
  </si>
  <si>
    <t>REPARATION DE LA PORTE DES TOILETTES</t>
  </si>
  <si>
    <t>FRAIS D EXPEDITION DES 20 COMPTEURS A LA FRONTIERE</t>
  </si>
  <si>
    <t>ADAMO LOYER KONG</t>
  </si>
  <si>
    <t>SIGUIE POUR SA PRISE EN CHARGE BOUAKE</t>
  </si>
  <si>
    <t>MORY/INSTALLATION DES PORTES POUR LA RESIDENCE KS</t>
  </si>
  <si>
    <t>TRANSPORT AMA POUR LA BDU DU PLATEAU</t>
  </si>
  <si>
    <t>TRANSPORT JOEL POUR LA BDU</t>
  </si>
  <si>
    <t xml:space="preserve">APPRO CAISSE PAR CHEQUE SGCI FF </t>
  </si>
  <si>
    <t>M MAMADOU ACHAT DE 2 BACHES POUR LES CAMIONS PLATEAUX ET TRANSPORT POUR ALLER CHERCHER LES AUTRES BACHES</t>
  </si>
  <si>
    <t>TRANSPOT DIABY POUR LA BDU</t>
  </si>
  <si>
    <t>TRANSPORT AMA POUR BDU/SGCI ET SOGENA</t>
  </si>
  <si>
    <t>MAMADOU/ACHAT DE CARBURANT AA294/AA407/AA624/FRAIS DE ROUTE POUR ODIENNE</t>
  </si>
  <si>
    <t>AMA TRANSPORT POUR LA SGCI</t>
  </si>
  <si>
    <t>BEN LAVAGE ET CARBURANT</t>
  </si>
  <si>
    <t>BEN VIDANGE</t>
  </si>
  <si>
    <t>ADAMO LOYER KOUTO</t>
  </si>
  <si>
    <t>BAMBA LOYER BOUNDIAI ET DABAKALA</t>
  </si>
  <si>
    <t>FOFANA LOYER ODIENNE</t>
  </si>
  <si>
    <t>ALMAMY LOYER NASSIAN</t>
  </si>
  <si>
    <t>M MAMADOU PAIEMENTS DES VOYAGES</t>
  </si>
  <si>
    <t>ACHAT DIVERS PAR MISS KOUASSI</t>
  </si>
  <si>
    <t>KORO POUR LIVRAISON DE TUYAUX A LA RESI KS</t>
  </si>
  <si>
    <t xml:space="preserve">RELIQUAT SALAIRE HAMIDOU </t>
  </si>
  <si>
    <t>REPARATION DE LA 330SAN PEDRO</t>
  </si>
  <si>
    <t>ADAMO JOUR SEPPLEMENTAIRE DU CHAUFFEUR DE CAMION HYAB</t>
  </si>
  <si>
    <t>NOFFOU POUR SON LOGEMENT A SAN PEDRO</t>
  </si>
  <si>
    <t>MORY POUR RECUPERER LA 4X4 AU 22</t>
  </si>
  <si>
    <t>SALAIRE MARS SAWADOGO ADAMA</t>
  </si>
  <si>
    <t>M NGUETTA REMBOURSSEMENT DU LOGEMENT DU CHAUFFEUR DE LA BULL D7</t>
  </si>
  <si>
    <t>BARRY/PORTE CHAR/CONDUCTEUR BULL/LOCATION DE 2 BATTERIES</t>
  </si>
  <si>
    <t>SALAIRE MARS DJIKE</t>
  </si>
  <si>
    <t>SALAIRE MARS COULIBALY</t>
  </si>
  <si>
    <t>TRANSPORT AMA POUR SOGIMAS ET BDU</t>
  </si>
  <si>
    <t>MAMADOU POUR ACHAT DE 13 CEINTURES/2PNEUS/4 AD BLEUE ET 2L HUILE DE MOTEUR</t>
  </si>
  <si>
    <t>M HAMZA /CHEVRONS/FEUILLES</t>
  </si>
  <si>
    <t>MORY/CARBURANT ET FRAIS DE ROUTE DE LA CAMIONNETTE POUR NASSIAN</t>
  </si>
  <si>
    <t>FRAIS DE DOUANE POUR LES 20 COMPTEURS</t>
  </si>
  <si>
    <t>BARRY CONFECTION DE FLEXIBLE POUR LE 325</t>
  </si>
  <si>
    <t>KONE MORY/PONT BASCULE AA407</t>
  </si>
  <si>
    <t>BARRY ACHAT DE 2 BATTERIES POUR LE GRADEUR</t>
  </si>
  <si>
    <t>ALMAMY POUR SA PRISE EN CHARGE A FERKE</t>
  </si>
  <si>
    <t>TRANSPORT MISS DIABY POUR LE COMMISSARIAT</t>
  </si>
  <si>
    <t>VASSIRIKI/PORTE CHAR DU GRADEUR</t>
  </si>
  <si>
    <t>MAMADOU POUR ACHAT DE AD BLEU POUR AA407</t>
  </si>
  <si>
    <t>DAO/PONT BASCULE AA624</t>
  </si>
  <si>
    <t>MAMADOU POUR ACHAT 3 CEINTURES POUR AA730</t>
  </si>
  <si>
    <t>TANSPORT AMA BDU</t>
  </si>
  <si>
    <t>JEAN DEPOT DE FACTURES A LA BDU</t>
  </si>
  <si>
    <t>LOCATION DE CAMION HIAB</t>
  </si>
  <si>
    <t>MAMADOU/CLE DE ROUE/MASSE DE FER POUR AA407</t>
  </si>
  <si>
    <t>AVANCE SUR SALAIRE SALIF PORGO</t>
  </si>
  <si>
    <t>LIRAISON DES FACTURES NON FINANCEES A LA BDU YOP</t>
  </si>
  <si>
    <t>BEN TRANSPORT POUR ALLER CHEZ MADAME</t>
  </si>
  <si>
    <t>CONTRAVENTION DE LA NOUVELLE CAMIONNETTE A NASSIAN</t>
  </si>
  <si>
    <t>TRANSPORT ADAMO POUR BOUNDIALI</t>
  </si>
  <si>
    <t>VASSIRIKI POUR DOTATION DE SES APPENTITS</t>
  </si>
  <si>
    <t>VASSIRIKI POUR ACHAT DE PLAQUETTE ET MAIN D ŒUVRE</t>
  </si>
  <si>
    <t>DEPOT DE FACTURE A KOIRA</t>
  </si>
  <si>
    <t>APPRO CAISSE EN ESPECE PAR MADAMA RECUPERER A SOGIMAS</t>
  </si>
  <si>
    <t>MAIN D ŒUVRE ET ACHAT DE 2 RELAIS POUR LA 330</t>
  </si>
  <si>
    <t>RECUPERATION DES DOCUMENTS AU TRIBUNAL POIUR LE BURAU</t>
  </si>
  <si>
    <t>TRANSPORT AMA POUR SOGENA</t>
  </si>
  <si>
    <t>TANSPORT BEN DOUMBIA POUR ALLER DONNER HUILE A BIABOU</t>
  </si>
  <si>
    <t>APPRO CAISSE EN ESPECE PAR MISS FOBAH (1000000 SANS LES FRAIS)</t>
  </si>
  <si>
    <t xml:space="preserve">SOLDE M ADJE POUR LES TRAVAUX </t>
  </si>
  <si>
    <t>BARRY MAIN D ŒUVRE POUR REPARATION DE LA NIVELLEUSE</t>
  </si>
  <si>
    <t>MAMADOU RELIQUAT SUR ACHAT DE 2 PNEUS</t>
  </si>
  <si>
    <t>FOBAH REMBOUSSEMET POUR APPRO CAISSE</t>
  </si>
  <si>
    <t>REGLEMENT DE FACTURE SIMCO</t>
  </si>
  <si>
    <t>LOUTINE TRANSPORT VISITE DE LA PELLE</t>
  </si>
  <si>
    <t>FRAIS DE TRANSPORT POUR LE BUREAU POUR RECUPERER LA CLE DE LA PICK UP</t>
  </si>
  <si>
    <t>MAMADOU POUR ACHAT DE CLE DE ROUX</t>
  </si>
  <si>
    <t>BARRY ACHAT DE FLEXUBLE ET REPARATION SUR LA 325</t>
  </si>
  <si>
    <t>APPRO CAISSE EN ESPECE PAR RETRAIT AU GUICHET BDU FF</t>
  </si>
  <si>
    <t>LOCATION DE PELLE 315 POUR NASSIAN</t>
  </si>
  <si>
    <t>LOUTINE TRANSPORT N DOTRE POUR LA LOCALION DE LA PELLE 315</t>
  </si>
  <si>
    <t>BEN LAVAGE DE LA PIK UP</t>
  </si>
  <si>
    <t>BARRY /LES JOINTS DE VERIN DES ROTIULES AVANT DU GRADEUR</t>
  </si>
  <si>
    <t>BARRY RELIQUAT REPARATION DE LA NIVELLEUSE</t>
  </si>
  <si>
    <t>DIABY/ACHAT DE 8 PNEUS /LAME DE RESSORT/EXPEDITION ET TRANSPORT</t>
  </si>
  <si>
    <t>DIABY TRANSPORT/ACHAT DE POIGNET ET BALLON</t>
  </si>
  <si>
    <t xml:space="preserve">APPRO CAISSE EN ESPECE PAR MADAMA </t>
  </si>
  <si>
    <t>ISSA TRANSPORT POUR PFO BIABOU ET BINGERVILLE</t>
  </si>
  <si>
    <t>SALAIRE MARS SIRIBE YOUSSOUF</t>
  </si>
  <si>
    <t>SALAIRE MARS DE LA COMPTABLE</t>
  </si>
  <si>
    <t>MAMADOU ACHAT DE CRROIX POUR LA AA407</t>
  </si>
  <si>
    <t xml:space="preserve">MAMADOU REPARATION DE AA407 /FERRONIER </t>
  </si>
  <si>
    <t>M BAMBA PAIEMENT BENNE 1403 DU 21/02-20/03/25</t>
  </si>
  <si>
    <t>PAIEMENT DE LA BULL D7 NASSIAN 5 JRS</t>
  </si>
  <si>
    <t>TRANSPORT AMA POUR BDU SOGIMAS CHEZ MADAME ALLER ET RETOUR</t>
  </si>
  <si>
    <t>PRISE EN CHARGE DES CHAUFFEUR DES BENNE A BOUAKE</t>
  </si>
  <si>
    <t>TOURE POUR PRISE EN CHARGE DE SA MALADIE</t>
  </si>
  <si>
    <t>HAMIDOU ACHAT DE TRUBUNE</t>
  </si>
  <si>
    <t>LIVRAISON DE FACTURE A FINANCER A M KOFFI</t>
  </si>
  <si>
    <t>BEN CARBURANT POUR LA PICK UP</t>
  </si>
  <si>
    <t>MAMADOU REMBOURSSEMENT POUR  ACHAT DE AD BLEU</t>
  </si>
  <si>
    <t>RECHARGEMENT WIFI</t>
  </si>
  <si>
    <t>MAMADOU CARB 500L ET FRAIS DE ROUPE POUR ODIENNE AA624</t>
  </si>
  <si>
    <t>ACHAT DE FOURNITURE DE BUREAU</t>
  </si>
  <si>
    <t>MISS KOUASSI SOUSCRIPTION INTERNET</t>
  </si>
  <si>
    <t>MISSS KOUASSI ACHAT DE FOURNITURES</t>
  </si>
  <si>
    <t>BEN AVANCE SUR SALAIRE A PRELEVER SUR DEUX MOIS</t>
  </si>
  <si>
    <t>RECHARGEMENT DE BOMBONNES D EAU</t>
  </si>
  <si>
    <t>DIABY ACHAT DE PNEU CAMION 3337JP01 ET BATTERIE</t>
  </si>
  <si>
    <t>APPRO CAISSE PAR CHEQUE SGCI FF 329</t>
  </si>
  <si>
    <t>COMMISSION M EVANS</t>
  </si>
  <si>
    <t>VASSIRIKI ACHAT DE 2 TETES DE FLEXIBLE POUR LA CHARGEUSE</t>
  </si>
  <si>
    <t>ACHAT A LA QUINCAILLERIE</t>
  </si>
  <si>
    <t xml:space="preserve">MISS DIABY TRANSPORT BACHE </t>
  </si>
  <si>
    <t>ALMAMY DOTATIONS ET ACHAT DE MATELA ET VENTILATEUR POUR LE NOUVEAU CHAUFFEUR DE LA DOUBLE CABINE</t>
  </si>
  <si>
    <t>CONTRAVENTION BEN AVEC LA PICK UP</t>
  </si>
  <si>
    <t>SALAIRE MARS M BARRY</t>
  </si>
  <si>
    <t>BARRY REMBOURSSEMENT POUR SES DEPENSES</t>
  </si>
  <si>
    <t>MAMADOU 324L DE CAB ET FRAIS DE ROUTE POUR DABAKALA AA294</t>
  </si>
  <si>
    <t>MAMADOU/RELIQUAT ACHAT DE CARBURANT AA294/AA407/AA624/FRAIS DE ROUTE POUR NASSIAN</t>
  </si>
  <si>
    <t>ACHAT DE PILES POUR LES CALCULATRICES</t>
  </si>
  <si>
    <t>ADAMO POUR MONTAGE ET COLLAGE DE PNEUS</t>
  </si>
  <si>
    <t>MAMADOU PONT BASCULE DE AA407</t>
  </si>
  <si>
    <t>CHANGEMENT DU TUYAUX DU HIAB/ADAMO</t>
  </si>
  <si>
    <t>M ANZIE POUR LA CLOTURE DU NOUVEAU BUREAU</t>
  </si>
  <si>
    <t>PEAGE POUR SOGENA</t>
  </si>
  <si>
    <t>VASSIRIKI REMPLACEMENT DES MESLINS D'EMBRAYAGE</t>
  </si>
  <si>
    <t>LOCATION DE BACHET POUR LIVRER LES FER A BETONS</t>
  </si>
  <si>
    <t>MISS KOUASSI TRANSPORT POUR DEPOT DE CHEQUES A TATA</t>
  </si>
  <si>
    <t>ISSA POUR CONFECTION DE CACHET ET TRANSPORT</t>
  </si>
  <si>
    <t>PEAGE POUR ALLER VISITER LES BULL D7 ET D8</t>
  </si>
  <si>
    <t>PEINTURE SUR L' AUTOBETONNIERE</t>
  </si>
  <si>
    <t>MAMADOU CARB 723L/AA407 ET 355L/AA624 ET FRAIS DE ROUTE POUR DABAKALA</t>
  </si>
  <si>
    <t>MAMADOU AVANCE LOCATION DE CAMION PLATEAU</t>
  </si>
  <si>
    <t>VASSIRIKI ACHAT DE FILTRES POUR LE 325</t>
  </si>
  <si>
    <t>FOFANA MONTAGE DE 2 PNEU/SOUDURE ET FRAIS DE ROUTE POUR LE CHAUFFEUR ODIENNE</t>
  </si>
  <si>
    <t>ALMAMY 50L ET FRAIS DE ROUTE POUR LA CAMIONNETTE</t>
  </si>
  <si>
    <t>VASSIRIKE ACHAT DE RECORD ET COLIER</t>
  </si>
  <si>
    <t>NOURRITURE DES POISSONS ET LIVRAISON</t>
  </si>
  <si>
    <t>APPRO CAISSE PAR RETRAIT AU GUICHET FF</t>
  </si>
  <si>
    <t>MAMADOU 2EME AVANCE LOCATION DE CAMION PLATEAU</t>
  </si>
  <si>
    <t>PAIMENT DES VOYAGES DE M MAMADOU</t>
  </si>
  <si>
    <t>FRAIS DE LIVRAISON DE PATENTE</t>
  </si>
  <si>
    <t>MORY FRAIS DE ROUTE POR NASSIAN AVEC ABOU</t>
  </si>
  <si>
    <t>SALAIRE 21/02-20/03 SALIF PORGO</t>
  </si>
  <si>
    <t>SALAIRE 21/02-20/03 KANGOU</t>
  </si>
  <si>
    <t>SALAIRE 21/02-20/03 RAZAK</t>
  </si>
  <si>
    <t>SALAIRE 21/02-20/03 SANGARE NOUNHO</t>
  </si>
  <si>
    <t>BARRY ACHAT D'HAMECON POUR LE HIAB</t>
  </si>
  <si>
    <t>VASSIRIKI ACHAT DE CARBURANT POUR DEPANNAGE AU NORD</t>
  </si>
  <si>
    <t>KONATE K CROISSILON DU CARDRAN</t>
  </si>
  <si>
    <t xml:space="preserve">BARRY ACHAT DE FILTRE D'HUILE POUR LA 330 </t>
  </si>
  <si>
    <t>BARRY ACHAT DE PIECE POUR DEPANNAGE DES MACHINES A NASSIAN</t>
  </si>
  <si>
    <t>MORY CARBURANT POUR INTERVENIR SUR LA 325</t>
  </si>
  <si>
    <t>TRANSPORT TATA ET KOIRA</t>
  </si>
  <si>
    <t>CEDRIC POUR DEPOT DE MATERIEL</t>
  </si>
  <si>
    <t>MAMADOU RESTE LOCATION DE CAMION PLATEAU</t>
  </si>
  <si>
    <t>DIABY POUR UNITE ET TRANSPORT VISITE DE CAMION</t>
  </si>
  <si>
    <t>M MAMADOU 2 PNT BASCULE/MECANICIEN ET HUILE</t>
  </si>
  <si>
    <t>LA COMPTABLE POUR DOCUMENT DES IMPOTS</t>
  </si>
  <si>
    <t>AMA TRANSPORT ENC DE CHEQUE A BDU ET UNITE</t>
  </si>
  <si>
    <t>BEN D POUR ACHAT DE FILTRE HYDRAULIQUE 330</t>
  </si>
  <si>
    <t>APPRO CAISSE PAR REMBOUSSEMENT DE CARBURANT DE VASSIRIKI</t>
  </si>
  <si>
    <t>APPRO CAISSE PAR CHEQUE BDU FF 1619</t>
  </si>
  <si>
    <t>BEN POUR COLLAGE DE PNEU DE LA PETITE VOITURE ET CARBURANT</t>
  </si>
  <si>
    <t>ACHAT DE HUILE DE MOTEUR A PETRO IVOIRE</t>
  </si>
  <si>
    <t>JOEL TRANSPORT POUR DEPOT DE FACTURE A LA PFO</t>
  </si>
  <si>
    <t>DEPOT A YAKOU POUR CARBURANT FRAIS DE STATIONNEMENT ET HOTEL A BOUAKE</t>
  </si>
  <si>
    <t>TRANSPORT AMA POUR REGLEMENT DE FACTURE A PETRO</t>
  </si>
  <si>
    <t>PARTICIPATION POUE LE MARIAGE DE M BAMBA</t>
  </si>
  <si>
    <t>APPRO CAISSE PAR CHEQUE BDU FF 1620</t>
  </si>
  <si>
    <t>BARRY POUR LES INTERVENTIONS SUR LA 325 ET LA CHARGEUSE</t>
  </si>
  <si>
    <t>MAMADOU 5 BIDONS AD BLEU ET 3 CEINTURES</t>
  </si>
  <si>
    <t>BEN LAVAGE</t>
  </si>
  <si>
    <t>FRAIS DE TRANSPORT POUR ENVOYER LES MATERIELS A NOUVEAU BUREAU</t>
  </si>
  <si>
    <t>JEAN ELLER RETOUR POUR LE CONTRAT DE AUTOCHEK</t>
  </si>
  <si>
    <t>SALAIRE 21/02-20/03 DE TOURE YOUSSOUF</t>
  </si>
  <si>
    <t>TRANSPORT BDU 2 TOURS ET GTB</t>
  </si>
  <si>
    <t>LA COMPTABLE POUR RETRAIT DES DOCS DE SIMACOD</t>
  </si>
  <si>
    <t>AMA TRANSPORT POUR CNPS ET IMPOTS 2 TOURS</t>
  </si>
  <si>
    <t>MAMADOU AD BLEU AA730 ET AA624</t>
  </si>
  <si>
    <t>ELISE POUR CONFECTION DE BADGE ET CARTE DE VISITE</t>
  </si>
  <si>
    <t>SANOGO M COLLAGE DE PNEU</t>
  </si>
  <si>
    <t>BARRY POUR LES TRAVAUX SUR LA 330 A SASSANDRA</t>
  </si>
  <si>
    <t>BEN DOUMBIA POUR ACHAT DE FILTRE A GASOIL DE LA TRACTOPELLE</t>
  </si>
  <si>
    <t>MAMADOU 3 AD BLEU AA624 ET 4 AD BLEU AA294</t>
  </si>
  <si>
    <t xml:space="preserve">JEAN DEPOT DE FACTURE A LA PFO ET LA CLE DE LA NIVELLEUSE </t>
  </si>
  <si>
    <t>HAMIDOU POUR ACHAT DE MATERIEL POUR LA REPARATION DE LA CITERNE</t>
  </si>
  <si>
    <t>APPRO CAISSE PAR CHEQUE BDU FF 1164</t>
  </si>
  <si>
    <t>PAIEMENT 21/02-20/03 HIAB</t>
  </si>
  <si>
    <t>PAIEMENT 21/02-20/03 CITERNE 6501</t>
  </si>
  <si>
    <t>TRANSPORT JOEL POUR LE RETOUR DU PLATEAU QUITTANT A AFRIK BETON</t>
  </si>
  <si>
    <t>AMA TRANSPORT BDU ET ECOBANK</t>
  </si>
  <si>
    <t>MAMADOU VIDANDE DU AA407 ET AA294</t>
  </si>
  <si>
    <t>TRANSPORT ISSA POUR RECUPERATION DES RAPPORTS MENSUEL A BINGERVILLE</t>
  </si>
  <si>
    <t>SANOGO POUR ACHAT DE 4 PNEUS DE LA CAMIONNETTE 51WWCI01</t>
  </si>
  <si>
    <t>STAFFER POUR LE NOUVEAU BUREAU</t>
  </si>
  <si>
    <t>BEN DOUMBIA POUR ACHET DE SHOCK DE LA TRACTOPELLE</t>
  </si>
  <si>
    <t>M CISSE TRANSPORT POUR ALLER METTRE LE GPS SUR LA BULL DE NASSIAN</t>
  </si>
  <si>
    <t>MAMADOU POUR ACHAR DE 2PNEUS POUR AA407 ET 2 POUR AA624</t>
  </si>
  <si>
    <t>PAIEMENT 21/02-20/03 CAMIONNETTE 134GC01</t>
  </si>
  <si>
    <t>PAIEMENT 21/02-20/03 CAMIONNETTE 9697</t>
  </si>
  <si>
    <t>DOUMBIA POUR ALLER VISITER LES BENNES A ANANI</t>
  </si>
  <si>
    <t>BEN DOUMBIA POUR ACHAT D'HUILE HYDRAULIQUE POUR LA 325 ET TRANSPORT</t>
  </si>
  <si>
    <t>MORY PRISE EN CHARGE ET CARBURANT POUR LINTERVENTION DUR LA 330</t>
  </si>
  <si>
    <t xml:space="preserve">BEN DOUMBIA ACHAT DE FILTRE ET FRAIS D'EXPEDITION </t>
  </si>
  <si>
    <t>BEN DOUMBIA ACHAT DE FILTRE HYDRAULIQUE DE LA 330</t>
  </si>
  <si>
    <t>BARRY SALAIRE BINGERVILLE ET LOYER DE NOUFFOU</t>
  </si>
  <si>
    <t>ABOU CARBURANT NASSIAN SASSANDR</t>
  </si>
  <si>
    <t>MAMADOU POUR ENTRETIEN DE DOUBLE CABINE ET MONTAGE DE 4 PNEUS CAMIONS PLATEAU</t>
  </si>
  <si>
    <t>SANOGO CARBURANT 62 L ET FRAIS DE ROUTE POUR LA DOUBLE CABINE APRES ENTRETIEN</t>
  </si>
  <si>
    <t>CARBURANT 130 L AA407</t>
  </si>
  <si>
    <t>APPRO CAISSE PAR CHEQUE BDU FF 1624</t>
  </si>
  <si>
    <t>AMA TRANSPORT BDU /ECOBANK ET NSIA</t>
  </si>
  <si>
    <t>BEN DIAKITE LAVAGE</t>
  </si>
  <si>
    <t>ACHAT DE CARBURANT DE LA DOUBLE CABIEN 388WWCI01</t>
  </si>
  <si>
    <t>MORY CARBURANT ET INFRACTION / DOUBLE CABINE</t>
  </si>
  <si>
    <t>COMMISSION MISS DIABY /KOUTO/NAS ET KRH</t>
  </si>
  <si>
    <t>ACHAT D APPAREIL DE AD BLEU DU AA624</t>
  </si>
  <si>
    <t>BEN-SORY POUR EXPEDITION D'HUILE DE MOTEUR DE LA 330 A SASSANDRA</t>
  </si>
  <si>
    <t>JOEL DEPOT DE FACTURE A LA PFO</t>
  </si>
  <si>
    <t>TRANSFERT D'UNITE MISS DIABY</t>
  </si>
  <si>
    <t>LACINE POUR COLLAGE DE PNEU DE LA BENNE 4192WW</t>
  </si>
  <si>
    <t>MAMADOU CARBURANT ET FRAIS DE ROUTE POUR AA294/KONG ET AA407/NASSIAN</t>
  </si>
  <si>
    <t>MAMADOU RELIQUAT CARBURANT ET FRAIS DE ROUTE POUR AA294/KONG ET AA407/NASSIAN</t>
  </si>
  <si>
    <t>CARBURANT BEN</t>
  </si>
  <si>
    <t>TRANSPORT DOUMBIA ABOU AU KILOMETRE 22 POUR VOIR DES CARS</t>
  </si>
  <si>
    <t>APPRO CAISSE PAR MADAME DEPOT WAVE</t>
  </si>
  <si>
    <t>APPRO CAISSE PAR MADAME EN ESPECE</t>
  </si>
  <si>
    <t>LOCATION DE BULL 5JRS AVANT ET PORTE CHAR RETOUR</t>
  </si>
  <si>
    <t>SOLDE DU MOIS DE MARS</t>
  </si>
  <si>
    <t>SOLDE DU MOIS DE AVRIL</t>
  </si>
  <si>
    <t>APPRO CAISSE EN ESPECE PAR MADAME</t>
  </si>
  <si>
    <t>BARRY POUR ACHAT DE  PAQUETS DE RAME</t>
  </si>
  <si>
    <t>ATTESTATION DE RESIDENCE POUR MADAME /TRANSPORT /TRANSPORT IMPOT</t>
  </si>
  <si>
    <t>LOUTINE / PEAGE POUR ALLER A TATA</t>
  </si>
  <si>
    <t>TRANSPORT RETOUR POUR LES NOUVEAUX CHAUFFEURS DES NEW CAR DE RAMASSAGE</t>
  </si>
  <si>
    <t>CARBURANT POUR LES 2 NEW CAR DE RAMASSAGE</t>
  </si>
  <si>
    <t>VASSIRIKI CARBURANT</t>
  </si>
  <si>
    <t>MAMADOU ACHAT DE AD BLEU</t>
  </si>
  <si>
    <t>ADAMO POLICE ROUTIERE POUR LA GRUE</t>
  </si>
  <si>
    <t>SAWADOGO ADAMA POUR COLLAGE DE PNEU</t>
  </si>
  <si>
    <t>CARBURANT ET FRAIS DE ROUTE DE LA CAMIONNETTE 3881WW DE NASSIAN</t>
  </si>
  <si>
    <t>PAIEMENT DE 2 VOYAGES DE M MAMADOU</t>
  </si>
  <si>
    <t>MAMADOU/APPAREILS AD ET MISE EN PLACE</t>
  </si>
  <si>
    <t>MISS KOUASSI ACHAT DIVERS POUR LE BUREAU</t>
  </si>
  <si>
    <t>NOUFFOU POUR FRAIS DE CONNEXION DE BATTERIE DE LA 330 A SASSANDRA</t>
  </si>
  <si>
    <t>TRANSPORT DU CHAUFFEUR DE LA TRACTOPELLE A PRES DEMOBILISATION</t>
  </si>
  <si>
    <t>INSATALLATION DE 4 COMPTEURS ET TRANSPORT DE L'ELECTRICIEN</t>
  </si>
  <si>
    <t>TRANSPORT MECANICIEN/DIABY ET DOMBIA PAR RAPPORT AU CAR EN PANNE</t>
  </si>
  <si>
    <t>CONFECTION DE CACHET ET TRANSPORT</t>
  </si>
  <si>
    <t>SANOGO TRAVAUX DE SOUDURE SUR AA624</t>
  </si>
  <si>
    <t>MAMADOU POUR ACHAT DE 4 PNEUS/BALLONFILTRE A HUILE ET GASOIL/HUILE DE MOTEUR</t>
  </si>
  <si>
    <t>SANOGO BEMA POUR REMBOUSSEMENT DE FRAIS DE ROUTE/730LE03</t>
  </si>
  <si>
    <t>DEPOT DE DOCS A NSIA POUR OUVERTURE DE COMPTE</t>
  </si>
  <si>
    <t>LOUTINE CARBURANT ET FRAIS DE ROUTE</t>
  </si>
  <si>
    <t>DIABY POUR CARBURANT ET FRAIS DE ROUTE POUR LE NEW CAR DE RAMASSAGE</t>
  </si>
  <si>
    <t>TRANSPORT AMA POUR NSIA ABOBO</t>
  </si>
  <si>
    <t>COMMISSSION 21/02-20/03 M TUO</t>
  </si>
  <si>
    <t>COMMISSSION 21/02-20/03 M KAYE</t>
  </si>
  <si>
    <t>ALAMAY LAVAGE DES CAMIONS DE NASSIAN</t>
  </si>
  <si>
    <t>REMBOURSSEMENT DES SURPLUS DE ADAMO</t>
  </si>
  <si>
    <t>SALAIRE AVRIL JOEL GUEI</t>
  </si>
  <si>
    <t>SALAIRE AVRIL BEN DIAKITE</t>
  </si>
  <si>
    <t>ADAMO /FILTRE A HUILE ET GAZOIL DU HIAB</t>
  </si>
  <si>
    <t>APPRO CAISSE PAR CHEQUE BDU BTTP 303</t>
  </si>
  <si>
    <t>APPRO CAISSE PAR CHEQUE BDU FF 1171</t>
  </si>
  <si>
    <t>SALAIRE AVRIL MARYAM</t>
  </si>
  <si>
    <t>COMMISSIONS 02-03 FABRICE</t>
  </si>
  <si>
    <t>SALAIRE AVRIL FOUSSENI SAMAKE</t>
  </si>
  <si>
    <t>SALAIRE AVRIL HAMIDOU D</t>
  </si>
  <si>
    <t>SALAIRE AVRIL DAO ISMAEL</t>
  </si>
  <si>
    <t>SALAIRE AVRIL COULIBALY LACINE</t>
  </si>
  <si>
    <t>SALAIRE AVRIL KONATE KARIM</t>
  </si>
  <si>
    <t>SALAIRE AVRIL TRAORE NAMBAGA</t>
  </si>
  <si>
    <t>SALAIRE AVRIL SANOGO BEMA</t>
  </si>
  <si>
    <t>SALAIRE AVRIL SOUMAHORO SOULEYMAN</t>
  </si>
  <si>
    <t>SALAIRE AVRIL KONE MORY</t>
  </si>
  <si>
    <t>SALAIRE AVRIL FOFANA ODIENNE</t>
  </si>
  <si>
    <t>SALAIRE AVRIL FOFANA ALMAMY</t>
  </si>
  <si>
    <t>SALAIRE AVRIL YAKOU DIARRASSOUBA</t>
  </si>
  <si>
    <t>SALAIRE AVRIL SIGUIE IBRAHIM</t>
  </si>
  <si>
    <t>SALAIRE AVRIL SANOGO MOUSTAPHA</t>
  </si>
  <si>
    <t>SALAIRE AVRIL BAMBA KADIN</t>
  </si>
  <si>
    <t>SALAIRE AVRIL ADAMO</t>
  </si>
  <si>
    <t>OFFRANDE EN NUMERAIRE</t>
  </si>
  <si>
    <t>M CISSE POUR INSTALLATION DE GPS ET DEPLACEMENT</t>
  </si>
  <si>
    <t>MAMADOU TRAVAUX SUR LES 3 PLATEAUX D'ABIDJAN</t>
  </si>
  <si>
    <t>SALIF PORGO POUR TRANSPORT /DECES DE SON FRERE</t>
  </si>
  <si>
    <t>ADAMO PRISE EN CHARGE DU CHAUFFEUR DU HIAB CAS DE MALADIE</t>
  </si>
  <si>
    <t>COMMISSION 02-03 VENANCE</t>
  </si>
  <si>
    <t>MISS DIABY POUR EXPEDITION DES PNEUS A NASSIAN</t>
  </si>
  <si>
    <t>PAIEMENT DE FACTURE MTN</t>
  </si>
  <si>
    <t>JEAN DEPOT DE FACTURE A LA PFO APRES RECTIFICATION</t>
  </si>
  <si>
    <t>CARBURANT ET FRAIS DE ROUTE POUR LE NEW CAR DE RAMASSAGE KORHOGO</t>
  </si>
  <si>
    <t>VASSIRIKI CARBURANT 50L POUR ESSAIE DE LA CHARGEUSE</t>
  </si>
  <si>
    <t>VASSIRIKI MAIN D'ŒUVRE ELECTRICIEN POUR ESSAI DU GRADER</t>
  </si>
  <si>
    <t>ACHATE DE 6 BOITES D'ENCRE ET REPARATION DES DEUX IMPRIMANTES</t>
  </si>
  <si>
    <t>JOEL RECUPERATION DE BL ET DEPOT DE FACTURES A LA PFO</t>
  </si>
  <si>
    <t>DIABY POUR EXPEDITION DES BHUILE DU HIAB</t>
  </si>
  <si>
    <t>CREDIT TELEPHONIQUE DE LA COMPTABLE</t>
  </si>
  <si>
    <t>SALAIRE AVRIL DOUMBIA MOROGNA</t>
  </si>
  <si>
    <t>SALAIRE AVRIL MAMADOU KOITA</t>
  </si>
  <si>
    <t>SALAIRE AVRIL SAWADOGO ADAMA</t>
  </si>
  <si>
    <t>SALAIRE AVRIL BEN DOUMBIA</t>
  </si>
  <si>
    <t>OFFRANDE ABOBO ET WILLIAMSVILLE</t>
  </si>
  <si>
    <t>AMLMAMY POUR ACHAT DE 3 POTS DE FREIN DE LA CHARGEUSE</t>
  </si>
  <si>
    <t xml:space="preserve">COULIBALY 18L DE CARBURANT </t>
  </si>
  <si>
    <t>LOUTINE FRAIS D'EXPEDITION L HUILE A POMPE A NASSIAN ET TRANSPORT POUR AHOUABO</t>
  </si>
  <si>
    <t>M MAMADOU CARBURANT ET FRAIS DE ROUTE POUR AA624 ET AA294</t>
  </si>
  <si>
    <t>MAMADOU ACHAT DE 2 BACHES POUR AA047 ET 4192WW</t>
  </si>
  <si>
    <t>M TIDIANE POUR MOBILISATION DE LA 315 SUR SEBREKO</t>
  </si>
  <si>
    <t>RECUPERATION DE LA PATENTE DE LA PICKUP A ABOBO</t>
  </si>
  <si>
    <t>BEN RELIQUAT POUR LES OFFRANDES</t>
  </si>
  <si>
    <t>JONAS BIAKOU POUR ACHAT DE 1 ENCRE NOIR,</t>
  </si>
  <si>
    <t>REMBOURSSEMENT A M SANOGO</t>
  </si>
  <si>
    <t>MORY POUR LA CARTE DE STATIONNEMENT DE LA PICKUP</t>
  </si>
  <si>
    <t>BARRY REPARATION DE LA 320 ET 325</t>
  </si>
  <si>
    <t>AVANCE 5JRS CITERNE 8702GS01 POUR NASSIAN</t>
  </si>
  <si>
    <t>ABOU 50L DE CARBURANT POUR LA PICKUP</t>
  </si>
  <si>
    <t>TRANSPORT AMA POUR BDU ET NSIA</t>
  </si>
  <si>
    <t>DOUMBIA IBRAHIM AVANCE SUR COUTURE DES TENUES DES HOMMES</t>
  </si>
  <si>
    <t>BAMBA ACHAT DE 2 BATTERIES/4 COCHES POUR LA 325 ET TRANSPORT</t>
  </si>
  <si>
    <t>MOROGNA POUR ALLER CHERCHER UNE BENNE AVEC M MAMADOU</t>
  </si>
  <si>
    <t>MORY TRANSPORT POUR LA CARTE DE STATIONNEMENT DE LA PICKUP AU PLATEAU</t>
  </si>
  <si>
    <t>MORY TRANSPORT POUR TATA ET FOTON</t>
  </si>
  <si>
    <t>REPARATION DE L IMPRIMENTE DE LA CAISSERE</t>
  </si>
  <si>
    <t>TRANSPORT ISSA POUR ALLER DEPOSER DES COLIS AU GARAGE</t>
  </si>
  <si>
    <t>FACTURE CIE ET TRANSPORT</t>
  </si>
  <si>
    <t>LOCATION DE PORTE CHAT ET CHAUFFEUR POUR FAIRE MONTER LA NIVELLEUSE</t>
  </si>
  <si>
    <t>ALMAMY POUR ACHAT DE 2 BOULONS DE LA 8207EJ01</t>
  </si>
  <si>
    <t>MORY POUR ALLER CHEZ MADAME</t>
  </si>
  <si>
    <t>DEPOT DE CHEQUE A RIMCO</t>
  </si>
  <si>
    <t>VASSIRIKI/RESSORT DE VALF</t>
  </si>
  <si>
    <t>SALAIRE AVRIL SANKARA MOUSSA</t>
  </si>
  <si>
    <t>SALAIRE AVRIL DAO SOUMAHILA</t>
  </si>
  <si>
    <t>SALAIRE AVRIL COULIBALY AMADOU</t>
  </si>
  <si>
    <t>SALAIRE AVRIL OUMAR DJIKE</t>
  </si>
  <si>
    <t>NOUFFOU TRANSPORT ET ACHAT DE CLE POUR LA PELLE</t>
  </si>
  <si>
    <t>CONFECTION DE CARNETS PAR ELISEE</t>
  </si>
  <si>
    <t>MORRY TRANSPORT CARGO POUR ALLER CHERCHER LES PORTES</t>
  </si>
  <si>
    <t>SALAIRE AVRIL KONE SEKOU</t>
  </si>
  <si>
    <t>SIGUIE CARBURANT/FRAIS DE ROUTE ET PEAGE DE LA CAMIONNETTE 51WWW01</t>
  </si>
  <si>
    <t>FRAIS DE POLICIER POUR COULIBALY ET SAWADOGO A KORHOGO</t>
  </si>
  <si>
    <t>CARBURANT ET FRAIS DE ROUTE / MORY ET VASSIRIKI POUR LE NORD</t>
  </si>
  <si>
    <t>BEN LAVAGE DES 2 VOITURES</t>
  </si>
  <si>
    <t>MORY CARBURANT ET ACHAT D HUILE HYDRAULIQUE DE LA 320</t>
  </si>
  <si>
    <t>VASSIRIKI VOYANT HYDRAULIQUE DE LA 320</t>
  </si>
  <si>
    <t>ALAMAMY MONTAGE DE 2 PNEUS LA BENNE</t>
  </si>
  <si>
    <t>ALAMAMY MONTAGE DE 2 PNEUS LA CITERNE 8207PJ01</t>
  </si>
  <si>
    <t>LA COMPTABLE POUR ALLER AU DGI</t>
  </si>
  <si>
    <t>VASSIRIKI ACHAT DE GENTE ET AUTRES POUR LE HIAB</t>
  </si>
  <si>
    <t>BARRY ACHAT DE 2 BATTERIES POUR LA 325</t>
  </si>
  <si>
    <t>APPRO CAISSE EN ESPECE PAR MDM FOBAH</t>
  </si>
  <si>
    <t>CREDIT TELEPHONIQUE DE MOROGNA</t>
  </si>
  <si>
    <t>EXPEDITION DES 2 GENTES A BOUNDIALI</t>
  </si>
  <si>
    <t>BAMBA LOYER BOUNDIALY</t>
  </si>
  <si>
    <t>NOUFFOU POUR ACHAT DE 2 BIDONS D'HUILE POUR LA 330</t>
  </si>
  <si>
    <t>CARBURANT POUR LOCATION CITERNE 29277HT01 KRH-KOUTO</t>
  </si>
  <si>
    <t>APPRO CAISSE PAR CHEQUE BDU BTTP 310</t>
  </si>
  <si>
    <t>REMBOURSSEMENT APPRO FAIT PAR MDM FOBAH</t>
  </si>
  <si>
    <t>REGLEMENT FACTURE M CISS /GPS</t>
  </si>
  <si>
    <t>ADAMO LOYER KONG ET KOUTO</t>
  </si>
  <si>
    <t>LACINA TRANSPORT POUR CHERCHER LES PNEUS ET SOUDURE DE BENNE AA047</t>
  </si>
  <si>
    <t>APPRO CAISSE PAR CHEQUE BDU BTTP 311 ET 312</t>
  </si>
  <si>
    <t>AVANCE PORTE CHAR POUR ENLEVEMENT DE COMPTEUR ABOBO-SONGON</t>
  </si>
  <si>
    <t>MAMADOU COLLAGE DE PNEU ET FRAIS DE ROUTE AA294</t>
  </si>
  <si>
    <t>M DRAMANE POMPE ALIMENTATION DU HIAB</t>
  </si>
  <si>
    <t>SALAIRE AVRIL VASSIRIKI</t>
  </si>
  <si>
    <t>AVANCE 5 JRS LOCATION DE NIVELLEUSE POUR KORHOGO</t>
  </si>
  <si>
    <t>DRAMANE POUR VIDENGE DU PLATEAU AA624</t>
  </si>
  <si>
    <t>BAMBA RELIQUAT TRANSPORT POUR CHERCHER LES PNEUS ET SOUDURE DE BENNE AA047</t>
  </si>
  <si>
    <t>CARBURANT POUR LA PICKUP</t>
  </si>
  <si>
    <t>AVANCE  POUR LOCATION CITERNE 29277HT01 KRH-KOUTO</t>
  </si>
  <si>
    <t>AVANCE 5 JRS SUR LA SALAIRE DE NOUFFOU</t>
  </si>
  <si>
    <t>BAMBA POUR LAVAGE DES 2 NOUVEAUX CAMIONS</t>
  </si>
  <si>
    <t>BAMBA TRANSPORT /DOUILLE ET SOUDURE DE LA BENNE AA954</t>
  </si>
  <si>
    <t>ACHAT DE BOUTON DE ROUE /SOUDURE ET MAIN D' ŒUVRE AA624</t>
  </si>
  <si>
    <t xml:space="preserve">AMA TRANSPORT BDU </t>
  </si>
  <si>
    <t>APPRO CAISSE PAR CHEQUE BDU BTTP 313</t>
  </si>
  <si>
    <t>BAMBA MONTAGE ET DEMONTAGE DE PNEUS</t>
  </si>
  <si>
    <t>ELISEE AUTOCOLLANT 3 CAMIONS PLATEAU</t>
  </si>
  <si>
    <t>NOUFFOU POUR PRISE EN CHARGE EN CAS DE MALADIE</t>
  </si>
  <si>
    <t>JEAN POUR DEPOR DE FACTURES A FINANCER A LA BDU YOP</t>
  </si>
  <si>
    <t>MORY CARBURANT DE LA PICKUP</t>
  </si>
  <si>
    <t>ACHAT DE BONBONNE D'EAU</t>
  </si>
  <si>
    <t>REMBOURSSEMENT DU PORTE CHAR /M MARC</t>
  </si>
  <si>
    <t>DOUMBIA IBRAHIM SOLDE SUR COUTURE DES TENUES DES HOMMES</t>
  </si>
  <si>
    <t>CONFECTION DE TENUES POUR LES FEMMES</t>
  </si>
  <si>
    <t>DIABY TRANSPORT POUR ALLER VOIR LE CAMION DE DEFLEXION</t>
  </si>
  <si>
    <t>REMPLACEMENT 2 JRS DU CHAUFFEUR DE LA 330</t>
  </si>
  <si>
    <t>MORY LAVAGE DE LA PICKUP</t>
  </si>
  <si>
    <t>AMA TRANSPORT BDU ET AGENCE DEPOT</t>
  </si>
  <si>
    <t>MAMADOU PAIMENT 3VOYAGES/VOYAGE DE 2 CAMIONS PLATEAU DUR DABAKALA</t>
  </si>
  <si>
    <t>APPRO CAISSE PAR CHEQUE BDU BTTP 315</t>
  </si>
  <si>
    <t>SALAIRE MAI LA COMPTABLE</t>
  </si>
  <si>
    <t>AVANCE SUR BRODERIE DU LOGO KS</t>
  </si>
  <si>
    <t>ISSA TRANSPORT POUR BINGERVILLE</t>
  </si>
  <si>
    <t xml:space="preserve">MORY ACHAT DE GUANT ET TRANSPORT (2JRS) </t>
  </si>
  <si>
    <t>COMMISSIONS BAMBA SUR LE CAR 1931</t>
  </si>
  <si>
    <t>FRAIS POLICIER POUR ENLEVEMENT DE SABO/AA407 ET AA294</t>
  </si>
  <si>
    <t>AMA TRANSPORT CHAMBRE DE COMMERCE/SOGENA ALLER ET RETOUR</t>
  </si>
  <si>
    <t>SOLDE SUR BRODERIE DU LOGO KS</t>
  </si>
  <si>
    <t>JEAN DEPOT DE FACTURES A LA PFO 2 TOURS</t>
  </si>
  <si>
    <t>BAMABA/CARBURANT ET AUTRE POUR LE CAR 5311WW /KRH-ABJ</t>
  </si>
  <si>
    <t>LASSO/ AVANCE LOCATION DE FOURGON 15T/PFO ODIENNE</t>
  </si>
  <si>
    <t>LASSO/SOLDE LOCATION DE FOURGON 15T/PFO ODIENNE</t>
  </si>
  <si>
    <t>MAMADOU ACHAT DE BATTERIES POUR AA624</t>
  </si>
  <si>
    <t>APPRO CAISSE PAR CHEQUE SGCI FF 336</t>
  </si>
  <si>
    <t>FOBA AVANCE DEMI MOIS DE 2 CARS/NASSIAN ET BINGERVILLE</t>
  </si>
  <si>
    <t>JEAN DEPOT DE CHEQUE A ISIS</t>
  </si>
  <si>
    <t>SANOGO BEMA /FRAIS DE ROUTE 730LE03 POUR ABIDJAN</t>
  </si>
  <si>
    <t>DIABY POUR ACHAT DE TICKET</t>
  </si>
  <si>
    <t>MOREY TRANSPORT PK 22 AU GARAGE POUR DEPOSER LA VOITURE</t>
  </si>
  <si>
    <t>LOUTINE TRANSPORT VISITE MACHINE</t>
  </si>
  <si>
    <t>BAMBA ACHAT DE MATELA ET VENTILATEUR POUR LE CHAUFFEUR DE 5312WWCI01</t>
  </si>
  <si>
    <t>TRANSFERT D'UNITE MISS KOUASSI</t>
  </si>
  <si>
    <t>TRANSPORT DU REMPLACANT DU CHAUFFEUR NOUFFOU</t>
  </si>
  <si>
    <t>DIABY POUR PROSPECTION A ADJAME/AGNAMA ET CGK</t>
  </si>
  <si>
    <t>VASSIRIKI ACHAT DE 2 BIDONS D4HUILE DE LA 325</t>
  </si>
  <si>
    <t>ABOU CARBURANT ET FRAIS DE ROUTE</t>
  </si>
  <si>
    <t>BAN DIAKITE CARBURANT DE LA VOITURE DES ENFANTS</t>
  </si>
  <si>
    <t>ADAMO POUR MONTAGE DE POMPE A MAIN</t>
  </si>
  <si>
    <t>LOCATION DE CAMION FOURGON POUR YAMOUSSOKRO ET ODIENNE</t>
  </si>
  <si>
    <t>MAMADOU FRAIS DE ROUTE AA407 ET APPAREIL AD BLUE POUR AA730</t>
  </si>
  <si>
    <t>COUTURIER DOUMBIA /TRANSPORT POUR CONFECTION DE LOGO</t>
  </si>
  <si>
    <t>AMA TRANSPORT POUR SGCI DJIBI/VALLON ET PALMERAIE</t>
  </si>
  <si>
    <t xml:space="preserve">LOUTINE TRANSPORT POUR PALAIS DE LA CULTURE ALLER ET RETOUR </t>
  </si>
  <si>
    <t>ALAMAMY FRAIS DE ROUTE ET CARBURANT DE LA CAMIONNETTE DE NASSIAN A ABIDJAN</t>
  </si>
  <si>
    <t>ADAMO CARBURANT POUR ALLER VOIR LE HIAB/SOUDURE</t>
  </si>
  <si>
    <t>LAVAGE DE LA VOITURE DES ENFANTS /BEN</t>
  </si>
  <si>
    <t>COULIBALY MONTAGE DE PNEU ET ACHAT DE FIL POUR LA BENNE AA954</t>
  </si>
  <si>
    <t>CARBURANT DU MINI CAR QUI VA A NASSIAN</t>
  </si>
  <si>
    <t>TRANSPORT MOROGNA POUR ALLER VOIR CAMION A YOPOUGUON</t>
  </si>
  <si>
    <t>DIABY TRANSPORT ACHAT DE MATERIELS POUR LA CITERNE EN PANNE ET PROSPECTION</t>
  </si>
  <si>
    <t>ADAMO ACHAT DE FILTRE A GASOIL DU HIAB</t>
  </si>
  <si>
    <t>TRANSPORT BEN ET VASSIRIKI POUR ALLER CHEZ ALEX</t>
  </si>
  <si>
    <t>AMA TRANSPORT PFO/BDU/SGCI</t>
  </si>
  <si>
    <t>PONT BASCULE SOUHARO SOULEYMAN</t>
  </si>
  <si>
    <t>APPRO CAISSE PAR CHEQUE SGCI FF 341</t>
  </si>
  <si>
    <t>BARRY ISSA TRANSPORT POUR SIGNATURE A BINGERVILLE</t>
  </si>
  <si>
    <t>SOLDE LOCATION DE CAMION FOURGON POUR ODIENNE</t>
  </si>
  <si>
    <t>LIVRAISON DE 5 PUCES MTN</t>
  </si>
  <si>
    <t>BEN COULIBALY POUR PORTE CHAR</t>
  </si>
  <si>
    <t>BEN DOUMBIA TRANSPORT NDOTRE POUR DEPOT DE KIT CHAUFFEUR ET AUTOCOLLANT</t>
  </si>
  <si>
    <t>ACHAT DE 4 PNEUS DU CAMION PLATEAU AA294</t>
  </si>
  <si>
    <t>AVANCE PORTE CHAR DE 2 BULLS POUR DABAKALA</t>
  </si>
  <si>
    <t>AVANCE CONFECTION DE CACHETS</t>
  </si>
  <si>
    <t>BAMBA/COLLAGE DE PNEU DE LA BENNE ET 2 MOIS DE CAUTION DABAKALA</t>
  </si>
  <si>
    <t>SEKOU KONE/CARBURANT ET FRAIS DE ROUTE</t>
  </si>
  <si>
    <t>AMA TRANSPORT CHEZ  MADAME/SOGIMAS ET NSIA</t>
  </si>
  <si>
    <t>MAMADOU/HUILE DE BOITE ET HUILE DE PONT /PLATEAU AA407</t>
  </si>
  <si>
    <t>ALMAMY TRAVAUX MECANIQUE SUR LA BENNE AA951</t>
  </si>
  <si>
    <t>CHAUFFEUR POUR FAIRE MONTER LA PELLE SUR LE PORTE CHAR</t>
  </si>
  <si>
    <t>SORO FRAIS DE LIVRAISON DU COLIS DE LA QUINCAILLERIE</t>
  </si>
  <si>
    <t>JEAN DEPOT DE FACTURE A KOIRA</t>
  </si>
  <si>
    <t>MOROGNA REMBOURSSEMENT TRANSPORT POUR PROSPECTION</t>
  </si>
  <si>
    <t>BEN CARBURANT POUR BASSAM</t>
  </si>
  <si>
    <t>KONATE YANOURWA Y PORTE CHAR RETOUR NIVELLEUSE KORHOGO</t>
  </si>
  <si>
    <t>APPRO CAISSE EN ESPECE PAR RETRAIT A SOGIMAS</t>
  </si>
  <si>
    <t>BARRY/POUR PROSPECTION</t>
  </si>
  <si>
    <t>M LASSO AVANCE LOCATION DE CAMION FOURGON 15T</t>
  </si>
  <si>
    <t xml:space="preserve">KOUASSI LOU TRANSPORT ALLER RETOUR POUR ALLER CHEZ MADAME </t>
  </si>
  <si>
    <t>SOLDE CONFECTION DE CACHETS ET TRANSPORT 2 TOURS</t>
  </si>
  <si>
    <t>SALAIRE SANGARE NOUHNO</t>
  </si>
  <si>
    <t>AGOUA BENEDICTE REMBOURSEMENT TRANSPORT POUR ALLER A LA BANQUE SGCI ET ECOBANK</t>
  </si>
  <si>
    <t>ELISEE SOLDE DE CONFECTION DE CARNETS DE FACTURE</t>
  </si>
  <si>
    <t>APPRO CAISE EN ESPECE PAR ZANA COULIBALY</t>
  </si>
  <si>
    <t>ACHAT A LA QUINCAILLERIE POUR LE NOUVEAU BUREAU</t>
  </si>
  <si>
    <t>JEAN  DEPOT DE FACTURE PFO,DES TABLETTES CHEZ KAMAL PUIS DU CHEQUE CHEZ LA NOTAIRE</t>
  </si>
  <si>
    <t>KONE MORY POUR ACHAT DE MATELA ET VENTILATEUR/PLATEAU AA294</t>
  </si>
  <si>
    <t>SOLDE AVANCE PORTE CHAR DE 2 BULLS POUR DABAKALA</t>
  </si>
  <si>
    <t>BARRY POUR LES TRAVAUX SUR LA 325 A BOUAKE</t>
  </si>
  <si>
    <t>MORY CARBURANT POUR LE PICK UP</t>
  </si>
  <si>
    <t>MORY TRANSPORT POUR ALLER CHERCHER LA PICK UP</t>
  </si>
  <si>
    <t>DIABY KADY TRANSPORT BANQUE ET FORFAIT TELEPHONIQUE</t>
  </si>
  <si>
    <t>APPRO CAISSE EN ESPECE PAR CHEQUE  SGCI 354</t>
  </si>
  <si>
    <t xml:space="preserve">AGOUA BENEDICTE REMBOURSEMENT TRANSPORT POUR ALLER A LA BANQUE SGCI </t>
  </si>
  <si>
    <t>JEAN LIVRAISON CHEZ LE NOTAIRE ET A ABOBO</t>
  </si>
  <si>
    <t>MME COULIBALY AVANCE 5 JOURS LOCATION DE CITERNE 1215KP01POUR KOUTO</t>
  </si>
  <si>
    <t>M MAMADOU DOUMBIA AVANCE DEMI MOIS LOCATION DE CAR DE RAMASSAGE POUR KORHOGO</t>
  </si>
  <si>
    <t>DOUMBIA M TRANSPORT RETOUR YOPOUGON POUR CHERHCER LE BON DE LIVRAISON  AFRIK BETON</t>
  </si>
  <si>
    <t>TOURE YOUSSOUF SALAIRE DU 21/03/2025 AU 20/04/2025</t>
  </si>
  <si>
    <t>M PRAMANE ACHAT DE DEMARREUR ET KLAXON DE LA CITERNE</t>
  </si>
  <si>
    <t>KANE M SALAIRE DU REMPLACANT DU CHAUFFEUR HIAB 126JN01</t>
  </si>
  <si>
    <t>MORY K MONTAGE DES 2 PNEUS ET COLLAGE D'UN PNEU POUR LE CAMION AA294</t>
  </si>
  <si>
    <t>MOROGNA AVANCE SUR SALAIRE</t>
  </si>
  <si>
    <t>ACAHT DE CROIX POUR LA PELLE 325</t>
  </si>
  <si>
    <t>ALMANY F ACHAT DE 3 CROIX POUR LE CAMION</t>
  </si>
  <si>
    <t>FOFANA ALMANY LAVAGE DE 4 BENNES,3CAMIONNETTES SUR LE SITE DE NASSIAN</t>
  </si>
  <si>
    <t>HABIB MORY CARBURANT POUR LE PICK UP</t>
  </si>
  <si>
    <t>BAMBA K TRANSPORT DABAKALA</t>
  </si>
  <si>
    <t>BAMBA K LAVAGE DE 2 BENNES AA047 ET AA954</t>
  </si>
  <si>
    <t>DRAMANE TRAVAUX SUR LES CAMIONS PLATEAU AA624KZ</t>
  </si>
  <si>
    <t>JEAN LIVRAISON CHEZ LE NOTAIRE ET DEPOT POUR LES LUNETTES DE MADAME TOURE F</t>
  </si>
  <si>
    <t>LASSINE C SOLDE DE LOCATION DE CAMION DE FOURGON</t>
  </si>
  <si>
    <t>SIDIBE MALAYE PORTE CHAR DE PLACEMENT DE LA 320 D'ABOBO A BASSAM</t>
  </si>
  <si>
    <t xml:space="preserve">BARRY HAMIDOU LOCATION DE 2 CHAR ET AVANCE DE PELLE </t>
  </si>
  <si>
    <t>DIAKITE  BEN CARBURANT BENNE</t>
  </si>
  <si>
    <t>APPRO CAISSE EN ESPECE PAR MADAME KONE</t>
  </si>
  <si>
    <t>FRAIS APPRO CAISSE EN ESPECE PAR ZANA COULIBALY</t>
  </si>
  <si>
    <t>FRAIS APPRO CAISSE PAR MADAME KONE</t>
  </si>
  <si>
    <t>M MAMADOU DOUMBIA AVANCE VOYAGE PFO</t>
  </si>
  <si>
    <t>MOROGNA TRANSPORT ALLER ET RETOUR POUR OUVRIR LE BUREAU</t>
  </si>
  <si>
    <t>TRANSPORT AMA POUR SGCI /ENCAISSEMENT DE CHEQUE M ZANA</t>
  </si>
  <si>
    <t>MAMADOU ACHAT DE 70L ET FRAIS DE ROUTE DE 5 CAMIONS PLATEAUX POUR BASSAM-ANYAMA</t>
  </si>
  <si>
    <t>ALMAMY REPARATION DE LA CITERNE 8207EJ</t>
  </si>
  <si>
    <t>BASSIDIKI ACHAT DE 2 BIDONS AD BLUE AVEC FRAIS DE ROUTE POUR LE CAMION AA730</t>
  </si>
  <si>
    <t>ADAMO ACHAT DE FLECIVE DE DIRECTION,HUILE ET MAIN D'ŒUVRE</t>
  </si>
  <si>
    <t>MORY LAVAGE DU PICK UP ET DE LA VOITURE GRISE</t>
  </si>
  <si>
    <t>MORY TRANSPORT A TATA CARTE GRISE</t>
  </si>
  <si>
    <t>YOUSSOUF SIBIRIE AVANCE SUR SALAIRE</t>
  </si>
  <si>
    <t>HAMIDOU CARBURANT ET BIDONS CHANTIER BASSAM</t>
  </si>
  <si>
    <t>KOITA M EXPEDITIONSDES 6 PNEUS POUR BOUDIALY ET LA LIVRAISON</t>
  </si>
  <si>
    <t>MOUSSA T CARBURANT DE CAR DE RAMASSAGE 34 PLACES A KORHOGO 19390VWCI 01</t>
  </si>
  <si>
    <t>HAMIDOU B AVANCE PELLE 320 BASSAM  ET CARBURANT ABOU</t>
  </si>
  <si>
    <t>VASSIRIKI  CARBURANT BASSAM ET INTERVENTION SUR BINGERVILLE</t>
  </si>
  <si>
    <t>COULIBALY LACINA REPARATION PNEU</t>
  </si>
  <si>
    <t>BEN COULIBALY SOLDE PORTE CHAR POUR MOBILISATION BULLS B7 SUR DABAKALA</t>
  </si>
  <si>
    <t>VASSIRIKI  ACHAT AXE 330 ET SCEAU DE GRAISE</t>
  </si>
  <si>
    <t>KOITA M ACHAT DE FILTRE A HUILE ET GASIOL POUR LE CAMION AA624</t>
  </si>
  <si>
    <t>KOUASSI LOU ACHAT DE TROUSSEAU POUR LE BEBE DU CHAUFFEUR DE CAMION PLATEAU DAO SOUMAHILA</t>
  </si>
  <si>
    <t>PORTE CHAR POUR LE TRANSFERT DE LA 325</t>
  </si>
  <si>
    <t>TRAORE ZOUMANA AVANCE LOCATION DE 2 CAR DE RAMASSAGE 7351HK01 KONG ET 1368HA01 DIVO</t>
  </si>
  <si>
    <t>VASSIRIKI T FRAIS D'EXPEDITION DES PIECES NOUFFOU SUR DIVO</t>
  </si>
  <si>
    <t>APPRO CAISSE EN ESPECE PAR BP EQUIPEMENTS (M KOUASSI)</t>
  </si>
  <si>
    <t>HONDA POUR REMPLACEMENT DU CHEQUE REVENU IMPAYE</t>
  </si>
  <si>
    <t>FRAIS APPRO CAISSE EN ESPECE PAR MADAME KONE</t>
  </si>
  <si>
    <t>APPRO CAISSE EN ESPECE PAR MADAME TOURE(CH BTTP ET WAVE)</t>
  </si>
  <si>
    <t>REMBOURSSEMENT APPRO CAISSE EN ESPECE PAR MADAME KONE</t>
  </si>
  <si>
    <t>2 EME AVANCE DE LA NIVELLEUSE M KONATE/KORHOGO</t>
  </si>
  <si>
    <t>255 935</t>
  </si>
  <si>
    <t>BASSIDIKI S ACHAT DE BALLON DE TRACTEUR ET MAIN D'OEUVRE</t>
  </si>
  <si>
    <t>65 650</t>
  </si>
  <si>
    <t>CISSE HAWA TRANSPORT INSEPTION A N'DOTRE</t>
  </si>
  <si>
    <t>JEAN  DEPOT DE CHEQUE CHEZ MADAME DRAMERA ET DEPOT 2 TOURS PFO</t>
  </si>
  <si>
    <t>NOUFOU POUR LA MAISON A DIVO</t>
  </si>
  <si>
    <t>HAMIDOU B ACHAT DE 2 BATTERIE POUR LA PELLE CHENILLE 320 BASSAM ET REPARATION ET REMPLAMENT JOINT 325 BOUAKE</t>
  </si>
  <si>
    <t xml:space="preserve">DIABY KADY SOUSCRIPTION APPEL </t>
  </si>
  <si>
    <t xml:space="preserve">ALMAMY FRAIS D'HOTEL POUR LA RECHERCHE DE LAME DE RESSORT DE LA CITERNE A EAU 8207EJ01A NASSIAN </t>
  </si>
  <si>
    <t>SEVERIN WOKLIN LOYER DES CONDUCTEURS DE COMPACTEUR ROULEAU LISSE A M'BENGUE</t>
  </si>
  <si>
    <t>DOUMBIA TRANSPORT POUR BUREAU PRENDRE AUTO COLLANT SUITE A ADJAME POUR LE CAR PUIS A ANYAMA</t>
  </si>
  <si>
    <t>HAMIDOU B AVANCE DU 2ème JOUR DE LOCATION DE LA PELLE 320 A BASSAM</t>
  </si>
  <si>
    <t>DIARRASOUBA ADAMA AVANCE SUR SALAIRE</t>
  </si>
  <si>
    <t>BAMBA K AVANCE SUR SALAIRE</t>
  </si>
  <si>
    <t>ALMAMY F CLIMATISATION ET MONTAGE DE PNEU POUR LA CAMIONNETTE DOUBLE CABINE 52WWCI01 NASSIAN</t>
  </si>
  <si>
    <t>FOFANA SIDNEY AVANCE SUR SALAIRE</t>
  </si>
  <si>
    <t xml:space="preserve">SAWADOGO ADAMA FRAIS DE TRANSPORT POUR SE RENDRE BOUNDIALI </t>
  </si>
  <si>
    <t>DIABY ACHAT DE CARBURANT ET BATTERIES POUR SIDIBE</t>
  </si>
  <si>
    <t>DOUMBIA MAMADOU AVANCE DE DEMI MOIS DU CAR DE RAMASSAGE DE 26 PLACES POUR KORHOGO 5048HK01</t>
  </si>
  <si>
    <t>DOUMBIA M CARBURANT GASOIL POUR LE CAR DE RAMASSAGE DE KORHOGO 5048HK01</t>
  </si>
  <si>
    <t>KOUASSI LOU FRAIS DE LIVRAISON POUR RECUPERER LES 2 TABLETTES CHEZ KAMAL</t>
  </si>
  <si>
    <t>JEAN LIVRAISON PFO</t>
  </si>
  <si>
    <t>MORY TRANSPORT RETOUR DE TATA MOTORS SUR L'AUTO ROUTE</t>
  </si>
  <si>
    <t>DIAKITE BEN CARBURANT POUR LA VOITURE GRISE</t>
  </si>
  <si>
    <t>DRAMANE K ACHAT DEL'APPAREIL DE L4AIR POUR LA CITERNE A EAU POTABLE 2875 A KONG</t>
  </si>
  <si>
    <t xml:space="preserve">SEYDOU AVANCE SUR SALAIRE </t>
  </si>
  <si>
    <t>CISSE SOULEYMANE AVANCE DEMI MOIS  ET LOCATION DE CAR DE RAMASSAGE 20 PLACES 6984FK01 POUR KORHOGO</t>
  </si>
  <si>
    <t>SYLLA MOUSSA AVANCE DE DEMI MOIS DU CAR DE RAMASSAGE DE 26 PLACES A BINGERVILLE 743L01</t>
  </si>
  <si>
    <t>TRAORE ZOUMANA AVANCE DE DEMI MOIS DU BUS DE 20 PLACES A KOUTO 6421 FS01</t>
  </si>
  <si>
    <t>DIABY TRANSPORT POUR LES COURSES A FAYA POUR MADAME</t>
  </si>
  <si>
    <t>BARRY ISSA AVANCE SUR SALAIRE</t>
  </si>
  <si>
    <t>DIAKITE BEN PEAGE ALLER ET RETOUR BASSAM</t>
  </si>
  <si>
    <t>DIAKITE  BEN CARBURANT POUR LA VOITURE GRISE</t>
  </si>
  <si>
    <t>LIVREUR YANGO POUR AFRIC AUTO ALLER RETOUR(l'entreprise était fermée)</t>
  </si>
  <si>
    <t>BASSIDIKI S FRAIS DE ROUTE DU PLATEAU AA730</t>
  </si>
  <si>
    <t>MOROGNA ACHAT D'EAU POUR MADAME TOURE F</t>
  </si>
  <si>
    <t>M MAMADOU VIDANGE DU CAMION PLATEAU AA730LE01</t>
  </si>
  <si>
    <t>M SANOGO REMBOURSEMENT POUR LA CLIMATISATION DE LA DOUBLE CABINE</t>
  </si>
  <si>
    <t>ARTHUR N'DO CAUTION MAISON FERKE DU CHAUFFEUR DE CAR DE RAMASSAGE 6984FX01</t>
  </si>
  <si>
    <t xml:space="preserve">BEN DIAKITE AVANCE LOCATION DU CAR DE RAMASSAGE </t>
  </si>
  <si>
    <t>SOLDE DU MOIS DE MAI</t>
  </si>
  <si>
    <t>JOURNAL DE CAISSE KENAM SERVICE : JUIN 2025</t>
  </si>
  <si>
    <t>JOURNAL DE CAISSE KENAM SERVICE : MAI 2025</t>
  </si>
  <si>
    <t>JOURNAL DE CAISSE KENAM SERVICE : AVRIL 2025</t>
  </si>
  <si>
    <t>BEN LAVAGE POUR LA VOITURE GRISE</t>
  </si>
  <si>
    <t>HABIB MORY TRANSPORT POUR ALLER A BASSAM</t>
  </si>
  <si>
    <t>M KEITA/AVANCE CAMION HIAB POUR ABOBO 1</t>
  </si>
  <si>
    <t>KEITA AVANCE CAMION HIAB ABOBO 1</t>
  </si>
  <si>
    <t>MORY TRANSPORT DE NUIT ( RETOUR DE BASSAM)</t>
  </si>
  <si>
    <t>ALMAMY MONTAGE DE GENTE SUR LA CITERNE 8207EJ01</t>
  </si>
  <si>
    <t>KOUAKOU K TRANSPORT DU CONDUCTEUR DE LA PELLE 330 ABIDJAN-DABAKALA</t>
  </si>
  <si>
    <t>LIVREUR YANGO POUR LE DEPOT DE COURIER A AFRIC AUTO</t>
  </si>
  <si>
    <t>LIVREUR YANGO POUR LE DEPOT DE LA DEMANDE DE RAPPORT A LA DGI PLATEAU(fermé) PUIS DGI SAINT JEAN COCODY</t>
  </si>
  <si>
    <t>MORY CARBURANT PICK UP</t>
  </si>
  <si>
    <t>PORTE CHAR POUR DEMOBILISATION DE LA TRACTOPELLE A SEBREKO</t>
  </si>
  <si>
    <t>DIOMANDE L ACHAT DE NOUVEAU PETAIR POUR LA TRACTOPELLE</t>
  </si>
  <si>
    <t>MOHAMED D CHANGEMENT DE PIECE SUR LE CAR DE RAMASSAGE HIACE A KONG</t>
  </si>
  <si>
    <t>COULIBALY L MAIN D'ŒUVRE POUR COLLER LA BACHE DE LA BENNE AA954</t>
  </si>
  <si>
    <t>HAMIDOU B MAIN D'ŒUVRE POUR LA REPARATION DU TABLEAU CENTRAL ET INSTALLATION DE COMPTEUR D'HEURE POUR LA TRACTOPELLE</t>
  </si>
  <si>
    <t>KOITA FRAIS DE ROUTE SONGON</t>
  </si>
  <si>
    <t>KASSIM TRANPORT POUR QU LE CHAUFFEUR SE RENDRE A NASSIAN</t>
  </si>
  <si>
    <t xml:space="preserve">LOUTINE CYNTHIA RECHARGE UNITE POUR CREDIT DE COMMUNICATION </t>
  </si>
  <si>
    <t>MORY ACHAT DE CARBURANT POUR LE GROUPE ELECTROGENE</t>
  </si>
  <si>
    <t>DOUMBIA MAMADOU AVANCE DEMI MOIS DU CAR DE RAMASSAGEDE DE 30 PLACES A ASEC MIMOSAS AA991CE01</t>
  </si>
  <si>
    <t xml:space="preserve">DIAKITE BEN SOLDE DU CAR DE RAMASSAGE 1703 DE DABAKALA </t>
  </si>
  <si>
    <t>LIVREUR YANGO DEPOT DES FACTURES CHEZ LE GESTIONNAIRE A BDU YOPOUGON</t>
  </si>
  <si>
    <t>KTA AQUARIUM ENTRETIEN DE L'AQUARIUM</t>
  </si>
  <si>
    <t>DRISSA K LOCATION HIAB TOUR C</t>
  </si>
  <si>
    <t>TOSSAVI AMA TRANSPORT CHEZ MADAME TOURE , A LA BDU FAYA , A ABIDJAN MALL,LIVRAISON DE CHEQUE NSIA ET A SGCI</t>
  </si>
  <si>
    <t>ALMAMY ACHAT DE MATELAS ET VENTILATEUR POUR 2 CHAUFFEURS PLATEAU AA407 ET HYACE KONG</t>
  </si>
  <si>
    <t>COULIBALY COLLAGE DE PNEU POUR LA BENNE AA954</t>
  </si>
  <si>
    <t>ALMAMY DEPENSE DE LA CAMIONNETTE 52WWCI01</t>
  </si>
  <si>
    <t>CREDIT TELEPHONIQUE POUR LA COMPTABLE</t>
  </si>
  <si>
    <t>COMMISSON 21/03-20/04 POUR MR TUO</t>
  </si>
  <si>
    <t>FOND PERDU M ZOBIA</t>
  </si>
  <si>
    <t>APPRO CAISSE PAR CHEQUE NSIA KS 2144779</t>
  </si>
  <si>
    <t>APPRO CAISSE PAR RETRAIT CARTE CRYSTAL</t>
  </si>
  <si>
    <t>ALMAMY FRAIS DE ROUTE DE LA BENNE 3861 ET CELLE DE LA DOUBLE CABINE 52WWCI01</t>
  </si>
  <si>
    <t>BAMBA ACHAT DE CARBURANT POUR TRANSPORTER LE CONDUCTEUR DE LA 330 A LA CARRIERE A DABAKALA</t>
  </si>
  <si>
    <t>LIVREUR YANGO POUR LE DEPOT DE LA TABLETTE A Joël PFO</t>
  </si>
  <si>
    <t>HAMIDOU B ENTRETIEN DE L'AUTO BETONNIERE</t>
  </si>
  <si>
    <t>O'FRESH ACHAT DE BOMBONE</t>
  </si>
  <si>
    <t xml:space="preserve">BAMBA YOUSSOUF INSTALLATION DE GLOBE </t>
  </si>
  <si>
    <t>NOUFFOU SALAIRE (21/03-20/04)</t>
  </si>
  <si>
    <t>CISSE HAWA SALAIRE DU MOIS DE MAI</t>
  </si>
  <si>
    <t>BEN DIAKITE SALAIRE DU MOIS DE MAI</t>
  </si>
  <si>
    <t xml:space="preserve">JEAN FRAIS DE LIVRAISON POUR 3 COURSES ALLER ET RETOUR ( COURRIER TATA MOTORS,ISIS ET DEPOT DE FACTURE A BDU </t>
  </si>
  <si>
    <t>AGOUA BENEDICTE SALAIRE DU MOIS DE MAI</t>
  </si>
  <si>
    <t>DOUMBIA MOROGNA SALAIRE DU MOIS DE MAI</t>
  </si>
  <si>
    <t>ADAMA COLLAGE DE  PNEU POUR LE HIAB 126JN</t>
  </si>
  <si>
    <t>HAIDARA COMMISSION DU 21/03 AU 20/04  A KOUTO</t>
  </si>
  <si>
    <t xml:space="preserve">BEN DIAKITE OFFRANDES </t>
  </si>
  <si>
    <t>HAMIDOU BARRY ACHAT DE CARBURANT POUR SE RENDRE SUR LE CHANTIER DE BASSAM</t>
  </si>
  <si>
    <t>BEN DOUMBIA SALAIRE</t>
  </si>
  <si>
    <t>SALAIRE DAO ISMAEL</t>
  </si>
  <si>
    <t>SALAIRE SAMAKE FOUSSENI</t>
  </si>
  <si>
    <t>SALAIRE HAMIDOU DJUGUENDJI</t>
  </si>
  <si>
    <t>SALAIRE COULIBALY LACINE</t>
  </si>
  <si>
    <t>SALAIRE DAO SOUMAHILA</t>
  </si>
  <si>
    <t>SALAIRE SANOGO BEMA</t>
  </si>
  <si>
    <t>SALAIRE KONE MORY</t>
  </si>
  <si>
    <t>SALAIRE KONATE KARIM</t>
  </si>
  <si>
    <t>SOLDE SALAIRE FOFANA ODIENNE</t>
  </si>
  <si>
    <t>SALAIRE TRAORE NAMBAGA</t>
  </si>
  <si>
    <t>SALAIRE DJIKE OUMAR</t>
  </si>
  <si>
    <t>SALAIRE SOUMAHORO SOULEYMAN</t>
  </si>
  <si>
    <t>REMBOURSSEMNT BARRY POUR LOCATION DE HIAB/ASSUR CAR A KONG/FRAIS DE MUTATION ET TRANSPORT</t>
  </si>
  <si>
    <t>OUATTARA ABOUBACAR SALAIRE DU MOIS DE MAI</t>
  </si>
  <si>
    <t>SANOGO BEMA ACHAT DE AD BLEU/PLATEAU AA730</t>
  </si>
  <si>
    <t>APPRO CAISSE PAR CHEQUE NSIA KS 2144635</t>
  </si>
  <si>
    <t>ADAMO /SOLDE SALAIRE/LOYER KONG ET KOUTO</t>
  </si>
  <si>
    <t>SALAIRE TRAORE ABOU</t>
  </si>
  <si>
    <t>SALAIRE TRAORE ADAMA</t>
  </si>
  <si>
    <t>SALAIRE SANOGO MOUSTAPHA</t>
  </si>
  <si>
    <t>SALAIRE KONE SEKOU</t>
  </si>
  <si>
    <t>SALAIRE SIGUIE IBRAHIM</t>
  </si>
  <si>
    <t>SALAIRE YAKOU DIARRASSOUBA</t>
  </si>
  <si>
    <t>BOUBA ACHAT DE TELEPHONE FIXE ET PUCE ORANGE /MADAME</t>
  </si>
  <si>
    <t>SALAIRE DOUMBIA MARYAM</t>
  </si>
  <si>
    <t>M GANA PAIEMENT MARS-AVRIL</t>
  </si>
  <si>
    <t>DIARRASSOUBA PAIEMENT MARS-AVRIL/SIRIKI</t>
  </si>
  <si>
    <t>ISSA TRANSPORT POUR ENCAISSEMNT DE CHEQUE A NSIA</t>
  </si>
  <si>
    <t>AMA TRANSPORT BDU ET NSIA</t>
  </si>
  <si>
    <t>SALAIRE DOUMBIA MOHAMED</t>
  </si>
  <si>
    <t xml:space="preserve">SALAIRE VASSIRIKI </t>
  </si>
  <si>
    <t>SALAIRE KONE ISMAEL</t>
  </si>
  <si>
    <t>SALAIRE TRAORE DJAKARIDJA</t>
  </si>
  <si>
    <t xml:space="preserve">SALAIRE MAI BAMBA </t>
  </si>
  <si>
    <t>SALAIRE YOUSSOUF SIBIRE MARS-AVRIL</t>
  </si>
  <si>
    <t>SALAIRE ALMAMY</t>
  </si>
  <si>
    <t>SALAIRE SAWADOGO ADAMA</t>
  </si>
  <si>
    <t>SALAIRE SANKARA MOUSSA</t>
  </si>
  <si>
    <t>JEAN COURSES CHEZ LA NOTAIRE DEPOT DE ODV A NSIA ABOBO</t>
  </si>
  <si>
    <t>APPRO CAISSE PAR CHEQUE NSIA</t>
  </si>
  <si>
    <t>VASSIRKI ACHAT DE 20 LDE CARBURANT POUR L'AUTO BETONNIERE</t>
  </si>
  <si>
    <t>JEAN DEPOT D'ORDINATEUR CHEZ KAMAL POUR METTRE A JOUR LE PACK OFFICE</t>
  </si>
  <si>
    <t>DRAMANE ACHAT DE FILTRE ET DE 2 BIDONS D''HUILE POUR LA DIRECTION</t>
  </si>
  <si>
    <t>M KEITA LOCATION DE HIAB</t>
  </si>
  <si>
    <t xml:space="preserve">KEITA LOCATION DE HIAB </t>
  </si>
  <si>
    <t>M KEITA LOCATION DE HIAB 2 JOURS</t>
  </si>
  <si>
    <t>HAMIDOU TRAVAUX POUR L'AUTO BETONNIERE ET POUR LA TRACTOPELLE (BINGERVILLE)</t>
  </si>
  <si>
    <t>AMA TRANSPORT SGCI/IMPOT/NSIA /AGENCE DE DEPOT</t>
  </si>
  <si>
    <t>FARAH POUR VIDENGE DE 3881WWCI01</t>
  </si>
  <si>
    <t>BEN TRANSPORT POUR ALLER CHERCHER LA PETITE VOITURE APRES LA PEINTURE</t>
  </si>
  <si>
    <t>MOROGNA TRANSPORT POUR LA REMISE DE CLE A MORRY AU BURAU</t>
  </si>
  <si>
    <t>TOURE YOUSSOUF AVANCE SUR SALAIRE</t>
  </si>
  <si>
    <t xml:space="preserve">APPRO CAISSE EN ESPECE PAR MADAME </t>
  </si>
  <si>
    <t>BAMBA ACHAT DE MATELA ET VENTILATEUR POUR LE CHAUF DU NEW CAR</t>
  </si>
  <si>
    <t>SALAIRE  SIESSON DIEUDONNE</t>
  </si>
  <si>
    <t>SOUMAHORO ACHAT DE 4 CEINTURES POUR LE CHARGEMENT DU CAMION AA407</t>
  </si>
  <si>
    <t>VASSISRIKI POUR INTERVENTION SUR LA BULL DAK A BINGERVILLE</t>
  </si>
  <si>
    <t>LOCATION DE PORTE CHAR/TIDIANE</t>
  </si>
  <si>
    <t>SANGARE SEYDOU TRANSPORT POUR SE RENDRE A BOUNDIALI AUPRES DES ENGINS EN PANNE</t>
  </si>
  <si>
    <t>DOUMBIA MOROGNA ACHAT DE 5 PAQUETS DE RAMES</t>
  </si>
  <si>
    <t xml:space="preserve">BEN DIAKITE LAVAGE DE LA VOITURE BLANCHE </t>
  </si>
  <si>
    <t>MAMADOU VOYAGE KOIRA DE 2 CAMION PLATEAU 4664CV01 ET 9942HE01 A ANYAMA</t>
  </si>
  <si>
    <t>M MAIGA COMMISSION DU 21/02/25 AU 20/03/25</t>
  </si>
  <si>
    <t>ALMAMY LOYER DE MAI NASSIAN (2 PIECES ET 1 STUDIO)</t>
  </si>
  <si>
    <t>FOFANA LOYER DE MAI ODIENNE (2 PIECES)</t>
  </si>
  <si>
    <t>BAMBA LOYER DE MAI BOUNDIALY (2 PIECES)</t>
  </si>
  <si>
    <t>ELISE CARNETS,FLYERS</t>
  </si>
  <si>
    <t>M SIDIBE/AVANCE LACATION CAR 25 PLACES POUR BINGERVILLE</t>
  </si>
  <si>
    <t>REMBOURSSEMENT M SIDIBE/AVANCE LACATION CAR 25 PLACES POUR BINGERVILLE</t>
  </si>
  <si>
    <t>APPRO CAISSE EN ESPECE PAR MADAME / WAVE</t>
  </si>
  <si>
    <t>FRAIS APPRO CAISSE EN ESPECE PAR MADAME / WAVE</t>
  </si>
  <si>
    <t>PAIEMNT DU CAR DE RAMASSAGE A KORHOGO DIABY</t>
  </si>
  <si>
    <t>DIABY/AVANCE PAIEMENT CAR AA 418NJ01/POUR LE CHAUFFEUR</t>
  </si>
  <si>
    <t>M FOFANA ODIENNE  PAIEMENT JOURS SUPPLEMENTAIRES 21/02-20/03 CITERNE 1931</t>
  </si>
  <si>
    <t>LOCATION DE PORTE CHAR POUR ENVOYER LA 3255 A BINGERVILLE</t>
  </si>
  <si>
    <t>M MAMADOU KOITA AVANCE VOYAGE PFO</t>
  </si>
  <si>
    <t>MAMADOU TRANSPORT 6 PNEUS CAMION PLATEAU AA294</t>
  </si>
  <si>
    <t>OFFRANDE EN NUMERAIRE MAMAN 2</t>
  </si>
  <si>
    <t>BOUBA CONFECTION DE CACHET BTTP POUR MADAME</t>
  </si>
  <si>
    <t>SOLDE REMBOURSSEMENT DES DEPENSES DE M SANOGO</t>
  </si>
  <si>
    <t>JEAN DEPOT DE CHEQUE CHEZ LA NOTAIRE/ORDINATEUR DE LA COMPTABLE ET DEPOT DE FACTURE A LA PFO</t>
  </si>
  <si>
    <t>BARRY OUSMANE PAIEMENT 1512 CITERNE NASSIAN 21/03-20/04</t>
  </si>
  <si>
    <t>REGLEMENT DE FACTURE CIE/TRANSPORT ISSA ET CREDIT TELEPHONIQUE</t>
  </si>
  <si>
    <t>MOROGNA ACHAT DE VANNE DE LA CITERNE 8207</t>
  </si>
  <si>
    <t>LOCATION DE 2JOURS / CAMIONS HIAB DE M KEITA</t>
  </si>
  <si>
    <t>LOCATION DE GRUE POUR TROUR CAFE CACAO</t>
  </si>
  <si>
    <t>ALMAMY FRAIS DE DEPANNAGE BATTERIE PLATEAU AA730EL01 A KONG</t>
  </si>
  <si>
    <t>JEAN DEPOT D'ORDRE DE VIREMENT A NSIA ET DE CHEQUE CHEZ LA NOTAIRE</t>
  </si>
  <si>
    <t>MOROGNA FRAIS D'EXPEDITION DE 2 VANNES</t>
  </si>
  <si>
    <t>KOITA ACHAT DE 5 PNEU POUR LA DOUBLE CABINE 51WWCI01 ZT 52WWCI01</t>
  </si>
  <si>
    <t>MOROGNA ACHAT DE LA 2 ème VANNE POUR LA CITERNE 8207</t>
  </si>
  <si>
    <t>KTA AQUARIUM ACHAT DE NOURRITURES POUR LES POISSONS</t>
  </si>
  <si>
    <t xml:space="preserve">MOROGNA TRANSPORT POUR CHERCHER DES VANNES DE CITERNE 8207 DE NASSIAN </t>
  </si>
  <si>
    <t>KOUASSI YAO LOCATION DE BULD SD22</t>
  </si>
  <si>
    <t>BEN DIAKITE ACHAT DE CARBURANT POUR LA VOITURE BLANCHE</t>
  </si>
  <si>
    <t>KOITA ACHAT DE FILTRE A HUILE ,FILTRE A GASOIL ET 20 LITRE DE CARBURANT POUR LE CAMION PLATEAU AA294</t>
  </si>
  <si>
    <t>DRAMANE ACHAT D'UN EXTINCTEUR  ETDE 2 TRIANGLE POUR LE CAMION PLATEAU AA294</t>
  </si>
  <si>
    <t>AMA TRANSPORT POUR LE DEPOT DE 6 FACTURES ET RECUPERATION DU CHEQUE A PFO ET POUR  REMISE DE CHEQUE A LA BDU</t>
  </si>
  <si>
    <t>MOROGNA TRANSPORT POUR REMETTRE LE CHEQUE A AMA (BDU)</t>
  </si>
  <si>
    <t>BAMBA CARBURANT POUR SE RENDRE A KONG</t>
  </si>
  <si>
    <t>SOUMAHORO FRAIS DE ROUTE POUR SE RENDRE A ABIDJAN POUR LE CAMION PLATEAU AA407</t>
  </si>
  <si>
    <t>ELISE CARNETS DE LOCATION D'ENGINS ET IMPRESSION QUADRI</t>
  </si>
  <si>
    <t>DIAKITE BEN LAVAGE DE LA VOITURE BLANCHE</t>
  </si>
  <si>
    <t>DIAKITE BEN CARBURANT POUR LA VOITURE BLANCHE</t>
  </si>
  <si>
    <t>SOUMAHORO ACHAT DE NOUVEAU PNEU POUR LE CAMION PLATEAU AA407</t>
  </si>
  <si>
    <t xml:space="preserve">ELECTRICIEN INSTALLATION DE GLOBE </t>
  </si>
  <si>
    <t>M EBA LOCATION DE CAMION HIAB POUR ABOBO</t>
  </si>
  <si>
    <t>AGOUA TRANSPORT SGCI /ENCAISSEMENT DE CHEQUE</t>
  </si>
  <si>
    <t>COMMISSION M MARC/KONG</t>
  </si>
  <si>
    <t>BAMBA ACHAT DE COCHE DE BATTERIE ET TRANSPORT</t>
  </si>
  <si>
    <t>M FOBAH REMBOURSEMENT APPRO CAISSE</t>
  </si>
  <si>
    <t>LASSO AVANCE LOCATION DE CAMION FOURGUON 30T</t>
  </si>
  <si>
    <t>LASSO SOLDE  DE LOCATION DE CAMION FOURGUON30T</t>
  </si>
  <si>
    <t>ALMAMY INSTALLATION DES VANNES ET MAIN D'ŒUVRE POUR LA CITERNE 8207EJ01</t>
  </si>
  <si>
    <t>ALMAMY FRAIS DE PEAGE POUR LA BENNE</t>
  </si>
  <si>
    <t>ZAKARIA DEPANNAGE DU PNEU DE LA TRACTOPELLE</t>
  </si>
  <si>
    <t>VASSIRIKI CARBURANT ET NOURRITURE DIVO</t>
  </si>
  <si>
    <t>BAMBA ACHAT DE 3 COMPTEURS POUR LES 3 BULLS DE M BEN COULIBALY</t>
  </si>
  <si>
    <t>BEN LAVAGE DE LA VOITURE</t>
  </si>
  <si>
    <t>M LASSO PAIEMENT 21/01-20/02 CITERNE 1931</t>
  </si>
  <si>
    <t>BATH HOLDING PAIEMENT 21/03-20/04/2025</t>
  </si>
  <si>
    <t>LIVREUR YANGO DEPOT DES AUTO COLLANTS AU BUREAU</t>
  </si>
  <si>
    <t>SANGARE SEYDOU LAVAGE DE 2 BUS ET TRANSPORT POUR LE COMMIS DE KORHOGO</t>
  </si>
  <si>
    <t>APPRO CAISSE PAR CHEQUE NSIA 2144638</t>
  </si>
  <si>
    <t>LIVRAISON DE GLOBE /QUICAILLERIE</t>
  </si>
  <si>
    <t>HAMIDOU BARRY DEPANNAGE DE LA PELLE 330 ET DE L'AUTOBETONNIERE</t>
  </si>
  <si>
    <t>SOUMAHORO FRAIS DE ROUTE DU CAMION PLATEAU AA407</t>
  </si>
  <si>
    <t>KOITA MAMADOU ACHAT DE CARBURANT ,FRAIS DE ROUTE ET DOTATION DE NOURRITURE(AA625,1203FA01,AA624 )</t>
  </si>
  <si>
    <t>KOUASSI LOU RECHARGE DU WIFI POUR LE BUREAU</t>
  </si>
  <si>
    <t>KASSEM REGLEMENT DU DEVIS POUR 04 LOCAUX</t>
  </si>
  <si>
    <t>ADAMA ACHAT D'HUILE HYDRAULIQUE ET TRANSPORT</t>
  </si>
  <si>
    <t>MORONGNA  TRANSPORT POUR ALLER A CHINA MALL PUID RECUPERATION DE GANTES A ADJAME</t>
  </si>
  <si>
    <t>AGOUA TRANPORT BDU POUR FAIRE LA REMISE DE CHEQUE</t>
  </si>
  <si>
    <t>HAMIDOU ACHAT DE 100L DE CARBURANT ,TRANSPORT ET ACHAT DE BIDONS</t>
  </si>
  <si>
    <t>MORY TRANSPORT ALLER ET RETOUR TATA MOTORS KILOMETRE 22</t>
  </si>
  <si>
    <t>COMMISSION BAMBA A DABAKALA POUR LA PELLE A CHENILLE 322D DU 21/03 AU 20/04</t>
  </si>
  <si>
    <t>AVANCE COMMISSION DESIRE A DABAKALA POUR LA PELLE 325 DU 21/09/24 AU20/10/24 ET DU 21/12/24 AU 20/01/25</t>
  </si>
  <si>
    <t>M KEITA LOCATION CAMION HIAB 2 JOURS</t>
  </si>
  <si>
    <t>LACINE ASSURANCE DE L'AUTO BETONNIERE</t>
  </si>
  <si>
    <t>OUMAR REMBOURSEMENT DE CHAMBRE D'HOTEL DU CHAUFFEUR DE BENNE 38062 A KATIOLA</t>
  </si>
  <si>
    <t>MOUSSA ACHAT DE FER ET AVANCE POUR LA MAIN D'OEUVRE POUR CONFECTION DE LA GRILLE DU NOUV BUREAU</t>
  </si>
  <si>
    <t>MORONGNA TRANSPORT ALLER ET RETOUR YOP POUR DEPODER LES TRIANGLES ETLES BOITES A PHARMACIE</t>
  </si>
  <si>
    <t>COULIBALY LACINE FRAIS DE ROUTE POUR RECUPERER LE CAMION A RHIMCO</t>
  </si>
  <si>
    <t>LASSINE C LOCATION DE CAMION POUR LIVRER LES FER DU CLIENT SALHAB</t>
  </si>
  <si>
    <t>ACHAT DE GLOBE A LA QUICAILLERIE</t>
  </si>
  <si>
    <t>APPRO CAISSE PAR REMBOURSSEMENT DE LA PELLE 322D PAR BARRY OUSMAN</t>
  </si>
  <si>
    <t>JEAN DEPOT DE FACTURE A YOP BDU ET DEPOT DE COURRIER A ZONE 4</t>
  </si>
  <si>
    <t>DIABY REMBOURSEMENT DE TRANSPORT (DEPOT DE GENTE)</t>
  </si>
  <si>
    <t>HAMIDOU B ACHAT DE 2 BIDONS DE 30L ET TRANSPORT</t>
  </si>
  <si>
    <t>DAO ACHAT DE BALLON ,BASCULE ET MAIN D'ŒUVRE CAMION AA624</t>
  </si>
  <si>
    <t>SALIF P TRANSPORT POUR LE NOUVEAU CHAUFFEUR DE LA PELLE 325 A FERKE</t>
  </si>
  <si>
    <t>MORONGNA ACHAT DE FOURNITURE DE BUREAU</t>
  </si>
  <si>
    <t>DIOMANDE MAIN D'ŒUVRE ET DEPLACEMENT DE L'ELECTRICIEN</t>
  </si>
  <si>
    <t xml:space="preserve">VASSIRIKI CARBURANT POUR ALLER AU CHANTIER </t>
  </si>
  <si>
    <t>MORY CARBURANT POUR LE CHANTIER DE VALLON</t>
  </si>
  <si>
    <t>BEN DIAKITE AVANCE DE DEMI MOIS DUCAR DE RAMASSAGE DE 20 PLACES 6024JE01 A KORHOGO</t>
  </si>
  <si>
    <t>BARRY ISSA TRANSPORT A  BINGERVILLE POUR RECUPERER LES RAPPORTS</t>
  </si>
  <si>
    <t xml:space="preserve">COULIBALY REMBOURSEMENT DE CARTE DE TRANSPORT </t>
  </si>
  <si>
    <t>BASSIDIKI FRAIS DE ROUTE DU CAMION AA730</t>
  </si>
  <si>
    <t>LIVREUR YANGO DEPOT D'UN AGENDA PERSONNALISE AU BUREAU</t>
  </si>
  <si>
    <t>LIVREUR YANGO DEPOT DE L'AGENDA CHEZ ELISE POUR METTRE LE LOGO DE KENAM</t>
  </si>
  <si>
    <t>SANGARE COLLAGE DE PNEU DU CAMION AA954 ET ACHAT D COLLE PNEU POUR LE BUS 5311WWCI01</t>
  </si>
  <si>
    <t>SANOGO ACHAT DE CARBURANT POUR LA DOUBLE CABINE 52WWCI01 ET PEAGE</t>
  </si>
  <si>
    <t>MOROGNA TRANSPORT POUR ALLER ET RETOUR POUR ALLER A CHINA MALL ZONE 4</t>
  </si>
  <si>
    <t>MORONGNA AVANCE SUR SALAIRE</t>
  </si>
  <si>
    <t>APPRO CAISSE PAR MADAME KONE</t>
  </si>
  <si>
    <t>REMBOUSSEMENT MADAME KONE</t>
  </si>
  <si>
    <t>KEITA AVANCE  LOCATION CAMION HIAB 7JOURS</t>
  </si>
  <si>
    <t xml:space="preserve">MORONGNA DEPOT DE CASQUES ,CARNETS DE POINTAGE A YOUPOUGON POUR REMETTRE AUN CAMION PLATEAU </t>
  </si>
  <si>
    <t>ALMAMY CARBURANT POUR ALLER REGLE LA PANNE DE LA CITERNE A EAU POTABLE DE KONG</t>
  </si>
  <si>
    <t>COMMISSION M KAYE DU 21/03/25 AU 20/04/25 A KORHOGO ET NASSIAN</t>
  </si>
  <si>
    <t>DAO REGLEMENT DE L'ORDONNANCE ET DES  EXAMENS DU CHAUFFEUR DE LA CITERNE A EAU POTABLE A KONG</t>
  </si>
  <si>
    <t>JEAN DEPOT FACTURE ALLER ET RETOUR PFO</t>
  </si>
  <si>
    <t>LIVREUR YANGO DEPOT DE DOCUMENT CHEZ L'HUISSIER</t>
  </si>
  <si>
    <t xml:space="preserve">CISSE HAWA TRANSPORT POUR INSPECTION DE LA PELLE 345B A DJOROGOBITE </t>
  </si>
  <si>
    <t>AGOUA BENEDICTE TRANSPORT SGCI, A LA DGI ET TRANSFERT D'UNITE</t>
  </si>
  <si>
    <t>FOFANA ALMAMY  SOUDURE ET MAIN D'ŒUVRE POUR LA CITERNE 2875FA</t>
  </si>
  <si>
    <t>VASSIRIKI CARBURANT POUR RENTRER SUR ABIDJAN</t>
  </si>
  <si>
    <t>APPRO CAISSE PAR CHEQUE SGCI KS 278</t>
  </si>
  <si>
    <t xml:space="preserve">LASSO SOLDE  DE LA LOCATION FOURGON D'ODIENNE </t>
  </si>
  <si>
    <t>AVANCE LASSO LOCATION FOURGON D' ODIENNE</t>
  </si>
  <si>
    <t>HAMIDOU B ACHAT DE BATTERIE POUR LA NIVELEUSE 140 K</t>
  </si>
  <si>
    <t>LIVREUR YANGO DEPOT DE FACTURE A BDU YOPOUGON</t>
  </si>
  <si>
    <t>ALMAMY CARBURANT POUR SE RENDRE A FERKE</t>
  </si>
  <si>
    <t>BARRY AVANCE DU POTRE CHAR DE LA BULL SD22</t>
  </si>
  <si>
    <t>APPRO CAISSE EN ESPECE PAR BARRY / WAVE</t>
  </si>
  <si>
    <t>KOUASSI LOU ACHAT D'EAU POUR MADAME</t>
  </si>
  <si>
    <t>M TRAORE AMADOU CAMPAGNE PUBLICITAIRE GOOGLE ADWORDS</t>
  </si>
  <si>
    <t>BEN DIAKITE CARBURANT POUR LA VOITURE BLANCHE</t>
  </si>
  <si>
    <t>LIVREUR YANGO DEPOT DE DOCUMENT CHEZ MADAME POUR LA SIGNATURE</t>
  </si>
  <si>
    <t xml:space="preserve">TOSSAVI AMA CREDIT TELEPHONIQUE </t>
  </si>
  <si>
    <t>KOUASSI LOU CREDIT TELEPHONIQUE NUMERO BUREAU</t>
  </si>
  <si>
    <t>BARRY ISSA TRANSPORT POUR DEPOSER LES EQUIPEMENTS AU GARAGE</t>
  </si>
  <si>
    <t>ALMAMY RECHERCHE DE TUYAU ET DE DISTIBUTEUR A FERKE</t>
  </si>
  <si>
    <t>LIVREUR YANGO DEPOT DES EQUIPEMENTS (CASQUE,,) A BINGERVILLE</t>
  </si>
  <si>
    <t>LIVREUR YANGO RECUPERATION DE DOCUMENT CHEZ MADAME POUR LE BUREAU</t>
  </si>
  <si>
    <t>HAMIDOU BARRY AVANCE POUR LA DEMOBILISATION DE BULL A DAK COMPAGNY SUR NASSIAN</t>
  </si>
  <si>
    <t>JEAN DEPOT DE DOCUMENTS BDU YOPOUGON</t>
  </si>
  <si>
    <t>M KEITA LOCATION CAMION HIAB 1JOURS</t>
  </si>
  <si>
    <t>LIVREUR YANGO  RECUPERATION DE CARNETS ET AGENDA CHEZ ELISE</t>
  </si>
  <si>
    <t>M DOUMBIA CARBURANT POUR LE MASSA DE 20 PLACES ODIENNE</t>
  </si>
  <si>
    <t>HAMIDOU BARRY AVANCE POUR LA DEMOBILISATION DE NOTRE NIVELEUSE SUR KORHOGO</t>
  </si>
  <si>
    <t xml:space="preserve">HAMIDOU BARRY ACHAT DE JOINTS ET FLEXIBLE DE CARBURANT POUR LA NIVELEUSE </t>
  </si>
  <si>
    <t>ZAKARIA REPARATION DE PNEU POUR LA TRACTOPELLE</t>
  </si>
  <si>
    <t>YAO 2 JOURS DE PAIE DU CHAUFFEUR DE LA TRACTOPELLE</t>
  </si>
  <si>
    <t>DRAMANE K TRANSPORT MECANICIEN BINGERVILLE A YOP ET KONG</t>
  </si>
  <si>
    <t>KOITA MAMADOU ACHAT DE 7 FILTRES A HUILE ET GASOIL POUR 2 CITERNE ,ACHAT DE BALLON POUR AA624,TP A TREICHVILLE</t>
  </si>
  <si>
    <t>ALMAMY F MAIN D'ŒUVRE POUR LA CITERNE 2875</t>
  </si>
  <si>
    <t>TOSSAVI AMA  ATTESTATION DE RESIDENCE POURMADAME TOURE POUR L'OUVERTURE DU COMPTE UBA</t>
  </si>
  <si>
    <t>JEAN DEPOT D'APPAREIL CHEZ ELISE ET ALLER RETOUR PFO</t>
  </si>
  <si>
    <t>COULIBALY L ACHAT D'ESSENCE 356 LITRES   ET PEAGE</t>
  </si>
  <si>
    <t>MORY ACHAT DE SUCRE ET D'EAU POUR MADAME TOURE</t>
  </si>
  <si>
    <t>BAMBA CARBURANT</t>
  </si>
  <si>
    <t>AMAGBEGNON TRANSPORT DU CHAUFFEUR DE LA 325 A BASSAM</t>
  </si>
  <si>
    <t>KTA AQUARIUM ENTRTIEN,PRODUIT ET NOURRITURE DES POISSONS</t>
  </si>
  <si>
    <t xml:space="preserve">M KEITA SOLDE DE  LOCATION CAMION HIAB </t>
  </si>
  <si>
    <t>ALMAMY MAIN D'ŒUVRE DE L'ELECTRICIEN ET DE SOUDURE DE LA CITERNE 827EJ01</t>
  </si>
  <si>
    <t>KOITA MAMADOU ACHAT DE 2 BATTERIE POUR LE CAMION PLATEAU AA407</t>
  </si>
  <si>
    <t>KOITA MAMADOU SOLDE DU VOYAGE PFO DES CAMION PLATEAU</t>
  </si>
  <si>
    <t>M CISSE SOULEYMANE AVANCE DE DEMI MOIS DU CAR DE RAMASSAGE 9501GC01</t>
  </si>
  <si>
    <t>ADAMO  ACHAT DE 2 BIDONS D'HUILE DE FREIN CAMION HIAB 126JN</t>
  </si>
  <si>
    <t>DAO S MAIN D'ŒUVRE ET FREIN DE ROUTE DU CAMION AA624</t>
  </si>
  <si>
    <t>TOSSAVI AMA TRANSPORT PFO POUR VOIR M KOHOU ET DEPOT DE 2 FACTURES</t>
  </si>
  <si>
    <t>MORONGNA TRANSPORT RETOUR N'DOTRE POUR CHERCHER LE CABLE D'ACCELERATEUR POUR LE HIAB 122JN01</t>
  </si>
  <si>
    <t>MORY CARBURANT POUR LA VOITURE BLANCHE</t>
  </si>
  <si>
    <t>COMMISSION DE FABRICE DU 21/03/25 AU 20/04/25 A NASSIAN</t>
  </si>
  <si>
    <t>SANGARE LAVAGE DE LA NIVEULE</t>
  </si>
  <si>
    <t xml:space="preserve">HAMIDOU BARRY ACHAT DE BIP ,2 PHARES ARRIERE ET MAIN D'ŒUVRE POUR LA NIVELEUSE </t>
  </si>
  <si>
    <t>ELISE AVANCE SUR  ACHAT DE CARNETS,IMPRESSIONS AGENDA,AUTOCOLLANTS</t>
  </si>
  <si>
    <t>O'FRESH ACHAT DE 6 BOMBONES D'EAU</t>
  </si>
  <si>
    <t>TOSSAVI AMA TRANSPORT POUR LE  RETRAIT DE CHEQUE  CHEZ M KEITA AU VALLON(ALLER ET RETOUR)</t>
  </si>
  <si>
    <t>MORONGNA ACHAT DE PRODUITS D'ENTRETIEN POUR LE BUREAU</t>
  </si>
  <si>
    <t>SANGARE S CHANGEMENT DE 4 PNEU POUR LA BENNE AA047</t>
  </si>
  <si>
    <t>TOSSAVI AMA TRANSPORT NSIA POUR LA REMISE DE CHEQUE</t>
  </si>
  <si>
    <t>COMMISSION MR ZOBIA KONE</t>
  </si>
  <si>
    <t>AGOUA BENEDICTE TRANSPORT  POUR ENCAISSER UN CHEQUE A NSIA</t>
  </si>
  <si>
    <t>LIVREUR YANGO  LIVRAISON DE FACTURES NORMALISEES BTTP</t>
  </si>
  <si>
    <t>M KEITA LOCATION CAMION HIAB ABOBO</t>
  </si>
  <si>
    <t xml:space="preserve">SANGARE CARBURANT </t>
  </si>
  <si>
    <t>HAMIDOU BARRY ACHAT DE ROULEMENT POUR LE BULL D7R AU GARAGE</t>
  </si>
  <si>
    <t>SANGARE ACHAT D'HUILE HYDROLIQUE POUR LA NIVELEUSE A BOUNDIALI</t>
  </si>
  <si>
    <t>DJAKARIDJA T RATION MECANICIEN</t>
  </si>
  <si>
    <t xml:space="preserve">DJAKARIDJA T RATION MECANICIEN ET TRANSPORT POUR BINGERVILLE </t>
  </si>
  <si>
    <t>KOITA MAMADOU ACHAT DE 2 BATTERIES , TRANSPORT  ET FRAIS D'EXPEDITIONS POUR LA CITERNE 3733GP01 A KONG</t>
  </si>
  <si>
    <t>COMMISSION M KAYE DU 21/05/25 AU 20/05/25 A KORHOGO</t>
  </si>
  <si>
    <t>FABRICATION DE FACTURES PERSONNALISEES POUR BTTP</t>
  </si>
  <si>
    <t>HAMIDOU BARRY PORTE CHAR ABIDJAN KORHOGO</t>
  </si>
  <si>
    <t>AVANCE SUR SALAIRE KASSIM CONDUCTEUR DE LA PELLE 325</t>
  </si>
  <si>
    <t>ACHAT DE POIGNET POUR LES TOILLETTES DU BUREAU ET MAIN D'ŒUVRE DU MECANISIEN</t>
  </si>
  <si>
    <t>HAMIDOU BARRY PORTE CHAR ABIDJAN NASSIAN</t>
  </si>
  <si>
    <t>HAMIDOU BARRY PORTE CHAR KORHOGO BOUNDIALI</t>
  </si>
  <si>
    <t>FOTON ENTRETIEN DE LA DOUBLE CABINE 3881 ET FRAIS DE TIMBRE</t>
  </si>
  <si>
    <t>BEN DOUMBIA COLLE DE BAUXITE ET PAPIER JOINT POUR LE BULL</t>
  </si>
  <si>
    <t>FRAIS APPRO CAISSE EN ESPECE PAR M ZANA / OM</t>
  </si>
  <si>
    <t>BAMBA ACHAT DE PILLACE POUR  SA MOTO</t>
  </si>
  <si>
    <t>APPRO CAISSE EN ESPECE  PAR M ZANA</t>
  </si>
  <si>
    <t>APPRO CAISSE EN ESPECE PAR M ZANA/OM</t>
  </si>
  <si>
    <t>APPRO CAISSE EN ESPECE PAR MADAME/OM ET WAVE</t>
  </si>
  <si>
    <t>M KEITA LOCATION CAMION HIAB ABOBO 3 JOURS</t>
  </si>
  <si>
    <t>USINE SINO-IVOIRE ACHAT DE CONTRE PLAQUE BAKILISES</t>
  </si>
  <si>
    <t xml:space="preserve">BEN DIAKITE AVANCE SUR SALAIRE </t>
  </si>
  <si>
    <t>ALMAMY CARBURANT ,MAIN D'ŒUVRE ELECTRICIEN DE PLATEAU AA407KY01 ET REPARATION DE PNEU</t>
  </si>
  <si>
    <t>TOSSAVI AMA REGULARISATION DE CHEQUE BDU n°870 AU  IMPOT</t>
  </si>
  <si>
    <t>M GANA VIDANGE DE WC DU NOUVEAU BUREAU</t>
  </si>
  <si>
    <t>COMMISSION DIABY DU 20/03/25 AU 21/04/05 A NASSIAN, KOUTO, KORHOGO ,CHANTIER</t>
  </si>
  <si>
    <t xml:space="preserve">MORONGNA CONFECTION DE CACHET POUR MADAME ET TRANSPORT </t>
  </si>
  <si>
    <t>SOUMAHORO FRAIS DE ROUTE DU CAMION AA407 A KONG</t>
  </si>
  <si>
    <t>SALAIRE DE SALIF PORGO DU 21/03/25 AU 20/04/25</t>
  </si>
  <si>
    <t>COMMISION DE DIABY 20/03/25 AU 21/04/05 A NASSIAN, KOUTO, KORHOGO ,CHANTIER</t>
  </si>
  <si>
    <t>BEMA FRAIS DE ROUTE ET PARALLELISME SOUDE POUR LE CAMION AA730</t>
  </si>
  <si>
    <t>TOSSAVI AMA TRANSPORT ALLER RETOUR AU IMPOT (2 FOIS)</t>
  </si>
  <si>
    <t>TOSSAVI AMA TRANSPORT POUR ENCAISSEMENT DE CHEQUE A SGCI ET BACI (ACHAT DE CIMENT)</t>
  </si>
  <si>
    <t>LIVREUR YANGO LIVRAISON DES CLES DU BUREAU A ISSA POUR ENLEVER LES CAMERAS</t>
  </si>
  <si>
    <t xml:space="preserve">BASSIDIKI DEPOT DE COLLIS (CARNETS ,,,,)A LA GARE POUR ENVOYER A KORHOGO </t>
  </si>
  <si>
    <t>LASSO SOLDE DE LA LOCATION DU CAMION FOURGON 10T ABIDJAN ASSINIE</t>
  </si>
  <si>
    <t>LASSO AVANCE DE LOCATION DU CAMION FOURGON 10T ABIDJAN ASSINIE</t>
  </si>
  <si>
    <t xml:space="preserve">SALAIRE NOUFFOU DU 21/04/2025 AU 20/05/2025 A SASSANDRA </t>
  </si>
  <si>
    <t>ALMAMY LAVAGE DE 4 BENNES,CHANGEMENTS DE 2 GENTES POUR LA CITERNE 8207 ET LAVAGE DE 4 DOUBLE CABINE</t>
  </si>
  <si>
    <t>MORY ACHAT DE CARBURANT POUR LA VOITURE BLANCHE</t>
  </si>
  <si>
    <t>DJAKARIDJA TRANSPORT DU MECANICIEN POUR ALLER A BOUNDIALI</t>
  </si>
  <si>
    <t>AGOUA BENEDICTE TRANSPORT ALLER ECOBANK PUIS A NSIA (ALLER- RETOUR)</t>
  </si>
  <si>
    <t>M GANA PAIEMENT DU 21/04 AU 20/05/2025 DE LA CITERNE A EAU 6365FK01 A KOUTO</t>
  </si>
  <si>
    <t>BARRY ISSA REGLEMENT DE LA FACTURE MTN ET TRANSPORT</t>
  </si>
  <si>
    <t>MORY LAVAGE DE LA VOITURE BLANCHE</t>
  </si>
  <si>
    <t>KOITA MAMADOU ACHAT DE CARBURANT214,28LITRES POUR LE CAMION AA6246GS</t>
  </si>
  <si>
    <t>SANGARE S LAVAGE DE 2 BENNES AA047,AA951 ET DE 2 BUS 5411 ET 5412</t>
  </si>
  <si>
    <t>JEAN DEPOT DE FACTURE A PFO ET KOIRA (ALLER -RETOUR)</t>
  </si>
  <si>
    <t>LIVREUR YANGO DEPOT DE PORTE CARTE CHEZ ELISE</t>
  </si>
  <si>
    <t>KONE DRISSA PAIEMENT DU 21/03 AU 20/04/2025 DU HIAB 114ZE01 A KORHOGO</t>
  </si>
  <si>
    <t>SOLDE DU MOIS DE JUIN</t>
  </si>
  <si>
    <t>TOSSAVI TRANSPORT VALLON RECUPERER LE CHEQUE CHEZ MR KEITA(2 TOURS) ET REMISE DE CHEQUE A NSIA PUIS A SGCI</t>
  </si>
  <si>
    <t xml:space="preserve">ABOUBACAR TRANSPORTRETOUR DU BUREAU POUR  ALLER CHEZ MADAME </t>
  </si>
  <si>
    <t>APPRO CAISSE PAR CHEQUE NSIA 2144792</t>
  </si>
  <si>
    <t>APPRO CAISSE PAR CHEQUE NSIA2144791</t>
  </si>
  <si>
    <t>APPRO CAISSE PAR CHEQUE SGCI 108</t>
  </si>
  <si>
    <t>MOROGNA ACHATS DE 3 PACK D'EAU CELESTE POUR LES VISITEURS</t>
  </si>
  <si>
    <t>SANGARE NOUNHO AVANCE SUR SALAIRE</t>
  </si>
  <si>
    <t>M GOLI LANCEMENT DE PROCEDURE CONTRE TATA MOTORS</t>
  </si>
  <si>
    <t>BASSIDIKI ACHAT DE 5 BIDONS DE AD BLUE ET FRAIS DE ROUTE POUR LE CAMION AA730</t>
  </si>
  <si>
    <t xml:space="preserve">SALIF PORGO 2 MOIS DE LOYER POUR LA MAISON FERKE </t>
  </si>
  <si>
    <t>KOITA MAMADOU ACHAT DE CARBURANT 710,72L ET FRAIS DE ROUTE POUR LE CAMION PLATEAU AA624GS</t>
  </si>
  <si>
    <t>M KEITA SOLDE DE LOCATION DE CAMION HIAB ABOBO 3 JOURS</t>
  </si>
  <si>
    <t>JEAN DEPOT DE CHEQUE CHEZ M KAMAGATE AU IMPOT II PLATEAUX II ,FACTURE A LA PFO (2 TOURS)</t>
  </si>
  <si>
    <t>ALI O DEPLACEMENT ET DEMONTAGE DE LA 330</t>
  </si>
  <si>
    <t>ELISE SOLDE DE CARNETS;AUTOCOLLANTSET DE BRANDING DE VOITURE  DÉJÀ LIVRE</t>
  </si>
  <si>
    <t xml:space="preserve">REGLEMENT DE LA FACTURE D'ACTIVA POUR LE VEHICULE 126JN01 </t>
  </si>
  <si>
    <t>MOROGNA TRANSPORT POUR ALLER CHERCHER LES PIECES DE LA CITERNE AVEC BARRY HAMIDOU</t>
  </si>
  <si>
    <t>DRAMANE TRANPORT POUR ALLER CHERCHER DES PIECES POUR REPARER LES CITERNES AVEC MORONGNA</t>
  </si>
  <si>
    <t>TOSSAVI AMA TRANSPORT POUR ALLER AU IMPOT</t>
  </si>
  <si>
    <t>TOSSAVI AMA TRANSPORT ALLER -RETOUR NSIALE 01/07/25  ET A BDU ALLER ET RETOUR</t>
  </si>
  <si>
    <t>ALMAMY FRAIS MEDICALE DU CHAUFFEUR DE LA BENNE 38063WWCI01</t>
  </si>
  <si>
    <t xml:space="preserve">JEAN DEPOT DE FACTURE A PFO (ALLER -RETOUR) ET CHEZ M KOFFI A LA BDU YOP (ALLER-RETOUR) </t>
  </si>
  <si>
    <t>MORY COLLAGE DE PNEU DE LA VOITURE BLANCHE(2 TOURS)</t>
  </si>
  <si>
    <t>MYRIAM K AVANCE DE 4 BUS</t>
  </si>
  <si>
    <t>MAMADOU KOITA POINT DE VOYAGE PFO</t>
  </si>
  <si>
    <t>VASSIRIKI ACHAT DE MULTIPRISE DU HIAB 126JN ET FRAIS D'EXPEDITION</t>
  </si>
  <si>
    <t xml:space="preserve">NOUFFOU TRANSPORT POUR ALLER REPARER LE FLEXIBLE </t>
  </si>
  <si>
    <t>NOUFFOU REPARATION DU FLEXIBLE POUR LA 330 A DIVO</t>
  </si>
  <si>
    <t>BARRY HAMIDOU  REPARATION DU FLEXIBLE POUR LE GRADER A BOUNDIALI</t>
  </si>
  <si>
    <t xml:space="preserve">NOUFFOU SALAIRE DU 21/02 AU 20/03/2025 A SASSANDRA </t>
  </si>
  <si>
    <t>MORONGNA ACHAT DE PIECES POUR DEUX CITERNES ,LA DOUBLE CABINE ET TRANSPORT</t>
  </si>
  <si>
    <t>LIVREUR YANGO LIVRAISON D'AUTOCOLLANTS ET AUTRES (ELISE)</t>
  </si>
  <si>
    <t>ADAMA  ACHAT DE NOUVELLE BATTERIE POUR LA VOITURE BLANCHE</t>
  </si>
  <si>
    <t>BEN DOUMBIA TRANSPORT POUR ALLER CHEZ ALEX POUR CHERCHER DES PIECES</t>
  </si>
  <si>
    <t>SALIF PORGO TRANSPORT POUR SE RENDRE A KORHOGO POUR DEMONTER LE FLEXIBLE</t>
  </si>
  <si>
    <t>BEN DOUMBIA ACHAT DE XLAXONS POUR LA CHARGEUSE A NASSIAN,2 BIP RECULE POUR LE BULL D7 KS</t>
  </si>
  <si>
    <t>APPRO CAISSE PAR CHEQUE NSIA N°2144579</t>
  </si>
  <si>
    <t>REMBOURSEMENT1 AMA POUR PAIEMENT DE SURPLUS SALAIRE SIBIRE YSSOUF</t>
  </si>
  <si>
    <t>REMBOURSEMENT2 AMA POUR PAIEMENT DE SURPLUS SALAIRE SIBIRE YSSOUF</t>
  </si>
  <si>
    <t xml:space="preserve">JEAN DEPOT DE FACTURE A PFO </t>
  </si>
  <si>
    <t>SANOGO BEMA FRAIS DE ROUTE DU CAMION AA730</t>
  </si>
  <si>
    <t>LIVREUR YANGO  LIVRAISON DE FACTURE NORMALISE (KENAM SERVICES)</t>
  </si>
  <si>
    <t>JEAN DEPOT DE CHEQUE A ISIS ET DEPOT DE COURIER A BICICI</t>
  </si>
  <si>
    <t>AGOUA TRANSPORT NSIA POUR ENCAISSER UN CHEQUE</t>
  </si>
  <si>
    <t>DJAKARIDJIA  CLE DE ROUE POUR LA NIVELEUSE</t>
  </si>
  <si>
    <t>KOITA AVANCE DU 10eME CAMION ,SOLDE DE 2 CAMIONS ET RESTE DU VOYAGE PFO</t>
  </si>
  <si>
    <t>BEN DIAKITE FRAIS DE LIVRAISON DE CARNET DE POINTAGE POUR LE CHANTIER DE DIVO</t>
  </si>
  <si>
    <t>BAMBA MAIN D'ŒUVRE POUR L'INSTALLATION DES COMPTEUR</t>
  </si>
  <si>
    <t>ADAMO ACHAT DE PIECES POUR LA REPARATION DU HIAB 1226JN01</t>
  </si>
  <si>
    <t xml:space="preserve">FABRICATION DE FACTURES PERSONNALISEES POUR KENAM SERVICES </t>
  </si>
  <si>
    <t>MORY KONE FRAIS DE ROUTE DU CAMION AA294</t>
  </si>
  <si>
    <t>DJAKARIDJIA REMPLACEMENT DE BANDE DE PNEU ,COLLE DE PNEU ET TRANSPORT</t>
  </si>
  <si>
    <t>DRAMANE ACHAT DE 4 BOITES D'HUILE DEFREIN ET 4 BOITES D'HUILE DE DIRECTION</t>
  </si>
  <si>
    <t>COULIBALY COLLE DE PNEU POUR LE CAMION AA954</t>
  </si>
  <si>
    <t>SOUMAHORO PEAGE ET FRAIS DE ROUTE POUR LE CAMION AA407</t>
  </si>
  <si>
    <t>ADAMO TRANSPORT POUR DEPANNER LE HIAB</t>
  </si>
  <si>
    <t>DRAMANE TRANSPORT POUR KONG,MAIN D'ŒUVRE ,ENTRETIEN DE DIRECTION DU CAMION AA294</t>
  </si>
  <si>
    <t>APPRO CAISSE PAR CHEQUE SGCI KS 277</t>
  </si>
  <si>
    <t>BASSIDIKI LAVAGE DU CAMION PLATEAU AA730</t>
  </si>
  <si>
    <t>LIVREUR YANGO LIVRAISON DE CASQUES DE SECURITE,CASQUE BLEU ,,,</t>
  </si>
  <si>
    <t xml:space="preserve">FERIVOIRE ACHAT DE FER DE FER POUR LE NOUVEAU BUREAU </t>
  </si>
  <si>
    <t>MORONGNA ACHAT D'ESSENCE POUR LE GROUPE ELECTROGENE ET TRANSPORT</t>
  </si>
  <si>
    <t>BEN DIAKITE LAVAGE DE LA VOITURE BLANCHE</t>
  </si>
  <si>
    <t>BEN DIAKITE SALAIRE DU MOIS DE JUIN</t>
  </si>
  <si>
    <t>BEN DOUMBIA SALAKIRE DU MOID DE JUIN</t>
  </si>
  <si>
    <t>CISSE HAWA SALAIRE DU MOIS DE JUIN</t>
  </si>
  <si>
    <t>AGOUA BENEDICTE SALAIRE DU MOIS DE JUIN</t>
  </si>
  <si>
    <t xml:space="preserve">BEN DOUMBIATRANSPORT POUR L'INPECTION D4UNE MACHINE , ACHAT DE PIECE CHEZ ALEZX AVEC BARRY ET TRANSPORT </t>
  </si>
  <si>
    <t>BEN DOUMBIA ACHAT D'EAU POUR MADAME</t>
  </si>
  <si>
    <t>OUATTARA ABOUBACAR SALAIRE DU MOIS DE JUIN</t>
  </si>
  <si>
    <t>TRANSPORT POUR LA BDU VALLON</t>
  </si>
  <si>
    <t>APPRO CAISSE EN ESPECE PAR MADAME KONE/WAVE</t>
  </si>
  <si>
    <t>LASSINE C LOCATION DE CAMION POUR RECUPERER LES FER A FERIVOIRE</t>
  </si>
  <si>
    <t>FRAIS DE DEPOT APPRO CAISSE PAR MADAME KONE</t>
  </si>
  <si>
    <t>DIABY KADY (KARANTAO ) ACHAT 2 GENTES 315</t>
  </si>
  <si>
    <t>DIABY KADY ACHAT DE POT D'ECHAPPEMENT DE LA BENNE AA047 ( FUNBIN)</t>
  </si>
  <si>
    <t>DIABY TRANSPORT POUR ALLER ACHETER LE POT D'ECHARPPEMENT  ET LE DEPOSER A LA GARE UTB POUR BOUAKE</t>
  </si>
  <si>
    <t>M DRISSA LOCATION DE CAMION HIAB POUR CHARGER LE BOBCAT YOPOUGON PLATEAU ET LE CHANTIER DE KORHOGO  3 JOURS</t>
  </si>
  <si>
    <t>BEN DIAKITE PAIEMENT DU CAR DE RAMASSAGE 1703  A DABAKALA DU 21/04 AU 20/05/2025 ET 3207 HP A KORHOGO DU 21/03 AU 20/04</t>
  </si>
  <si>
    <t>COULIBALY LACINE FRAIS DE ROUTE ET CHAMBRE D'HOTEL AA954 POUR BOUAKE</t>
  </si>
  <si>
    <t>KONE MORY FRAIS DE ROUTE ET PEAGE</t>
  </si>
  <si>
    <t>SALAIRE COULIBALY AMADOU</t>
  </si>
  <si>
    <t>LACINE COULIBALY LAVAGE DE LA BENNE AA954</t>
  </si>
  <si>
    <t>MORY K ACHAT DE 376,19 L DE  CARBURANT POUR LE CAMION PLATEAU AA294</t>
  </si>
  <si>
    <t>MORY K LAVAGE DU CAMION AA294</t>
  </si>
  <si>
    <t>MORY K FRAIS DE ROUTE DU CAMION PLATEAU AA294</t>
  </si>
  <si>
    <t>MORONGNA ACHAT DE 5 TRIANGLES ET 3 BOITE A PHARMACIE POUR LES CAMIONS</t>
  </si>
  <si>
    <t>ADAMA ACHAT DE 2 BIDONS HYDRAULIQUES,TRANSPORT DU COMMIS ET MAIN D'ŒUVRE DU MECANICIEN  HIAB 126JN</t>
  </si>
  <si>
    <t>ALMAMY PARTICIPATION DE KENAM POUR LE DECES DE LA MERE DU CHAUFFEUR SANGARE NOUH</t>
  </si>
  <si>
    <t>MORY K MAIN D'ŒUVRE POUR CASSER 2 BOUCHONS DE ROUE  DU CAMION PLATEAU AA294</t>
  </si>
  <si>
    <t>AGOUA BENEDICTE TRANSPORT SGCI POUR ENCAISSER UN CHEQUE</t>
  </si>
  <si>
    <t>COMMISSION ADAMO DU 21/03/25 AU 20/04/25 POUR LA CAMIONNETTE 134 A NASSIAN</t>
  </si>
  <si>
    <t>OUATTARA ABOUBACAR  FRAIS DE LIVRAISON DES AGENDAS</t>
  </si>
  <si>
    <t>HAMIDOU HUILE DE MOTEUR 10LITRES 330, 3 BIDONS HYDRAULIQUE POUR LA 325 ET L'AUTOBETAUNIERE</t>
  </si>
  <si>
    <t>MME KONE (MADAME TOURE)</t>
  </si>
  <si>
    <t>SOLDE COMMISSION DESIRE DU 21/09/25 AU 20/10/25 A DABAKALA</t>
  </si>
  <si>
    <t>DAO LE CHAUFFEUR DU HYACE COLLAGE DE PNEU POUR LA 1704LY</t>
  </si>
  <si>
    <t>SEKONGO TRANSPORT DU CHAUFFEUR DE LA NIVELLEUSE POUR SE RENDRE A KORHOGO</t>
  </si>
  <si>
    <t>JOURNAL DE CAISSE KENAM SERVICE : JUILLET 2025</t>
  </si>
  <si>
    <t>AGOUA BENEDICTE TRANSPORT SCGI  ( ALLER ET RETOUR)</t>
  </si>
  <si>
    <t>BEN DIAKITE PAIEMENT DU 21/04 AU 20/05/2025 DU CAR DE RAMASSAGE 3207HP A KORHOGO</t>
  </si>
  <si>
    <t xml:space="preserve">KOITA SOLDE D'UNE PARTIE DES 10 CAMIONS PLATEAU POUR VOYAGE PFO </t>
  </si>
  <si>
    <t xml:space="preserve">DEPOT A  LA COMPTABLE </t>
  </si>
  <si>
    <t>APPRO CAISSE PAR CHEQUE NSIA N°2144582</t>
  </si>
  <si>
    <t>KOITA MAMADOU VOYAGE DU CAMION PLATEAU AA69GZ01 SUR LE CHANTIER DE NASSIAN</t>
  </si>
  <si>
    <t>APPRO CAISSE PAR CHEQUE SGCI 07/ PAR M KEITA</t>
  </si>
  <si>
    <t>MR KEITA PAIEMENT DU 21/04 AU 20/05 /2025 DU HIAB AA990C  A BOUAKE</t>
  </si>
  <si>
    <t>APPRO CAISSE EN ESPECE PAR MADAME INES/WAVE</t>
  </si>
  <si>
    <t xml:space="preserve">TOURE  MOUKARABA AVANCE DU MASSA DE 20 PLAC ES A ODIENNE </t>
  </si>
  <si>
    <t>APPRO CAISSE PAR CHEQUE BDU N°1453</t>
  </si>
  <si>
    <t>DJE KOFFI AVANCE DE 5 JOURS DE LA LOCATION DE CITERNE A EAU 723KV01 A KONG</t>
  </si>
  <si>
    <t xml:space="preserve">APPRO CAISSE EN ESPECE PAR MADAME/ WAVE </t>
  </si>
  <si>
    <t>KOITA M AVANCE DE 2 CAMIONS PLATEAU POUR ALLER A NASSIAN</t>
  </si>
  <si>
    <t>BAMBA KALIFA AVANCE DE DEMI MOIS DE LA DOUBLE CABINE 2485HR01 A KORHOGO</t>
  </si>
  <si>
    <t>APPRO CAISSE PAR CHEQUE ECOBANK n° 6822643</t>
  </si>
  <si>
    <t>BARRY H AVANCE DE PORTE CHAR NASSIAN ABIDJAN BULL KS</t>
  </si>
  <si>
    <t>KOITA SOLDE DE VOYAGEPFO SAN-PEDRO DES CAMIONS PLATEAU</t>
  </si>
  <si>
    <t>APPRO CAISSE PAR CHEQUE NSIA N°2144802</t>
  </si>
  <si>
    <t>ESSAN KOFFI AVANCE DE DEMI MOIS DES MINI CAR DE 40 PLACES A NASSIAN 5726</t>
  </si>
  <si>
    <t>APPRO CAISSE EN ESPECE PAR MADAME/ OM</t>
  </si>
  <si>
    <t xml:space="preserve">BARRY H SOLDE DE PORTE CHAR NASSIAN ABIDJAN BULL KS </t>
  </si>
  <si>
    <t>KOITA M SOLDE DE 2 CAMIONS PLATEAU POUR ALLER A NASSIAN</t>
  </si>
  <si>
    <t>APPRO CAISSE PAR CHEQUE BDU N°359</t>
  </si>
  <si>
    <t>KOITA M POINT DE VOYAGE PFO</t>
  </si>
  <si>
    <t>APPRO CAISSE PAR CHEQUE BDU N°362</t>
  </si>
  <si>
    <t>M DIABY PAIEMENT DU CAR DE RAMASSAGE 4117K01 DU 21/04 AU 20/05/2025 ASEC MIMOSA</t>
  </si>
  <si>
    <t>APPRO CAISSE PAR CHEQUE BDU N°366</t>
  </si>
  <si>
    <t>KOITA MAMADOU VOYAGE DE 2 CAMION PLATEAU AA624GZ01 ET 8812HE02 A DABAKALA</t>
  </si>
  <si>
    <t>APPRO CAISSE PAR CHEQUE BDU N°319</t>
  </si>
  <si>
    <t>LASSINE C AVANCE DU CAMION REMORQUE ODIENNE</t>
  </si>
  <si>
    <t>APPRO CAISSE PAR CHEQUE NSIA N°2144583</t>
  </si>
  <si>
    <t>BARRY HAMIDOU PORTE CHAR RETOUR 325 BASSAM</t>
  </si>
  <si>
    <t>M NAPO PAIEMENT D'UNE PARTIE DE LA CITERNE 3103 DU 21/05 AU 20/06 A NASSIAN</t>
  </si>
  <si>
    <t>LASSINE C SOLDE DU CAMION REMORQUE ODIENNE</t>
  </si>
  <si>
    <t>APPRO CAISSE PAR CHEQUE NSIA N°2144645</t>
  </si>
  <si>
    <t>CHERIF EL ALOSSEN PAIEMENT D'UNE PARTIE DU BULL SD22 DU 21/05 AU 20/06/2025 A DABAKALA</t>
  </si>
  <si>
    <t>APPRO CAISSE PAR CHEQUE BDU N°370</t>
  </si>
  <si>
    <t xml:space="preserve">SANGARAE PAIEMENT DE LA CAMIONETTE 134GC01 DU 21/05 AU 20/06/2025 A NASSIAN </t>
  </si>
  <si>
    <t>BARRY HAMIDOU PAIEMENT DE LA CITERNE A EAU 8607EJ01 DU 21/05 AU 20/06/2025 A NASSIAN</t>
  </si>
  <si>
    <t>M DIABY PAIEMENT DE 5 CAR DE RAMASSAGE  DU 21/05 AU 20/06/2025 A KOIRA BTP ET A NASSIAN</t>
  </si>
  <si>
    <t>LASSO  LOCATION DU CAMION FOURGON 5T CHARGEMENT PFO</t>
  </si>
  <si>
    <t>DIAKITE YACOUBA AVANCE DE DEMI MOIS DU CAMION GRUE A BOUAKE</t>
  </si>
  <si>
    <t xml:space="preserve">SANGARE REPARATION DE FLEXIBLE DE LA 325 A FERKE ET ACHAT D'HUILE HYDROLIQUE POUR LA PELLE ET COLLAGE DE PNEU </t>
  </si>
  <si>
    <t>NOUFFOU ACHAT D'HUILE HYDROLIQUE POUR LA PELLE 330</t>
  </si>
  <si>
    <t>AGOUA BENEDICTE TRANSPORT RETOUR BDU AU BUREAU PUIS A SICOMEX POUR RECHARGER LE COMPTE WAVE</t>
  </si>
  <si>
    <t>KODJO 2 NUIT D'HOTEL +FRAIS D'AGENCE DU CHAUFFEUR A SAN-PEDRO</t>
  </si>
  <si>
    <t>SIGUE SALAIRE DU MOIS DE JUI8N</t>
  </si>
  <si>
    <t>BAMBA SAIRE DU MOIS DE JUIN</t>
  </si>
  <si>
    <t>COULIBALY A SALAIRE DU MOIS DE JUIN</t>
  </si>
  <si>
    <t>SANOGO M SALAIRE DU MOIS DE JUIN</t>
  </si>
  <si>
    <t>NABONNON SALAIRE DU MOIS DE JUIN</t>
  </si>
  <si>
    <t>YAKOU SALAIRE DU MOIS DE JUIN</t>
  </si>
  <si>
    <t>OUMAR D SALAIRE DU MOIS DE JUIN</t>
  </si>
  <si>
    <t>TRAORE N SALAIRE DU MOIS DE JUIN</t>
  </si>
  <si>
    <t>KONE S SALAIRE DU MOIS DE JUIN</t>
  </si>
  <si>
    <t>SALAIRE DU MOIS DE JUIN DE LA COMPTABLE</t>
  </si>
  <si>
    <t>MOUSSA SALAIRE DU MOIS DE JUIN</t>
  </si>
  <si>
    <t>COULIBALY L SALAIRE DU MOIS DE JUIN</t>
  </si>
  <si>
    <t>ADAMA D SALAIRE DU MOIS DE JUIN</t>
  </si>
  <si>
    <t>ALMAMY SALAIRE DU MOIS DE JUIN</t>
  </si>
  <si>
    <t>FOFANA S  SALAIRE DU MOIS DE JUIN</t>
  </si>
  <si>
    <t xml:space="preserve">SANGARE S SALAIRE DU MOIS DE JUIN </t>
  </si>
  <si>
    <t>SAMAKE SALAIRE DU MOIS DE JUIN</t>
  </si>
  <si>
    <t>DAO I SALAIRE DU MOIS DE JUIN</t>
  </si>
  <si>
    <t>HAMIDOU B SALAIRE DU MOIS DE JUIN</t>
  </si>
  <si>
    <t>OFFRANDES EN NUMERAIRE</t>
  </si>
  <si>
    <t>HAMIDOU B ENTRETIEN DE LA TRACTOPELLE</t>
  </si>
  <si>
    <t>HAMIDOU B REPARATION DE FLEXIBLE DE DIRECTION</t>
  </si>
  <si>
    <t>SANGARE TRANSPORT POUR SE RENDRE A KORHOGO</t>
  </si>
  <si>
    <t>ALMAMY CARBURANT POUR ALLER CHERCHER LE MECANICIEN A KONG</t>
  </si>
  <si>
    <t>LIVREUR YANGO DEPOT DE CLE DU BUREAU POUR L'INSTALLATION DES ORDINATGEURS</t>
  </si>
  <si>
    <t>JEAN DEPOT DE COURIER A NSIA ALLER ET RETOUR ET DEPOT DE CHEQUE A TREICHVILLE(RIMCO)</t>
  </si>
  <si>
    <t>DRAMANE MAIN D'ŒUVRE DE VIDANGE DU CCAMION AA730</t>
  </si>
  <si>
    <t>KOITA MAMADOU BACHE POUR RECUPERER LES PNEUS</t>
  </si>
  <si>
    <t>SOULEYMANE  S FRAIS DE ROUTE POUR LE CAMION AA407</t>
  </si>
  <si>
    <t>TOSSAVI AMA TRANPORT LE 05/07 A NSIA ,A ECOBANK ET CHEZ M KEITA (ALLER ET RETOUR)</t>
  </si>
  <si>
    <t>MOROGNA ACHAT DE PILLE POUR METTRE DANS LES SOURIS D'ORDINATEUR</t>
  </si>
  <si>
    <t>VASSIRIKI SALAIRE DU MOIS DE JUIN</t>
  </si>
  <si>
    <t>MARIAM MENAGE SALAIRE DU MOIS DE JUIN</t>
  </si>
  <si>
    <t>SALAIRE DU MOIS DE JUIN DE L'APPRENTI DE VASSIRIKI</t>
  </si>
  <si>
    <t>SANGARE ACHAT DE BOULON ET MAIN D'ŒUVRE DU MECANICIEN ET LAVAGE DE BENNE</t>
  </si>
  <si>
    <t>SANGARE ACHAT DE 3 MATELAS ET 3 VENTILATEURS POUR LES CHAUFFEURS DE GRADER ET PELLE</t>
  </si>
  <si>
    <t>ALMAMY FRAIS DE ROUTE ALLER RETOUR DE 2 BENNES(38062wwcci 01ET AA951EL01,SOUDURE ET MAIN D'ŒUVRE</t>
  </si>
  <si>
    <t>MORY K FRAIS DE ROUTE BASSAM ET ODIENNE AA294</t>
  </si>
  <si>
    <t>TOSSAVI AMA TRANSPORT POUR RECUPERATION DE CHEQUES SIMACOD A LA PFO</t>
  </si>
  <si>
    <t xml:space="preserve">DIAKITE BEN OFFRANDES ET FRAIS DE POLICIER </t>
  </si>
  <si>
    <t>MORY TRANSPORT POUR EXPEDITION DE CARNETS ET CHAUSSURES A SAN PEDRO</t>
  </si>
  <si>
    <t xml:space="preserve">FRAIS D'APPRO CAISSE </t>
  </si>
  <si>
    <t>DIAKITE HAMED SALAIRE DU MOIS DE JUIN</t>
  </si>
  <si>
    <t>SAWADOGO ADAMA SALAIRE DU MOIS DE JUIN Et AVANCE</t>
  </si>
  <si>
    <t>JEAN DEPOT DE FACTURE A KOIRA (ALLER- RETOUR)</t>
  </si>
  <si>
    <t>DJAKARIDJA ACHAT D'HUILE HYDROLIQUE ET TRANSPORT</t>
  </si>
  <si>
    <t>HAWA REPARATION DE PNEU POUR LA TRACTOPELLE A BINGERVILLE</t>
  </si>
  <si>
    <t>VASSIRKI CARBURANT POUR VERIFICATION DE LA 345</t>
  </si>
  <si>
    <t>KODJO CAUTION + 2 MOIS DE LOYER AU CHAUFFEUR DE SAN PEDRO</t>
  </si>
  <si>
    <t>TRAORE ABOU SALAIRE DU MOIS DE JUIN</t>
  </si>
  <si>
    <t>TRAORE ADAMA SALAIRE DU MOIS DE JUIN</t>
  </si>
  <si>
    <t>ISMAILA K SALAIRE DU MOIS DE JUIN</t>
  </si>
  <si>
    <t>DJAKARIDJA SALAIRE DU MOIS DE JUIN</t>
  </si>
  <si>
    <t>AGOUA BENEDICTE TRANSPORT RETOUR BDU</t>
  </si>
  <si>
    <t>REGLEMENT DE LA FACTURE DE PANASSUR</t>
  </si>
  <si>
    <t>ELISE IMPRESSION DE PORTES CARTES</t>
  </si>
  <si>
    <t>COMMISSION VENANCE DU 21/02 AU 20/03/2025 DE LA CAMIONETTE 9697A NASSIAN</t>
  </si>
  <si>
    <t>COMMISSION MAIGA DU 21/04 AU 20/05/2025 DE 2 CAMION PLATEAU ET BENNE  A BINGERVILLE</t>
  </si>
  <si>
    <t>SANGARE COLLAGE DE PNEU POUR 2 CAR DE RAMASSAGE ET SOUDURE ,REMONTAGE DES PNEU DE LA BENNE AA594</t>
  </si>
  <si>
    <t>SANGARE SEYDOU  COUPER 2 BOULONS ET ENLEVER,SOUDER ET REMONTER LES PNEUS</t>
  </si>
  <si>
    <t xml:space="preserve">OUMAR REMBOURSEMENT DE CHAMBRE D'HOTEL DE 2 CHAUFFEUR POUR 2 NUIT </t>
  </si>
  <si>
    <t xml:space="preserve">HAMIDOU BARRY CHANGEMENT DE LA LAME DE COMPRESSEUR A AIR DE LA TRACTOPELLE </t>
  </si>
  <si>
    <t>ADAMO CARBURANT POUR DEPOSER L'APPRENTI DU HIAB</t>
  </si>
  <si>
    <t>KASSIM SALAIRE DU MOIS DE JUIN</t>
  </si>
  <si>
    <t>TOSSOU SALAIRE DU MOIS DE MAI</t>
  </si>
  <si>
    <t>TOSSOU SALAIRE DU MOIS D'AVRIL</t>
  </si>
  <si>
    <t>DOSSO SALAIRE DU MOIS D'AVRIL</t>
  </si>
  <si>
    <t>SANGARE NOUNHO SALAIRE DU MOIS DE JUIN</t>
  </si>
  <si>
    <t>TOSSAVI TRANSPORT POUR ALLER A LA FORMATION DU LOGICIEL (COMPTABLE ) M TRAORE</t>
  </si>
  <si>
    <t>SANGARE MAIN D'ŒUVRE DE PARALISE POUR LA BENNE AA951LE01</t>
  </si>
  <si>
    <t>AGOUA BENEDICTE TRANPORT ECOBANK POUR ENCAISSER LE CHEQUE DE MADAME FOBAH</t>
  </si>
  <si>
    <t>LIVREUR YANGO DEPOT DE DOCUMENT A BDU PLATEAU (ALLER -RETOUR)</t>
  </si>
  <si>
    <t>SEKONGO Z ACHAT D'HUILE DE FREIN ET CADENA POUR LE RESERVOIR DE L'AUTOBETONNIERE</t>
  </si>
  <si>
    <t>JEAN FRAIS DE LIVRAISON POR RCUPERER LE CONTRAT DE VENTE PHYSIQUE TATA MOTORS ET DEPOT DE FACTURE A KOIRA</t>
  </si>
  <si>
    <t>LIVREUR YANGO DOCUMENT BDU A MADAME POUR SIGNATURE PUIS DEPOT DU DOCUMENT A BDU PLATEAU</t>
  </si>
  <si>
    <t>HAMIDOU D ACHAT DE PIECE DE LA CITERNE 2875FA 01</t>
  </si>
  <si>
    <t xml:space="preserve">REMBOURSEMENT D'APPRO CAISSE DE FOBAH INES </t>
  </si>
  <si>
    <t>KOITA MAMADOU ACHAT DE CARBURANT 300 L POUR CAMION AA624GZ01 ET FRAIS DE RETOUR</t>
  </si>
  <si>
    <t>FOFANA ALMAMY CARBURANT POUR LA VISITE DE LA CITERNE</t>
  </si>
  <si>
    <t>REMBOURSEMENT D'APPRO CAISSE DE M ZANA</t>
  </si>
  <si>
    <t>SANGARE LAVAGE DE 2 BENNE ET GRAISSAGE (AA954 ET AA047)</t>
  </si>
  <si>
    <t>DJAKARIDJA ACHAT D'HUILE HYDROLIQUE ET TRANSPORT POUR LA NIVELEUSE</t>
  </si>
  <si>
    <t>SANGARE LAVAGE DE 2 BUS (5311 et 5312)</t>
  </si>
  <si>
    <t>NOUFFOU CHARGE DE 2 BATTERIE ET TRANSPORT</t>
  </si>
  <si>
    <t>BARRY HAMIDOU ACHAT D'HUILE HYDROLIQUE POUR LA PELLE A FERKE</t>
  </si>
  <si>
    <t>SEKONGO AVANCE SUR SALAIRE DE 3 JOURS DU CHAUFFEUR DE LA NIVELEUSE</t>
  </si>
  <si>
    <t>MORONGNA TRANSPORT POUR ALLER INSPECTER UN HYACE ET CAR DE 40 PLACES (GESTOCI ET PK18)</t>
  </si>
  <si>
    <t>JEAN DEPOT DE 4 COURRIERS A LA BDU, AFRIKAUTO,FENASTCI ET A LA DCCLF</t>
  </si>
  <si>
    <t>TOSSAVI TRANSPORT NSIA LE 12/07 ET TRANSPORT IMPOT LE 14/07</t>
  </si>
  <si>
    <t xml:space="preserve">REGLEMENT DE 2 FACTURE D'ACTIVA </t>
  </si>
  <si>
    <t>TOSSAVI AMA VERSEMENT SUR LE COMPTE NSIA KS</t>
  </si>
  <si>
    <t>MORONGNA SALAIRE DU MOIS DE JUIN</t>
  </si>
  <si>
    <t>MORONGNA ACHAT DE FOURNITURE DE BUREAU +SAC DE SUPERMACHE</t>
  </si>
  <si>
    <t>BARRY ISSA ACHAT DE 2 CLE D'ACTIVATION WINDOWS POUR 2 POSTES ET ENCRE POUR L'ANCIENNE IMPRIMANTE</t>
  </si>
  <si>
    <t>TOSSAVI TRANSPORT ALLER ET RETOUR CHEZ MADAME POUR RECUPERATION D'ESPECE NSIA ET TRANSPORT RETOUR NSIA BUREAU</t>
  </si>
  <si>
    <t>BAILLY ANGE TRANSPORT DU NOUVEAU COMMIS DE KORHOGO POUR SE RENDRE A KORHOGO</t>
  </si>
  <si>
    <t>DAO S SALAIRE DU MOIS DE JUIN</t>
  </si>
  <si>
    <t>SANOGO BEMA SALAIRE DU MOIS DE JUIN</t>
  </si>
  <si>
    <t>SOUMAHORO  S SALAIRE DU MOIS DE JUIN</t>
  </si>
  <si>
    <t>KONE M SALAIRE DU MOIS DE JUIN</t>
  </si>
  <si>
    <t>BEN DOUMBIA 50LDE CARBURANT POUR TESTER LE BULL AU GARAGE</t>
  </si>
  <si>
    <t>SANGARARE COLLAGE DE 2 TROU SUR LE PNEU DE LA BENNE AA954</t>
  </si>
  <si>
    <t>MELISSA REGLMEMENT DE LA FACTURE DE SOGIMAS</t>
  </si>
  <si>
    <t>KOUASSI LOU SOUSCRIPTION INTERNET NUMERO DU BUREAU</t>
  </si>
  <si>
    <t>AGOUA BENEDICTE RECHARGE DE LA FIBRE OPTIQUE DU BUREAU</t>
  </si>
  <si>
    <t>AGOUA BENEDICTE TRANSPORT RETOUR BDU ET SOUSCRIPTION INTERNET NUMERO DU BUREAU</t>
  </si>
  <si>
    <t>AGOUA BENEDICTE TRANSPORT ALLER ET RETOUR CHEZ MADAME POUR RECUPERER DES CHEQUES BDU</t>
  </si>
  <si>
    <t>JEAN DEPOT DE FACTURE ALLER ET RETOUR A PFO</t>
  </si>
  <si>
    <t>DIABY KADI SALAIRE DU MOIS DE JUIN</t>
  </si>
  <si>
    <t>LIVREUR YANGO DEPOT DE CARNETS DE POINTAGE AU BUREAU (ELISE)</t>
  </si>
  <si>
    <t>AGOUA BENEDICTE TRANSPORT NSIA ,BDU ET NOUVEAU CHU POUR ALLER AU NOUVEAU BUREAU</t>
  </si>
  <si>
    <t>KOITA MAMADOU SALAIRE DU MOID DE JUIN</t>
  </si>
  <si>
    <t>BEN DIAKITE LOCATION DE BACHE ET CHAISE POUR L'OUVERTURE DU NOUVEAU BUREAU</t>
  </si>
  <si>
    <t>BARRY ISSA AVANCE SUR SALAIRE A DEFALQUER SUR 4 MOIS</t>
  </si>
  <si>
    <t>SOUMAHORO VIDANGE DU CAMION PLATEAU A SAN PEDRO 407KY01</t>
  </si>
  <si>
    <t>LOUTINE CYNTHIA REMBOURSEMENT DU TRANSPORT ENVOYE AU NOUVEAU COMMIS DE KORHOGO</t>
  </si>
  <si>
    <t>JEAN DEPOT DE COURIER A TATA MOTORS PUIS DEPOT DES FACTURES A PFO (ALLER -RETOUR)</t>
  </si>
  <si>
    <t>LIVREUR YANGO LIVRAISON  DE VIANDE A TROIS PERSONNES</t>
  </si>
  <si>
    <t xml:space="preserve">ZAKARIA SALAIRE DE 4,5 JOURS DU MOIS DE JUIN DU CHAUFFEUR DE LA TRACTOPELLE A BINGERVILLE </t>
  </si>
  <si>
    <t>KONAN A SALAIRE DE 1 JOUR DU MOIS DE JUIN DU CHAUFFEUR DE LA TRACTOPELLE A BINGERVILLE</t>
  </si>
  <si>
    <t>AGOUA BENEDICTE TRANSPORT A LA BDU POUR ENCAISSER UN CHEQUE(ALLER -RETOUR)</t>
  </si>
  <si>
    <t>JEAN DEPOT DE FACTURE A LA PFO (ALLER -RETOUR)</t>
  </si>
  <si>
    <t>CISSE HAWA TRANSPORT POUR ALLER REMETTRE DES CHEQUE A MADAME A LA BDU</t>
  </si>
  <si>
    <t>MR GOLLI HUSSIER</t>
  </si>
  <si>
    <t>SOUMAHORO FRAIS DE ROUTE DU CAMION AA407</t>
  </si>
  <si>
    <t>TOSSAVI TRANSPORT CNPS</t>
  </si>
  <si>
    <t>MORY K FRAIS DE ROUTE DU CAMION AA294</t>
  </si>
  <si>
    <t>EDGAR SALAIRE DU MOIS DE JUIN DU CHAUFFEUR DE L'AUTOBETONNIERE</t>
  </si>
  <si>
    <t>ADAMO LOYER DE KONG ET KOUTO DU MOIS DU JUIN</t>
  </si>
  <si>
    <t>SANGARE LOYER DU MOIS DE JUILLET A FERKE</t>
  </si>
  <si>
    <t>NOUFFOU LOYER DU MOIS DE JUILLET A DIVO</t>
  </si>
  <si>
    <t>JEAN DEPOT DE FACTURE A PFO</t>
  </si>
  <si>
    <t>ALMAMY LOYER DU MOIS DE JUILLET A NASSIAN</t>
  </si>
  <si>
    <t>KOUASSI LOU SOUSCRIPTION APPEL DU NUMERO DE BUREAU ET LIVRAISON YANGO DE LA CLE DU BUREAU</t>
  </si>
  <si>
    <t>BARRY HAMIDOU ACHAT D'HUILE HYDROLIQUE POUR LA TRACTOPELLE ,CARBURANT POUR ABOU</t>
  </si>
  <si>
    <t>AGOUA BENEDICTE TRANSPORT BDU POUR ENCAISSER UN CHEQUE</t>
  </si>
  <si>
    <t>ALMAMY REPARATION DU DEMAREUR DE LA CITERNE 8207</t>
  </si>
  <si>
    <t>SANGARE DOTATION NOURRITURE AU NOUVEAU COMMIS DEN KORHOGO</t>
  </si>
  <si>
    <t>ADAMO FRAIS DE TRANSPORT DU CHAUFFEUR DU CAMION GRUE</t>
  </si>
  <si>
    <t>JEAN DEPOT DE COURIER D'AFRIK AUTO CHEZ MADAME</t>
  </si>
  <si>
    <t>BARRY HAMIDOU ACHAT DE 5 PNEU POUR LA BENNE AA954</t>
  </si>
  <si>
    <t>JEAN DEPOT DE COURRIER A AFRIK AUTO ZONE 3 (ALLER -RETOUR)</t>
  </si>
  <si>
    <t>SANGARE COLLAGE DU PNEU DU BUS 5311wwci01</t>
  </si>
  <si>
    <t>MR SANOGO FRAIS DE LA VISITE TECHNIQUE DU CAMION PLATEAU AA 624</t>
  </si>
  <si>
    <t>LOUTINE ACHAT D'EAU POUR MADAME , POUR LES INVITES ET DE SUCRE</t>
  </si>
  <si>
    <t>JEAN DEPOT DE FACTURE A KOIRA BTP ET A LA BDU YOPOUGON (ALLER -RETOUR)</t>
  </si>
  <si>
    <t>BEN DIAKITE (ARRESTATION PAR UN POLICIER A CAUSE DU PROBLEME DE LA MUTATION DE LA VOITURE BLANCHE)</t>
  </si>
  <si>
    <t>AGOUA BENEDICTE TRANSPORT NSIA ET TRANSFERT D'UNITE</t>
  </si>
  <si>
    <t xml:space="preserve">KOITA MAMADOUACHAT 25L DE CARBURANT ET DE BASCULE POUR LE CAMION  AA624GZ01  </t>
  </si>
  <si>
    <t>HAMIDOU BARRY ACHAT DE 2 BIDONS D'HUILE HYDROLIQUE POUR LA NIVELEUSE ET DE JOINT A LEVRE</t>
  </si>
  <si>
    <t xml:space="preserve">NOUFFOU SALAIRE DU MOIS DE JUIN </t>
  </si>
  <si>
    <t>M FOFANA LOYER DU MOIS DE JUILLET A ODIENNE</t>
  </si>
  <si>
    <t>BAMBA LOYER DU MOIS DE JUILLET A BOUNDIALY</t>
  </si>
  <si>
    <t>HAMIDOU B REMBOURSEMENT DE FRAIS DE ROUTE ET D'HOTEL DU CAR 5311WWCI01 PUIS FRAIS DE ROUTE DU CAMION AA407</t>
  </si>
  <si>
    <t>HAMIDOU B ACHAT DE 2 PNEU POUR LA BENNE AA951EL</t>
  </si>
  <si>
    <t>KOITA MAMADOU ACHAT DE 2 NOUVEAU AMORTISSEUR POUR LE CAMION AA407</t>
  </si>
  <si>
    <t>DAO FRAIS DE ROUTE DU CAMION AA624</t>
  </si>
  <si>
    <t xml:space="preserve">LIVREUR YANGO LIVRAISON DE CARNET A LASSO FOURGON </t>
  </si>
  <si>
    <t xml:space="preserve">TRAORE ADAMA  FRAIS DE ROUTE ET D'HOTEL DU CAR 5311WWCI01 </t>
  </si>
  <si>
    <t>TRAORE ABOU CARBURANT ET FRAIS DE ROUTE 5312 WWCI01</t>
  </si>
  <si>
    <t>MR BEGOU JEAN DEUXIEME AVANCE</t>
  </si>
  <si>
    <t xml:space="preserve">AGOUA BENEDICTE TRANSPORT NSIA </t>
  </si>
  <si>
    <t>LOUTINE CYNTHIA SOUSCRIPTION INTERNET POUR LE NUMERO DU BUREAU</t>
  </si>
  <si>
    <t>AGOUA BENEDICTRE TRANSPORT NSIA (A ABIDJAN MALL)</t>
  </si>
  <si>
    <t>TOSSAVI AMA TRANSPORT BDU ,SOGIMAS ET NSIA</t>
  </si>
  <si>
    <t>HAMIDOU B TRANSPORT DU MECANICIEN POUR REPARER LA NIVELEUSE ,TRANSPORT MAIN D'ŒUVRE ELECTICIEN POUR LA 325</t>
  </si>
  <si>
    <t>HAWA LIVRAISON DES CARNETS DE POINTAGE A BINGERVILLE</t>
  </si>
  <si>
    <t>REGLEMENT DE LA FACTURE DE RIMCO POUR LE CHAUFFEUR TRAORE ADAMA CARBURANT ET FRAIS DE ROUTE 5312WWCI01</t>
  </si>
  <si>
    <t>BARRY H ACHAT DE PNEU POUR LE CAMION PLATERAU AA407</t>
  </si>
  <si>
    <t>TRAORE ADAMA FRAIS DE POLICE POUR LA PLAQUE D'IMMATRICULATION 5312WWCI01</t>
  </si>
  <si>
    <t>SANGARE REPARATION DU FLEXIBLE POUR LA NIVELEUSE</t>
  </si>
  <si>
    <t>MORY K FRAIS DE ROUTE POUR ALLER A KONG AA294</t>
  </si>
  <si>
    <t>HAMIDOU B ACHAT DE PIECES A FILTRE POUR LA TRACTOPELLE ET L'AUTOBETONNIERE,KIT DE FILTRE ET ACHATS POUR LES PELLES</t>
  </si>
  <si>
    <t>ADAMO ACHAT DE 7 LITRES D'HUILE DE MOTEUR,UN BIDON D'HUILE HYDRAULIQUE  ET CARBURANT POUR LE COMMIS</t>
  </si>
  <si>
    <t>ELISE PAIEMENT DES CARNETS DE FACXTURE ET DES IMPRESSIONS QUADRI</t>
  </si>
  <si>
    <t>ALI A REGLEMENT D'UNE PARTIE DE L'ASSURANCE PANASSUR</t>
  </si>
  <si>
    <t>TOSSAVI AMA TRANSPOERT PFO</t>
  </si>
  <si>
    <t>ALMAMY CARBURANT POUR LE COMMIS</t>
  </si>
  <si>
    <t>LIVREUR YANGO DEPOT DE COURIER CHEZ MADAME POUR SIGNATURE PUIS RETOUR AU BUREAU</t>
  </si>
  <si>
    <t>TRAORE ABOU TRANSPORT DES 2 CHAUFFEURS 5311WWCI01 ET 5312 WWCI01 POUR ALLER A TATA MOTORS</t>
  </si>
  <si>
    <t>JONAS BI ACHAT D'ENCRE NOIR POUR LES IMPRIMANTRES</t>
  </si>
  <si>
    <t>JEAN COURSE A BDU YOPOUGON LE 24/07 ET DEPOT DE COURRIER A AXA ASSURANCE (ALLER -RETOUR)</t>
  </si>
  <si>
    <t>SANGARE  MONTAGE DE 5 PNEU ET MAIN D'ŒUVRE POUR LE CAMION AA954EL01</t>
  </si>
  <si>
    <t>KTA AQUARIUM ENTRETIEN DE L'AQUARUIM ET ACHAT DE NOURRITURE POUR LES POISSONS</t>
  </si>
  <si>
    <t>FOFANA ALMAMY CARBURANT KORHOGO POUR ALLER CHERCHER LA CROIX DE LA BENNE AA951</t>
  </si>
  <si>
    <t>KONE MORY FRAIS DE ROUTE POUR SE RENDRE A A KONG POUR LE CAMION AA294</t>
  </si>
  <si>
    <t>EDGAR LOCATION DE BATTERIE POUR L'AUTOBETONNIERE</t>
  </si>
  <si>
    <t>TRAORE ABOU ENTRETIEN DE 2 CAR LE 5311WWCI01 ET 5312WWCI01 ET FRAIS DE TIMBRE</t>
  </si>
  <si>
    <t>SANGARE LAVAGE DE 2 BENNES AA954 ET AA047JZ</t>
  </si>
  <si>
    <t>REGLEMENT DE LA FACTURE CIE POUR LE BUREAU</t>
  </si>
  <si>
    <t xml:space="preserve">JONAS INTERVENTION SUR L'IMPRIMANTE </t>
  </si>
  <si>
    <t>SAWADOGO ADAMA FRAIS DE ROUTE POUR SE RENDRE A DABAKALA AA047JZ</t>
  </si>
  <si>
    <t>COULIBALY L FRAIS DE ROUTE POUR SE RENDRE A DABAKALA AA954</t>
  </si>
  <si>
    <t>TRAORE ABOU CARBURANT ET FRAIS DE ROUTE DES 2 CAR 5311WWCI01 ET 5312WWCI01</t>
  </si>
  <si>
    <t>HAMIDOU B ACHAT DE 2 PNEU POUR LE CAMION</t>
  </si>
  <si>
    <t>TOSSAVI AMA TRANSPORT IMPOT ET NSIA (ALLER- RETOUR)</t>
  </si>
  <si>
    <t>TOSSAVI AMA LIVRAISON D'ORDINATEUR A LA COMPTABLE</t>
  </si>
  <si>
    <t>DAO ACHAT DE 162 L DE CARBURANT ET FRAIS DE ROUTE DU CAMION AA624</t>
  </si>
  <si>
    <t>ISSA BARRY ACHAT DE CARTONS POUR LE RANGEMENT DES EFFET DU BUREAU</t>
  </si>
  <si>
    <t>TOSSAVI AMA PAIEMENT IMPOT FONCIER 2025 A REMBOURSER PAR SOGIMAS</t>
  </si>
  <si>
    <t>LACINE D FRAIS D'ASSURANCE POUR LE HYACE 1704LY01</t>
  </si>
  <si>
    <t>MR SANOGO FRAIS DE MUTATION POUR LE VEHICULE DU BUREAU SUZUKI AA089BQ01</t>
  </si>
  <si>
    <t>SANGARE SEYDOU LOYER A KORHOGO (2 MOIS DE CAUTION,1 MOIS D'AVANCE ,1 MOIS D'AGENCE)</t>
  </si>
  <si>
    <t>TOSSAVI AMA RECUPERATION DE CLE DU BUREAU ET TRANSPORT CHEZ MADAME( ALLER -RETOUR)</t>
  </si>
  <si>
    <t>LIVREUR YANGO LIVRAISON DE CAcHET ET CHEQUIER A MADAME AU PLATEAU(BDU)</t>
  </si>
  <si>
    <t>JOURNAL DE CAISSE KENAM SERVICE : AOUT 2025</t>
  </si>
  <si>
    <t>SOLDE DU MOIS DE JUILLET</t>
  </si>
  <si>
    <t>TRAORE ZOUMANA PAIEMENT DU MINI CAR 1368HA01 DU 21/04 AU 20/05 A DIVO</t>
  </si>
  <si>
    <t>APPRO CAISSE PAR CHEQUE SGCI 284</t>
  </si>
  <si>
    <t>BARRY H LOCATION DE CAR POUR UN CONVOI A AKOUEDO POUR TRANSPORTER DES MINISTRES</t>
  </si>
  <si>
    <t>TOSSAVI AMA TRANSPORT SGCI ET TRANSPORT POUR ALLER AU NOUVEAU BUREAU (ALLER -RETOUR)</t>
  </si>
  <si>
    <t>APPRO CAISSE PAR UN CLIENT</t>
  </si>
  <si>
    <t>MADAME KOUADIO AVANCE DE LOCATION DE 15PL POUR ARA DANS LE DEPARTEMENT DE BONGOUANOU</t>
  </si>
  <si>
    <t>MORY ACHAT D'UNE BONBONNE POUR LE BUREAU</t>
  </si>
  <si>
    <t>APPRO CAISSE PAR CHEQUE NSIA N°2144590</t>
  </si>
  <si>
    <t>MADAME KOUADIO SOLDE  DE LOCATION DE 15PL POUR ARA DANS LE DEPARTEMENT DE BONGOUANOU</t>
  </si>
  <si>
    <t xml:space="preserve">DAO S ACHAT DE 139,95 L DE CARBURANT POUR ALLER A DABAKALA AA624GZ01 </t>
  </si>
  <si>
    <t>APPRO CAISSE PAR CHEQUE NSIA N°2144594</t>
  </si>
  <si>
    <t>LASSINE C LIVRAISON DE FER A SOGIMAS</t>
  </si>
  <si>
    <t>TOSSAVI AMA TRANSPORT POUR ALLER AU IMPOT (2 FOIS)</t>
  </si>
  <si>
    <t>APPRO CAISSE PAR CHEQUE NSIA N°2144597</t>
  </si>
  <si>
    <t>SANGARE K PAIMENT DE 2 CAR DE RAMASSAGE EN LOCATION A KORHOGO POUR REMPLACER NOS CAR A TATA MOTORS</t>
  </si>
  <si>
    <t>OFRESH  ACHAT DE BONBONNES</t>
  </si>
  <si>
    <t>APPRO CAISSE PAR CHEQUE BDU N°263</t>
  </si>
  <si>
    <t>BARRY HAMIDOU AVANCE DE LA LOCATION DE CAR DU CONVOI DE YVES A DIVO</t>
  </si>
  <si>
    <t>KOITA MAMADOU ACHAT DE 100L DE CARBURANT ET FRAIS DE ROUTE DU CAMION AA407KY</t>
  </si>
  <si>
    <t>APPRO CAISSE PAR MADAME A BARRY  HAMIDOU POUR L'ACHAT DE MEUBLE</t>
  </si>
  <si>
    <t>BEN DIAKITE PAIEMENT DU CAR DE RAMASSAGE 3207JN01 DU 21/05 AU 20/06/2025 A KORHOGO</t>
  </si>
  <si>
    <t>HAMIDOU BARRY ACHAT DE TUYAU DE GASOIL,BOULON ET CARBURANT POUR LA TRACTOPELLE</t>
  </si>
  <si>
    <t xml:space="preserve">REMBOURSEMENT BARRY ISSA </t>
  </si>
  <si>
    <t>BARRY H AVANCE DE PORTE CHAR POUR FAIRE DESCENDRELE BULL DE MR OLIVIER</t>
  </si>
  <si>
    <t>REMBOURSEMENT BEN CONCERNANT L'AVANCE D'UN CAR DE RAMASSAGE</t>
  </si>
  <si>
    <t>KOITA MAMADOU POINT DE VOYAGE PFO</t>
  </si>
  <si>
    <t>AGOUA BENEDICTE ACHAT DE PACK D'EAU POUR LES INVITES</t>
  </si>
  <si>
    <t>APPRO CAISSE PAR CHEQUE BDU N°259</t>
  </si>
  <si>
    <t>MR DIABY PAIEMENT DU CAR DE RAMASSAGE 4117K01 DU 21/05 AU 20/06/2025 A ASEC MIMOSA</t>
  </si>
  <si>
    <t>JEAN DEPOT DE FACTURE A PFO LE 30/07/2025 ET DEPOT DES LUNETTES A LUXE VISION</t>
  </si>
  <si>
    <t>APPRO CAISSE EN ESPECE (convoi de car a DIVO)</t>
  </si>
  <si>
    <t>MR FOBA PAIEMENT DU CAR DE RAMASSAGE AA766HP01 DU 21/06 AU 20/07/2025 A BINGERVILLE</t>
  </si>
  <si>
    <t>EDGAR ACHAT DE MARTEAU ,VERIN ET HUILE HYDROLIQUE POUR L'AUTOBETONNIERE</t>
  </si>
  <si>
    <t>GANA MOHAMED PAIEMENT DE LA CITERNE A EAU 6365FK014 DU 21/06 AU 20/07/2025 A KOIRA BTP</t>
  </si>
  <si>
    <t xml:space="preserve">BAMBA ACHAT DE 2 CROIX POUR LA BENNE ,FRAIS DE LIVRAISON ET UN LIQUIDE REFROIDISSEMENT </t>
  </si>
  <si>
    <t>APPRO CAISSE PAR CHEQUE BDU N°371</t>
  </si>
  <si>
    <t>AYEKOKALE TESSI PAIEMENT DU CAMION DE DEFLEXION 4254CV01 DU 21/06 AU 20/07/2025 A KOIRA BTP</t>
  </si>
  <si>
    <t>AGOUA BENEDICTE LOCATION DE CARGO YANGO POUR LE DEMENAGEMENT DU BUREAU</t>
  </si>
  <si>
    <t>SANGARE PAIEMENT DE LA CAMIONETTE 134GC01 A NASSIAN DU 21/06 AU 20/07/2025</t>
  </si>
  <si>
    <t>BARRY HAMIDOU PANNE DE 2 FLEXIBLE A LAUZOUA POUR LA 330  ET FRAIS DE ROUTE 2 CAMIONS AA294 ET AA407</t>
  </si>
  <si>
    <t>APPRO CAISSE PAR CHEQUE BDU N°1310</t>
  </si>
  <si>
    <t>HAMIDOU BARRY AVANCE DE 2 POTRES CHAR POUR LE RETOUR DES 2 BULL DE  NASSIAN A ABIDJAN</t>
  </si>
  <si>
    <t>DAO ACHAT DE 300 L DE CARBURANT POUR LE CAMION AA624GZ01</t>
  </si>
  <si>
    <t>APPRO CAISSE EN ESPECE PAR MADAME KONE/ WAVE</t>
  </si>
  <si>
    <t>BEN DIAKITE PAIEMENT DU CAR DE RAMASSAGE 1703 DU 21/06 AU 20/07/2025 A DABAKALA</t>
  </si>
  <si>
    <t>VASSIRIKI ACHAT D'HUILE HYDROLIQUE ET MOTEUR POUR LA PELLLE 330</t>
  </si>
  <si>
    <t>APPRO CAISSE PAR CHEQUE BDU BTTP N°263</t>
  </si>
  <si>
    <t>HAMIDOU BARRY SOLDE DE PORTE CHAR DU BULL DE MR OLIVIER</t>
  </si>
  <si>
    <t>TOSSAVI AMA PAIEMENT DE FRAIS IMPAYEDES 2 CHEQUES DE RIMCO</t>
  </si>
  <si>
    <t>APPRO CAISSE PAR CHEQUE BDU BTTP N°265</t>
  </si>
  <si>
    <t>MADAME MYRIAM SOLDE DE LA  LOCATION DE CAR DU CONVOI DE YVES A DIVO</t>
  </si>
  <si>
    <t>JEAN DEPOT DE COURRIER A SGCI  PLATEAU PUIS A KOIRA BTP POUR LE DEPOT DE FACTURE(ALLER-RETOUR)</t>
  </si>
  <si>
    <t>APPRO CAISSE PAR CHEQUE BDU BTTP N°266</t>
  </si>
  <si>
    <t>BARRY HAMIDOU SOLDE DE 2 POTRES CHAR POUR LE RETOUR DES 2 BULL DE  NASSIAN A ABIDJAN</t>
  </si>
  <si>
    <t>COMMISSION DE MR KAYE DU 21/05 AU 20/06/2025 A KORHOGO</t>
  </si>
  <si>
    <t>APPRO CAISSE EN ESPECE PAR MADAME/WAVE</t>
  </si>
  <si>
    <t>REMBOURSEMENT DES POINTS DE MR SANOGO</t>
  </si>
  <si>
    <t>COMMISSION DE MR HAIDARA DU 21/04 AU 20/07/2025 A KOUTO</t>
  </si>
  <si>
    <t>KONATE IBRAHIM AVACE DE 15 JOURS DE  LA LOCATION DU PLATEAU GRUE AA215G01 A KORHOGO</t>
  </si>
  <si>
    <t>SOUMAHORO S ACHAT DE 150L DE CARBURANT POUR LE CAMION AA407</t>
  </si>
  <si>
    <t>APPRO CAISSE PAR CHEQUE NSIA N°2144732</t>
  </si>
  <si>
    <t>BEN DIAKITE PAIEMENT DU CAR DE RAMASSAGE 3207JN01 DU 21/06  AU 20/07/2025 A KORHOGO</t>
  </si>
  <si>
    <t xml:space="preserve">LOUTINE CYNTHIA ACHAT DE FOURNITURE DE BUREAU ET ACAHAT DE CATONS POUR LE RANGEMENT DES EFFETS DU BUREAU </t>
  </si>
  <si>
    <t>BEN DIAKITE PAIEMENT DU CAR DE RAMASSAGE 2044 DU 21/06  AU 20/07/2025 A KORHOGO</t>
  </si>
  <si>
    <t>SALAIRE JUILLET MARYAM</t>
  </si>
  <si>
    <t>APPRO CAISSE PAR CHEQUE NSIA N°2144733</t>
  </si>
  <si>
    <t>MR  OLIVIER PAIEMENT DU BULL D7 H 1041 DU 21/04 AU 20/05/2025 A NASSIAN</t>
  </si>
  <si>
    <t>SALAIRE JUILLET VASSIRIKI</t>
  </si>
  <si>
    <t>APPRO CAISSE EN ESPECE PAR MADAME FOBAH INES</t>
  </si>
  <si>
    <t>SANGARE SIRIKI PAIEMENT DE LA CAMIONETTE 134GC01  DU 21/04 AU 20/05/2025 A NASSIAN</t>
  </si>
  <si>
    <t>SALAIRE JUILLET BEN DIAKITE</t>
  </si>
  <si>
    <t>APPRO CAISSE EN ESPECE PAR MR ZANA</t>
  </si>
  <si>
    <t>MR DIABY PAIEMENT DU CAR DE RAMASSAGE AA618NJ01 ET AA079NK01 DU 21/03 AU 20/05/2025 A NASSIAN</t>
  </si>
  <si>
    <t>SALAIRE JUILLET DAO ISMAEL</t>
  </si>
  <si>
    <t>KONATE  PAIEMENT DE LA NIVEULESE 140K A KORHOGO DU 21/05 AU 20/06/2025</t>
  </si>
  <si>
    <t>SALAIRE JUILLET SAMAKE</t>
  </si>
  <si>
    <t>OUTTARA SIE AVANCE DE DEMI MOIS DE LA DOUBLE CABINE 247JA01 A NASSIAN</t>
  </si>
  <si>
    <t>SALAIRE JUILLET HAMIDOU D</t>
  </si>
  <si>
    <t>SALAIRE JUILLET COULIBALY LACINE</t>
  </si>
  <si>
    <t>SALAIRE JUILLET SANKARA MOUSSA</t>
  </si>
  <si>
    <t>SALAIRE JUILLET SAWAGO ADAMA</t>
  </si>
  <si>
    <t>SALAIRE JUILLET TRAORE NAMBAGA</t>
  </si>
  <si>
    <t>SALAIRE JUILLET KONATE KARIM</t>
  </si>
  <si>
    <t>SALAIRE JUILLET DAO S</t>
  </si>
  <si>
    <t>SALAIRE JUILLET SANOGO BEMA</t>
  </si>
  <si>
    <t>SALAIRE JUILLET SOUMAHORO</t>
  </si>
  <si>
    <t>SALAIRE JUILLET OUATTARA VAMARA</t>
  </si>
  <si>
    <t>SALAIRE JUILLET KONE</t>
  </si>
  <si>
    <t>SALAIRE JUILLET DJIKE</t>
  </si>
  <si>
    <t>SALAIRE JUILLET DIARRASSOUBA</t>
  </si>
  <si>
    <t>SALAIRE JUILLET AMADOU COULIBALY</t>
  </si>
  <si>
    <t>SALAIRE JUILLET SIGUIE IBRAHIM</t>
  </si>
  <si>
    <t>SALAIRE JUILLET SANOGO MOUSTAPHA</t>
  </si>
  <si>
    <t>SALAIRE JUILLET KONE SEKOU</t>
  </si>
  <si>
    <t>SALAIRE JUILLET DIAKITE MOHAMED</t>
  </si>
  <si>
    <t>SALAIRE JUILLET OWELEDGAR</t>
  </si>
  <si>
    <t>SALAIRE JUILLET TRAORE ADAMA</t>
  </si>
  <si>
    <t xml:space="preserve">JONAS ACHAT DE 3 ENCRE DE COULEUR POUR L'IMPRIMANTE </t>
  </si>
  <si>
    <t>ALMAMY FRAIS DE ROUTE DE 2 CAMIONNETTE A NASSIAN</t>
  </si>
  <si>
    <t>YAKOU D FRAIS  DE ROUTE DE 3 CAMIONS BENNES</t>
  </si>
  <si>
    <t xml:space="preserve">SOLDE DE LA FACTURE DE PANASSUR ASSURANCE </t>
  </si>
  <si>
    <t>JEAN RECUPERATIO DE CHEQUIER NSIA A LA 2 AVEC AMA</t>
  </si>
  <si>
    <t>BARRY HAMIDOU DEPANNAGE DE LA BENNE ET DE LA CITERNE A NASSIAN</t>
  </si>
  <si>
    <t>MORY ACHAT DE CARTONS D'ARCHIVAGE A CHINA MALL ET TRANSPORT</t>
  </si>
  <si>
    <t>SALAIRE JUILLET SORO BAKARY</t>
  </si>
  <si>
    <t>JEAN DEPOT DE FACTURE A LA BDU YOPOUGON ALLER RETOUR</t>
  </si>
  <si>
    <t>SALAIRE JUILLET TRAORE DJAKARIDJA</t>
  </si>
  <si>
    <t>SALAIRE JUILLET SANGARE SEYDOU</t>
  </si>
  <si>
    <t>SALAIRE JUILLET BAMBA KADIN</t>
  </si>
  <si>
    <t>SALAIRE JUILLET ADAMO</t>
  </si>
  <si>
    <t>SALAIRE JUILLET FOFANA ALMAMY</t>
  </si>
  <si>
    <t>SALAIRE JUILLET FOFANA ODIENNE</t>
  </si>
  <si>
    <t>SALAIRE JUILLET BAILLY CEDRIC</t>
  </si>
  <si>
    <t>SALAIRE JUILLET TRAORE ABOU</t>
  </si>
  <si>
    <t>DOUMBIA SORY TRANSPORT ALLLER ET RETOUR POUR L'INPECTION DU PLATEAU GRUE A KOUMASSI</t>
  </si>
  <si>
    <t>PASCAL ACHAT DE CARTONS POUR LE DEMENAGEMENT</t>
  </si>
  <si>
    <t>JEAN DEPOT DE CHEQUE A ISIS (ALLER -RETOUR)</t>
  </si>
  <si>
    <t>LIVREUR YANGO LIVRAISON DE CLE A MR ZANA AU CHANTIER</t>
  </si>
  <si>
    <t>AGOUA BENEDICTE TRANSPORT BDU POUR ENCAISSER UN CHEQUE (ALLER RETOUR)</t>
  </si>
  <si>
    <t>BEN DIAKITE OFFRANDES EN NATURE  ET ACHAT DE CARBURANT POUR LA VOITURE GRISE</t>
  </si>
  <si>
    <t>COMMISSION MR TUO A NASSIAN DU 21/05 AU 20/06/2025</t>
  </si>
  <si>
    <t xml:space="preserve">AGOUA BENEDICTE TRANSPORT AVEC LES MEMBRES DU BUREAU POUR LE  DECHARGEMENT DU CARGO YANGO </t>
  </si>
  <si>
    <t>CARGO  YANGO LIVRAISON DU RESTE DES MEUBLES DE L'ANCIEN BUREAU</t>
  </si>
  <si>
    <t>TOSSAVI AMA TRANSPORT IMPOT,LIVRAISON DE LA CLE DU NOUVEAU BUREAU A M TANGUI,TRANSPORT P NOUVEAU BUREAU</t>
  </si>
  <si>
    <t>COMMISION BAMBA A ODIENNE DU 21/01AU 20/05/2025</t>
  </si>
  <si>
    <t>AGOUA BENEDICTE TRANSPORT BDU PUIS A COCOVICO POUR L'ACHAT DE PAPIER CALC</t>
  </si>
  <si>
    <t>OFFRANDES</t>
  </si>
  <si>
    <t>LOUTINE CYNTHIA TRANSPORT POUR ALLER A L'AGENCE MTN POUR RETIRER LA PUCE FLOTTE DE HAMIDOU BARRY</t>
  </si>
  <si>
    <t>MENUSIER DEMONTER LES MEUBLES DE L'ANCIEN BUREAU</t>
  </si>
  <si>
    <t>TOSSAVI AMA ACHAT DE 150 LITRES DE CARBURANT POUR L'ESSAIE DU BULLDOZER AU GARAGE</t>
  </si>
  <si>
    <t>AGOUA BENEDICTE ACHAT DE CARTONS POUR LE RANGEMENT DES EDDETS DE L'ANCIEN BUREAU</t>
  </si>
  <si>
    <t>AGOUA BENEDICTE ACHAT D'UN PAQUET DE PAPIER CALC</t>
  </si>
  <si>
    <t>SODECIE REPARATION DU TUYAU DE SODECIE CASSE ET SA MAIN D'ŒUVRE</t>
  </si>
  <si>
    <t>TOSSAVI AMA TRANSPORT IMPOTES 2 PLATEAU 2POUR ARF ET ATTESTATION DE VERIFICATION</t>
  </si>
  <si>
    <t>SANOGO CARBURANT RETOUR DE 2 CAMIONETTES 51WWCI01 ET 52WWCI02</t>
  </si>
  <si>
    <t xml:space="preserve">HAMIDOU BARRY ACHAT DE 5 CORDES ,FRAIS DE ROUTE POUR LA AA624 ,2 BIDONS HUDROLIQUE ET DEPENSES </t>
  </si>
  <si>
    <t>TOSSAVI AMA LIVRAISON DE LA CLE DE LA VOITURE BLANCHE AU BUREAU</t>
  </si>
  <si>
    <t>BARRY HAMIDOU ACHAT DE MEUBLE POUR LE BUREAU</t>
  </si>
  <si>
    <t>LIVREUR YANGO RECUPERATION DES CLES USB A SOGIMAS</t>
  </si>
  <si>
    <t>GARGO POUR LIVRER DES FAUTEUILS AU NOUVEAU BUREAU</t>
  </si>
  <si>
    <t>AGOUA BENEDICTE TRANSPORT ALLER ET RETOUR BDU</t>
  </si>
  <si>
    <t>MORY ACHAT DE 20 PACKS CELESTE POUR LE BUREAU</t>
  </si>
  <si>
    <t xml:space="preserve">BARRY ISSA TRANSPORT POUR ALLER A L'AGENCE ORANGE POUR LA FIBRE </t>
  </si>
  <si>
    <t>BARRY ISSA ACHAT D'ADAPTATEUR ET TRANSPORT POUR LE BUREAU</t>
  </si>
  <si>
    <t>COMMISSION ISSA BARRY DU 21/04 AU 20/06/2025 DU BULL D7 A DABAKALA</t>
  </si>
  <si>
    <t>COULIBALY LACINE  CHAMBRE D'HOTEL DE 3 CHAUFFEURS AA047,AA954 ET 38071WWCI01</t>
  </si>
  <si>
    <t>COMMISSION DE MR MAIGA DU 21/05 AU 20/06/2025 POUR LES CAMIONS PLATEAU 1203LA01 ET AA624GS</t>
  </si>
  <si>
    <t>FOFANA ALMAMY MONTAGE DE 2 PNEU POUR LA BENNE AAA95EL010</t>
  </si>
  <si>
    <t>AGOUA BENEDICTE TRANSPORT POUR ALLER RECUPERER LA VOITURE GRIS A SOGIMAZS AVEC BEN</t>
  </si>
  <si>
    <t>KTA AQUARUIM DEPLACEMENT ,INSTALLATION ,ANTICHRORE ET NOURRITURE DES POISSONS</t>
  </si>
  <si>
    <t>COULIBALY LACINE FRAIS DE ROUTE DE 2 CAMIONS BENNES A KORHOGO ET 1 A NASSIAN</t>
  </si>
  <si>
    <t>LIVREUR YANGO DEPOT DE DOCUMENT  A MR KOFFFI BDU</t>
  </si>
  <si>
    <t>JEAN RECUPERATION DE DOCUMENT A BDU YOPOUGON POUR L'ENVOYER AU BUREAU</t>
  </si>
  <si>
    <t>ISSA BARRY TRANSPORT POUR ALLER A L'AGENCE CONCERNANT LA FIBRE</t>
  </si>
  <si>
    <t>ADAMA D ACHAT DE 14,28 LITRES DE CARBURANT PUR LE 52WWCI01</t>
  </si>
  <si>
    <t>SANGARE LAVAGE DE 2 CAR 5311WWCI01 ET 5312WWCI01</t>
  </si>
  <si>
    <t>TOGRA JOEL INSTALLATION DE LA FIBRE OPTIQUE</t>
  </si>
  <si>
    <t>CISSE HAWA ET AGOUA BENEDICTE SOUSCRIPTION INTERNET POUR LE TELEPHONE DU BUREAU</t>
  </si>
  <si>
    <t>SALAIRE JUIILET KONATE MORY</t>
  </si>
  <si>
    <t>SALAIRE JUILLET TOSSAVI</t>
  </si>
  <si>
    <t>SALAIRE JUILLET KOUSSI LOU ET CONGES</t>
  </si>
  <si>
    <t>SALAIRE JUILLET BARRY HAMIDOU</t>
  </si>
  <si>
    <t>SALAIRE JUILLET BEN DOUMBIA</t>
  </si>
  <si>
    <t>SALAIRE JUILLET CISSE</t>
  </si>
  <si>
    <t>SALAIRE JUILLET LA COMPTABLE</t>
  </si>
  <si>
    <t>BARRY HAMIDOU ACHAT 2 BOUTEUILLE A AIR ET 2 AMORTISSEURS POUR LE CAMION AA407</t>
  </si>
  <si>
    <t>MORY TRANSPORT POUR ALLER CHERCHER LA TOUPIE AVEC BEN DOUMBIA</t>
  </si>
  <si>
    <t xml:space="preserve">TOSSAVI AMA TRANSPORT POUR RECUPERER LA FACTURE A CILYA,AU IMPOTS 2 PLATEAUX 3 ET ACHAT DE TIMBRE </t>
  </si>
  <si>
    <t>ADAMO LOYER DU MOIS DE JUILLET DE KONG ET KOUTO</t>
  </si>
  <si>
    <t>MADAME HEIMON TRANFERT D'UNITE POUR LE DGA ET LA RH</t>
  </si>
  <si>
    <t>SALAIRE JUILLET AGOUA</t>
  </si>
  <si>
    <t>SALAIRE JUILLET BARRY ISSA</t>
  </si>
  <si>
    <t>SALAIRE JUILLET BOUBA</t>
  </si>
  <si>
    <t>SALAIRE JUILLET DOUMBIA MAMOUDE</t>
  </si>
  <si>
    <t>SALAIRE JUILLET LOUTINE</t>
  </si>
  <si>
    <t xml:space="preserve">MR BEGOU DEPOT A HAMIDOU DJINGUEMBE POUR LA PERTE DE SA FEMME </t>
  </si>
  <si>
    <t>TOSSAVI AMA TRANSPORT POUR ALLER AU IMPOT DES  2 PLATEAUX 3 ET 2 PLATEAUX 2 POUR L'ARF</t>
  </si>
  <si>
    <t>FOFANA S LOYER DU MOIS DE JUILLET A ODIENNE</t>
  </si>
  <si>
    <t>KTA AQUARUIM  DEPLACEMENT  DE L'AQUARUIM</t>
  </si>
  <si>
    <t>JEAN DEPOT DE TABLETTE CHEZ KAMAL (ALLER-RETOUR)</t>
  </si>
  <si>
    <t>N'GUESSAN TANGUI TRAVAUX POUR  NOUVEAU BUREAU</t>
  </si>
  <si>
    <t xml:space="preserve">KOUASSI MOHAMED ACHAT DE MATERIEL POUR SYSTÈME VIDEO POUR LE NOUVEAU BUREAU </t>
  </si>
  <si>
    <t>ORDRE DE MISSION DE VASSIRIKI A DIVO ET LAUZOUA</t>
  </si>
  <si>
    <t xml:space="preserve">MR SANOGO ACHAT DE CAMION GRUE </t>
  </si>
  <si>
    <t>BARRY HAMIDOU FRAIS DE ROUTE DU CAMION HIAB 126  POUR RENTRER A ABIDJAN</t>
  </si>
  <si>
    <t>ZAKARIA AIR POUR LES PNEU DE LA TRACTOPELLE</t>
  </si>
  <si>
    <t>BARRY HAMIDOU FRAIS DE ROUTE DU CAMION AA624</t>
  </si>
  <si>
    <t>BARRY HAMIDOU VIDANGE DE LA PELLE 325</t>
  </si>
  <si>
    <t>FRAIS D'APPRO CAISSSE</t>
  </si>
  <si>
    <t xml:space="preserve">BARRY HAMIDOU VIDANGE DU CAMION AA624 </t>
  </si>
  <si>
    <t>BEN DOUMBIA CARBURANT POUR LA VOITURE GRISE</t>
  </si>
  <si>
    <t>DIAWARA FRAIS DE ROUTE DU CAMION HIAB</t>
  </si>
  <si>
    <t>NOUNHO S AVANCE SUR LE SALAIRE DE MAI</t>
  </si>
  <si>
    <t>MR ADOU ACHAT DE CIMENTS</t>
  </si>
  <si>
    <t>M ME KONE REMBOURSEMENT DE L'APPRO CAISSE</t>
  </si>
  <si>
    <t>AGOUA BENEDICTE TRANSPORT PUR ALLER A LA BDU ENCAISER UN CHEQUE</t>
  </si>
  <si>
    <t>JEAN DEPOT DE FACTURE A PFO ET RECUPERATION DES LUNETTES A LUXE VISION</t>
  </si>
  <si>
    <t>HAMIDOU B ACHAT DE 2 BATTERIE ET TRANSPORT</t>
  </si>
  <si>
    <t>TOSSAVI AMA TRANPORT ALLER RETOUR IMPOT POUR NEGOCIATION AVEC LE RECEVEUR (MR KAMAGATE)</t>
  </si>
  <si>
    <t>BASSIDIKI FRAIS DE ROUTE AA724</t>
  </si>
  <si>
    <t xml:space="preserve">KOITA MAMADOU SALAIRE DU MOIS DE JUILLET </t>
  </si>
  <si>
    <t>MME HEIMON RH SOUSCRIPTION INTERNET</t>
  </si>
  <si>
    <t>LOUTINE TRANSPORT ALLER RETOUR POUR FAIRE LES ACHATS DU BUREAU</t>
  </si>
  <si>
    <t>TRAORE S FRAIS D'EXPEDITION DE 10 CHAUSSURES DE SECURITE A NASSIAN</t>
  </si>
  <si>
    <t>SALIF PORGO LOYER DU MOIS AOUT A FERKE</t>
  </si>
  <si>
    <t>COMMISIONS DE MR YVES TRAYE</t>
  </si>
  <si>
    <t xml:space="preserve">LOUTINE ACHATS DE FOURNITURE DE BUREAU </t>
  </si>
  <si>
    <t>SOUMAHORO S 60 LITRES DE CARBURANT POUR SE RENDRE A LA BASE DE SONGON AA407</t>
  </si>
  <si>
    <t>EDGAR ACHAT DE POMPE A GRAISSE ,AIR POUR 4 PNEU ET COURROIE POUR L,AUTOBETONNIERE</t>
  </si>
  <si>
    <t>DOSSO DEPANNAGE DE 2 CAMIONS BENNES ET DE LA SUZUKI DE SEBROKO</t>
  </si>
  <si>
    <t>MR ADOU DEPENSES DU NOUVEAU BUREAU</t>
  </si>
  <si>
    <t>MR BEGOU FRAIS DE CONSULTANCE (6eme ACOMPTE)</t>
  </si>
  <si>
    <t>MR BEGOU  ACHAT DE PILE A LA BOUTIQUE</t>
  </si>
  <si>
    <t>MR TANGUI N'GUESSAN DEVIS DE LA CONSTRUCTION DU NOUVEAU BUREAU</t>
  </si>
  <si>
    <t>VERSEMENT  A SOGIMAS POUR ACHAT DE MEUBLES POUR LE NOUVEAU BUREAU</t>
  </si>
  <si>
    <t>SALIF PORGO SALAIRE DU MOIS DE JUILLET</t>
  </si>
  <si>
    <t>ZAKARIA SALIRE DU MOIS DE JUILLET</t>
  </si>
  <si>
    <t>SANGARE NOUNHOU  SALAIRE DU MOIS DE MAIS ET JUILLET</t>
  </si>
  <si>
    <t>BARRY HAMIDOU DEPENSES POUR LE BULL D7R</t>
  </si>
  <si>
    <t xml:space="preserve">SOUMAHORO S FRAIS DE OUTE DU CAMION PLATEAU </t>
  </si>
  <si>
    <t>BARRY HAMIDOU ACHAT DE 4 PNEU POUR LE CAR 5311WWCI ET 5312WWCI</t>
  </si>
  <si>
    <t>BARRY HAMIDOU ACHAT DE 2 BIDONS D'HUILE DE MOTEUR POUR LE CAMION AA724</t>
  </si>
  <si>
    <t>VASSIRIKI CARBURANT POUR LES DEPLACEMENTS  DU MECANICIEN</t>
  </si>
  <si>
    <t>AGOUA BENEDICTE TRANSPORT SOGIMAS PUIS AU BUREAU</t>
  </si>
  <si>
    <t>JEAN DEPOT DE LUNETTE CHEZ MADAME PUIS ENVOYER L'ORDINATEUR A AMA</t>
  </si>
  <si>
    <t xml:space="preserve">AGOUA BENEDICTE TRANSPORT ALLER A NSIA PUIS A ECOBANK ET AU BUREAU </t>
  </si>
  <si>
    <t>JEAN DEPOT DE FACTURE A SCORE BTP (ALLER-RETOUR)</t>
  </si>
  <si>
    <t>CONFECTION DE CARTE DE VISITE POUR LE DGA</t>
  </si>
  <si>
    <t>ALMAMY F TRANSPORT ,ACHAT DE COURROIE ,REPARATION DE BOULON,COLLAGE DE 3 PNEU DE BENNE</t>
  </si>
  <si>
    <t xml:space="preserve">BEN DIAKITE DEPANNAGE DE 2 PNEU POUR LA VOITURE BLANCHE </t>
  </si>
  <si>
    <t>DRAMANE ACHAT DE 2 PAQUETS DE PLAQUETTE ,5 LITRES D'HUILE DE BOITE POUR LE CAMION AA624</t>
  </si>
  <si>
    <t>VASSIRIKI REPARATION DE LA TRACTOPELLE</t>
  </si>
  <si>
    <t xml:space="preserve">MORY CARBURANT POUR LA VOITURE BLANCHE </t>
  </si>
  <si>
    <t>SOUMAHORO S ACAHT DE 339 LITRES DE CARBURANT POUR LE CAMION AA407KY01</t>
  </si>
  <si>
    <t>AGOUA BENEDICTE FRAIS DE PEAGE POUR ALLER A TATA MOTORS</t>
  </si>
  <si>
    <t>REMBOURSEMENT DE MADAME PAR LE CHREQUE BDU FFn°1457</t>
  </si>
  <si>
    <t xml:space="preserve">AGOUA BENEDICTE TRANSPORT ALLER A NSIA PUIS BDU ET AU BUREAU </t>
  </si>
  <si>
    <t>BARRY ISSA TRANSPORT POUR UNE URGENCE AU PARKING (ALLER -RETOUR)</t>
  </si>
  <si>
    <t>CONFECTION DE 8 CACHETS POUR LE BUREAU</t>
  </si>
  <si>
    <t>MOUSSA ACHAT DE PILE DURACELLE</t>
  </si>
  <si>
    <t xml:space="preserve">DAO S ACHAT DE 435 L DE CARBURANT ET FRAIS DE ROUTE  POUR LE CAMION AA624GZ01 </t>
  </si>
  <si>
    <t>JEAN RECUPERER UN CHEQUE A SOGIMAS PUIS LIVRAISON AU BUREAU</t>
  </si>
  <si>
    <t>JEAN RECUPERER L'ORDINATEAUR DE LA COMPTABLE ,PUIS ALLER RECUPERER LES CACHETS ET LES ENVOYER AU BUREAU</t>
  </si>
  <si>
    <t>MR BEGOU VIDANGE DE LA NOUVELLE VOITURE BLANCHE SUZUKI 2167LJ01</t>
  </si>
  <si>
    <t>BARRY HAMIDOU ACHAT DE 40 LITRE DE CARBURANTAA 407 ,ANTI BROUILLARD POUR LA PELLE 330 ET L'AUTOBETONNIERE</t>
  </si>
  <si>
    <t>SANGARE S  TRANSPORT ET MAIN D'OEUVRE DE L'ELECRTICIEN</t>
  </si>
  <si>
    <t>HAMIDOU BARRY HUILE HYDRAULIQUE POUR LA NIVELEUSE,COCHE DE BATTERIE ,40 LITRE DE CARBURANT POUR LA BENNE</t>
  </si>
  <si>
    <t>DJAKARIDJA ACHAT DE 4 BIDONS D'HUILE  DE MOTEUR POUR LA CHARGEUSE ET LA 325</t>
  </si>
  <si>
    <t>AGOUA BENEDICTE SOUSCRIPTION APPELLE POUR MON NUMERO DE SERVICE ET CELUI  DE TOSSAVI</t>
  </si>
  <si>
    <t>AGOUA BENEDICTE SOUSCRIPTION APPELLE  ET INTERNET POUR L'ASSISTANTE DE DIRECTION</t>
  </si>
  <si>
    <t>ALMAMY F FRAIS DE ROUTE DE LA DOUBLE CABINE 3881WWCI01</t>
  </si>
  <si>
    <t>BEN  DOUMBIA REGLEMENT DES INFRACTIONS DE LA VOITURE DU BUREAU ET COLLAGE DE PNEU</t>
  </si>
  <si>
    <t>SANGARE S ACHAT D'HUILE HYDROLIQUE POUR LA NIVELEUSE</t>
  </si>
  <si>
    <t>BARRY HAMIDOU PEINTURE DU BULL D7R</t>
  </si>
  <si>
    <t>TOSSAVI AMA TRANSPORT AU IMPOT 2 PLATEAU 3 POUR L'ARF</t>
  </si>
  <si>
    <t>LA COMPTABLE TRANSPORT POUR ALLER AU IMPOT</t>
  </si>
  <si>
    <t xml:space="preserve">AGOUA BENEDICTE TRANSPORT NSIA CASINO ALLER RETOUR </t>
  </si>
  <si>
    <t>TOSSAVI AMA TRANSPORT IMPOT 2 PLATEAU 2 POUR LA VERIFICATION DES DECLARATION DE 2024</t>
  </si>
  <si>
    <t>ALMAMY F FRAIS DE ROUTE DE LA BENNE POUR ALLER A SA REVISION 3806WWCI01</t>
  </si>
  <si>
    <t>VASSIRIKI TRANSPORT POUR ALLER MONTER LE VIRAIN A BINGERVILLE</t>
  </si>
  <si>
    <t>AGOUA BENEDICTE TRANSPORT RETOUR UBA POUR LA REMISE DE CHEQUE</t>
  </si>
  <si>
    <t>ADJIMA AVANCE DE L' ENTRETIEN POUR LE VEHICULES DU DGA</t>
  </si>
  <si>
    <t>KONE SEKOU ACHAT DE COURROIE DE CLIMATISATION POUR LA DOUBLE CABINE 3881WWCI01</t>
  </si>
  <si>
    <t>FRAIS D'APPRO CAISSE</t>
  </si>
  <si>
    <t>VERSEMENT SUR LE COMPTE DE KS NSIA</t>
  </si>
  <si>
    <t xml:space="preserve">TOSSAVI AMA TRANSPORT POUR FAIRE LA REMISE DE CHEQUE A LA BDU </t>
  </si>
  <si>
    <t>BARRY HAMIDOU DEPANAGE A LOZOUA POU LA 330 ET L'AUTOBETONNIERE</t>
  </si>
  <si>
    <t>BARRY HAMIDOU ACHAT DE 2 BIDONS D'HUILE HYDROLIQUE POUR LA TRACTOPELLE</t>
  </si>
  <si>
    <t>KONE SEKOU REGLEMENT DE LA FACTURE DE FOTON ET FRAIS DE TIMBRE</t>
  </si>
  <si>
    <t>SOUMAHORO S FRAIS DE ROUTE DU CAMION AA407</t>
  </si>
  <si>
    <t>BEN DOUMBIA CARBURANT POUR LE VEHICULE DU BUREAU</t>
  </si>
  <si>
    <t>CISSE HAWA SOUSCRIPTION APPEL POUR LE TELEPHONE DU BUREAU</t>
  </si>
  <si>
    <t>AGOUA BENEDICTE TRANSPORT NSIA BONOUMIN ,NSIA RIVIERA 3 ,UBA ANGRE ET AU BUREAU</t>
  </si>
  <si>
    <t>TOSSAVI AMA TRANSPORT NSIA GOLF POUR LES IMPOTS</t>
  </si>
  <si>
    <t>TANGUI TRAVAUX(ELECTRICITE,MENUSIERIE …) POUR LE NOUVEAU BUREAU</t>
  </si>
  <si>
    <t>BARRY HAMIDOU FRAIS DE ROUTE DU CAMION AA407 ET DU CAR 5311WWCI01</t>
  </si>
  <si>
    <t>JEAN DEPOT DE FACTURE A PFO,AUTOCHEK ET KOIRA (ALLER -RETOUR)</t>
  </si>
  <si>
    <t>AHOBA TRANSFERT D'UNITE POUR LE TELEPHONE DU BUREAU</t>
  </si>
  <si>
    <t>JEAN DEPOT DE FACTURE A PFO ALLER -RETOUR</t>
  </si>
  <si>
    <t>BARRY HAMIDOU MAIN D'ŒUVRE POUR FAIRE PEINTURE DU BULL ET DE 2 BENNES</t>
  </si>
  <si>
    <t>HAMIDOU BARRY ENLEVEMENTS DU CAMION  CITERNE ET DU COMPACTEUR A COLAS</t>
  </si>
  <si>
    <t>BARRY HAMIDOU ACHAT D'HUILE DE BOITE POUR LE CAMION AA624GZ</t>
  </si>
  <si>
    <t>BARRY HAMIDOU FRAIS DE ROUTE DU CAMION AA294</t>
  </si>
  <si>
    <t>LIVREUR YANGO LIVRAISON DE CLE DE L'ANCIEN BUREAU A ADOU</t>
  </si>
  <si>
    <t>AGOUA BENEDICTE TRANSFERT D'UNITE POUR LE TELEPHONE DU BUREAU</t>
  </si>
  <si>
    <t>SOUMAHORO  S FRAIS DE ROUTE DU CAMION AA407</t>
  </si>
  <si>
    <t>AHOBA COLLATION POUR LE SEMINAIRE DE FORMATION SUR L'ART DE NEGOCAIATION DES COMMERCIAUX</t>
  </si>
  <si>
    <t>DGA CARBURANT POUR SA SUZUKI DZIRE BLANCHE</t>
  </si>
  <si>
    <t>LA COMPTABLE TRANSPORT POUR VOIR LE RECELLEUR</t>
  </si>
  <si>
    <t>BEMA SANOGO FRAIS DE ROUTE DU CAMION AA730</t>
  </si>
  <si>
    <t>LE DGA  RELATION PUBLIQUE DGI 2 PLATEAU 3</t>
  </si>
  <si>
    <t>ALMAMY MAIN D'ŒUVRE DU MECANICIEN QUI A DEPANNER LA BENNE 38062WWCI01</t>
  </si>
  <si>
    <t xml:space="preserve">BARRY HAMIDOUAVANCE DEVIS DU PEINTRE POUR LE BULL ET LES 2 BENNES </t>
  </si>
  <si>
    <t>VASSIRIKI FRAIS D'INSTALLATION DE L'AD BLUE</t>
  </si>
  <si>
    <t>BARRY HAMIDOU FRAIS DE DEPANAGE DE LA SUZUKI</t>
  </si>
  <si>
    <t>BARRY HAMIDOU ACHAT DE FILTRES POUR LA CITERNE ET LA BENNE</t>
  </si>
  <si>
    <t>LIVREUR YANGO LIVRAISON DE LA CLE DE LA 2EME VOITURE AU BUREAU</t>
  </si>
  <si>
    <t>M ARMAMND RECUPERATION DE DOCUMENT DU CAC CHEZ MR EPONON A NSIA ABOBO MAIRIE</t>
  </si>
  <si>
    <t>USINE SINO IVOIRE ACHAT DE 43 FEUILLE DE CONTRE PLAQUE BAKELISE</t>
  </si>
  <si>
    <t>BARRY HAMIDOU CARBURANT POUR ALLER ACHETER LES PIECES DE LA BENNE ,DU COMPACTEUR</t>
  </si>
  <si>
    <t>BARRY HAMIDOU REMBOUSERMENT FRAIS DE ROUTE AA624,COLLAGE DE PNEU,SOLDE DE DEVIS DE LA PEINTURE ET HUILE DE VERIN</t>
  </si>
  <si>
    <t xml:space="preserve">                                                                      </t>
  </si>
  <si>
    <t>JOURNAL DE CAISSE KENAM SERVICE : SEPTEMBRE2025</t>
  </si>
  <si>
    <t xml:space="preserve">KOITA MAMADOU AVANCE DE LOCATION DE 2 CAMIONS PLATEAU POUR ODIENNE </t>
  </si>
  <si>
    <t>MADAME FOBAH REMBOURSEMENT D'APPRO CAISSE</t>
  </si>
  <si>
    <t>APPRO CAISSE PAR CHEQUE BDU N° 269</t>
  </si>
  <si>
    <t xml:space="preserve">KOITA MAMADOU VOYAGE PFO </t>
  </si>
  <si>
    <t>BEN DIAKITE  CARBURANT DE LA VOITURE BLANCHE</t>
  </si>
  <si>
    <t xml:space="preserve">APPRO CAISSE EN ESPECE  PAR MADAME/ WAVE </t>
  </si>
  <si>
    <t>KOITA MAMADOU SOLDE  DE LOCATION DE 2 CAMIONS PLATEAU POUR ODIENNE ET AVANCE DE 3 CAMIONS SAN PEDRO</t>
  </si>
  <si>
    <t>JEAN DEPOT DE FACTURE A PFO LE 28/008 ET DEPOT DE DOSSIER A BDU YOPOUGON ( ALLER-RETOUR)</t>
  </si>
  <si>
    <t>KOITA MAMADOU SOLDE DE LA LOCATION DE 3CAMIONS PLATEAU POUR SAN PEDRO</t>
  </si>
  <si>
    <t>SALAIRE NOUFFOU CHAUFFEUR DE LA PELLE A CHENILLE 330C JUILLET</t>
  </si>
  <si>
    <t>MR OUATTARA AVANCE DE DEMI MOIS DE LA DOUBLE CABINE 3747FX01 A NASSIAN</t>
  </si>
  <si>
    <t>KTA AQUARIUM ENTRETIEN ET NOURRITURES DES POISSIONS</t>
  </si>
  <si>
    <t>APPRO CAISSE EN ESPECE PAR SANGARE LE COMMIS DE KORHOGO</t>
  </si>
  <si>
    <t>KOITA MAMADOU AVANCE DE LOCATION DE 4 CAMIONS  SAN  PEDRO- FRESCO  ETSURPLUSB</t>
  </si>
  <si>
    <t>DAO S FRAIS DE ROUTE DU CAMION AA624GZ</t>
  </si>
  <si>
    <t>APPRO CAISSE PAR CHEQUE BDU N° 376</t>
  </si>
  <si>
    <t>DIABATE  AVANCE DE 2 JOURS  DU CAR DE 40PL POUR LE SUPPLEEMENT DE NOS CARS</t>
  </si>
  <si>
    <t>HAMIDOU BARRY REMBOURSEMENT DES FRAIS DE ROUTE DU CAMION AA407</t>
  </si>
  <si>
    <t>KOITA MAMADOU SOLDE DE VOYAGE SAN PEDRO FRESCO</t>
  </si>
  <si>
    <t>BASSIDIKI FRAIS DE ROUTE DU CAMIONAA730</t>
  </si>
  <si>
    <t>MR SYLLA SOLDE DE LA LOCATION DE L'AUTO BETONNIERE A SAN PEDRO DU 21/05 AU 20/06/2025</t>
  </si>
  <si>
    <t>BARRY ISSA AVANCE SUR SALAIRE du mois AOUT</t>
  </si>
  <si>
    <t>APPRO CAISSE PAR CHEQUE BDU FF N° 1315</t>
  </si>
  <si>
    <t>HAMIDOU BARRY AVANCE DE LOCATION DE PORTE CHAR DU BULL D7 A BOUNDIIALY ET RETOUR SUR ABIDJAN AVEC LE BULL DE LOCATION</t>
  </si>
  <si>
    <t>EDGAR ACHAT DE 7 L D'HUILE HYDRAULIQUE POUR L'AUTO BETONIERE</t>
  </si>
  <si>
    <t>APPRO CAISSE PAR CHEQUE BDU FF N° 1124</t>
  </si>
  <si>
    <t>KEITA SOUMAHILA PAIEMENT DU HIAB AA960CA A BOUAKE DU 21/05 AU 20/07/2025</t>
  </si>
  <si>
    <t xml:space="preserve">BAMBA LAVAGE DE LA CHARGEUSE </t>
  </si>
  <si>
    <t>APPRO CAISSE PAR CHEQUE BDU FF N° 1458</t>
  </si>
  <si>
    <t>BARRY OUSMANE PAIEMENT DE LA CITERNE A EAU  1512KP 01 A KOIRA BTP DU 21/07</t>
  </si>
  <si>
    <t>FALIKOU AVANCE SUR LA CONFECTION DES CARTES DE VISITE DES COMMERCIAUX</t>
  </si>
  <si>
    <t>APPRO CAISSE PAR CHEQUE BDUFF N° 1125</t>
  </si>
  <si>
    <t xml:space="preserve">LASSO AVANCE DE LOCATION DE CAMION FOURGON 5T D'ABIDJAN A BONOUA </t>
  </si>
  <si>
    <t>ZAKARIA RECHARGE DE BATTERIE ET  PASSAGE CHEZ LE VULGARISATEUR POUR LA TRACTOPELLE</t>
  </si>
  <si>
    <t>BEN DIAKITE PAIEMENT DU CAR DE RAMASSAGE 1703 A DABAKALA DU 21/07 AU 20/08/2025</t>
  </si>
  <si>
    <t>BEN DIAKITE LAVAGE DE LA VOITURE DU BUREAU</t>
  </si>
  <si>
    <t>APPRO CAISSE PAR CHEQUE BDU BTTP N° 271</t>
  </si>
  <si>
    <t>ZOUMANA PAIEMENT DE 2 CAR DE RAMASSAGE 1368H01 ET 5115H01 DU 21/06 AU 20/07/2025 A DIVO</t>
  </si>
  <si>
    <t>JEAN DEPOT DE FACTURE A KOIR A (ALLER -RETOUR)</t>
  </si>
  <si>
    <t>MR AKEZIZI PAIEMENT DU CAR DE RAMASSAGE AA714FX DU 21/07 AU 20/08/2025 A DABAKALA</t>
  </si>
  <si>
    <t>MR BEGOU RELATION PUBLIQUE DGI (2 PLATEAU III)</t>
  </si>
  <si>
    <t xml:space="preserve">APPRO CAISSE PAR MADAME HEIMON CONCERNANT LES OFFRANDES </t>
  </si>
  <si>
    <t>MR BAMBA PAIEMENT DE LA DOUBLE CABINE 2485HR01 A KORHOGO DU 21/07 AU 20/08/2025</t>
  </si>
  <si>
    <t xml:space="preserve">COMMISSION DE CONTRE PLAQUE BAKALISE DE MR TANGUI </t>
  </si>
  <si>
    <t>KONE MOUMINI PAIEMENT D'UNE PARTIE DE LA LOCATION DU BULL D7H A DABAKALA DU 21/07 AU  20/08/2025</t>
  </si>
  <si>
    <t>BEN DOUMBIA AVANCE SUR SALAIRE du mois AOUT</t>
  </si>
  <si>
    <t>APPRO CAISSE EN ESPECE PAR MR TOURE</t>
  </si>
  <si>
    <t>GANA OUSMANE PAIEMENT DE LA CITERNE A EAU 6365KP01 A KOIRA BTP DU 21/07 AU 20/08/2025</t>
  </si>
  <si>
    <t>SOUMAHORO S REPARATION DU PNEU DU CAMION AA407</t>
  </si>
  <si>
    <t>APPRO CAISSE PAR CHEQUE SGCI FF N° 114</t>
  </si>
  <si>
    <t>MR DIARRA  D AVANCE DE LA LOCATION DE L'AUTOCHARGEUSE A KONG</t>
  </si>
  <si>
    <t>ADAMO AVANCE SUR SALAIRE du mois AOUT</t>
  </si>
  <si>
    <t>APPRO CAISSE PAR ADOU CONCERNANT LES  ACHATS POUR LE BUREAU</t>
  </si>
  <si>
    <t>BAMBA LASSO PAIEMENT DU CAR DE RAMASSAGE 1931 HR A ODIENNE DU 21/06 AU 20/07/2025</t>
  </si>
  <si>
    <t>KONE SEKOU TRANSPORT POUR LE DEPLACEMENT DU CHAUFFEUR AU BUREAU KS</t>
  </si>
  <si>
    <t>APPRO CAISSE PAR  RIMCO CONCERNANT LA BENNE3862 WW</t>
  </si>
  <si>
    <t>MME COULIBALY PAIEMENT D'UNE PATRIE DE LA CITERNA A EAU 8207 DU 21/070AU 20/08/2025</t>
  </si>
  <si>
    <t>BASSIDIKI ACHAT D'HUILE DE GASOIL POUR LE CAMION AA730</t>
  </si>
  <si>
    <t>APPRO CAISSE EN ESPECE PAR MADAME FOBAH/WAVE</t>
  </si>
  <si>
    <t>HAMIDOU BARRY SOLDE DE LOCATION DE PORTE CHAR DU BULL D7 A BOUNDIIALY ET RETOUR SUR ABIDJAN AVEC LE BULL DE LOCATION</t>
  </si>
  <si>
    <t xml:space="preserve">YANGO POUR LE MACON DE KS POUR EFECTUER DES TRVAUX A L'ANCIEN BUREAU </t>
  </si>
  <si>
    <t>BEN DOUMBIA PAIEMENT DU CAR DE RAMASSAGE 2044 A KORHOGO DU 21/07 AU 20/08/2025</t>
  </si>
  <si>
    <t>ALMAMY LAVAGE DE 3 BENNES ET DE 4 CAMIONNETTES A NASSIAN</t>
  </si>
  <si>
    <t>APPRO CAISSE PAR CHEQUE NSIA FF N °2144587</t>
  </si>
  <si>
    <t>LASSO AVANCE DE LOCATION DE CAMION  POUR LE CHARGEMENT DE FER A ANYAMA</t>
  </si>
  <si>
    <t>MONGOUA ACHAT DE PIECE ET MAIN D'ŒUVRE POUR LE KATCHEUR  (barry)</t>
  </si>
  <si>
    <t xml:space="preserve">LASSO  SOLDE DE LOCATION DE CAMION FOURGON 5T D'ABIDJAN A BONOUA </t>
  </si>
  <si>
    <t>BEN DIAKITE TRANSPORT POUR ALLER CHEZ MADAME (YANGO)</t>
  </si>
  <si>
    <t>APPRO CAISSE EN ESPECE PAR MADAME/ WAVE</t>
  </si>
  <si>
    <t>HERMAN KOUADIO AVANCE DE 5 J DE LA LOCATION DU MINI COMPACTEUR  A KONG</t>
  </si>
  <si>
    <t>HERMAN (RL) TRANSFERT D'UNITE POUR LE NUMERO DU BUREAU</t>
  </si>
  <si>
    <t xml:space="preserve">APPRO CAISSE PAR MADAME HEIMON CONCERNANT LES ACHATS DU BUREAU </t>
  </si>
  <si>
    <t>LASSO SOLDE DE LOCATION DE CAMION  POUR LE CHARGEMENT DE FER A ANYAMA</t>
  </si>
  <si>
    <t>BARRY HAMIDOU REMBOURSEMENT POUR L'ACHAT DE 2 BALLONS AA624 ET FRAIS DE ROUTE AA407</t>
  </si>
  <si>
    <t xml:space="preserve">MR FOBA HERMAN PAIEMENT DU CAR DE RAMASSAGE 1105 DU 21/06 AU 20/07/2025 A NASSIAN </t>
  </si>
  <si>
    <t xml:space="preserve">SANGARE SEYDOU COLLAGE DU PNEU DU CAR 5311 ET  ACHAT DE VENTILATEUR </t>
  </si>
  <si>
    <t>BEN DIAKITE AVANCE SUR SALAIRE DU MOIS D'AOUT</t>
  </si>
  <si>
    <t>TRANSPORT DU CHAUFFEUR DE COMPACTEUR EN LOCATION A DEFLAQUER</t>
  </si>
  <si>
    <t>NOUFFOU  REPARATION DU DEMAREUR DE LA PELLE 330 A DIVO</t>
  </si>
  <si>
    <t>EDGAR REPARATION DU GODET DE L'AUTO BETONIERE</t>
  </si>
  <si>
    <t xml:space="preserve">CISSE HAWA AVANCE SUR SALAIRE DU MOIS D'OUT </t>
  </si>
  <si>
    <t>APPRO CAISSE EN ESPECE PAR MADAME BDU KS N ° 941</t>
  </si>
  <si>
    <t>MR BEGOU SOLDE CONCERNANT L'ENTRETIEN DE LA VOITURE DZIRE</t>
  </si>
  <si>
    <t>CISSE HAWA TRANSPORT DGI ANGRE (YANGO)</t>
  </si>
  <si>
    <t>APPRO CAISSE PAR CHEQUE UBA N° 4511202</t>
  </si>
  <si>
    <t>SOUMAHORO S DEPANNAGE DU PNEU DU CAMION AA407</t>
  </si>
  <si>
    <t>APPRO CAISSE EN ESPECE PAR MADAME BDU FF N°1191</t>
  </si>
  <si>
    <t>LA COMPTABLE CREDIT TELEPHONIQUE</t>
  </si>
  <si>
    <t>AGOUA BENEDICTE TRANSPORT BDU ALLER -RETOUR</t>
  </si>
  <si>
    <t>TOSSAVI AMA FRAIS D'IMPAYES DU CHEQUE DE 2000 000 AU IMPOT</t>
  </si>
  <si>
    <t>APPRO CAISSE EN ESPECE PAR MADAME BDU FF N°1481</t>
  </si>
  <si>
    <t xml:space="preserve">BARRY HAMIDOU REMBOURSEMENT DE FRAIS DE ROUTE ,MOTO A POMPE POUR LA CITERNE ET RACCORD </t>
  </si>
  <si>
    <t>APPRO CAISSE EN ESPECE PAR MADAME BDU FF N°1195</t>
  </si>
  <si>
    <t xml:space="preserve">DAO S CARBURANT POUR LE CAMION PLATEAU </t>
  </si>
  <si>
    <t xml:space="preserve">YAKOU D TRANSPORT POUR SE RENDRE A RIMCO ET ENTRETIEN DU CAMION ET FRAIS DE ROUTE </t>
  </si>
  <si>
    <t xml:space="preserve">CISSE HAWA TRANSPORT DGI </t>
  </si>
  <si>
    <t xml:space="preserve">SANGARE S LAVAGE DE 2 BENNES ET DE 2 CAR DE RAMASSAGE </t>
  </si>
  <si>
    <t>TOSSAVI AMA TRANSPORT POUR ECHANGER LE CHEQUE DES IMPOT AVEC LE RECEVEUR</t>
  </si>
  <si>
    <t>KONE SEKOU FRAIS DE ROUTE ET 90 LITRES DE CARBURANT POUR LA CAMIONETTE 3881WWCI</t>
  </si>
  <si>
    <t xml:space="preserve">BEN DIAKITE OUVERTURE DE BOITE POSTALE A LA POSTE  ET DOUANE </t>
  </si>
  <si>
    <t>TOSSAVI AMA TRANSPORT TRIBUNAL DE COMMERCE,TRIBUNALCOMMERCE MALI PUIS AU BUREAU</t>
  </si>
  <si>
    <t xml:space="preserve">KOITA MAMADOU TRANSPORT POUR LA LIVRAISON DES CARNETS AU CHAUFFEURS DES CAMIONS PLATEAU </t>
  </si>
  <si>
    <t xml:space="preserve">SANGARE SEYDOU ACAHT D'AMPOULE ET MAIN D'ŒUVRE </t>
  </si>
  <si>
    <t>BARRY HAMIDOU NOUVELLE PIECE POUR LA CITERNE ET EXPEDITION</t>
  </si>
  <si>
    <t>SOUMAHORO LAVAGE DU CAMION AA 407</t>
  </si>
  <si>
    <t xml:space="preserve">BEN DIAKITE CARBURANT POUR LA VOITURE DU BUREAU </t>
  </si>
  <si>
    <t>BASSIDIKI S FRAIS DE ROUTE DU CAMION AA730</t>
  </si>
  <si>
    <t>BARRY H RACCORD POUR LA CITERNE 8207</t>
  </si>
  <si>
    <t xml:space="preserve">AGOUA BENEDICTE TRANSPORT RETOUR BDU PUIS A CARREFOUR POUR FAIRE UNE COURSE DE MADAME </t>
  </si>
  <si>
    <t>MME AHOBA TRANSFERT D'UNITE POUR LE TELEPHONE DU BUREAU MTN</t>
  </si>
  <si>
    <t>JEAN DEPOT DE FACTURE A KOIRA PUIS AU PLATEAU (ALLER -RETOUR)</t>
  </si>
  <si>
    <t>FALIKOU SOLDE SUR LA CONFECTION DES CARTES DE VISITE DES COMMERCIAUX</t>
  </si>
  <si>
    <t>AGOUA BENEDICTE TRANSPORT( ALLER RETOUR )BDU POUR FAIRE UNE REMISE</t>
  </si>
  <si>
    <t>ALMAMY TRAVAUX DE FINITION POUR LA BENNE AA951</t>
  </si>
  <si>
    <t>DGA CARBURANT POUR SA VOITURE DU BUREAU</t>
  </si>
  <si>
    <t>SALAIRE AOUT MARYAM</t>
  </si>
  <si>
    <t>SALAIRE AOUT FOFANA ALMAMY</t>
  </si>
  <si>
    <t>SALAIRE AOUT SOUMAHORO</t>
  </si>
  <si>
    <t>SALAIRE AOUT DAO S</t>
  </si>
  <si>
    <t>SALAIRE AOUT KONATE KARIM</t>
  </si>
  <si>
    <t>SALAIRE AOUT ADAMO</t>
  </si>
  <si>
    <t>SALAIRE AOUT LA COMPTABLE</t>
  </si>
  <si>
    <t>SALAIRE AOUT BAMBA KADIN</t>
  </si>
  <si>
    <t xml:space="preserve">SALAIRE AOUT DIAWARA </t>
  </si>
  <si>
    <t>SALAIRE AOUT SANGARE SEYDOU</t>
  </si>
  <si>
    <t>SALAIRE  AOUT FOFANA ODIENNE</t>
  </si>
  <si>
    <t>SALAIRE AOUT BAILLY CEDRIC</t>
  </si>
  <si>
    <t>SALAIRE  AOUT COULIBALY LACINE</t>
  </si>
  <si>
    <t>SALAIRE  AOUT DAO ISMAL</t>
  </si>
  <si>
    <t>SALAIRE  AOUT SAMAKE</t>
  </si>
  <si>
    <t xml:space="preserve">SALAIRE AOUT HAMIDOU </t>
  </si>
  <si>
    <t>SALAIRE  AOUT SAWADOGO ADAMA</t>
  </si>
  <si>
    <t>SALAIRE  AOUT SANKARA MOUSSA</t>
  </si>
  <si>
    <t>SALAIRE AOUT DJIKE</t>
  </si>
  <si>
    <t>SALAIRE  AOUT KONE MORY</t>
  </si>
  <si>
    <t>SALAIRE AOUT SANOGO BEMA</t>
  </si>
  <si>
    <t>SALAIRE AOUT COULIBALY A</t>
  </si>
  <si>
    <t>SALAIRE  AOUT OWELEDGAR</t>
  </si>
  <si>
    <t>SALAIRE AOUT OUATTARA VAMARA</t>
  </si>
  <si>
    <t>SALAIRE  AOUT TRAORE ADAMA</t>
  </si>
  <si>
    <t>SALAIRE  AOUT TRAORE ABOU</t>
  </si>
  <si>
    <t>SALAIRE  AOUT SANOGO MOUSTAPHA</t>
  </si>
  <si>
    <t>SALAIRE  AOUT SORO BAKARY</t>
  </si>
  <si>
    <t>PRIME DE TRANSPORT DES COMMERCIAUX</t>
  </si>
  <si>
    <t xml:space="preserve">JEAN DEPOT DE FACTURE A PFO ALLER RETOUR </t>
  </si>
  <si>
    <t>HERMAN  TRANSFERT D'UNITE POUR LE NUMERO DU BUREAU</t>
  </si>
  <si>
    <t>MME EHUI ACHAT DE PUCE FLOTTE POUR LE SECRETARIAT</t>
  </si>
  <si>
    <t xml:space="preserve">BEN DIAKITE VIDANGE DE LA VOITURE DU BUREAU </t>
  </si>
  <si>
    <t xml:space="preserve">MR BEGOU RELATION PUBLIQUE DGI </t>
  </si>
  <si>
    <t>VERSEMENT SUR LE COMPTE NSIA KS</t>
  </si>
  <si>
    <t>AGOUA BENEDICTE TRANSPORT BDU ,NSIA PUIS AU IMPOT ET AU BUREAU</t>
  </si>
  <si>
    <t>SALAIRE AOUT BAGAYOKO ABDOULAYE</t>
  </si>
  <si>
    <t>TRAORE ABOU FRAIS DE ROUTE CARBURANT ET PEAGE POUR LE CAR 5311WWCI01</t>
  </si>
  <si>
    <t>TRAORE ADAMA FRAIS DE ROUTE CARBURANT ET PEAGE POUR LE CAR 5312WWCI01</t>
  </si>
  <si>
    <t>SALIF P ACHAT DE 2 BIDONS D'HUILE POUR LA PELLE 325</t>
  </si>
  <si>
    <t>SALAIRE  AOUT KONE SEKOU</t>
  </si>
  <si>
    <t>MR ERIC DU CEPICI POUR FAIRE LA DEMANDE D'EXO</t>
  </si>
  <si>
    <t xml:space="preserve">MR BEGOU FRAIS POUR L'ETABLISSEMENT DU CERTIFICAT DE RESIDENCE </t>
  </si>
  <si>
    <t>AGOUA BENEDICTE COURSE D'UNE PARTIE DES FOURNITURES DE BUREAU ET TRANSPORT</t>
  </si>
  <si>
    <t xml:space="preserve">JEAN DEPOT DE DOCUMENT A SOGIMAS POUR SIGNATURE </t>
  </si>
  <si>
    <t xml:space="preserve">BARRY HAMIDOU FOURNITURES DE PIECES ET ACCESOIRES POUR LA BENNE DONFENG ET LE COMPACTEUR </t>
  </si>
  <si>
    <t>SALAIRE AOUT DIARRASOUBA YAKOU</t>
  </si>
  <si>
    <t>MR SANOGO AVANCE POUR LES LAMES DE RESSORT DE PLATEAU</t>
  </si>
  <si>
    <t>BARRY HAMIDOU REMBOURSEMENT DE FRAIS DE ROUTE DU CAMION AA407</t>
  </si>
  <si>
    <t>SALAIRE AOUT DJAKARIDJA APPRENTI MECANICIEN</t>
  </si>
  <si>
    <t>LIVRRAISON DE DOCUMENT A MR ERIC CEPICI YANGO</t>
  </si>
  <si>
    <t xml:space="preserve">ACHAT DE CARTONS  DE  CARREAUXET AUTRE POUR LES TRAVAUX DU BUREAU  A  LA QUINCAILLERIE DE KS ET LA LIVRAISON </t>
  </si>
  <si>
    <t xml:space="preserve">TOSSAVI AMA TRANSPORT BDU ,SOGIMAS,PLATEAU PUIS AU GOLF ET AU BUREAU </t>
  </si>
  <si>
    <t>TRAORE ABOU COLLAGE DE PNEU POUR LE CAR 5311WWCI01</t>
  </si>
  <si>
    <t xml:space="preserve">MmE HEIMON OFFRANDE EN NUMERAIE </t>
  </si>
  <si>
    <t>MR ZANA ACHAT DE MOTEUR POUR LE BULL QUI EST AU GARAGE  (EN LIGNE)</t>
  </si>
  <si>
    <t>SALAIRE AOUT DOUMBIA MAMOUDE APPRENTI MECANICIEN</t>
  </si>
  <si>
    <t>OUMARR D FRAIS DE ROUTE ET PEAGE ALLER RETOUR A RIMCO A BOUAKE 38062WWCI01</t>
  </si>
  <si>
    <t>SALIF PORGO SALAIRE DU CHAUFFEUR DE LA PELLE 325 A FERKE</t>
  </si>
  <si>
    <t>SANGARE COLLAGE DU PNEU DE LA BENNE AA47JZ01 (1 TrOU)</t>
  </si>
  <si>
    <t>BEN DOUMBIA ACHAT DE FOURNITURE DU BUREAU</t>
  </si>
  <si>
    <t xml:space="preserve">BEN DOUMBIA CARBURANT POUR LA VOIRURE DU BUREAU </t>
  </si>
  <si>
    <t>SAWADOGO ADAMA REPARATION DU 2 emeTROU DE LA BENNE AA47JZ01</t>
  </si>
  <si>
    <t>OUMAR D CHAMBRE D'HOTEL DU CHAUFFEUR A BOUAKE 38062WWCI01</t>
  </si>
  <si>
    <t>JEAN LIVRAISON DE CONTRAT MONETIQUE A MR EPONON A NSIA D' ABOBO</t>
  </si>
  <si>
    <t>MR BEGOU ACHAT D'HUILE ET AUTRE POUR L'ENTRETIEN DE LA VOITURE DU BURAUE DU DGA</t>
  </si>
  <si>
    <t>BEIBI ACHAT DE MECANISME ET MAIN D'OEUVRE POUR DEBOUCHER LES TOILETTES ET INSTALATION DU MECANISME</t>
  </si>
  <si>
    <t>ACHAT DE POTS DE PEINTURE ET AUTRE POUR LES TRAVAUX DU BUREAU  A  LA QUINCAILLERIE DE KS ET LA LIVRAISON</t>
  </si>
  <si>
    <t>DAO S FRAIS D EMAIN D'ŒUVRE ET REPARATION DU CAMION AA624</t>
  </si>
  <si>
    <t>SOLDE DES POINTS DE MR ADJE POUR LA CONSTRUCTION DU BUREAU</t>
  </si>
  <si>
    <t xml:space="preserve"> AMOIN K ENTRETIEN DU CAMION 3862WWCI01 A RIMCO</t>
  </si>
  <si>
    <t xml:space="preserve">B ARRY HAMIDOU FRAIS DE TRANSPORT DES 6 PNEU A CHANG2 ET TRAVAUX DE SOUDURES POUR LE CAMION ET LA BENNE </t>
  </si>
  <si>
    <t xml:space="preserve">BEN DOUMBIA AIR POUR LES 4 PNEU DE LA VOITURE DU BUREAU </t>
  </si>
  <si>
    <t>BEN DOUMBIA LAVAGE DE LA VOITURE DU BUREAU</t>
  </si>
  <si>
    <t xml:space="preserve">STB ACHAT DE POIGNET DE PORTE POUR LE BUREAU </t>
  </si>
  <si>
    <t xml:space="preserve">ACHAT DE 5 POUBELLES POUR LE BUREAU </t>
  </si>
  <si>
    <t>COMMISSION D'ADAMO  POUR LA CAMIONNETTE A NASSIAN DU 21/04/2025 AU 20/04/2025</t>
  </si>
  <si>
    <t>COMMISSION DE MR KAYE A KORHOGO DU 21/06/2025 AU 20/07/2025</t>
  </si>
  <si>
    <t>NOUFFOU ACHAT DE 2 BIDONS HYDRAULIQUE POUR LA PELLE 330</t>
  </si>
  <si>
    <t>MME HEIMON TRANSPORTN ET ACHAT DE CLASSEURS ET PARAPHEUR POUR LE BUREAU</t>
  </si>
  <si>
    <t>ALMAMY F FRAIS DE MAINTENANCE ET DE  MAIN D'ŒUVRE DES DOUBLES CAMIONNETTES</t>
  </si>
  <si>
    <t xml:space="preserve">MR ADOU ACHAT D'AQUARUIM ,COMMODE ET TRANSPORT </t>
  </si>
  <si>
    <t>SALIF PORGO LOYER DU MOIS DE SEPTEMBRE A FERKE</t>
  </si>
  <si>
    <t>SANGARE LOYER DU MOIS DE SEPTEMBRE A KORHOGO</t>
  </si>
  <si>
    <t>SANGARE  AIR POUR LE PNEU DE LA BENNE AA954P01</t>
  </si>
  <si>
    <t>NOUFFOU LOYER DU MOIS DE SEPTEMBRE A DIVO</t>
  </si>
  <si>
    <t xml:space="preserve">CHEZ NABI ACHAT DE COMMODE </t>
  </si>
  <si>
    <t>ACHAT DE PAPIER PEINT POUR LE BUREAU DE MADAME</t>
  </si>
  <si>
    <t>AGOUA BENEDICTE TRANSPORT NSIA DE LA DJIBI ALLER RETOUR (YANGO)</t>
  </si>
  <si>
    <t xml:space="preserve">MR ADOU JOSIAS ACHAT DE DIFFUSEUR POUR LE BUREAU </t>
  </si>
  <si>
    <t>MR SAIDOUNOUROU ACHAT DE 4 TAPIS POUR LE BUREAU</t>
  </si>
  <si>
    <t>YANGO LIVRAISON DES DOCUMENTDU CODE IMPOT A EIRS A MADAME AKA</t>
  </si>
  <si>
    <t>ADAMO LOYER DU MOIS D'AOUT A KONG</t>
  </si>
  <si>
    <t>BAMBA LOYER DU MOIS D'AOUT A BOUNDIALY</t>
  </si>
  <si>
    <t>FOFANA LOYER DU MOIS DE SEPTEMBRE A ODIENNE</t>
  </si>
  <si>
    <t>ALMAMY LOYER DU MOIS AOUT A NASSIAN</t>
  </si>
  <si>
    <t>NOUFFOU  ACHAT D'HUILE HYDEAULIQUE POUR LA PELLE 330 A DIVO</t>
  </si>
  <si>
    <t xml:space="preserve">MR HERMAN TRANSPORT YOPOUGON,AU GARAGE ET RETOUR AU BUREAU </t>
  </si>
  <si>
    <t>BARRY FINITION DES  PIECES POUR LE BULL D7</t>
  </si>
  <si>
    <t>EDGAR MAIN D'ŒUVRE ET DEPLACEMENT DE l'ELECTRICIEN POUR LA PANNE DE L'AUTOBETONNIERE</t>
  </si>
  <si>
    <t xml:space="preserve">BARRY ISSA TRANSPORT ALLER RETOUR PFO </t>
  </si>
  <si>
    <t xml:space="preserve">MR HERMAN TRANSFERT D'UNITE POUR LE TELEPHONE DU BUREAU  </t>
  </si>
  <si>
    <t xml:space="preserve">MR BEGOU CARBURANT POUR SA VOITURE DU BUREAU </t>
  </si>
  <si>
    <t>AGOUA BENEDICTE TRANSPORT NSIA DJIBI (ALLER )</t>
  </si>
  <si>
    <t xml:space="preserve"> LIVRAISON DE BON DE CHINA MALL A  MR ADOU (YANGO)</t>
  </si>
  <si>
    <t>MR ADOU  ACHAT DE JUS POUR POUR MADAME ET D'AUTRE COURSE A SUPER U ET CHINA MALL (ALLER- RETOUR)</t>
  </si>
  <si>
    <t>TOSSAVI AMA REMBOURSEMENT DU SALAIRE DE SIBIRI YOUSSOUF  A AMA</t>
  </si>
  <si>
    <t>Mr BEGOU ACHAT DE POUBELLE POUR LE BUREAU DU DGA</t>
  </si>
  <si>
    <t xml:space="preserve">MADENOU Y AVANCE SUR SALAIRE 30000  ET ACHAT DE MATELAS ET FRAIS DE TRANSPORT  DU CHAUFF COMPACTEUR </t>
  </si>
  <si>
    <t xml:space="preserve">SALAIRE DU MOIS D'AOUT DU CHAUFFEUR  SANGARE NOUH </t>
  </si>
  <si>
    <t xml:space="preserve">MME HEIMON TRANSFERT D'UNITE POUR LE TELEPHONE DU BUREAU </t>
  </si>
  <si>
    <t xml:space="preserve">KTA AQUARIUM INSTALLATION ET ENTRETIEN </t>
  </si>
  <si>
    <t xml:space="preserve">MR CISSE INSTALLATION DE SONDES SUR Camion AA 890 TA,Benne 1492 WW CI01;Citerne 9077 JG 01 </t>
  </si>
  <si>
    <t>MME EHUENI ACHAT DE GEL MAIN, CACHE NEZ ET MULTIPRISE</t>
  </si>
  <si>
    <t>TRAORE ABOU ENTRETIEN ET REPARATION DU CAR A TATA  ET FRAIS DE TIMBRE 5311WWCI01</t>
  </si>
  <si>
    <t>BARRY HAMIDOU LOYER DE SEPTEMBRE A BOUAKE</t>
  </si>
  <si>
    <t>MR SUKJIH POUR LE CODE DE l'IMPORT EXPORT</t>
  </si>
  <si>
    <t xml:space="preserve">FALIKOU AVANCE SUR LA CONFECTION DES RECUS DE SORTIES DE  CAISSE </t>
  </si>
  <si>
    <t xml:space="preserve">SANGARE S ACHAT DE PNEU DE  (02 )+ LA MAIN D'ŒUVRE DE MONTAGE POUR LA   AA407 KY 01 </t>
  </si>
  <si>
    <t>TOSSAVI AMA TRANSPORT IMPOTS DES 2 PLATEAU 3 POUR VOIR MR KAMAGATE SUR L'ORDRE DE LA DAF POUR DES VERIFICATION 2024</t>
  </si>
  <si>
    <t>CARGO YANGO FRAIS DE LIVRAISON DES EFFETS DE LA QUINCAILLERIE KS  A BINGERVILLE</t>
  </si>
  <si>
    <t>TOSSAVI AMA TRANSPORT CNPS POUR METTRE LE CACHET SUR L'ATTESTATION DE MISE A JOURS SUR L'ORDRE DE LA DAF</t>
  </si>
  <si>
    <t xml:space="preserve">MECANICIEN KOFFI DECLARATION DE PERTE DE LA VISITE TECHNIQUE DE LA VOITURE DU DGA </t>
  </si>
  <si>
    <t xml:space="preserve">BARRY HAMIDOU ACHAT DE PIECES POUR LA REPARATION DE LA 330 </t>
  </si>
  <si>
    <t>MME HEIMON ACHATS DE FOURNITURE DE BUREAU ET TRANSPORT CHIC SHOP,CHINA MALL</t>
  </si>
  <si>
    <t>SANGARE  ACHAT DE FILTRE A HUILE ET MAIN D'ŒUVRE POUR LE AA 407</t>
  </si>
  <si>
    <t>JEAN DEPOT DE DOCUMENT A UBA PLATEAU , FACTURE A PFO ,RECUPERATION DE CACHET ET RETOUR AU BUREAU</t>
  </si>
  <si>
    <t>NOUFFOU FRAIS DE REPARATION DE LA PELLE 330</t>
  </si>
  <si>
    <t xml:space="preserve">JEAN DEPOT DE DOCUMENT A LA BDU YOP ENSUITE A AUTOCHEK ET AU BUREAU </t>
  </si>
  <si>
    <t>SANGARE S FRAIS DE REPARATION ET MAIN D'ŒUVRE DU CAMION AA 407</t>
  </si>
  <si>
    <t xml:space="preserve">ACHAT DE CARTONS  DE  CARREAUX POUR LES TRAVAUX DU BUREAU  A  LA QUINCAILLERIE DE KS  </t>
  </si>
  <si>
    <t>SANGARE S FILTRE A HUILE ET MAIN D'ŒUVRE POUR LE CAMION AA407</t>
  </si>
  <si>
    <t>BECROU CONFECTION D'UN CACHET DIRECTION GENERALE</t>
  </si>
  <si>
    <t>BARRY H FRAIS D'EXPEDITION DU MATERIEL DE LA PELLE 330 ,ACHAT POUR LA BENNE 951 ET LA CITERNE2875</t>
  </si>
  <si>
    <t xml:space="preserve">MR ADOU JOSIAS ACHAT DR MICRO ONDE ET AUTRES POUR LE BUREAU ET TRANSPORT </t>
  </si>
  <si>
    <t>MR BEGOU VISITE TECHNIQUE ET FRAIS DIVERS  POUR LE VEHICULE DE BUREAU DU DGA</t>
  </si>
  <si>
    <t>LA DAF TRANSPORT POUR ALLER RENCONTRER MR KRA AU IMPOTS</t>
  </si>
  <si>
    <t>TRAORE  ADAMA  ENTRETIEN ET REPARATION DU CAR A TATA  ET FRAIS DE TIMBRE 5312WWCI01</t>
  </si>
  <si>
    <t>TRAORE ADAMA  FRAIS DE ROUTE CARBURANT ET PEAGE POUR LE CAR 53122WWCI01</t>
  </si>
  <si>
    <t xml:space="preserve">ACHAT DE PAQUETS  POINTES ET AUTRES  POUR LES TRAVAUX DU BUREAU  A  LA QUINCAILLERIE DE KS  ET LIVRAISON </t>
  </si>
  <si>
    <t>EDGAR  D'HUILE HYDRAULIQUE POUR E L'AUTOBETONNIERE</t>
  </si>
  <si>
    <t>COMMISSION DE MR HAIDARA A KOUTO  DU 21/07/2025 AU 20/08/2025</t>
  </si>
  <si>
    <t>HAMIDOU BARRY FRAIS DE ROUTE DU CAMION AA407</t>
  </si>
  <si>
    <t>ALMAMY ACHAT DE 3 LITRES D'HUILE DE MOTEUR ET COLLAGE DE 2 PNEU ET TRANSPORT 38063 ET 38062</t>
  </si>
  <si>
    <t>ACHAT DE SPOTE  ET PRISE A LA QUINCAILLERIE KS</t>
  </si>
  <si>
    <t>GOORE LIVRAISON DE SPOT POUR L'ECLAIRAGE</t>
  </si>
  <si>
    <t>KOUADIO LIVRAISON DE PAPIER PEINT POUR LE BUREAU DE MADAME</t>
  </si>
  <si>
    <t xml:space="preserve">TANGUI ACHA T DE 6 PAQUETS DE CIMENTS POUR LE BUREAU </t>
  </si>
  <si>
    <t>TRAORE S ACHAT DE PAPIER PEINT POUR LE BUREAU DE MADAME</t>
  </si>
  <si>
    <t>FRAIS D'APPRO CAISSE PAR MADAME FOBAH</t>
  </si>
  <si>
    <t xml:space="preserve">AGOUA BENEDICTE TRANSFERT D'UNITE POUR LE TELEPHONE DU BUREAU </t>
  </si>
  <si>
    <t>LAVAGE DE 4 TAPIS POUR LE BUREAU</t>
  </si>
  <si>
    <t>ALMAMY CLOISON CARDAN DE LA DOUBLE CAMIONETTE  POUTR REPATATION DU 5 2WWCI</t>
  </si>
  <si>
    <t>E-BILTECH ACHAT DE 4 TONER BLACK POUR L'I MPRIMANTE</t>
  </si>
  <si>
    <t xml:space="preserve">MOCOCI ACHAT DE 3 SPOTS  POUR LE BUREAU </t>
  </si>
  <si>
    <t xml:space="preserve">KTA AQUARIUM REPARATION DE LA PORTE DE L'AQUARUIM </t>
  </si>
  <si>
    <t xml:space="preserve">MR HERMAN TRANSPORT POUR EVALUER LES PELLES A PNEU ET CHENILLE A N'DOTRE ,KOUMASSI ET AU BUREAU </t>
  </si>
  <si>
    <t xml:space="preserve">MONTAGE ET LIVRAISON DE SPOT DE FLEUR </t>
  </si>
  <si>
    <t xml:space="preserve">EDGAR SEAU DE GRAISSE POUR L'AUTOBETONNIERE </t>
  </si>
  <si>
    <t>SANGARE COLLAGE DE 2 TROU DU PNEU DU CAR 5311WWCI01</t>
  </si>
  <si>
    <t xml:space="preserve">SBEM CI ACHAT DE BONBONNE D'EAU </t>
  </si>
  <si>
    <t xml:space="preserve">MR BEGOU CARBURANT POUR SA VOIRURE DE BUREAU </t>
  </si>
  <si>
    <t xml:space="preserve">FOFANA KADI TRANSPORT ALLEZ CHEZ MADAME </t>
  </si>
  <si>
    <t>M AMANI TRAVAUX D'AUTOCOLLANRS POUR LE BUREAU DE LA PDG</t>
  </si>
  <si>
    <t xml:space="preserve">TANGUI REMBOURSEMENT CONCERNANT L'ACHAT DE SPOT ET ROULONS ET ,,,, POUR LE BUREAU </t>
  </si>
  <si>
    <t>VASSIRIKI REMBOURSEMENT DE L'ACHAT D'HUILE HYDRAULIQUE POUR LA PELLEN 330</t>
  </si>
  <si>
    <t>KOUAME POUR L'OUVERTURE DU BILAN COMPTABLE 2025</t>
  </si>
  <si>
    <t>YANGO DEPOT DE FACTURE SMT POUR DOSSIER GUCE</t>
  </si>
  <si>
    <t xml:space="preserve">COMMISSION DE MR TUO DU 21/04 AU 20/05/2025  A NASSIAN </t>
  </si>
  <si>
    <t>SANGARE ACHAT DE CONCTATEUR ,RTROVISEUR CENTRAL,BALAIDE CARO ET MAIN D'ŒUVRE  AA407</t>
  </si>
  <si>
    <t xml:space="preserve">LIVRAISON DE CHASSUBLE AU BUREAU YANGO </t>
  </si>
  <si>
    <t>MR NDRI TRANSPORT POUR PROSPECTION  D'ORDINATEUR PORTABLE A TREICHVILLE</t>
  </si>
  <si>
    <t>MORY TRANSPOERT POUR EXPEDIER LES CHAUSSURES ET AUTRES A DIVO,KORHOGO ET ODIENNE</t>
  </si>
  <si>
    <t xml:space="preserve">MORY FRAIS D'EXPEDITIONS A DIVO ,KORHOGO ET ODIENNE </t>
  </si>
  <si>
    <t xml:space="preserve">MME HEIMON ACHAT DE TABLEAU D'AFFICHAGE ET AUTRE BESOIN POUR LE BUREAU </t>
  </si>
  <si>
    <t>AB INFORMATIQUEMOTEE ACHAT D'ORDINATEUR PORTABLE DELL POUR LE COMPTABLE</t>
  </si>
  <si>
    <t xml:space="preserve">COULIBALY ACHAT DE GOULOTTE ET MAIN D'ŒUVRE </t>
  </si>
  <si>
    <t xml:space="preserve">TOSSAVI AMA DECLARATION DE PERTE DE 2 CARTES BANCAIRES DE MADAME TOURE NSIA </t>
  </si>
  <si>
    <t>KONE MORY CARBURANT , FRAIS DE ROUTE  ET FRAIS DE PEAGE  POUR VENIR A ABIDJAN  AA294</t>
  </si>
  <si>
    <t xml:space="preserve">TANGUI REMBOURSEMENT CONCERNANT L'ACHAT DE  POT DE PEINTURE  ET AUTRE POUR L'ANCIEN  BUREAU </t>
  </si>
  <si>
    <t>L'AVOCAT HONORAIRE POUR CONSEIL JURIDIQUE MENSUEL (SEPTEMBRE 2025)</t>
  </si>
  <si>
    <t xml:space="preserve">BARRY ISSA ACHAT DE FOURNITURE POUR LE SERVICE INFORMATIQUE  ET TRANSPORT </t>
  </si>
  <si>
    <t>SALAIRE DU MOIS D'AOUT DE NOUFFOU PELLE 330</t>
  </si>
  <si>
    <t>BARRY H TRANSPORT POUR RECUPERER UN CARDAN DU COTE DE BASSAM</t>
  </si>
  <si>
    <t>HAMIDOU B ACHAT DE JOINT D'ARRET A HUILE ET KIT D'EMBRAYAGE POUR LE CAMION</t>
  </si>
  <si>
    <t>CISSA HAWA TRANSFET D'UNITE POUR SON TELEPHONE DU BUREAU</t>
  </si>
  <si>
    <t>SALAIRE DU MOIS D'AOUT DE ZAKARIA CHAUFFEUR D ELATRACTOPELLE</t>
  </si>
  <si>
    <t>AVANCE DE LA COMMISION DE FABRICE  A NASSIAN DU 21/04 AU 20/05/2025</t>
  </si>
  <si>
    <t>BARRY H REMBOURSEMENT DE  MAIN D'ŒUVRE DE L'ELECTCIEN ET ACHAT DE 2 RACCORD POUR LE CAMION AA407</t>
  </si>
  <si>
    <t>ALMAMY 1 LITRE D'HUILE POUR LA CAMIONNETTE ,2 LITRE DE MOTEUR POUR LA NISSAN ,COLLAGE DE PNEU ,ET MAIN D'ŒUVRE</t>
  </si>
  <si>
    <t>JEAN RECUPERATION DE DOCUMENT AU PLATEAU POUR MADAME  ET DEPOT DE DEMANDE CHEQUIER A NSIA ABOBO</t>
  </si>
  <si>
    <t>LIVREUR YANGO DEPOT DE FACTURE SMT POUR DOSSIER DE GUCE</t>
  </si>
  <si>
    <t>MME EHUINI PLASTIFICATION DE LACNI DE LA DG</t>
  </si>
  <si>
    <t xml:space="preserve">REGLEMENT D'UNE PARTIE DE LA FACTURE D'AUTOCHEK PAR WAVE </t>
  </si>
  <si>
    <t xml:space="preserve">AGOUA BENEDICTE ET TOSSAVI TRANSPORT UBA ET SGCI AU PLATEAU PUIS AU BUREAU </t>
  </si>
  <si>
    <t>HAMIDOU B REMBOURSEMENT DES FRAIS DE ROUTE DU CAMION AA407</t>
  </si>
  <si>
    <t xml:space="preserve">MR ERIC FRAIS D' EXONERATION </t>
  </si>
  <si>
    <t>HAMIDOU B ARRET A HUILE POUR LE CAMION AA624</t>
  </si>
  <si>
    <t>KONE MORY FRAIS DE ROUTE DU CAMION AA294</t>
  </si>
  <si>
    <t>AGOUA BENEDICTE TRANSPORT ECOBANK (ALLER-RETOUR)</t>
  </si>
  <si>
    <t>MR PAULIN TRANSPORT DE LA TOUR C AU  BUREAU</t>
  </si>
  <si>
    <t>VASSI RIKI AVANCE CONCERNANT L'ODRE DE MISSION A DIVO</t>
  </si>
  <si>
    <t xml:space="preserve">TOSSAVI AMA TRANSPORT POUR ALLER REMETTRE L'ARGETN DE FER A MADAME FOBAH </t>
  </si>
  <si>
    <t>MR HERMAN REGLEMENT DE LA FACTURE MTN</t>
  </si>
  <si>
    <t>MR BEGOU  DEVIS DES ACTIONS SOCIELE 2025</t>
  </si>
  <si>
    <t>COULIBALY A FRAIS DE ROUTE ,PEAGE ET CHAMBRE D'HOTEL POUR LE 38063</t>
  </si>
  <si>
    <t xml:space="preserve">AGOUA BENEDICTE ET TOSSAVI TRANSPORT ECOBANK ,BDU ANGRE,BDU PLATEAU PUIS AU BUREAU </t>
  </si>
  <si>
    <t>KONE MORY FRAIS DE ROUTE ET ACHAT DE 4 CORDES POUR CAMION AA294</t>
  </si>
  <si>
    <t xml:space="preserve">SANGARE S TRANSPORT POUR RECUPERER LES EQUIPEMENT A LA GARE </t>
  </si>
  <si>
    <t xml:space="preserve">TOSSAVI AMA TRANSPORT POUR ALLER REMETTRE L'ARGENT DE FER A MADAME FOBAH </t>
  </si>
  <si>
    <t xml:space="preserve">MORY ACHAT D'EAU ET AUTRE BESOIN  POUR LE BUREUA </t>
  </si>
  <si>
    <t>MORY TRANSPOT RETOUR MAISON APRES AVOIR EFFECTUER UNE COURSE A 21H AVEC BARRY HAMIDOU</t>
  </si>
  <si>
    <t xml:space="preserve">BARFRY HAMIDOU  ACAHT DE KIT POUR LA VIDANDE DE 4 ENGINS </t>
  </si>
  <si>
    <t>KAMAL ACHAT DE TELEPHONE  ET AUTRES</t>
  </si>
  <si>
    <t>KONATE FRAIS DE CHAMBRE D'HOTEL DU CHAUFFEUR DE LA GRUE</t>
  </si>
  <si>
    <t xml:space="preserve">SANGARE TRANSPORT POUR REMETTRE DE EQUIPEMENT A FERKE ET BOUNDIALI </t>
  </si>
  <si>
    <t>MME EZHUINI TRANSFERT D'UNITE ET TRANSPORT POUR ALLER AU II PLATEAU  CHEZ LE CONCESSIONNAIRE A FOTON</t>
  </si>
  <si>
    <t>MR TANGUI ACHAT DE TLEVISION  NASCO  POUR LE BUREAU</t>
  </si>
  <si>
    <t xml:space="preserve">BEN DIAKITE ACHAT DE CARBURANT POUR LA VOITURE DU BUREAU </t>
  </si>
  <si>
    <t>BARRY HAMIDOU ACHAT DE BIDONS D'HUILE + CLOISON ET MAIN D'ŒUVRE AA294,2875 et deux CAMIONETTE</t>
  </si>
  <si>
    <t>MR HERMAN LOCATION D'UNE MAISON A BOUAKE (2 MOIS DE CAUTION ET 2 MOIS D'AVANCE °)</t>
  </si>
  <si>
    <t xml:space="preserve">BARRY ISSA CHANGEMENT D'ODINATEUR DE 2 EME AVEC UN NOUVEAU </t>
  </si>
  <si>
    <t>AGOUA BENEDICE TRANSPORT BDU ALLER RETOUR ( YANGO)</t>
  </si>
  <si>
    <t xml:space="preserve">BARRY HAMIDOU  ACHAT DE PNEU POUR LE CAR DE RAMASSAGE </t>
  </si>
  <si>
    <t xml:space="preserve">MR HERMAN TRANSPORT DU MECANICIEN </t>
  </si>
  <si>
    <t xml:space="preserve">MR HERMAN TRANSPORT POU RENCONTRER  LE FOURNISSEUR DU COMPACTEUR  ET TRANSFERT D'UNITE POUR  SON  TELEPHONE DU BUREAU </t>
  </si>
  <si>
    <t>MORY TRANSPORT ET FRAIS D'EXPEDITION POUR EXPEDIER LA PIECE DU BULL A FERKE</t>
  </si>
  <si>
    <t>SANGARE S DEMONTAGE ET MONTAGE DE 4 PNEU ACHAT DE PLAQUETTE ET AUTRES</t>
  </si>
  <si>
    <t xml:space="preserve">SANGARE SEY LAVAGE DE DE 2 CAMIONS BENNES,2 CAR ET 1 CAMION PLATEAU </t>
  </si>
  <si>
    <t>TANGUI COMMISION CONCERNAT L'ACHAT DE FER A BETON  PAR BETEC CI</t>
  </si>
  <si>
    <t xml:space="preserve">BARRY HAMIDOU POUR FRAIS D4EXPEDITION DES PIECES </t>
  </si>
  <si>
    <t>HERMAN POUR LOCATION DE MAISON A BOUNDIALI DEUX MOIS DE CAUTION</t>
  </si>
  <si>
    <t>YANGO POUR LIVRAISON DE CARREAUX POUR LE BUREAU</t>
  </si>
  <si>
    <t>VASSIRIKI FRAIS DE MISSION SUR DIVO</t>
  </si>
  <si>
    <t>VASSIRIKI ACHAT DE 2 BIDONS D'HUILE POUR LA 330</t>
  </si>
  <si>
    <t xml:space="preserve">BARRY POUR MONTAGE DE PNEU </t>
  </si>
  <si>
    <t>BAMBA FRAIS HOTEL DU CHAUFFEUR DE LA BENNE 38062</t>
  </si>
  <si>
    <t>BARRY HAMIDOU RELIQUAT POUR ACHAT HUILE DE AA294</t>
  </si>
  <si>
    <t>SALIF POUR LA REPARATION DE LA PANNE ELECTRIQUE DE LA 325</t>
  </si>
  <si>
    <t>AMA TRANSPORT POUR NSIA</t>
  </si>
  <si>
    <t>AMA TRANSPORT POUR BDU/FOBA ET RETOUR</t>
  </si>
  <si>
    <t>HERMAN POUR ACHAT DE PIECE CHEZALEX</t>
  </si>
  <si>
    <t>DOSSIER POUR FINANCEMENT ALCA</t>
  </si>
  <si>
    <t>HERMAN TRANSPORT POUR TREICHVILLE/GARAGE ET BUREAU</t>
  </si>
  <si>
    <t>ALMAMY REPARATION DE RADIATEUR DE LA CITERNE 8207</t>
  </si>
  <si>
    <t>MOTY REPARATION DE LA PETITE VOITURE BLANCHE</t>
  </si>
  <si>
    <t>ENTITE</t>
  </si>
  <si>
    <t>KENAM SERVICES</t>
  </si>
  <si>
    <t>ANNEE</t>
  </si>
  <si>
    <t>BROUILLARD DES</t>
  </si>
  <si>
    <t>du</t>
  </si>
  <si>
    <t>CUMUL 
RECETTES/DÉBIT</t>
  </si>
  <si>
    <t>CUMUL DÉPENSES/CRÉDIT</t>
  </si>
  <si>
    <t>SOLDE</t>
  </si>
  <si>
    <t>CAISSES</t>
  </si>
  <si>
    <t>au</t>
  </si>
  <si>
    <t>ACTIVITES</t>
  </si>
  <si>
    <t>DATE OPÉTATION</t>
  </si>
  <si>
    <t>TYPE OPÉRATION</t>
  </si>
  <si>
    <t>BENEFICIAIRE</t>
  </si>
  <si>
    <t>CATEGORIE DE DEPENSES</t>
  </si>
  <si>
    <t>IMPUTATION ANALYTIQUE
MATERIEL</t>
  </si>
  <si>
    <t>RECETTE</t>
  </si>
  <si>
    <t>DÉPENSE</t>
  </si>
  <si>
    <t>SOLDE PAR ENTITE</t>
  </si>
  <si>
    <t>ACTIVITÉ LOGISTIQUE —🚚</t>
  </si>
  <si>
    <t>CAISSE KS LOGISTIQUE</t>
  </si>
  <si>
    <t>Report du Solde du mois précedent</t>
  </si>
  <si>
    <t>M PAULIN</t>
  </si>
  <si>
    <t>SEANCE DE TRAVAIL A LA PFO POUR LA SITUATION DES BC</t>
  </si>
  <si>
    <t>DAO SOUMAHILA</t>
  </si>
  <si>
    <t>FRAIS DE ROUTE ODIENNE-ABIDJAN</t>
  </si>
  <si>
    <t>PLATEAU   AA624GS</t>
  </si>
  <si>
    <t>SOUMAHORO SOULEYMAN</t>
  </si>
  <si>
    <t>PLATEAU   AA730LE03</t>
  </si>
  <si>
    <t>EDGAR</t>
  </si>
  <si>
    <t>REMBOURSSEMENT ACHAT DE MATELAS/VENTILATEUR ET FRAIS D'HOTEL</t>
  </si>
  <si>
    <t>AUTO BETONNIERE</t>
  </si>
  <si>
    <t>APPROVISIEONNEMENT PAR CHEQUE BDU FF1487</t>
  </si>
  <si>
    <t>APPROVISIEONNEMENT PAR CHEQUE BDU FF1478</t>
  </si>
  <si>
    <t xml:space="preserve">APPROVISIEONNEMENT EN ESPECE </t>
  </si>
  <si>
    <t>M COLINS</t>
  </si>
  <si>
    <t>ACHAT DE 2 ORDINATEURS PC PORTABLE ET TRANSPORT</t>
  </si>
  <si>
    <t>FOFANA SEYDOU</t>
  </si>
  <si>
    <t xml:space="preserve">AVANCE REPARATION DU VERIN </t>
  </si>
  <si>
    <t>PLATEAU   AA294</t>
  </si>
  <si>
    <t>PEAGE ODIENNE-ABIDJAN</t>
  </si>
  <si>
    <t>DIAKITE BEN</t>
  </si>
  <si>
    <t>PAIEMENT DU CAR 3207 DE KORHOGO 21/07-20/08</t>
  </si>
  <si>
    <t>PAIEMENT FOURNISSEUR</t>
  </si>
  <si>
    <t>PAIEMENT DU CAR 6024JL01 DE ODIENNE 21/07-20/08</t>
  </si>
  <si>
    <t>LIDEHI DESIRE</t>
  </si>
  <si>
    <t>AVANCE SUR COMMISSIONS</t>
  </si>
  <si>
    <t>FRAIS DE ROUTE</t>
  </si>
  <si>
    <t>PLATEAU   AA407KY01</t>
  </si>
  <si>
    <t>AGOUA BENEDICTE</t>
  </si>
  <si>
    <t>TRANSPORT POUR ENCAISSER UN CHEQUE A LA BDU</t>
  </si>
  <si>
    <t>FOFANA ALMAMY</t>
  </si>
  <si>
    <t>VIDANGE DE TOUS LES CARS ET ENTRETIEN CLIM DU 1704LY/NASSIAN</t>
  </si>
  <si>
    <t>M CONTANT</t>
  </si>
  <si>
    <t>ACHAT DE TELEPHONE ET TABLETTE/TRANSPORT</t>
  </si>
  <si>
    <t>TOSSAVI AMA</t>
  </si>
  <si>
    <t>TRANSPORT POUR ENCAISSEMENT DE CHEQUE A BDU</t>
  </si>
  <si>
    <t>APPROVISIEONNEMENT PAR CHEQUE BDU FF 1489</t>
  </si>
  <si>
    <t>JEAN COURSIER</t>
  </si>
  <si>
    <t>DEPOT DE FACTURES A LA PFO ET BDU YOPOUGON</t>
  </si>
  <si>
    <t>ORANGE WIFI</t>
  </si>
  <si>
    <t>ABONNEMENT DU MOIS DE OCTOBRE ET RELIQUAT DE SEPTEMBRE</t>
  </si>
  <si>
    <t xml:space="preserve">RELIQUAT ACHAT DE 2 ORDINATEURS PC PORTABLE </t>
  </si>
  <si>
    <t>TRANSPORT POUR RECUPERER L'ARGENT A SOGIMAS</t>
  </si>
  <si>
    <t>BAMBA CHAUFFEUR</t>
  </si>
  <si>
    <t>ACHAT 160L DE CARBURANT ET FRAIS DE ROUTE POUR LE CAMION PLATEAU 3245JL01</t>
  </si>
  <si>
    <t>M BEGOU JEAN-CLEMENT</t>
  </si>
  <si>
    <t>REPARATION DU DERRIERE DE SA VOITURE</t>
  </si>
  <si>
    <t>KONATE MORY</t>
  </si>
  <si>
    <t xml:space="preserve">ACHAT DE CARBURANT ET LAVAGE </t>
  </si>
  <si>
    <t>SUZIKI  BLANC   DE SERVICE</t>
  </si>
  <si>
    <t>TRANSPORT POUR ALLER CHEZ MADAME ET ECOBANK</t>
  </si>
  <si>
    <t>MME EHUENI REBECCA</t>
  </si>
  <si>
    <t>ACHAT DES JUS NATURE ET PLASTIFICATION DES CARTES ET PIECES DE LA GERANTE</t>
  </si>
  <si>
    <t>FRAIS DE ROUTE APRES CHARGEMENT</t>
  </si>
  <si>
    <t>ACHAT DE CABLE RESEAU/WIFI/REPETEUR/CONNECTEU/SWITCH/CARTE WIFI/3 CHARGEURS ET TRANSPORT</t>
  </si>
  <si>
    <t>APPROVISIONNEMENT EN ESPECE PAR LA GERANTE</t>
  </si>
  <si>
    <t>M TANGUI</t>
  </si>
  <si>
    <t>DEUXIEME AVANCE POUR LES TRAVAUX</t>
  </si>
  <si>
    <t>DEPOT DE FACTURE A KOIRA ET DE DEUXIEME LOT DE FINANCEMENT A LA BDU</t>
  </si>
  <si>
    <t>ACHAT DE CARBURANT ET FRAIS DE ROUTE  ABIDJAN-SAN PEDRO</t>
  </si>
  <si>
    <t>FRAIS DE REPARATION DE CROIX DE ROULETTE</t>
  </si>
  <si>
    <t>BENNE AA951LE01</t>
  </si>
  <si>
    <t>SANOGO BEMA</t>
  </si>
  <si>
    <t>ACHAT DE 5 LITRES DE CARBURANT TIEBESSOU-KONG</t>
  </si>
  <si>
    <t>MAMADOU F/RS PNEUS</t>
  </si>
  <si>
    <t xml:space="preserve">ACHAT DE PNEU </t>
  </si>
  <si>
    <t>CAR  5311WWWCI0</t>
  </si>
  <si>
    <t>ADAMO</t>
  </si>
  <si>
    <t>AVANCE SUR SALAIRE</t>
  </si>
  <si>
    <t>KOUADIO HERMANN</t>
  </si>
  <si>
    <t>LOCATION DE PORTE CHAR POUR ENVOYER LA PELLE 320 AU BUREAU</t>
  </si>
  <si>
    <t>PELLE CHENILLE320</t>
  </si>
  <si>
    <t xml:space="preserve">  FRAIS DE REPARATION DU VERIN </t>
  </si>
  <si>
    <t>TOSSOU</t>
  </si>
  <si>
    <t>ACHAT DE CARBURANT POUR LA 320</t>
  </si>
  <si>
    <t>APPROVISIONNEMENT PAR CHEQUE BDU FF N 1491</t>
  </si>
  <si>
    <t>BARRY HAMIDOU</t>
  </si>
  <si>
    <t>AVANCE LOCATION DE PORTE CHAR POUR ENVOYER LE BULL DE M BEN COULIBALY</t>
  </si>
  <si>
    <t>M SANOGO</t>
  </si>
  <si>
    <t>ACHAT  DE CARBURANT ET FRAIS DE ROUTE POUR LE CAMION PLATEAU 3245JL01</t>
  </si>
  <si>
    <t>TRANSPORT POUR ALLER A BOUAKE</t>
  </si>
  <si>
    <t>SOLDE SALAIRE SEPTEMBRE</t>
  </si>
  <si>
    <t>KTA-AQUARIUM</t>
  </si>
  <si>
    <t>ENTRETIEN DE L' AQUARIUM</t>
  </si>
  <si>
    <t>YANGO LIVRAISON</t>
  </si>
  <si>
    <t>LIVRAISON DES ODV A M KOFFI ALLER ET RETOUR</t>
  </si>
  <si>
    <t>FABRICE</t>
  </si>
  <si>
    <t>2 AVANCE DE COMMISSIONS</t>
  </si>
  <si>
    <t>ABOU VASSIRIKI</t>
  </si>
  <si>
    <t xml:space="preserve">CARBURANT POUR ALLER A DIVO/AVANCE ELECTRICIEN </t>
  </si>
  <si>
    <t>ACHAT DE 8 PNEUS/TRANSPORT ET FRAIS D'EXPEDITION</t>
  </si>
  <si>
    <t>Mme  HEIMON RH</t>
  </si>
  <si>
    <t>OFFRANDE 5 PERSONNES NATRURE ET NUMERAIRE</t>
  </si>
  <si>
    <t>BARRY ISSA</t>
  </si>
  <si>
    <t>ACHAT DE CLE D'ACTIVATION WINDOWS</t>
  </si>
  <si>
    <t>OFFRANDES 2</t>
  </si>
  <si>
    <t>OFFRANDE EN NUMERAIRE 2 MAMANS /PAPA ET DAME SAKOR</t>
  </si>
  <si>
    <t>Mme NTATCHI</t>
  </si>
  <si>
    <t>COMMANDE DE 100 FACTURES NORMALISEES DE KS</t>
  </si>
  <si>
    <t>AMADOU COULIBALY</t>
  </si>
  <si>
    <t xml:space="preserve">FRAIS DE ROUTE ET PEAGE </t>
  </si>
  <si>
    <t>BENNE 38063WWWCI03</t>
  </si>
  <si>
    <t>NETTOYAGE DE BUREAU</t>
  </si>
  <si>
    <t>ACHAT DE GRANDE POUBELLE</t>
  </si>
  <si>
    <t>SERI FELICITE</t>
  </si>
  <si>
    <t>SALAIRE SEPTEMBRE POUR LE NETOYAGE DE LA DEVANTURE DU BUREAU</t>
  </si>
  <si>
    <t>SODECI</t>
  </si>
  <si>
    <t>REPARATION DU TUYAU CASSE SUR LE TERRAIN A COTE</t>
  </si>
  <si>
    <t>SOLDE COMMISSIONS</t>
  </si>
  <si>
    <t>TANTIE MARYAM</t>
  </si>
  <si>
    <t>SALAIRE SEPTEMBRE</t>
  </si>
  <si>
    <t>M MARC LOUABA</t>
  </si>
  <si>
    <t>COMMISSION AUTO BETONNIERRE 06-07</t>
  </si>
  <si>
    <t>CARBURANT ET FRAIS DE ROUTE</t>
  </si>
  <si>
    <t>BAMBA KADIN</t>
  </si>
  <si>
    <t>2 MOIS DE CAUTION POUR LA MAISON DE DABAKALA</t>
  </si>
  <si>
    <t>TRANSPORT POUR ALLER A UBA</t>
  </si>
  <si>
    <t>SOLDE LOCATION DE PORTE CHAR POUR ENVOYER LE BULL DE M BEN COULIBALY</t>
  </si>
  <si>
    <t>APPROVISIONNEMENT PAR CHEQUE NSIA FF 2144606</t>
  </si>
  <si>
    <t>M EHUENI</t>
  </si>
  <si>
    <t>ACHAT DE TELEPHONES ET TABLETTES</t>
  </si>
  <si>
    <t>ELECTRICIEN DIOMANDE</t>
  </si>
  <si>
    <t>SOLDE SUIVI DES FRAIS DE REPARATION</t>
  </si>
  <si>
    <t>MECANICIEN DRAMANE</t>
  </si>
  <si>
    <t>SUIVI DE REPARATION</t>
  </si>
  <si>
    <t>5 JOURS AVANCE SUR SALAIRE POUR ALLER REMPLACER NOUFFOU</t>
  </si>
  <si>
    <t>TRANSPORT POUR NSIA GOLF</t>
  </si>
  <si>
    <t>RIMCO</t>
  </si>
  <si>
    <t>FRAIS D' ENTRETIEN</t>
  </si>
  <si>
    <t>MAIN D'ŒUVRE POUR MONTAGE DE PNEUS</t>
  </si>
  <si>
    <t>SALIF PORGO</t>
  </si>
  <si>
    <t>PELLE CHENILLE325 FERKE</t>
  </si>
  <si>
    <t>LOCATION DE MARTEAU PIQUEUR / FRAIS D'EXPEDITION ET TRANSPORT A DIVO POUR L'AUTOBETONNIERE</t>
  </si>
  <si>
    <t>SANGARE SEYDOU</t>
  </si>
  <si>
    <t>FRAIS DE REPARATION DE PORTIERE</t>
  </si>
  <si>
    <t>LIVREUR YANGO</t>
  </si>
  <si>
    <t>LIVRAISON DU RECU DE LA COMMANDE DE FACTURES NORMALISEES</t>
  </si>
  <si>
    <t>FRAIS DE ROUTE BOUNDIALY-KORHOGO</t>
  </si>
  <si>
    <t>MME TOURE ADJA TENE</t>
  </si>
  <si>
    <t>TRANSPORT RETOUR DE CHEZ LA NOTAIRE</t>
  </si>
  <si>
    <t>SANOGO BASSIDIKI</t>
  </si>
  <si>
    <t>LIVRAISON DE FACTURES NORMALISEES</t>
  </si>
  <si>
    <t>FRAIS DE REPARATION DE LA POMPE</t>
  </si>
  <si>
    <t>TRANSPORT RETOUR SOGIMAS</t>
  </si>
  <si>
    <t xml:space="preserve">CARBURANT </t>
  </si>
  <si>
    <t>LEGALISATION DE 7 DOCS</t>
  </si>
  <si>
    <t>LOYER</t>
  </si>
  <si>
    <t>DEPOT DE FACTURE A BETEC-CI</t>
  </si>
  <si>
    <t>SAWADOGO ADAMA</t>
  </si>
  <si>
    <t>COLLAGE DE PNEU</t>
  </si>
  <si>
    <t>BENNE 38061WWWCI02</t>
  </si>
  <si>
    <t>ACHAT DE 2PACKS D'EAU CELESTE ET UNE BOITE DE NESCAFE</t>
  </si>
  <si>
    <t>YAYA BACHIROU AZIM</t>
  </si>
  <si>
    <t>FRAIS DE ROUTE/CARBURANT/PEAGE/PAPILLON POUR YAMSSOKRO</t>
  </si>
  <si>
    <t>BENNE1452</t>
  </si>
  <si>
    <t>ACHAT DE PRODUITS POUR LE BUREAU</t>
  </si>
  <si>
    <t>SBEM-CI</t>
  </si>
  <si>
    <t>ACHAT DE 10 BONBONNES D'EAU</t>
  </si>
  <si>
    <t>COLLAGE ET CHANGEMENT DE PNEU DE 2 BENNES</t>
  </si>
  <si>
    <t>ANZIE</t>
  </si>
  <si>
    <t>RETRAIT DE GRAVIER</t>
  </si>
  <si>
    <t>M CISSE GPS</t>
  </si>
  <si>
    <t>POSE DE GPS A KORHOGO/NASSIAN</t>
  </si>
  <si>
    <t>APPROVISIONNEMENT PAR CHEQUE BDU FF N 1494</t>
  </si>
  <si>
    <t>FOFANA KADY</t>
  </si>
  <si>
    <t>EXPEDITION DE COLIS</t>
  </si>
  <si>
    <t>FRAIS DE TRANSPORT POUR LA BDU</t>
  </si>
  <si>
    <t>DIARRASSOUBA YAKOU</t>
  </si>
  <si>
    <t>REPARATION DE PNEU</t>
  </si>
  <si>
    <t>CARBURANT POUR LES COURSES AVEC L'AGENT DE GPS</t>
  </si>
  <si>
    <t>TRANSPORT DES EQUIPEMENTS DE LA QUINCAILLERIE</t>
  </si>
  <si>
    <t>CARBURANT POUR ALLER A OUME</t>
  </si>
  <si>
    <t>DOUMBIA BEN</t>
  </si>
  <si>
    <t>E-BILTECH</t>
  </si>
  <si>
    <t>ACHAT DE 4 TONER POUR L'IMPRIMANTE DE L'ASSISTANTE</t>
  </si>
  <si>
    <t>APPROVISIONNEMENT PAR CHEQUE BDU FF N 1493</t>
  </si>
  <si>
    <t>DAO ISMAL</t>
  </si>
  <si>
    <t>SAMAKE FOUSSENI</t>
  </si>
  <si>
    <t>HAMIDOU DJIGUEMBE</t>
  </si>
  <si>
    <t>COULIBALY LACINE</t>
  </si>
  <si>
    <t>SANKARA MOUSSA</t>
  </si>
  <si>
    <t>TRAORE NAMBAGA</t>
  </si>
  <si>
    <t>KONATE KARIM</t>
  </si>
  <si>
    <t>KONE MORY</t>
  </si>
  <si>
    <t>OUMAR DJIKE</t>
  </si>
  <si>
    <t>SIGUIE IBRAHIM</t>
  </si>
  <si>
    <t>SANOGO MOUSTAPHA</t>
  </si>
  <si>
    <t>KONE SEKOU</t>
  </si>
  <si>
    <t>TRAORE ADAMA</t>
  </si>
  <si>
    <t>TRAORE ABOU</t>
  </si>
  <si>
    <t>OUATTARA VAMARA</t>
  </si>
  <si>
    <t xml:space="preserve">EDGAR </t>
  </si>
  <si>
    <t>MODENOU YAWOVI</t>
  </si>
  <si>
    <t>BALLY CEDRIC</t>
  </si>
  <si>
    <t>FRAIS DE ROUTE KORHOGO-BOUNDIALY</t>
  </si>
  <si>
    <t>REPARATION DE FLEXIBLE</t>
  </si>
  <si>
    <t>PELLE A CHENILLE 330</t>
  </si>
  <si>
    <t>FRAIS DE ROUTE ABIDJAN -BOUAKE</t>
  </si>
  <si>
    <t>BEN DIAKITE</t>
  </si>
  <si>
    <t>CARBURANT</t>
  </si>
  <si>
    <t>NEGBE MIREILLE</t>
  </si>
  <si>
    <t>KONE RAMATOU</t>
  </si>
  <si>
    <t>SERY FREDERIC</t>
  </si>
  <si>
    <t>MONSIA SIGUI</t>
  </si>
  <si>
    <t>BAKAYOKO ZEINAB</t>
  </si>
  <si>
    <t>NGUESSAN VIVIAN</t>
  </si>
  <si>
    <t>DOUMBIA HAMADOU</t>
  </si>
  <si>
    <t>TRAORE DJAKARIDJA</t>
  </si>
  <si>
    <t>DOUMBIA MAMOUDE</t>
  </si>
  <si>
    <t>ACHAT DE FLACONS D'ENCRE</t>
  </si>
  <si>
    <t xml:space="preserve">FRAIS DE ROUTE BOUAKE-ABIDJAN </t>
  </si>
  <si>
    <t>ACHAT D'HUILE DE MOTEUR ET FRAIS DE ROUTE</t>
  </si>
  <si>
    <t>ACHAT D4HUILE DE MOTEUR</t>
  </si>
  <si>
    <t>CREDIT TELEPHONIQUE</t>
  </si>
  <si>
    <t>TRANSPORT POUR RECUPERATION DU RETRAIT DE LA VOITURE A AUTOCHEK</t>
  </si>
  <si>
    <t>CREDIT TELEPHOQUE DE MADAME TOURE TENIN</t>
  </si>
  <si>
    <t>LAVAGE</t>
  </si>
  <si>
    <t>CARBURANT RETOUR</t>
  </si>
  <si>
    <t>VISITE DU SITE MINIER DE OLER MINING A BONDOUKOU ET TANDA SUIVI DE NEGOCIATION DE PRESTATION</t>
  </si>
  <si>
    <t>OUATTARA MORAMED</t>
  </si>
  <si>
    <t>AVANCE DEMI MOIS DE LA LOCATION DU CAR DE RAMASSAGE 6570HN01 POUR KORHOGO</t>
  </si>
  <si>
    <t>COULIBALY SALIF</t>
  </si>
  <si>
    <t>AVANCE ECHAFAUDAGE</t>
  </si>
  <si>
    <t>DIOMANDE</t>
  </si>
  <si>
    <t>TRAVAUX DE PLOMBERIE DANS LES SALLES D'EAU</t>
  </si>
  <si>
    <t>DRAMANE</t>
  </si>
  <si>
    <t>REPARATION DE DISQUE D'EMBRAYAGE</t>
  </si>
  <si>
    <t>REPATION DU PARALLELISME</t>
  </si>
  <si>
    <t>DOUBLE CABINE51WWWCI01</t>
  </si>
  <si>
    <t>CARBURANT YOP-ANGRE / ANGRE-N DOTRE</t>
  </si>
  <si>
    <t>QUINCAILLERIE KS</t>
  </si>
  <si>
    <t>ACHAT DIVERS</t>
  </si>
  <si>
    <t>MME HEIMON</t>
  </si>
  <si>
    <t>ACHAT POUR LE BUREAU ET TRANSPORT</t>
  </si>
  <si>
    <t>REMBOURSSEMENT POUR ACHAT DE PNEUS 52WWWCI01 / NETOYAGE DE PARKING BENNE 1492 ET JOINT DE LA 330</t>
  </si>
  <si>
    <t>SANGARE SIRIKI</t>
  </si>
  <si>
    <t>PAIEMENT DU 21/07 AU 20/08 DE LA CAMIONNETTE 134</t>
  </si>
  <si>
    <t>PROPRIO MAISON</t>
  </si>
  <si>
    <t>LOYER BOUNDIALY</t>
  </si>
  <si>
    <t>LOYER KONG ET NASSIAN</t>
  </si>
  <si>
    <t xml:space="preserve">LIVRAISON DES ARTICLE DE PLOMBERIE AU BUREAU </t>
  </si>
  <si>
    <t>LOYER KOUTO</t>
  </si>
  <si>
    <t>HAMZA</t>
  </si>
  <si>
    <t>LOYER ODIENNE</t>
  </si>
  <si>
    <t>TRANSPORT RETOUR /BDU</t>
  </si>
  <si>
    <t>REMBOURSSEMENT POUR ACHAT FAIT A DAN ASSOUGE SARL</t>
  </si>
  <si>
    <t>APPROVISIONNEMENT PAR CHEQUE BDU FF N 1473</t>
  </si>
  <si>
    <t>TRAVAUX ALUCOBOND/ENSEIGNE</t>
  </si>
  <si>
    <t>M KONAN NDRI</t>
  </si>
  <si>
    <t>ACHAT DE CARTOUCHES DE TONER</t>
  </si>
  <si>
    <t>DEPOT DE COURRIER A NSIA /BDU ET DE CHEQUE AU PLATEAU</t>
  </si>
  <si>
    <t>ACAHT DE 3 PNEUS ET FRAIS D'EXPEDITIONS</t>
  </si>
  <si>
    <t>APPROVISIONNEMENT PAR CHEQUE BDU FF N 1498</t>
  </si>
  <si>
    <t>APPROVISIONNEMENT PAR CHEQUE BDU FF N 1252</t>
  </si>
  <si>
    <t>VISITE DES CAMIONS PLATEAU AA294 ET AA133 ET DE LA BENNE AA047</t>
  </si>
  <si>
    <t>PORTE CHAR POUR DEMOBILISATION DE LA PELLE 330 ET L'AUTO BETONNERE SUR ABIDJAN</t>
  </si>
  <si>
    <t>ACHAT DDE 20L HUILE A MOTEUR ET COLLE BAUXITE</t>
  </si>
  <si>
    <t>BULL  D7</t>
  </si>
  <si>
    <t>TRANSPORT RETOUR /MUTATION DES DOCS AVEC M SANOGO</t>
  </si>
  <si>
    <t xml:space="preserve">M KOUAKOU </t>
  </si>
  <si>
    <t>MUTATION DE 4 ATTESTATIONS DE CESSION</t>
  </si>
  <si>
    <t>ADOU JOSIAS</t>
  </si>
  <si>
    <t>TRANSPORT ALLER RETOUR POUR VERIFICATION DE MATERIELS ET FRAIS DE LIVRAISON</t>
  </si>
  <si>
    <t>KTA</t>
  </si>
  <si>
    <t>TRANSPORT ALLER RETOUR POUR COMMISSARIAT SUR AFFAIRE DU TERRAIN A COTE DU BUREAU</t>
  </si>
  <si>
    <t>TRANSPORT POUR ALLER AU IMPOT ET CHEZ LA NOTAIRE</t>
  </si>
  <si>
    <t xml:space="preserve">REMBOURSSEMENT MONNAIE POUR LE TRANSPORT </t>
  </si>
  <si>
    <t>TRANSFERT D'UNITE</t>
  </si>
  <si>
    <t>TRANSPORT BDU/IMPOT ALLER RETOUR</t>
  </si>
  <si>
    <t>TRANSPORT POUR FAIRE LES ACHATS DU BUREAU</t>
  </si>
  <si>
    <t>TRANSPORT POUR SEANCE DE TRAVAIL A SOGIMAS</t>
  </si>
  <si>
    <t>M FOFANA MEME</t>
  </si>
  <si>
    <t>ACAHT DE FEUX 2ARRIERE ET POIGNETS</t>
  </si>
  <si>
    <t>DEPOT DE FACTURES A FINANCER A LA BDU YOP</t>
  </si>
  <si>
    <t>ACHAT DE VERINT/FEU DE GABARIT/VERRE A PHARE/RELAIS DE STOP ET MAIN D ŒUVRE</t>
  </si>
  <si>
    <t>TRANSPORT POUR LA BDU PLATEAU ALLER ET RETOUR</t>
  </si>
  <si>
    <t>SOLDE VISITE DES CAMIONS PLATEAU AA294 ET AA133 ET DE LA BENNE AA047</t>
  </si>
  <si>
    <t>LIVRAISON D APPAREIL AD BLEU A LA GARRE</t>
  </si>
  <si>
    <t>REPARATION DE LA PANNE DE SOUDURE</t>
  </si>
  <si>
    <t>CITERNE   8207PJ01</t>
  </si>
  <si>
    <t>FRAIS DE ROUTE ABIDJAN-ODIENNE</t>
  </si>
  <si>
    <t>HUSSEN</t>
  </si>
  <si>
    <t>ACHAT DE 2 AMORTISSEURS</t>
  </si>
  <si>
    <t>FRAIS DE POLICIER</t>
  </si>
  <si>
    <t>VOITURE  DGA</t>
  </si>
  <si>
    <t>TRANSPORT POUR ALLER RECUPER COLIS A LA GARE</t>
  </si>
  <si>
    <t>INSTALLATION DE REMISE DE BOXEUR DE APPAREIL AD BLEU</t>
  </si>
  <si>
    <t>TRANSPORT POUR BDU / CHEZ MADAME ALLER RETOUR</t>
  </si>
  <si>
    <t>TANSPORT POUR ACHAT DE PIECES A TREICHEVILLE LE SAMEDI ET DIMANCHE</t>
  </si>
  <si>
    <t>TANSPORT BDU PLATEAU</t>
  </si>
  <si>
    <t>SYLLA IBRAHIMA</t>
  </si>
  <si>
    <t>AVANCE TRAVAUX DE TOLERIE ET PEINTURE</t>
  </si>
  <si>
    <t>MAIN D'ŒUVRE FERMETURE DES TROUS ET REPARATION DES DEGATS DANS LE MAGASIN</t>
  </si>
  <si>
    <t>APPROVISIONNEMENT PAR CHEQUE BDU KS 884</t>
  </si>
  <si>
    <t>21/0/10/2025</t>
  </si>
  <si>
    <t>APPROVISIONNEMENT PAR CHEQUE BDU KS 886</t>
  </si>
  <si>
    <t>LIVRAISON DE PIECES AU BUREAU POUR M COLINS</t>
  </si>
  <si>
    <t>COUMARE</t>
  </si>
  <si>
    <t>ACHAT DE 30L DE CARBURANT POUR 6245JL01</t>
  </si>
  <si>
    <t>HUSSEN-SANGARE SEYDOU</t>
  </si>
  <si>
    <t>ACHAT DE POUMON A AIR ET MAIN D'ŒUVRE</t>
  </si>
  <si>
    <t>KOITA MAMADOU</t>
  </si>
  <si>
    <t>LOCATION DE CAMION PLATEAU ABIDJAN - SAN PEDRO</t>
  </si>
  <si>
    <t>ACHAT DE 180L DE CARBURANT ET FRAIS DE ROUTE POUR ABJ-SAN PEDRO</t>
  </si>
  <si>
    <t>DEPOT DE CHEQUE A AUTOCHEK ET ODV A BDU YOP/ALLER-RETOU</t>
  </si>
  <si>
    <t>REGULARISATION DE CHEQUE REVENU AU IMPOTS</t>
  </si>
  <si>
    <t>COLLAGE DE 2 PNEUS</t>
  </si>
  <si>
    <t>BENNE  AA954LE01</t>
  </si>
  <si>
    <t>REPARATION ELECTRICITE AA 624 ET AA294</t>
  </si>
  <si>
    <t>FRAIS DE ROUTE ABJ-KONG</t>
  </si>
  <si>
    <t>ZOUMANA</t>
  </si>
  <si>
    <t>TRAVAUX DE FINITION DE LA NOUVELLE VOITURE ET SOLDE TOLLERIE DE LA VOITURE DGA</t>
  </si>
  <si>
    <t>APPROVISIONNEMENT PAR CHEQUE BDU FF 1258</t>
  </si>
  <si>
    <t>APPROVISIONNEMENT PAR CHEQUE BDU FF 1259</t>
  </si>
  <si>
    <t>LIVRAISON DE DOCUMENT</t>
  </si>
  <si>
    <t xml:space="preserve">REPARATION DU VEHICULE </t>
  </si>
  <si>
    <t xml:space="preserve">FRAIS DE LIVRAISON DE PLAQUE ET DOCS </t>
  </si>
  <si>
    <t>SANGARE NONHO</t>
  </si>
  <si>
    <t>SALAIRE SEPTEMBRE/NASSIAN</t>
  </si>
  <si>
    <t>TRANSPORT BDU/CHEZ MME KONE ELLER RETOUR</t>
  </si>
  <si>
    <t>LIVRAISON DE 2 AGENDAS/MME BAMBA BDU ET SAM NSIA</t>
  </si>
  <si>
    <t xml:space="preserve">M LASSO </t>
  </si>
  <si>
    <t>PAIEMENT DU 21/08 AU 20/09 DU CAR 1931</t>
  </si>
  <si>
    <t>PAIEMENT DU 21/05 AU 20/06 DU CAR 1931</t>
  </si>
  <si>
    <t>REPARATION DES ENGEINS KS</t>
  </si>
  <si>
    <t>TRANSPORT SGCI ET CHEZ MADAME ALLER RETOUR</t>
  </si>
  <si>
    <t>OUEDRAOGO NOUFFOU</t>
  </si>
  <si>
    <t>LIVRAISON D'AGENDA A M DEM</t>
  </si>
  <si>
    <t>TRANSPORT POUR SIGNATURE DE CHEQUES CHEZ MADAME</t>
  </si>
  <si>
    <t>TRANSPORT POUR RECUPER LES COLIS A LA GARRE</t>
  </si>
  <si>
    <t>TRANSPORT POUR ALLER FAIRE MONTER LE BULL SUR LE PORTE CHAR</t>
  </si>
  <si>
    <t>TRAVAUX DE SOUDURE AA951 ET ACHAT DE 2L D'HUILE POUR BENNE 51WWWWCI01</t>
  </si>
  <si>
    <t>TRANSPORT POUR ALLER A LA PFO</t>
  </si>
  <si>
    <t>AVANCE TRAVAUX DE PEINTURE POUR LES NOUVEAUX BUREAUX</t>
  </si>
  <si>
    <t xml:space="preserve">LAVAGE COMPLET </t>
  </si>
  <si>
    <t>M ANZIE</t>
  </si>
  <si>
    <t>POINTER LES SECHOIRS</t>
  </si>
  <si>
    <t>MTN</t>
  </si>
  <si>
    <t>REGLEMENT FACTURE FLOTTE ET TRANSPORT</t>
  </si>
  <si>
    <t xml:space="preserve">PAIEMENT 21/07-20/08 CAR 1368HA01 </t>
  </si>
  <si>
    <t>PAIEMENT 21/07-20/08 CAR 5115HK01</t>
  </si>
  <si>
    <t>TRANSPORT POUR LA DGI ET BDU ALLER-RETOUR</t>
  </si>
  <si>
    <t>LAVAGE DE TOUS LES ENGEINS</t>
  </si>
  <si>
    <t>NGUESSAN</t>
  </si>
  <si>
    <t>ACHAT DE 2 BIDONS D'HUILE HYDRAULIQUE DE 20L</t>
  </si>
  <si>
    <t>APPROVISIONNEMENT EN ESPECE PAR CHEQUE BDU KS 947</t>
  </si>
  <si>
    <t>APPROVISIONNEMENT EN ESPECE PAR REMBOURSSEMENT DE FOFANA ALMAMY</t>
  </si>
  <si>
    <t>ACAHT DE SCEAU DE GRAISSE DE 5 DENTS DE GODET ET FRAIS D' EXPEDITION</t>
  </si>
  <si>
    <t>M CAMARA</t>
  </si>
  <si>
    <t>MAIN D'ŒUVRE POUR COLLAGE DES PAPIERS PEINTS DANS LE BUREAU DE MADAME</t>
  </si>
  <si>
    <t>ACHAT DE COLLE A LA BOUTIQUE POUR COLLAGE DES PAPIERS PEINTS DANS LE BUREAU DE MADAME</t>
  </si>
  <si>
    <t>FARAH ET FRERE</t>
  </si>
  <si>
    <t xml:space="preserve">REVISION </t>
  </si>
  <si>
    <t>AA725</t>
  </si>
  <si>
    <t>BAMBA ODIENNE</t>
  </si>
  <si>
    <t>ACHAT D'HUILE HYDRAULIQUE</t>
  </si>
  <si>
    <t>TRANSPORT POUR EXPEDITION DE DEMAREUR ET MAIN D'ŒUVRE DE L' ELECTRICIEN</t>
  </si>
  <si>
    <t>TRANSPORT POUR ALLER A LA CNPS</t>
  </si>
  <si>
    <t>TRANSPORT ALLER ET RETOUR KONG</t>
  </si>
  <si>
    <t>TRANSPORT POUR UBA PLATEAU POUR FINALISER LA FERMETURE DU COMPTE</t>
  </si>
  <si>
    <t>SOLDE ECHAFAUDAGE</t>
  </si>
  <si>
    <t>TRANSPORT POUR RECUPER LE CHEQUE A SCORE</t>
  </si>
  <si>
    <t>ACAHT DE 4 DENTS</t>
  </si>
  <si>
    <t>KOUADIO HERMAN</t>
  </si>
  <si>
    <t>FRAIS DE LIVRAISON DES OUTILS DE LA QUINCAILLERIE AU GARAGE</t>
  </si>
  <si>
    <t xml:space="preserve">DEPOT DE FACTURES A LA PFO </t>
  </si>
  <si>
    <t>TRANSPORT DEPLACEMENT AGENT MAIRIE TECHNIQUE - BUREAU</t>
  </si>
  <si>
    <t>KONATE IBRAHIM</t>
  </si>
  <si>
    <t>PAIEMNT PLATEAU GRUE AA215RG01 DU 21/08-20/09</t>
  </si>
  <si>
    <t>ACHAT DE COURROI ALTERNATEUR ET CLIM</t>
  </si>
  <si>
    <t>E BAAG</t>
  </si>
  <si>
    <t>PAIEMENT BOBCAT 21/07-20/08</t>
  </si>
  <si>
    <t>ACHAT DE CARTOUCHES DE TONER ET TRANSPORT</t>
  </si>
  <si>
    <t>ACHAT DE 10 TETES DE GARNISSEUR</t>
  </si>
  <si>
    <t>FRAIX D EXPEDITION DU DEMAREUR</t>
  </si>
  <si>
    <t>TRANSPORT POUR ALLER VERS LE BULL</t>
  </si>
  <si>
    <t xml:space="preserve">REMBOURSSEMENT POUR ACHAT ET REPARATION </t>
  </si>
  <si>
    <t>CEDRIC</t>
  </si>
  <si>
    <t>TANSPORT POUR ALLER SUIVRE LE BULL</t>
  </si>
  <si>
    <t>ACHAT D HUILE HYDRAULIQUE</t>
  </si>
  <si>
    <t xml:space="preserve">TRANSPORT POUR RECUPERER L'AUTORISATION DE PRELEVEMENT </t>
  </si>
  <si>
    <t>ACHAT DIVERS POUR LA REPARATION</t>
  </si>
  <si>
    <t>GRUE</t>
  </si>
  <si>
    <t>TRANSPORT DE L AGENT DE MAIRIE DU TERRAIN DJOROGOBITE</t>
  </si>
  <si>
    <t>TRANSPORT POUR ALLER AU IMPOT POUR CHANGEMENT DE CHEQUE</t>
  </si>
  <si>
    <t>ACHAT DIVERS POUR DG ET DGA PLUS TRANSPORT</t>
  </si>
  <si>
    <t>LIVRAISON DE CABLE DE LA QUINCAILLERIE A M COLINS</t>
  </si>
  <si>
    <t>TANSPORT POUR REMISE DE CHEQUE A NSIA</t>
  </si>
  <si>
    <t>TRANSPORT POUR ALLER RECUPER L HUILE HYDRAULIQUE</t>
  </si>
  <si>
    <t>REMBOURSSEMENT DU TRANSPORT ET PRISE EN CHARGE SU CHAUFFEUR DE LA GRUE</t>
  </si>
  <si>
    <t>TRANSPORT POUR REMETTRE LA DECHARGE DU CHEQUE ANNULE AU IMPOT</t>
  </si>
  <si>
    <t>TRANSPORT POUR LA MAIRIE DE COCODY ET AU IMPOT POUR DEPOT D ORDRE DE PRELEVEMENT</t>
  </si>
  <si>
    <t>ACHAT DE PIECES</t>
  </si>
  <si>
    <t>M KOUADIO HERMAN</t>
  </si>
  <si>
    <t>TRANSPORT DE M FOFANA POUR ALLER DEPOSER LES PIECES AU GARAGE</t>
  </si>
  <si>
    <t xml:space="preserve">ACHAT DE 2L D HUILE DE MOTEUR </t>
  </si>
  <si>
    <t>FRAIS DE MISSION SUR ABENGOUROU ET AGNIBELEKRO</t>
  </si>
  <si>
    <t>AMANDE</t>
  </si>
  <si>
    <t>PETRO IVOIR</t>
  </si>
  <si>
    <t>ACHAT DE 2 BIDONS D'HUILE DE 20L</t>
  </si>
  <si>
    <t xml:space="preserve">TRANSPORT POUR SIGNATURE DE ARF </t>
  </si>
  <si>
    <t>APPROVISIONNEMENT EN ESPECE PAR MADAME KONE</t>
  </si>
  <si>
    <t>FRAIS SUR APPROVISIONNEMENT EN ESPECE PAR MADAME KONE</t>
  </si>
  <si>
    <t>M LASSO FOURGON</t>
  </si>
  <si>
    <t>AVANCE LOCATION DE 2 CAMIONS FOURGON 30T ET 15T</t>
  </si>
  <si>
    <t>KACOU</t>
  </si>
  <si>
    <t>FRAIS D EXPEDITION DE COMPTEUR D'HEURE A KONG</t>
  </si>
  <si>
    <t>SOLDE ANTERIEUR</t>
  </si>
  <si>
    <t>TOTAL ENTREES</t>
  </si>
  <si>
    <t>TOTAL PAIEMENTS FOURNISSEURS</t>
  </si>
  <si>
    <t>TOTAL DEPENSES DIVERSES</t>
  </si>
  <si>
    <t>AGOUA BENEDICTE TRANSPORT POUR BDU</t>
  </si>
  <si>
    <t>ACHAT DE CHARGEUR D'ORDINATEUR</t>
  </si>
  <si>
    <t>LAVAGE DE 2 CARS AA951 ET 38062</t>
  </si>
  <si>
    <t>M HUSSEIN</t>
  </si>
  <si>
    <t>ACHAT DE DEMARREUR</t>
  </si>
  <si>
    <t>CONFECTION DE FLEXIBLE ET MAIN D ŒUVRE DE LA REPARATION</t>
  </si>
  <si>
    <t>ACHAT DE BOULLONS DE LA BULL D7 ET TRANSPORT POUR ALLER RECUPERER COLIS</t>
  </si>
  <si>
    <t>AVANCE REPARATION DE LA GRUE 10T</t>
  </si>
  <si>
    <t>ACHAT DE BUTER DE DISQUE ET DE PLATEAU</t>
  </si>
  <si>
    <t>BENNE   2875</t>
  </si>
  <si>
    <t>TRANSPORT POUR ALLER EN URGENCE CHEZ MADAME</t>
  </si>
  <si>
    <t>ACHAT DE BOULONS POUR MONTAGES DES TABLES</t>
  </si>
  <si>
    <t>TRANSPORT POUR ENCAISSEMENT DE CHEQUE A LA BDU</t>
  </si>
  <si>
    <t>FRAIS DE ROUTE , PEAGE ET FRAIS D HOTEL</t>
  </si>
  <si>
    <t>FRAIS DE MONTAGE DE DEMARREUR</t>
  </si>
  <si>
    <t>FRAIS DE ROUTE ATTINGUE-BINGERVILLE</t>
  </si>
  <si>
    <t>ACHAT DE CABLE TELEPHONIQUE</t>
  </si>
  <si>
    <t>SIRIKI KARAMBELE</t>
  </si>
  <si>
    <t>MONTAGE ET DEMONTAGE DE 3 BUREAUX</t>
  </si>
  <si>
    <t>APPROVISIONNEMENT EN ESPECE PAR CHEQUE BDU FF 1127</t>
  </si>
  <si>
    <t>APPROVISIONNEMENT EN ESPECE PAR CHEQUE BDU FF 1128</t>
  </si>
  <si>
    <t>FOFANA KADIDIATOU</t>
  </si>
  <si>
    <t>ACHAT DE DIFFERENT FILTRES</t>
  </si>
  <si>
    <t>CHARGEUSE 950</t>
  </si>
  <si>
    <t>ACHAT DE 2 SCEAU DE GRAISSE</t>
  </si>
  <si>
    <t>ACHAT DE 8 PORTE DENT ET 8 CALES</t>
  </si>
  <si>
    <t>CARGO POUR LIVRAISON D ECHELLE ET APPLIQUE MURALE DE LA QUICAILLERIE AU BUREAU</t>
  </si>
  <si>
    <t xml:space="preserve">REMBOURSSEMNT POUR ACHAT DE PLAQUE AFREIN </t>
  </si>
  <si>
    <t xml:space="preserve">ACHAT DE POMPE </t>
  </si>
  <si>
    <t>CITERNE   9077</t>
  </si>
  <si>
    <t>KOUADIO</t>
  </si>
  <si>
    <t>FOFANA MEME</t>
  </si>
  <si>
    <t>FRAIS DE MISSION</t>
  </si>
  <si>
    <t xml:space="preserve">TRANSPORT RETOUR DE LA BDU </t>
  </si>
  <si>
    <t>APPROVISIONNEMENT EN ESPECE PAR CHEQUE BDU FF 1133</t>
  </si>
  <si>
    <t>M OUATTARA SIE</t>
  </si>
  <si>
    <t>PAIEMENT DOUBLE CABINE 3747 ET 0247</t>
  </si>
  <si>
    <t>TANGUI</t>
  </si>
  <si>
    <t>TRAVAUX PEINTURE EN COURS DE BATIMENT</t>
  </si>
  <si>
    <t>M ASSI</t>
  </si>
  <si>
    <t>SOLDE DU MONTAGE DES ETATS FINANCIERS</t>
  </si>
  <si>
    <t>M BEGOU</t>
  </si>
  <si>
    <t>BEN DOUMBIA</t>
  </si>
  <si>
    <t>PAIEMENT CAR 21/08-21/09</t>
  </si>
  <si>
    <t>FRAIS D EXPEDITION DE GROUPE ELECTROGENE A KONG</t>
  </si>
  <si>
    <t>ELISEE</t>
  </si>
  <si>
    <t>BRANDING CAMION PLATEAU</t>
  </si>
  <si>
    <t xml:space="preserve">ACHAT DE DENTS </t>
  </si>
  <si>
    <t>INPRESSION DE LA PRESENTATION DE KS</t>
  </si>
  <si>
    <t>LIVRAISON CARGO DES OUTILS DE LA QUINCAILLERIE AU BUREAU</t>
  </si>
  <si>
    <t>REMBOURSSEMENT TRANSPORT ABOBO-BUREAU LE 25 OCTOBRE</t>
  </si>
  <si>
    <t>ACHAT DE 2 BIDONS D'HUILE DE MOTEUR ET DE 3 BIDONS D HUILE DE BOITE</t>
  </si>
  <si>
    <t>COULIBALY AMADOU</t>
  </si>
  <si>
    <t>EHUIENI</t>
  </si>
  <si>
    <t>M LASSO</t>
  </si>
  <si>
    <t>SOLDE LOCATION DE 2 CAMIONS</t>
  </si>
  <si>
    <t>APPROVISIONNEMENT EN ESPECE PAR CHEQUE BDU FF 1135</t>
  </si>
  <si>
    <t>SIEGE</t>
  </si>
  <si>
    <t>SOLDE FRAIS DE FORMATION SALAIRE ET INDEMNITE</t>
  </si>
  <si>
    <t>COMMISSION</t>
  </si>
  <si>
    <t>APPROVISIONNEMENT EN ESPECE PAR CHEQUE BDU FF 1137</t>
  </si>
  <si>
    <t>APPROVISIONNEMENT EN ESPECE PAR CHEQUE BDU FF 1138</t>
  </si>
  <si>
    <t>APPROVISIONNEMENT EN ESPECE PAR CHEQUE BDU FF 1139</t>
  </si>
  <si>
    <t>TRANSPORT POUR ENCAISSEMENT DE L ARGENT DES LUNETTES DE MADAME ET A LA CIE</t>
  </si>
  <si>
    <t>TRANSPORT POUR LA BDU</t>
  </si>
  <si>
    <t>AGOUA BENE</t>
  </si>
  <si>
    <t>ACHAT DE DEJEUNER POUR MADAME ET SES INVITES</t>
  </si>
  <si>
    <t>DEPENSES BONGOUANOU</t>
  </si>
  <si>
    <t>DEMONTAGE ET MONTAGE DE PNEUS</t>
  </si>
  <si>
    <t>ALEX</t>
  </si>
  <si>
    <t>ACHAT DE 2 BATTERIES</t>
  </si>
  <si>
    <t>CITERNE   9977JG01</t>
  </si>
  <si>
    <t xml:space="preserve">OFFRANDE </t>
  </si>
  <si>
    <t>NUMERRAIRE</t>
  </si>
  <si>
    <t>OFFRANDE NATURE ET AUTRES ET CARBURANT</t>
  </si>
  <si>
    <t>LIVRAISON DE TUYAU DE LA QUINCAILLERIE-BUREAU</t>
  </si>
  <si>
    <t>ACHAT DE JUS ET AUTRES POUR LA DG</t>
  </si>
  <si>
    <t>ACHAT DE SUPPORT ECRANT ET AUTRES</t>
  </si>
  <si>
    <t>ACHAT DE TUBE ORANGE</t>
  </si>
  <si>
    <t>DIALLO</t>
  </si>
  <si>
    <t>ACHAT DE TABLEAU DE BORD</t>
  </si>
  <si>
    <t>SALAIRE OCTOBRE ET INDEMNITE</t>
  </si>
  <si>
    <t>MME EHUENI</t>
  </si>
  <si>
    <t xml:space="preserve">SALAIRE OCTOBRE </t>
  </si>
  <si>
    <t>DIARRASSOUBA ADAMA</t>
  </si>
  <si>
    <t>BAILLY CEDRIC</t>
  </si>
  <si>
    <t>OUATTARA KARAMOKO</t>
  </si>
  <si>
    <t>SALAIRE OCTOBRE ET RELIQUAT SEPTEMBRE</t>
  </si>
  <si>
    <t>KAMBIRE JEAN</t>
  </si>
  <si>
    <t>M ZOBIA</t>
  </si>
  <si>
    <t>FONDS PERDU</t>
  </si>
  <si>
    <t>SALAIRE OCTOBRE  1/3</t>
  </si>
  <si>
    <t>LOUHO PAULIN</t>
  </si>
  <si>
    <t>LASS</t>
  </si>
  <si>
    <t>ACHAT D'APPARET2IL DE CLIGNOTANT ,RELAI ,BOUTON DE CARREAUX ET MACHINE DE CARREAUX 1 CO</t>
  </si>
  <si>
    <t>CITERNE 3337JP01</t>
  </si>
  <si>
    <t>BEN DOMuBIA</t>
  </si>
  <si>
    <t>SALAIRE OCTOBRE</t>
  </si>
  <si>
    <t>DAME DE MENAGE 2</t>
  </si>
  <si>
    <t>TRANSPORT POUR ALLER VOIR LES FOURNISSEURS DE PELLE A NEU</t>
  </si>
  <si>
    <t>FRAIS DE ROUTE POUR VENIR A ABIDJAN</t>
  </si>
  <si>
    <t xml:space="preserve">TRANSPORT POUR ALLER A ODIENNE POUR CONDUIRE LE COMPACTEUR </t>
  </si>
  <si>
    <t>TRANSFERT D'UNITE FLOTTE POUR MME TENIN ET MR KOUADIO</t>
  </si>
  <si>
    <t xml:space="preserve">LIVRAISON DE DOCUMENT AU BUREAU </t>
  </si>
  <si>
    <t xml:space="preserve">N'GUESSAN TANGUI </t>
  </si>
  <si>
    <t>TRAVAUX DE SEPARATION BUREAU ETAGERE SALLE D'achive ouverute salle de reunion DG</t>
  </si>
  <si>
    <t>APPROVISIONNEMENT EN ESPECE PAR MADAME TOURE</t>
  </si>
  <si>
    <t xml:space="preserve">KONE DAOUDA </t>
  </si>
  <si>
    <t xml:space="preserve">AVANCE DE 5 JOURS POUR LA LOCATION DE LA PELLE A PNEU HENGWANG A AGBOVILLE </t>
  </si>
  <si>
    <t xml:space="preserve">ACHAT DE 4 PNEU POUR LE CAR 5311 </t>
  </si>
  <si>
    <t>ACHAT DE 2 PLAQUETTES POUR LE CAMION</t>
  </si>
  <si>
    <t xml:space="preserve">DEMONTAGE ET MONTAGES DES PNEU ET MONTAGES DES PLAQUETTES </t>
  </si>
  <si>
    <t>ACHAT DE SAC DE SATEN ET AVANCE SUR TRAVAUX PLACOPLATRE</t>
  </si>
  <si>
    <t>REMBOURSEMENT DU COLLAGE DES 2 PNEUS DE LA BENNE</t>
  </si>
  <si>
    <t>LAVAGE DU CAMION</t>
  </si>
  <si>
    <t xml:space="preserve">M KONAN N'DRI </t>
  </si>
  <si>
    <t>VERSEMENT SUR LE COMPTE BDU KS</t>
  </si>
  <si>
    <t xml:space="preserve">COLLAGE DE PNEU ET ACHAT DE CARBURANT POUR LA VOITURE DU BUREAU </t>
  </si>
  <si>
    <t xml:space="preserve">ANZIE </t>
  </si>
  <si>
    <t>ACHATS DE 4 PAQUETS DE CIMENTS+1 PAQUET DE POINGTES POUR BOUCHER LES TROUS A LA DEVANTURE DU BUREAU</t>
  </si>
  <si>
    <t>ACHATS DE 10 BONBONNES POUR LE BUREAU KS</t>
  </si>
  <si>
    <t xml:space="preserve">TRANSPORT RETOUR BDU AGENCE DJIBI POUR ENCAISSER UN CHEQUE </t>
  </si>
  <si>
    <t>ACAHAT DE 3 KITS PLAQUETTES DE FREINS POUR LE CAMION</t>
  </si>
  <si>
    <t>DAO S</t>
  </si>
  <si>
    <t xml:space="preserve">FRAIS DE ROUTE POUR ALLER AU CHARGEMENT </t>
  </si>
  <si>
    <t>SALIF P</t>
  </si>
  <si>
    <t>TRANSPORT ALLER -RETOUR +FRAIS D'EXPEDITION A FERKE</t>
  </si>
  <si>
    <t>BOMA</t>
  </si>
  <si>
    <t>ATTESTATION D'ASSURANCE AUTOMOBILE POUR LA SUZUKI BALENO</t>
  </si>
  <si>
    <t xml:space="preserve">APPROVISIONNEMENT EN ESPECE PAR CHEQUE BDU </t>
  </si>
  <si>
    <t>sortie</t>
  </si>
  <si>
    <t>ACHAT DE POT DE PEINTURE  ET AUTRES POUR FAIRE LES MACHINES AU  GARAGE</t>
  </si>
  <si>
    <t>LVREUR YANGO</t>
  </si>
  <si>
    <t>LIVRAISON DE POT DE PEINTURE   FAIRE LES MACHINES AU  GARAGE</t>
  </si>
  <si>
    <t xml:space="preserve">LAVAGE DU CAMION </t>
  </si>
  <si>
    <t>FRAIS DE ROUTE ODIENNE -ABIDJAN</t>
  </si>
  <si>
    <t xml:space="preserve">KOUADIO HERMAN </t>
  </si>
  <si>
    <t>CARBURANTS DE LA VOITURE DZIRE 2167J</t>
  </si>
  <si>
    <t>ACHAT DE 2  BOUTEILLES D'EAU A LA BOUTIQUE POUR MADAME</t>
  </si>
  <si>
    <t>ACHAT DE PIECESC DE RECHANGE (FILTRES POUR LES CAR DE RAMASSAGE A KORHOGO)</t>
  </si>
  <si>
    <t>DAME  DE MENAGE 1</t>
  </si>
  <si>
    <t>REPARATION DE LA POMPE A AIR ET ACHACARBURANT POUR LA NOUVELLE VOITURE DE SERVICE</t>
  </si>
  <si>
    <t>Sortie</t>
  </si>
  <si>
    <t>TRANSPORT POUR ALLER REMETTRE DE L'ARGENT A MADAME FOBAH</t>
  </si>
  <si>
    <t>ACHAT D'EAU  POUR MADAME ET POUR LES INVITES +CARTON</t>
  </si>
  <si>
    <t>CARBURANT POUR LA VOITURE DU BUREAU</t>
  </si>
  <si>
    <t xml:space="preserve">CARBURANT POUR LA 320 POUR FAIRE LE REMBLAYAGE DEVANT LE BUREAU </t>
  </si>
  <si>
    <t>LOYER DU MOIS D'OCTOBRE A FERKE</t>
  </si>
  <si>
    <t xml:space="preserve">AMAGBEGNAN </t>
  </si>
  <si>
    <t xml:space="preserve">MAIN D'ŒUVRE POUR CONDUIRE LA PELLE </t>
  </si>
  <si>
    <t>MAHAMADOU</t>
  </si>
  <si>
    <t>FRAIS DE REPARATION DE VERIN</t>
  </si>
  <si>
    <t>MR HUSSEIN</t>
  </si>
  <si>
    <t>ACHAT DE POMPE ALIMENTAIRE POUR LA CITERNE</t>
  </si>
  <si>
    <t>ACHAT DE  POTS DE PEINTURE POUR  LES MACHINES AU  GARAGE</t>
  </si>
  <si>
    <t>ACHAT DE WC POUR LES TOILETTE DES HOMMES</t>
  </si>
  <si>
    <t>ACHAT DE SERRURE ET ROBINET POUR LE BUREAU</t>
  </si>
  <si>
    <t>LIVRAISON DE WC ,FLEXIBLE ET AUTRES AU BUREAU</t>
  </si>
  <si>
    <t>LIVRAISON DE POT DE PEINTURE POUR FAIRE LES MACHINES AU  GARAGE</t>
  </si>
  <si>
    <t>TRANSPORT BDU POUR FAIRE UNE REMISE (ALLER -RETOUR)</t>
  </si>
  <si>
    <t>TRANSPORT POUR ALLER REMETTRE LE CHEQUE DE MR LOPES PFO</t>
  </si>
  <si>
    <t>ACHATS DE KIT A  FILTRE  POUR UN CAR A BOUNDIALI ET AUTRE KIT  POUR LA CHARGEUSE 950C</t>
  </si>
  <si>
    <t>Entrée</t>
  </si>
  <si>
    <t>APPROVISIONNEMENT EN ESPECE PAR MADAME FOBAH/WAVE</t>
  </si>
  <si>
    <t xml:space="preserve">RECUPERATION DE DOCUMENT A BDU YOPOUGON POUR ENVOYER AU BUREAU </t>
  </si>
  <si>
    <t>ACHA T DE 2 COURROIE ET TRANSPORT A BOUNDIALY</t>
  </si>
  <si>
    <t>LIVRAISON DE DOCUMENT A LA BDU CHEZ MR KABLAN</t>
  </si>
  <si>
    <t xml:space="preserve">ACHAT DE LICENCE LOGICEIL DE MONTAGE.BOOSTER WIFI .CABLE DE RESEAU .PERCEUSE ELECTRONIQUE </t>
  </si>
  <si>
    <t>CARBURANT POUR EFFECTUER UNE MISSION A BOUNDIALI ET A NASSIAN</t>
  </si>
  <si>
    <t>DIEU DONNE DOGO</t>
  </si>
  <si>
    <t>TRAVAUX CONCERNANT LA PORTE COULISSANTE EN ALUMINIUM POUR LA SALLE DE REUNION DG</t>
  </si>
  <si>
    <t xml:space="preserve">LIVRAISON DE L'ORDRE DE VIREMENT DES SALAIRES D'OCTOBRE A LA BDU PLATEAU </t>
  </si>
  <si>
    <t>PETIT  DE MR SANOGO</t>
  </si>
  <si>
    <t xml:space="preserve">EXPEDITION DE FILTRE A GASOIL KORHOGO </t>
  </si>
  <si>
    <t>SERY FREDERIC MICHAEL</t>
  </si>
  <si>
    <t>SALAIRE DU MOIS D'OCTOBRE (COMMERCIAUX)</t>
  </si>
  <si>
    <t>NEGBE BOUA MIREILLE</t>
  </si>
  <si>
    <t>CARTE DE STATIONNEMENT POUR LE CAMION</t>
  </si>
  <si>
    <t>LIVRAISON D'AUTOCOLLANTS KS AU BUREAU</t>
  </si>
  <si>
    <t>DRAMANE S</t>
  </si>
  <si>
    <t xml:space="preserve">ACHAT DE 50 L DE CARBURANT POUR LA CITERNE </t>
  </si>
  <si>
    <t>TRANSPORT ALLER -RETOUR NSIA 8 EME TRANCHE POUR FAIRE UN RETRAIT</t>
  </si>
  <si>
    <t>FRAIS DE ROUTE ABIDJAN -ODIENNE</t>
  </si>
  <si>
    <t>ACHAT D'HUILE DE MOTEUR POUR LA VIDANGE DE 2 CAR 5311 ET 5312</t>
  </si>
  <si>
    <t>BAKAYOKO MAYOLI Z</t>
  </si>
  <si>
    <t>DAME DE MENAGE 1</t>
  </si>
  <si>
    <t>TRANSPORT RETOUR MAISON POUR S'ETRE DEPLACEMENT UNITILEMENT (REUNION ANNULER)</t>
  </si>
  <si>
    <t xml:space="preserve">LOYER DU MOIS D'OCTOBRE A KONG ET NASSIAN </t>
  </si>
  <si>
    <t>SALAIRE DU MOIS D'OCTOBRE DU CHAUFFEUR DE LA PELLE 325</t>
  </si>
  <si>
    <t>SALAIRE DE 3 JOURS DU MOIS  D'OCTOBRE DU CHAUFFEUR DE LA PELLE 330</t>
  </si>
  <si>
    <t xml:space="preserve"> COMMIS FOFANA </t>
  </si>
  <si>
    <t>LOYER DU MOIS D'OCTOBRE A ODIENNE</t>
  </si>
  <si>
    <t>NOUFFOU</t>
  </si>
  <si>
    <t>LOYER DU MOIS D'OCTOBRE A DIVO</t>
  </si>
  <si>
    <t>LOYER DU MOIS D'OCTOBRE A KORHOGO</t>
  </si>
  <si>
    <t>SALAIRE DE 10 JOURS DU MOIS  D'OCTOBRE DU CHAUFFEUR DE LA PELLE 330</t>
  </si>
  <si>
    <t xml:space="preserve">ORDRE DE MISSION BOUNDIALI -NASSAIN </t>
  </si>
  <si>
    <t>LOYER DU MOIS DE SEPTEMBRE  A BOUNDIALI</t>
  </si>
  <si>
    <t>CARBURANT POUR LA VOITURE DU PÈRE DE MADAME POUR FAIRE LES COURSES DU BUREAU KS</t>
  </si>
  <si>
    <t xml:space="preserve">ACHAT DE TUYAU ,MOTO A POMPE ET AUTRES POUR LA CITERNE </t>
  </si>
  <si>
    <t>ACHAT DE 40L D'HUILE DE MOTEUR POUR LA VIDANGE DE LA BENNE A DABAKALA</t>
  </si>
  <si>
    <t>REMBOURSEMENT CONCERNANT ACHAT DE CARBURANT DE LA VOITURE</t>
  </si>
  <si>
    <t>FOFANA LAMAN</t>
  </si>
  <si>
    <t>MAIN D'ŒUVRE POUR INSTALLER LA SERRURE DU BUREAU DE LA DG</t>
  </si>
  <si>
    <t>CARBURANT POUR LA VOITURE POUR EFFECTUER UNE COURSE A YOPOUGON</t>
  </si>
  <si>
    <t>KTA AQUARIUM</t>
  </si>
  <si>
    <t>ACHAT DE MOUSSE ET ENTRETIEN DE L'AQUARUIM</t>
  </si>
  <si>
    <t>TRANSPORT RETOUR NSIA ABOBO APRES LE DEPOT CONCERNANT LA DEMANDE DE CHEQUIER FF</t>
  </si>
  <si>
    <t>TEKAN N'GUESSAN VIVIAN</t>
  </si>
  <si>
    <t>BABATUNDE O</t>
  </si>
  <si>
    <t>ACHAT DE BIPE DE RECULE +RETROVISEUR POUR LA CITERNE</t>
  </si>
  <si>
    <t>YUSUF B</t>
  </si>
  <si>
    <t xml:space="preserve">ACHAT DE4 METRE DE RACCORD POUR LA CITERNE </t>
  </si>
  <si>
    <t>FRAIS DE CONTRAVENTION DE LA VOITURE DU PÈRE DE MADAME POUR FAIRE LES COURSE DU BIUREAU</t>
  </si>
  <si>
    <t>SANGARE NOUNH</t>
  </si>
  <si>
    <t xml:space="preserve">AVANCE SUR LE SALAIRE DU CHAUFFEUR DE LA CHARGEUSE </t>
  </si>
  <si>
    <t>AVANCE SUR SALAIRE DU MOIS DE NOVEMBRE</t>
  </si>
  <si>
    <t>TRANSPORT BDU PLATEAU POUR ENCAISSER UN CHEQUE (ALLER -RETOUR)</t>
  </si>
  <si>
    <t>APPROVISIONNEMENT EN ESPECE PAR FOFANA KADIDIATOU MONNAIE RENDU APRES AVOIR EFFECTUER DES ACHATS</t>
  </si>
  <si>
    <t>AVANCE POUR LA CONFECTION DE CACHET ET TRANSPORT A ADJAME (ALLER-RETOUR)</t>
  </si>
  <si>
    <t>TRANPORT POUR LE DEPLACEMENT DU GOUVERNEUR MR AKRA POUR DONNER DES MISES EN DEMEURE AU HABITANTS EN FACE DU BUREAU</t>
  </si>
  <si>
    <t>TRANSPORT RETOUR PFO POUR RECLAMER LES BONS DE COMMANDES</t>
  </si>
  <si>
    <t xml:space="preserve">SANGARE SEYDOU </t>
  </si>
  <si>
    <t>ACHAT DE CROIX POUR LE CAR DE RAMASSAGE</t>
  </si>
  <si>
    <t>SALAIRE D'OCTOBRE DU CHAUFFEUR DE LA CHARGEUSE A NASSAIAN ET A KONG (f m</t>
  </si>
  <si>
    <t>ACHAT DE 113L CARBURANT +PEAGE ET FRAIS DE ROUTE POUR LE CAMION PLATEAU GRUE 6245JL01</t>
  </si>
  <si>
    <t>LIVRAISON YANGO +FRAIS D'EXPEDITION DE CARNET ET D'AUTOCOLLANT A AGBOVILLE</t>
  </si>
  <si>
    <t>DIOMANDE L</t>
  </si>
  <si>
    <t>ACHAT DE 60 METRES DE FIL+MAIN D'ŒUVRE POUR LE CAMION</t>
  </si>
  <si>
    <t>ACHAT DE CARBURANT +PEAGE +FRAIS DE POLICE LES PAPIERS DU VEHICULE NE SONT PAS ENCORE DISPONIBLE</t>
  </si>
  <si>
    <t>ACHAT DE 20 L D'HUILE + FILTRE POUR LE CAMION AA407</t>
  </si>
  <si>
    <t>TRANSPORT POUR ALLER A LA MAIRIE TECHNIQUE ET RETOUR AU BUREAU AVEC LE GOURVENEUR MR AKRA</t>
  </si>
  <si>
    <t>TRANPORT POUR ALLER CHEZ MADAME FOBAH POUR EFFECTUER SON REMBOURSEMENT CONCERNANT LES APPRO CAISSE</t>
  </si>
  <si>
    <t>ACHAT D'UNE PARTIE DES FOURNITURE DE BUREAU  +ACHATS DE CARTONS</t>
  </si>
  <si>
    <t>TRANSPORT POUR ALLER A BONOUA ET ESCALE A ODIENNE POUR RECUPERER SES AFFAIRES</t>
  </si>
  <si>
    <t xml:space="preserve">LAVAGE DE 4 TAPIS PUR LE BUREAU </t>
  </si>
  <si>
    <t>TRANSFERT D'UNITE FLOTTE POUR MR COLLINS ET BENEDICTE</t>
  </si>
  <si>
    <t>KOFFI ELISE</t>
  </si>
  <si>
    <t xml:space="preserve">CONFECTION DES AUTOCOLLANTS ET CARNET KS  </t>
  </si>
  <si>
    <t>DIARRASOUBA ADAMA</t>
  </si>
  <si>
    <t>ACHAT DE MATELAS ET CARBURANT POUR SA MOTO</t>
  </si>
  <si>
    <t xml:space="preserve">ACHAT DE CARTOUCHES +TRANSPORT </t>
  </si>
  <si>
    <t>MARA MOHAMED</t>
  </si>
  <si>
    <t>TRANSPORT +AVANCE DE 3 JOURS DU NOUVEAU CHAUFFEUR DE LA CHARGEUSE</t>
  </si>
  <si>
    <t>CARBURANT POUR LA VOITURE DE SERVICE 2167LJ01</t>
  </si>
  <si>
    <t>TRANSPORT ALLER- RETOUR BDU ANGRE POUR ENCAISSER UN CHEQUE</t>
  </si>
  <si>
    <t>ACHAT DE 2 FLEXIBLE WC POUR LE BUREAU DU DG ET DE MME TENIN+MAIN D'ŒUVRE</t>
  </si>
  <si>
    <t>DEPOT DE DOCUMENT A MR KABLAN BDU YOPOUGON+RETOUR AU BUREAU</t>
  </si>
  <si>
    <t>DOYALA</t>
  </si>
  <si>
    <t xml:space="preserve">CARBURANT POUR LE CHAUFFEUR QUI PART REMPLACER LE CHAUFFEUR DE LA BENNE </t>
  </si>
  <si>
    <t>APPROCAISSE PAR CHEQUE BDU BTP N 333</t>
  </si>
  <si>
    <t>KAMAL</t>
  </si>
  <si>
    <t>SOLDE  DES ACHATS DES 3 TELEPHONES</t>
  </si>
  <si>
    <t>MISSION SUR DIMBOKRO POUR VOIR LE COMPACTERU DE MR SAM</t>
  </si>
  <si>
    <t>TRANSFERT D'UNITE POUR LE TELEPHONE DE BUREAU DE MME TENIN TOURE</t>
  </si>
  <si>
    <t>IMPRESSION DE 8 EXEMPLAIRES DE CATALOGUE 4KS ET 4 POUR BELIER PETROLEUM SUR PAPIER CARTONNE DORE</t>
  </si>
  <si>
    <t>COLLAGE DE 2 PNEU ,SOUDURE ,DEMONTAGE ET MONTAGE DE PNEU</t>
  </si>
  <si>
    <t>SOUDURE POUR LA CITERNE</t>
  </si>
  <si>
    <t>JEAN</t>
  </si>
  <si>
    <t>RECUPERATION DE CACHET A ADJAME ET LIVRAISON AU BUREAU KS</t>
  </si>
  <si>
    <t>MR SANOGO</t>
  </si>
  <si>
    <t>VISITE TECHNIQUE POUR LE CAMION PLATEAU</t>
  </si>
  <si>
    <t xml:space="preserve">ACHAT D'UNE AUTRE PARTIE DES FOURNITURES DU BUREAU +TRANSPORT </t>
  </si>
  <si>
    <t>ACHAT DE 3 CONTRAT DE BAIL PROFESSIONNEL (3 EXEMPLAIRES)</t>
  </si>
  <si>
    <t>APPRO CAISSE PAR MADAME TOURE</t>
  </si>
  <si>
    <t>MME COULIBALY</t>
  </si>
  <si>
    <t>PAIEMENT DE LA CITERNE 8207J01  A NASSIAN DU 21/08 AU 20/09/2025</t>
  </si>
  <si>
    <t>FRAIS DE ROUTE YOPOUGON -TREICHVILLE ET TREICHVILLE -KONG</t>
  </si>
  <si>
    <t>MR BAMBA  KALIFA</t>
  </si>
  <si>
    <t>PAIMENT DE LA DOUBLE CABINE 2485HR01 A KORHOGO DU 21/09 AU 20/10/2025</t>
  </si>
  <si>
    <t>PEAGE,BASCULE ET 270 L DE CARBURANT POUR LE CAMION ABIDJAN -KONG</t>
  </si>
  <si>
    <t>FRAIS DE ROUTE ABIDJAN -KONG</t>
  </si>
  <si>
    <t>FRAIS DE DEPANNAGE DE LA BENNE</t>
  </si>
  <si>
    <t>TRANSPORT BDU PLATEAU  ET AU BUREAU POUR ENCAISSER UN CHEQUE</t>
  </si>
  <si>
    <t>TRANSPORT MACORY-CARREFOUR OPERA POUR VOIR LA BRIGADE DE SALUBRITE PUIS AU BUREAU</t>
  </si>
  <si>
    <t>TRANSPORT POUR ALLER A ECOBANK POUR FAIRE UNE REMISE DE CHEQUE</t>
  </si>
  <si>
    <t>ACHAT DE NOURRITURES POUR LES POISSONS</t>
  </si>
  <si>
    <t>KS ECOBANK</t>
  </si>
  <si>
    <t>VERSMENT SUR LE COMPTE CONCERNAT LE REMBOURSEMENT DES COURSES DE FF</t>
  </si>
  <si>
    <t>VIDANGE DES 2 CAMIONETTES 1704LY01 ET 52WWCI01</t>
  </si>
  <si>
    <t>COLLAGE DE PNEU ET MAIN D'ŒUVRE</t>
  </si>
  <si>
    <t>BENNE AA047J-Z</t>
  </si>
  <si>
    <t>ACHAT DE DECORATION POUR LE BUREAU KS</t>
  </si>
  <si>
    <t>APPRO CAISSE PAR CHEQUE BDU BTP N 274</t>
  </si>
  <si>
    <t>MR KANGAH JOEL</t>
  </si>
  <si>
    <t>COMMISSION DE MR JOEL KANGAH</t>
  </si>
  <si>
    <t>MR KAYE</t>
  </si>
  <si>
    <t>SOLDE DE LA COMMISSION DE MR KAYE A FERKE DU 21/07 AU 20/08/2025</t>
  </si>
  <si>
    <t>COLLE DE RAITEUR POUR LA BENNE 956 ET COLLAGE DE PNEU POUR 1704LY</t>
  </si>
  <si>
    <t>CARBURANT POUR SA MOTO</t>
  </si>
  <si>
    <t>CARBURANT POUR LA VOIRURE POUR LES COURSES DU BUREAU</t>
  </si>
  <si>
    <t>PNEU SECOURS POUR LE CAMION PLATEAU</t>
  </si>
  <si>
    <t>PAIEMENT DE LA CAMIONETTE 134GC01 A NASSAIAN DU 21/08 AU 20/09/2025</t>
  </si>
  <si>
    <t>KOFFI</t>
  </si>
  <si>
    <t>MAIN D'ŒUVRE POUR INSTALLATION DE POIGNET ET GACHE POUR LA DG</t>
  </si>
  <si>
    <t>APPRO CAISSE PAR CHEQUE NSIA 2144741 ,2144813</t>
  </si>
  <si>
    <t>PAIMENT DU CAR DE RAMASSAGE 1703 DU 21/08 AU 20/09/2025 A DABAKALA</t>
  </si>
  <si>
    <t xml:space="preserve">PAIEMENT DU CAR RAMASSAGE 3207 JN01 DU 21/09 AU 20/10/2025 A KORHOGO </t>
  </si>
  <si>
    <t>SALAIRE DU MOIS D'OCTOBRE 2/3</t>
  </si>
  <si>
    <t>TRAORE N'GOLO</t>
  </si>
  <si>
    <t>SALAIRE DU CHAUFFEUR REMPLACANT DE TRAORE ADAMA</t>
  </si>
  <si>
    <t>CAR  5312WWWCI01</t>
  </si>
  <si>
    <t>PEAGE,FRAIS DE ROUTE  ET 270 L DE CARBURANT POUR LE CAMION KONG -ABIDJAN</t>
  </si>
  <si>
    <t>CARGO YANGO</t>
  </si>
  <si>
    <t>LIVRAISON DE PNEU 6 AU PONT BASCULE A SANOGO BEMA POUR ALLER A KONG</t>
  </si>
  <si>
    <t>ACHAT DE 4 RACCORDS DE CABLE +15 METRE DE FIL ELECTRIQUE POUR L'INCIDENT CAUSE PAR NOTRE GRUE</t>
  </si>
  <si>
    <t>ACHATS DE POIGNET DE TOILLETTE DE MADAME TENIN ET MAIN D'ŒUVRE</t>
  </si>
  <si>
    <t xml:space="preserve">TRANSPORT POUR ALLER AU COMMISSARIAT </t>
  </si>
  <si>
    <t>TRANSPORT RETOUR NSIA ANGRE POUR ENCAISSER DES CHEQUES POUR LES PROPRIERTAIRES DE CAR</t>
  </si>
  <si>
    <t>CLIMATISATION DE LA FOTON +CONFECTION DE BLINDAGE DE PROTECTION</t>
  </si>
  <si>
    <t>FRAIS DE DEPANNAGE DE LA PELLE A FERKE</t>
  </si>
  <si>
    <t>CHAMBRE D'HOTEL A BONOUA</t>
  </si>
  <si>
    <t>FRAIS DE RETRAIT DES PIECES DU CAMION GRUE+SOLDE DE CIE +FRAIS DE RETOUR MISSION +BESOIN DE MISSION</t>
  </si>
  <si>
    <t>DEMONTAGE ET MONTAGE DE TABLLE DANS LA SALLE DE REUNION</t>
  </si>
  <si>
    <t xml:space="preserve">LAVAGE DE LA VOITURE </t>
  </si>
  <si>
    <t xml:space="preserve">TRANSPORT RETOUR BDU ANGRE POUR FAIRE UNE REMISE DE CHEQUE </t>
  </si>
  <si>
    <t>TRANSPORT ALLER -RETOUR PFO COCODY POUR UNE SEANCE DE TRAVAIL</t>
  </si>
  <si>
    <t>BAMBA LASS</t>
  </si>
  <si>
    <t xml:space="preserve">PAIEMENT DU CAR RAMASSAGE 1931 HR01 A ODIENNE  DU 21/09 AU 20/10/2025 </t>
  </si>
  <si>
    <t>KING IVOIRE SARL</t>
  </si>
  <si>
    <t xml:space="preserve">ACHAT DE 50 FIL DE FER BUNDLE </t>
  </si>
  <si>
    <t>BAMBA ABDOULAYE</t>
  </si>
  <si>
    <t>MAIN D'ŒUVRE POUR FAIRE LA PORTIERE DE LA CITERNE</t>
  </si>
  <si>
    <t>APPRO CAISSE  DE LA MONNAIE CONCERNANT LA DECO DU BUREAU</t>
  </si>
  <si>
    <t>LIVRAISON DE VITRE DE LA VOITURE</t>
  </si>
  <si>
    <t>DEPOT DE CACHET POUR LA MODIFICATION A ADJAME</t>
  </si>
  <si>
    <t>MR TRAI BI JEAN CLAUDE</t>
  </si>
  <si>
    <t>POUBELLE DE 3 MOIS</t>
  </si>
  <si>
    <t>PRISE EN CHARGE APRES ACCIDENT</t>
  </si>
  <si>
    <t>KOUAO</t>
  </si>
  <si>
    <t>SOLDE CONFECTION DE CACHETS</t>
  </si>
  <si>
    <t>TRANSPORT RETOUR BDU</t>
  </si>
  <si>
    <t>TRANSPORT KRH POUR DEPANNER LE RADIATEUR</t>
  </si>
  <si>
    <t>RECUPERATION DE CACHET AU BUREAU POUR ADJAMER ALLER ET RETOUR</t>
  </si>
  <si>
    <t>ACHAT DE PIECES POUR LES 2 MACHINES 330</t>
  </si>
  <si>
    <t>ACHAT POUR LE BUREAU</t>
  </si>
  <si>
    <t>LIVRAISON DE PNEUS A YOPOUGON POUR KONE MORY</t>
  </si>
  <si>
    <t>MONTAGE DE 6 PNEUSDES 3 CAMIONS BENNES</t>
  </si>
  <si>
    <t>FRAIS DE ROUTE POUR CHARGEMENT DE LA GRUE A KRH</t>
  </si>
  <si>
    <t>FRAIS DE ROUTE KRH-BOUNDIALY</t>
  </si>
  <si>
    <t>TRANSPORT POUR VISITE A YAMOUSSOKRO</t>
  </si>
  <si>
    <t>FRAIS DE ROUTE ABJ- KONG</t>
  </si>
  <si>
    <t>CARBURANT ET FRAIS DE ROUTE ET PEAGE</t>
  </si>
  <si>
    <t>ACHAT DE SERVEUR</t>
  </si>
  <si>
    <t>APPRO CAISSE PAR CHEQUE BDU KS 1404</t>
  </si>
  <si>
    <t>CARBUTANT</t>
  </si>
  <si>
    <t>APPRO CAISSE DE LA MONNAIE POUR ACHAT DE PIECES DES 2 MACINES 330 PAR KADY</t>
  </si>
  <si>
    <t>DEPOT DE FACTURES A LA PFO ET DE DOCS KS A INSAC</t>
  </si>
  <si>
    <t>EHUENI</t>
  </si>
  <si>
    <t>TRANSPORT POUR ACHAT DE DECORATION POUR LE BUREAU</t>
  </si>
  <si>
    <t>REGLEMENT FACTURE MTN</t>
  </si>
  <si>
    <t>ENREGISTREMENT DE CONTRAT DE BAIL PRO POUR DOSSIER D AGREMENT AU CEPICI</t>
  </si>
  <si>
    <t>LAVAGE COMPLET ET ACHAT DE GATEAU POUR MADAME</t>
  </si>
  <si>
    <t>ACHAT D' EXTENCTEUR TRIANGLE ET BOITE A PHARMACIE</t>
  </si>
  <si>
    <t xml:space="preserve">ACHAT DE POTS DE FLEUR DE CARTE DE REDUCTION </t>
  </si>
  <si>
    <t>ACHAT DE PNEU SECOURS 2EME MAINS</t>
  </si>
  <si>
    <t>REPARATION BOXEUR DISQUE ET MAIN D ŒUVRE</t>
  </si>
  <si>
    <t>DEPLACEMENT DES PNEUS QUI SONT SUR KORHOGO</t>
  </si>
  <si>
    <t>MONNAIE ACHAT D' EXTENCTEUR TRIANGLE ET BOITE A PHARMACIE</t>
  </si>
  <si>
    <t>TRANSPORT POUR INTERVENTION A FERKE</t>
  </si>
  <si>
    <t>ACHAT DE 3 GLISSEURS</t>
  </si>
  <si>
    <t>M KASSOUM</t>
  </si>
  <si>
    <t>AVANCE LOCATION DE MINI BUS 3640FS01</t>
  </si>
  <si>
    <t xml:space="preserve">MAIN D ŒUVRE DE LA REMISE EN ETAT DU RADIATEUR </t>
  </si>
  <si>
    <t>ACHAT DE 3 BROSSES A TOILETTE</t>
  </si>
  <si>
    <t xml:space="preserve">ACHAT DE BOULONS </t>
  </si>
  <si>
    <t>ACHAT DE 120L DE CARBURANT</t>
  </si>
  <si>
    <t>ACHAT DE CROISONS</t>
  </si>
  <si>
    <t>APPRO PAR MADAME</t>
  </si>
  <si>
    <t>REMBOURSSEMENT DES 7JOURS D AVANCE DU CAR 3640 SANS FRAIS</t>
  </si>
  <si>
    <t>GRILLE DE CIE FRAIS DE LIVRAISON ET MAIN D'ŒUVRE</t>
  </si>
  <si>
    <t>SOUDURE DE LA 325</t>
  </si>
  <si>
    <t>TRAVAUX SUR LA SORTIE DES ESCALIERS</t>
  </si>
  <si>
    <t>REMBOURSSEMENT DU COMPTEUR SUR LA CITERNE DE M GANA</t>
  </si>
  <si>
    <t xml:space="preserve">MONNAIE SUR ACHAT D HUILE HYDRAULIQUE </t>
  </si>
  <si>
    <t>FRAIS DE MONTAGE DE PNEU</t>
  </si>
  <si>
    <t>ACHAT DE 400L DE CARBURANT ET FRAIS DE PEAGE</t>
  </si>
  <si>
    <t>ACHAT D ANTI BROULENT DE LA PELLE AU GARAGE</t>
  </si>
  <si>
    <t>LIVRAISON DE DILUANT ET PEINTURE DE LA QUINCAILLERIE AU BUREAU</t>
  </si>
  <si>
    <t>MONTAGE DE PNEUS</t>
  </si>
  <si>
    <t>TRANSPORT RETOURFERKE-KORHOGO</t>
  </si>
  <si>
    <t>ACHAT DE JUS POUR MADAME ET FRAIS DE LIVRAISON</t>
  </si>
  <si>
    <t>REPARATION AMORTISSEUR</t>
  </si>
  <si>
    <t>FRIAS DE ROUTE</t>
  </si>
  <si>
    <t>FRAIS DE REPARATION ET TRANSPORT DU CHAUFFEUR POUR RECUPERER LA VOITURE</t>
  </si>
  <si>
    <t>ACHAT D ORDINATEUR ET DOMAINE MAIL</t>
  </si>
  <si>
    <t>FRAIS DE MISSION DE ABOU SUR NASSIEN FERKE BOUNDIALY</t>
  </si>
  <si>
    <t>CARBURANT POUR VISITE</t>
  </si>
  <si>
    <t>LIVRAISON DE DISQUE A COUPER DE LA QUICAILLERIE AU BUREAU POUR LA 325</t>
  </si>
  <si>
    <t>M RUFFIN</t>
  </si>
  <si>
    <t>FOND PERDU</t>
  </si>
  <si>
    <t>DATE DE JUSTIFICATIF</t>
  </si>
  <si>
    <t>DG</t>
  </si>
  <si>
    <t>ACHAT DE PACKS D EAU POUR MADAME TOURE DG</t>
  </si>
  <si>
    <t>MODIFICATION DE BTTP EN BE ET AUGMENTATION DE CAPITAL DES 2 ENTREPRISES</t>
  </si>
  <si>
    <t>ISSA</t>
  </si>
  <si>
    <t>VOITURE  KOUADIO HERMAN</t>
  </si>
  <si>
    <t>ACHAT DE 2 BIDONS D HUILE HYDRAULIQUE A PETRO IVOIRE</t>
  </si>
  <si>
    <t>FREIN A MAIN ET CARBURANT</t>
  </si>
  <si>
    <t>VOITURE  BARRY HAMIDOU</t>
  </si>
  <si>
    <t xml:space="preserve">ACHAT DE 2 BIDONS D HUILE HYDRAULIQUE </t>
  </si>
  <si>
    <t>ACHAT DE FILTRE A HUILE</t>
  </si>
  <si>
    <t>VISITE TECHNIQUE</t>
  </si>
  <si>
    <t>VOITURE  M  FOFANA</t>
  </si>
  <si>
    <t>REMPL SOUMAHORO SOULEYMAN</t>
  </si>
  <si>
    <t>TRANSPORT POUR ALLER ACHETER D HUILE HYDRAULIQUE</t>
  </si>
  <si>
    <t>REPARATION D ELECTRICITE</t>
  </si>
  <si>
    <t>APPROVISIONNEMENT PAR MONSIEUR KONAN</t>
  </si>
  <si>
    <t>ACHAT POUR INTERVENTION</t>
  </si>
  <si>
    <t>TRANSPORT POUR ALLER SUIVRE LA GRUE</t>
  </si>
  <si>
    <t>BAGAYOKO</t>
  </si>
  <si>
    <t>BARRY OUSMANE</t>
  </si>
  <si>
    <t>AVANCE LOCATION DE CITERNE 6501GS01</t>
  </si>
  <si>
    <t>ACHAT DE 5 ATTACHES ET 6 M DE LEINCE</t>
  </si>
  <si>
    <t>PAIEMENT 2 MOIS FIBRE ORANGE</t>
  </si>
  <si>
    <t>ACHAT DIVERS POUR INTERVENTIONSUR LA CITERNE 9077 ET SOUDURE DE LA 330 ET 320</t>
  </si>
  <si>
    <t xml:space="preserve"> CARBURANT VOITURE DE PAPA</t>
  </si>
  <si>
    <t>COLIS A YOP</t>
  </si>
  <si>
    <t>CARBURANT VOITURE DES ENFANTS</t>
  </si>
  <si>
    <t>ACHATDE WC POUR LES TOILETTES DES FILLES</t>
  </si>
  <si>
    <t>DOUMBIA</t>
  </si>
  <si>
    <t>FRAIS DE MONTAGE DE PNEUS DES 2 BENNES ET CHAGMAN</t>
  </si>
  <si>
    <t xml:space="preserve">CARBURANT ET ACHAT D HUILE </t>
  </si>
  <si>
    <t>CARTE GRISE</t>
  </si>
  <si>
    <t xml:space="preserve">M KONAN </t>
  </si>
  <si>
    <t>TRANSPORT POUR BDU ANGRE ET ABOBOTE</t>
  </si>
  <si>
    <t>APPROVISIONNEMENT PAR BDU BTTP 210</t>
  </si>
  <si>
    <t>APPROVISIONNEMENT PAR BDU FF 1410</t>
  </si>
  <si>
    <t>APPROVISIONNEMENT PAR BDU BTTP 275</t>
  </si>
  <si>
    <t>PAIEMENT CAR DE RAMASSAGE 6024JE01 DE M TOURE</t>
  </si>
  <si>
    <t>OFFRANDE EN NATURE ET AUTRE</t>
  </si>
  <si>
    <t>REGLEMENT DEVIS DE LA SALLE</t>
  </si>
  <si>
    <t>REMBOUSSEMENT MODIFICATION DE BTTP EN BE ET AUGMENTATION DE CAPITAL DES 2 ENTREPRISES</t>
  </si>
  <si>
    <t>FOFANA F</t>
  </si>
  <si>
    <t>GRUE6245</t>
  </si>
  <si>
    <t>COLIS DE MADAME HAM GROUP</t>
  </si>
  <si>
    <t>ACHAT DE DOMAINE DE MAIL</t>
  </si>
  <si>
    <t>ACHAT DE TELEPHONE POUR LA TRESORERIE ET LIVRAISON</t>
  </si>
  <si>
    <t>COMMISSION DABAKALA</t>
  </si>
  <si>
    <t>PAIEMENT CAR DE RAMASSAGE 2044 DE M BAMBA A KORHOGO</t>
  </si>
  <si>
    <t>GANA</t>
  </si>
  <si>
    <t>PAIEMENT CITERNE 6365 DE KOUTO</t>
  </si>
  <si>
    <t>PAIEMENT DOUBLE CABIEN 134 DE NASSIAN</t>
  </si>
  <si>
    <t xml:space="preserve">OUATTARA SIE </t>
  </si>
  <si>
    <t>PAIEMENT OCTOBRE DOUBLE CABINE 3747 DE NASSIAN</t>
  </si>
  <si>
    <t>OFFRANDE EN NUMERAIRE PAPA MAMAN 1 MAMAN 2 ET DAME SAKOR</t>
  </si>
  <si>
    <t>DEPOT DE FACTURES A FINANCER</t>
  </si>
  <si>
    <t>M KOUADIO HERMAN/M FOFANA</t>
  </si>
  <si>
    <t xml:space="preserve">AVANCE REPARATION </t>
  </si>
  <si>
    <t>RESTE 256,000 M FOFANA POUR LES RECUS,</t>
  </si>
  <si>
    <t>COLIS</t>
  </si>
  <si>
    <t>YOP</t>
  </si>
  <si>
    <t>RECUPERER COLI</t>
  </si>
  <si>
    <t>M KOUYATE</t>
  </si>
  <si>
    <t>PAIEMENT MINI COMPACTEUR DE KONG</t>
  </si>
  <si>
    <t>ACHAT DE STICKERS POUR LES FACTURES NORMALISEES</t>
  </si>
  <si>
    <t>FRAIS DE REPARATION</t>
  </si>
  <si>
    <t>FRAIS DE REPARATION DE VOITURE KS</t>
  </si>
  <si>
    <t>APPROVISIONNEMENT EN ESPECE PAR M KONAN</t>
  </si>
  <si>
    <t>ACHAT FE REGULATEUR HUILE ET MAIN D ŒUVRE</t>
  </si>
  <si>
    <t>ACHAT DE BUREAUPOUR LA SALLE DE REUNION 2 ET FRAIS DE LIVRAISON</t>
  </si>
  <si>
    <t>LASSO FOURGON</t>
  </si>
  <si>
    <t>AVANCE LOCATION DE CAMION FOURGON POUR DABAKALA</t>
  </si>
  <si>
    <t>RESTE 300,000</t>
  </si>
  <si>
    <t>M MAURICE BDU</t>
  </si>
  <si>
    <t>VERSEMENT SUR BTTP POUR FACILITER LE PAIEMENT D UN FOURNISSEUR</t>
  </si>
  <si>
    <t xml:space="preserve">TRANSPORT POUR ACHAT DE BUREAU A CHINA MALL </t>
  </si>
  <si>
    <t xml:space="preserve">M KOUADIO HERMAN </t>
  </si>
  <si>
    <t xml:space="preserve">SOLDE REPARATION </t>
  </si>
  <si>
    <t xml:space="preserve">ACHAT DE 20 SENTEURS </t>
  </si>
  <si>
    <t>FRAIS DE ROUTE POUR ODIENNE</t>
  </si>
  <si>
    <t>LUX VISION</t>
  </si>
  <si>
    <t>2 LUNETTES</t>
  </si>
  <si>
    <t>2 LUNETTES LIVRAISON</t>
  </si>
  <si>
    <t>COLIS YOP</t>
  </si>
  <si>
    <t>COLIS YOP LIVRAISON</t>
  </si>
  <si>
    <t>COLIS LIVRE AU PLATEAU</t>
  </si>
  <si>
    <t>LAVAGE DES ENGEINS KS</t>
  </si>
  <si>
    <t>CARBURANT RETOUR ET FRAIS DE ROUTE</t>
  </si>
  <si>
    <t>KOUAME</t>
  </si>
  <si>
    <t>ACHAT DE 2 BOUTEILLE D HUILES</t>
  </si>
  <si>
    <t>AVANCE CONFECTION DE TENUE</t>
  </si>
  <si>
    <t>AVANCE LOCATION DE CAMION FOURGON POUR ODIENNE</t>
  </si>
  <si>
    <t>RESTE 350,000</t>
  </si>
  <si>
    <t>OUMAROU</t>
  </si>
  <si>
    <t>MONTAGE DE MEUBLE A LA SALLE DE REUNION DE MADAME</t>
  </si>
  <si>
    <t xml:space="preserve">FOFANA </t>
  </si>
  <si>
    <t>2 FRAIS DE ROUTE KRH-ABJ</t>
  </si>
  <si>
    <t>GRUE  6245</t>
  </si>
  <si>
    <t>APPROVISIONNEMENT MONNAIE ACHAT DE MEUBLE POUR LA SALLE DE REUNION DE MADAME</t>
  </si>
  <si>
    <t>ACHAT D HUILE HYDRAULIQUE ET TRANSPORT</t>
  </si>
  <si>
    <t>BULL  D7R</t>
  </si>
  <si>
    <t>MOUTCHO</t>
  </si>
  <si>
    <t>TRAVAUX DE PEINTURE EXTERIEUR</t>
  </si>
  <si>
    <t>DIONGO NOUHO</t>
  </si>
  <si>
    <t>AVANCE 5 JOURS LOCATION DE CITERNE 22000L 8717HZ01 POUR KRH</t>
  </si>
  <si>
    <t>SOLDE LOCATION DE 2 CAMION FOURGON</t>
  </si>
  <si>
    <t>HUSSEIN</t>
  </si>
  <si>
    <t>ACHAT D HUILE ET DE FILTRE A GASOIL</t>
  </si>
  <si>
    <t>COMPACTEUR</t>
  </si>
  <si>
    <t>MONTAGE DE 5 PNEUS</t>
  </si>
  <si>
    <t>SALAIRE NOVEMBRE</t>
  </si>
  <si>
    <t>HAMIDOU DJIGEMBE</t>
  </si>
  <si>
    <t>DAO ISMAEL</t>
  </si>
  <si>
    <t>OWAEDGAR MARCEL</t>
  </si>
  <si>
    <t>SANOGO MOUSTAOHA</t>
  </si>
  <si>
    <t xml:space="preserve">ACHAT D HUILE </t>
  </si>
  <si>
    <t>ACHAT DE PLAQUETTE HUILE ET FILTRE</t>
  </si>
  <si>
    <t>REPARATION DE DEMAREUR</t>
  </si>
  <si>
    <t>ACHAT DE GRAISSE ET REPARATION</t>
  </si>
  <si>
    <t>ACHAT D EXTINCTEUR ET BIP DE RECUL</t>
  </si>
  <si>
    <t>LOYER NASSIAN ET KONG</t>
  </si>
  <si>
    <t>LOYER DIVO</t>
  </si>
  <si>
    <t>LOYER KORHOGO</t>
  </si>
  <si>
    <t>LOYER BOUNA</t>
  </si>
  <si>
    <t>LOYER FERKE</t>
  </si>
  <si>
    <t>FRAIS DE REPARATION DE DEMAREUR</t>
  </si>
  <si>
    <t>DOTATION DE CARBURANT200L</t>
  </si>
  <si>
    <t>COMPLEMENT BIP DE RECUL</t>
  </si>
  <si>
    <t>FOFANA</t>
  </si>
  <si>
    <t>RELIQUAT ACHAT DE PLAQUELLE</t>
  </si>
  <si>
    <t>TRANSPORT POUR ALLER CHERCHER HUILE DE LA 330</t>
  </si>
  <si>
    <t xml:space="preserve">ACHAT D ATTACHE </t>
  </si>
  <si>
    <t>FRAIS DE LEGALISATION DES BONS D ENLEVEMENTS DES VEHICULES DE VENTE AU ENCHERE</t>
  </si>
  <si>
    <t>LAVAGE ET CARBURANT</t>
  </si>
  <si>
    <t>FOFANA KADY/VASSIRIKI</t>
  </si>
  <si>
    <t>ACHAT D HUILE JOINT FILTRE ET AUTRES</t>
  </si>
  <si>
    <t>500,000 A ÉTÉ VALITE</t>
  </si>
  <si>
    <t>LIVRE ELECTRIQUE</t>
  </si>
  <si>
    <t>M SAKO</t>
  </si>
  <si>
    <t>BENNE  1492WWWCI01</t>
  </si>
  <si>
    <t>FRAIS PARKING FRAIS DE ROUTE ET REPARATION RETROVISEUR</t>
  </si>
  <si>
    <t>LIVRAISON DE PNEU A SOUMAHORO A YOP</t>
  </si>
  <si>
    <t>FOFANA DADY</t>
  </si>
  <si>
    <t>ACHAT DES PIECES</t>
  </si>
  <si>
    <t>TRANSPORT POUR RENSEIGNEMENT DE CACHET A ADJAME</t>
  </si>
  <si>
    <t>POSTE</t>
  </si>
  <si>
    <t>ACHAT DE FILTRE</t>
  </si>
  <si>
    <t>COURSES LIEE A L ACCIDENT D UN CHAUFFEUR</t>
  </si>
  <si>
    <t>REPARATION DE RACCORD DE GASOIL</t>
  </si>
  <si>
    <t>ALI OUEGRAOGO</t>
  </si>
  <si>
    <t>3JOURS D AVANCE SUR SALAIRE/CHAUFFEUR 330</t>
  </si>
  <si>
    <t>ACHAT DIVERS POUR ENTRETIEN</t>
  </si>
  <si>
    <t>DOUBLE CABINE52WWWCI02</t>
  </si>
  <si>
    <t>ACHAT DE TABLEAU A MARQUEUR ET TRANSPORT</t>
  </si>
  <si>
    <t>TIRAGE DE CATALOGUE KENAM S HOLDIN</t>
  </si>
  <si>
    <t>DEPOT DE COURRIER A BDU PLATEAU ALLER ET RETOUR</t>
  </si>
  <si>
    <t>LIVRAISON DECOLI AM GROUP PAR BATEAU</t>
  </si>
  <si>
    <t>LIVRAISON COLIS</t>
  </si>
  <si>
    <t>LOCATION DE GROUPE ET FERONNIER</t>
  </si>
  <si>
    <t>NIVELLEUSE/GRADER</t>
  </si>
  <si>
    <t>COLIS CHEZ MADAME</t>
  </si>
  <si>
    <t>ACHAT DE CROISSANTS ET LIVRAISON CHEZ MADAME</t>
  </si>
  <si>
    <t>ACHAT DE 5L D HUILE POUR VIDANGE</t>
  </si>
  <si>
    <t>TRANSPORT ET CONFECTION DE CACHET A ADJAME</t>
  </si>
  <si>
    <t>RECUPERATION DE COURRIER A JEAN PIERRE CONSULTING POUR LIVRER AU BUREAU</t>
  </si>
  <si>
    <t>CARBURANT VOITURE DE PAPA</t>
  </si>
  <si>
    <t>LIVRAISON</t>
  </si>
  <si>
    <t>TRANSPORT POUR ECOBANK</t>
  </si>
  <si>
    <t>TRANSPORT POUR ALLER AU GARAGE</t>
  </si>
  <si>
    <t>FRAIS DE RECHARGEMENT DE BATTERIE</t>
  </si>
  <si>
    <t>ASSURANCE VOITURE PAPA</t>
  </si>
  <si>
    <t>APPROVISIONNEMENT PAR M KONAN (CHEQUE ECOBANK)</t>
  </si>
  <si>
    <t>FRAIS DE MONTAGE DE 4 PNEUS ET TRANSPORT</t>
  </si>
  <si>
    <t>FOFANA KADI</t>
  </si>
  <si>
    <t>SOLDE SALAIRE OCTOBRE</t>
  </si>
  <si>
    <t>COLLAGE DE PNEUS</t>
  </si>
  <si>
    <t>MAMADOU/CEDRIC</t>
  </si>
  <si>
    <t>CHANGEMANT DE JANTES COLLAGE DE PNEU</t>
  </si>
  <si>
    <t>BENNE  AA954LE02</t>
  </si>
  <si>
    <t>APPROVISIONNEMENT EN ESPECE PAR M KONAN(MME TOURE)</t>
  </si>
  <si>
    <t>LOUTINE CYNTHIA</t>
  </si>
  <si>
    <t>KONATE MORRY</t>
  </si>
  <si>
    <t>M SERY</t>
  </si>
  <si>
    <t>MISSION SUR KORHOGO</t>
  </si>
  <si>
    <t>ACHAT DE PLAQUETTE DE FREIN 170Y</t>
  </si>
  <si>
    <t>TOURE VASSIRIKI</t>
  </si>
  <si>
    <t>PARFUN</t>
  </si>
  <si>
    <t>REMBOURSSEMENT ACHAT DES PIECES PAR FOFANA KADY</t>
  </si>
  <si>
    <t>HYACE1704LY01</t>
  </si>
  <si>
    <t xml:space="preserve">DOUMBIA </t>
  </si>
  <si>
    <t>ACHAT DES PIECES ET HUILES</t>
  </si>
  <si>
    <t>ENTRETIEN ET PRODUIT</t>
  </si>
  <si>
    <t>GANA MOHAMED</t>
  </si>
  <si>
    <t>AVANCE PAIEMENT</t>
  </si>
  <si>
    <t>MONSIA PRIVAT</t>
  </si>
  <si>
    <t>ACHAT DE MEUBLES ET DIVERS</t>
  </si>
  <si>
    <t xml:space="preserve">REPARATION </t>
  </si>
  <si>
    <t>AVANCE ENTRETIEN AUTOBETONNIERE ET CONFECTION DE LA TRANSMISSION CENTRALE DE LA TRACTOPELLE</t>
  </si>
  <si>
    <t>LIVRAISON DE COLIS LAISSE CHEZ MADAME COULIBALY</t>
  </si>
  <si>
    <t>SANGARE KADY</t>
  </si>
  <si>
    <t>COLLAGE DE PNEUS TRANSPORT POUR ALLER A DABAKALA</t>
  </si>
  <si>
    <t>TRANSPORT POUR ALLER CHERCHER LES FILTRES DE LA 325</t>
  </si>
  <si>
    <t>LIVRAISON CARGO DES MEUBLES DE CHINA MALL ZONE 4 AU BUREAU</t>
  </si>
  <si>
    <t>ACHAT DE JOINTS ERT MAIN DOEUVRE</t>
  </si>
  <si>
    <t>DOUMBIA MARYAM</t>
  </si>
  <si>
    <t>CARBURANTB 1</t>
  </si>
  <si>
    <t>RENOUVELLEMENT DE CARTE GRISE</t>
  </si>
  <si>
    <t>APPROVISIONNEMENT PAR MME TOURE</t>
  </si>
  <si>
    <t>REMBOURSSEMENT OFFRANDE DE PAPA</t>
  </si>
  <si>
    <t>CARBURANT 2</t>
  </si>
  <si>
    <t>PARFUN DE LA MAISON AU BUREAU</t>
  </si>
  <si>
    <t>LIVRAISON DE 6 COLIS</t>
  </si>
  <si>
    <t>LIVRAISON DE MONTRE</t>
  </si>
  <si>
    <t>ACHAT DE PCROISSANTS DE JUS</t>
  </si>
  <si>
    <t>FRAIS DE PEAGE POUR ALLER A KOIRA</t>
  </si>
  <si>
    <t xml:space="preserve">LAVAGE </t>
  </si>
  <si>
    <t>ACHAT DE BOULONS ET COLLE POUR BENNE AA954 ET TENDER DE ROULEMENT CROIX POUR CAR 5312 ET TRANSPORT</t>
  </si>
  <si>
    <t>ACHAT DE 5 CARTOUCHES D ENCRES ET TRANSPORT</t>
  </si>
  <si>
    <t>ABLO</t>
  </si>
  <si>
    <t>REPARATION BOITIER D COURANT</t>
  </si>
  <si>
    <t>FRAIS DE LIVRAISON DES PIECES DE LA 325 ET LA 330</t>
  </si>
  <si>
    <t>MEDICAMENT</t>
  </si>
  <si>
    <t xml:space="preserve">APPROVISIONNEMENT EN ESPECE PAR M KONAN </t>
  </si>
  <si>
    <t>CARBURANT PEAGE ET FRAIS DE ROUTE</t>
  </si>
  <si>
    <t>LIVRAISON DE MOUSSE</t>
  </si>
  <si>
    <t>FRAIS D ANNULATION RECUPERATION DE COLIS HAM GROUP</t>
  </si>
  <si>
    <t>AVANCE TRAVAUX MACONNERIE SOLDE MENUSERIE ET PLOMBERIE</t>
  </si>
  <si>
    <t>FRAIS DE LIVRAISE DES PIECES DE LA 330</t>
  </si>
  <si>
    <t>PONT BASCULE</t>
  </si>
  <si>
    <t>CREDIT DE COMMUNICATION</t>
  </si>
  <si>
    <t>TRANSPORT ET COMPLEMENT D AIR POUR LA BENNE</t>
  </si>
  <si>
    <t>LIVRAISON DE BOITE ETANCHE</t>
  </si>
  <si>
    <t>ACHAT D UN IMPRIMANTE POUR LOUHO PAULIN</t>
  </si>
  <si>
    <t>DOUMBIA MAHAMADOU</t>
  </si>
  <si>
    <t>ACHAT DE COCHES DE BATTERIE POUR LES ENGEINS AU GARAGE</t>
  </si>
  <si>
    <t>HAM GROUP</t>
  </si>
  <si>
    <t>RELIQUAT COLIS HAM GROUP</t>
  </si>
  <si>
    <t>SANGARE NOUNHO</t>
  </si>
  <si>
    <t>ACHAT DE BUREAU</t>
  </si>
  <si>
    <t>CHANGEMENT DE WALF ET COLLAGE DE PNEU</t>
  </si>
  <si>
    <t>ACHAT DE PNEU DEUXIEME MAIN</t>
  </si>
  <si>
    <t>TAXE DE STATIONNEMENT SUR BOUAKE</t>
  </si>
  <si>
    <t>ACHAT UNIFI</t>
  </si>
  <si>
    <t>RELIQUAT ACHAT TABLE BUREAU</t>
  </si>
  <si>
    <t xml:space="preserve">FRAIS DE DEPOT WAVE 1000000 </t>
  </si>
  <si>
    <t>TELEPHONE DE MAMAN ADJA</t>
  </si>
  <si>
    <t>FRAIS DE LIVRAISON CARGO ET AIDE</t>
  </si>
  <si>
    <t>CREDIT DE COMMUNICATION POUR M COLINS</t>
  </si>
  <si>
    <t>GATEAU ET JUS</t>
  </si>
  <si>
    <t>TRAVAUX CARRELAGE POUR LA NOUVELLE CUISINE CIMENT ET MAON D ŒUVRE</t>
  </si>
  <si>
    <t>LIVRAISON DE CARREAUX</t>
  </si>
  <si>
    <t>CARBURANT FRAIS DE ROUTE ET PEAGE NASSIAN-ABIDJAN</t>
  </si>
  <si>
    <t>CARBURANT FRAIS DE ROUTE ET PEAGE KRH-ABIDJAN</t>
  </si>
  <si>
    <t>TRANSPORT ALLER RETOUR POUR VISITE DE MEUBLE</t>
  </si>
  <si>
    <t>CREDIT TELEPHONIQUE DE MADAME TOURE TENE</t>
  </si>
  <si>
    <t xml:space="preserve">TRANSPORT POUR LES COURSES </t>
  </si>
  <si>
    <t>TRANSPORT RETOUR</t>
  </si>
  <si>
    <t>CARBURANT ET FRAIS DE ROUTE POUR BONGOUANOU</t>
  </si>
  <si>
    <t xml:space="preserve">CREDIT TELEPHONIQUE </t>
  </si>
  <si>
    <t>LIVRAISON DU BUREAU DES COMMERCIAUX</t>
  </si>
  <si>
    <t>MONTAGE DES BUREAUX</t>
  </si>
  <si>
    <t>LIVRAISON DE DOCS A MADAME MOBLE</t>
  </si>
  <si>
    <t>INTERNET</t>
  </si>
  <si>
    <t>TRANSPORT POUR VENIR A 4H POUR RECUPERER PLAQUE</t>
  </si>
  <si>
    <t>ACHAT D HUILES DE MOTEUR REPARATION ET TRANSPORT</t>
  </si>
  <si>
    <t>LIVRAISON DE CARREAUX DE LA QUINCAILLERIE AU BUREAU</t>
  </si>
  <si>
    <t>CARBURANT FRAIS DE ROUTE ET PEAGE</t>
  </si>
  <si>
    <t>MONNAIE D ACHAT DE BUREAU</t>
  </si>
  <si>
    <t>REMBOUSSEMENT FRAIS DE ROUTE</t>
  </si>
  <si>
    <t>TRANSPORT POUR ALLER A PFO</t>
  </si>
  <si>
    <t>ACHAT DE TUBE ORANGE ET 40 BOITE CARREES</t>
  </si>
  <si>
    <t>ACHAT DE CIMENTS ET TRANSPORT DE SABLE POUR LA SALLE A COTE DE LA NOUVELLE CUISINE</t>
  </si>
  <si>
    <t>FRAIS DE PEAGE</t>
  </si>
  <si>
    <t>CARBURANT ET LAVAGE</t>
  </si>
  <si>
    <t>ISSAKA</t>
  </si>
  <si>
    <t>COUTURIER VESTE</t>
  </si>
  <si>
    <t>SOLDE CONFECTION DE VESTE</t>
  </si>
  <si>
    <t>LOUHA RICHARD</t>
  </si>
  <si>
    <t>MONTAGE DU BUREAU DES COMMERCIAUX</t>
  </si>
  <si>
    <t>INTERNET POUR MADAME TENE</t>
  </si>
  <si>
    <t>MME BOARE DJENEBA</t>
  </si>
  <si>
    <t>AVANCE LOCATION BENNE 12 ROUES 9769GX01</t>
  </si>
  <si>
    <t>JOHN DECOR</t>
  </si>
  <si>
    <t>SOLDE TRAVAUX DE TAPICIER DANS LE BUREAU DE MADAME TOURE</t>
  </si>
  <si>
    <t>HAM GROUPE</t>
  </si>
  <si>
    <t>FOFANA BOUAKEY</t>
  </si>
  <si>
    <t>REPARATION DES 2 CARS DE TATA</t>
  </si>
  <si>
    <t>YACOU</t>
  </si>
  <si>
    <t>AVANCE TRAVAUX ELECTRICITE DANS LA NOUVELLE CUISINE ET MAGASIN</t>
  </si>
  <si>
    <t>LIVRAISON HAM GROUPE</t>
  </si>
  <si>
    <t>FUNERAILLES</t>
  </si>
  <si>
    <t>ABDOULAYE</t>
  </si>
  <si>
    <t>SOUDURE CHASSIS</t>
  </si>
  <si>
    <t>SERY MICHAEL</t>
  </si>
  <si>
    <t>TRANSPORT POUR ALLER AU GARAGE DE YOP</t>
  </si>
  <si>
    <t xml:space="preserve">FRAIS DE STATIONNEMENT A BOUAKE ET REMBOURSSEMENT </t>
  </si>
  <si>
    <t>TRANSPORT POUR DEPOT DE CHEQUE A AUTOCHECK</t>
  </si>
  <si>
    <t>TRANSPORT POUR ALLER A LA BDU PLATEAU POUR DEPOT DE DOCUMENTS</t>
  </si>
  <si>
    <t>CHANGEMENT DE DENOMINATION DE SCI KENAM S EN SCI AL HIKMA AU TRIBUNAL DE COMMERCE</t>
  </si>
  <si>
    <t>LIVRAISON COLIS HAM GROUPE</t>
  </si>
  <si>
    <t>DOCUMENTS PRIS CHEZ MAMAN ADJA</t>
  </si>
  <si>
    <t>AVANCE POUR LA LOCATION DU CAMION FOURGON POUR BONGOUANOU</t>
  </si>
  <si>
    <t>AM JOHN DECOR</t>
  </si>
  <si>
    <t>POUR INTALLATION DE PAPIER PEINT</t>
  </si>
  <si>
    <t xml:space="preserve">AVANCE 5 JOURS DE SALAIRE </t>
  </si>
  <si>
    <t>MARA</t>
  </si>
  <si>
    <t>TRANSPORT POUR VENIR AU BUREAU AVEC ABOU</t>
  </si>
  <si>
    <t>CARBURANT FRAIS DE ROUTE PEAGE ET AUTRE POUR ALLER A BONGOUANOU</t>
  </si>
  <si>
    <t>TRANSPORT POUR LE BUREAU POUR DEPART DES CARS A BONGOUANOU</t>
  </si>
  <si>
    <t>ACHAT DE 6 CEINTURES</t>
  </si>
  <si>
    <t>AVANCE TRAVAUX ET CARREAUX COLLE POUR LE BUREAU A COTE DE LA NOUVELLE CUISINE</t>
  </si>
  <si>
    <t>DEPOT DE FACTURE A KOIRA ET DE COURRIER A BDU</t>
  </si>
  <si>
    <t>SOLDE POUR LA LOCATION DU CAMION FOURGON POUR BONGOUANOU</t>
  </si>
  <si>
    <t>ACHAT AMORTISSEUR VIDANGE ET MAIN D ŒUVRE ET LAVAGE</t>
  </si>
  <si>
    <t>ACHAT DE PIECES POUR REPARATION ET EXPEDITION</t>
  </si>
  <si>
    <t>RECUPERATION DE FACTURE POUR SOROZIE PFO ET RETOUR AU  BUREAU</t>
  </si>
  <si>
    <t xml:space="preserve">ACHAT DE POIGNETS DE PORTE </t>
  </si>
  <si>
    <t>BACHIROU</t>
  </si>
  <si>
    <t>KARABOUE</t>
  </si>
  <si>
    <t>MAIN D ŒUVRE ELECTRICIEN SUR LA NIVELEUSE ET TRACTOPELLE</t>
  </si>
  <si>
    <t>CARBURANT POUR ALLER EN MISSION</t>
  </si>
  <si>
    <t>TRANSPORT POUR DEPOT DE MATERIELS AU GARAGE DE YOPOUGON</t>
  </si>
  <si>
    <t>TRANSPORT POUR ALLER A LA SGCI</t>
  </si>
  <si>
    <t>LIVRAISON DE TENUES PAR ELISEE</t>
  </si>
  <si>
    <t>ACHAT DE 10 PORTES DOCUMENTS ET TRANSPORT</t>
  </si>
  <si>
    <t>ACHAT DE 2 DISQUES ET 4 PLAQUETTES</t>
  </si>
  <si>
    <t>SOLDE TRAVAUX ET CARREAUX COLLE POUR LE BUREAU A COTE DE LA NOUVELLE CUISINE</t>
  </si>
  <si>
    <t>REPARATION DE 2 TABLETTES ET 2 TELEPHONES</t>
  </si>
  <si>
    <t>RECUPERATION DE COLIS ET LIVRAISON CHEZ MADAME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</si>
</sst>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_-;\-* #,##0_-;_-* &quot;-&quot;??_-;_-@_-"/>
    <numFmt numFmtId="166" formatCode="[$-1300C]dd/mm/yyyy;@"/>
    <numFmt numFmtId="167" formatCode="_-* #,##0.00\ _€_-;\-* #,##0.00\ _€_-;_-* &quot;-&quot;??\ _€_-;_-@_-"/>
    <numFmt numFmtId="168" formatCode="#,##0\ &quot;CFA&quot;"/>
    <numFmt numFmtId="169" formatCode="_-* #,##0\ _€_-;\-* #,##0\ _€_-;_-* &quot;-&quot;??\ _€_-;_-@_-"/>
    <numFmt numFmtId="170" formatCode="dd/mm/yy;@"/>
  </numFmts>
  <fonts count="9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i/>
      <sz val="24"/>
      <color theme="1"/>
      <name val="Times New Roman"/>
      <family val="1"/>
    </font>
    <font>
      <sz val="24"/>
      <color theme="1"/>
      <name val="Times New Roman"/>
      <family val="1"/>
    </font>
    <font>
      <sz val="28"/>
      <color theme="1"/>
      <name val="Calibri"/>
      <family val="2"/>
      <scheme val="minor"/>
    </font>
    <font>
      <b/>
      <sz val="24"/>
      <name val="Times New Roman"/>
      <family val="1"/>
    </font>
    <font>
      <sz val="24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Calibri"/>
      <family val="2"/>
      <scheme val="minor"/>
    </font>
    <font>
      <b/>
      <sz val="28"/>
      <color rgb="FFFF0000"/>
      <name val="Times New Roman"/>
      <family val="1"/>
    </font>
    <font>
      <b/>
      <sz val="28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8"/>
      <color theme="1"/>
      <name val="Times New Roman"/>
      <family val="1"/>
    </font>
    <font>
      <sz val="24"/>
      <color rgb="FFFF0000"/>
      <name val="Times New Roman"/>
      <family val="1"/>
    </font>
    <font>
      <b/>
      <i/>
      <u/>
      <sz val="36"/>
      <color theme="1"/>
      <name val="Times New Roman"/>
      <family val="1"/>
    </font>
    <font>
      <b/>
      <sz val="72"/>
      <color theme="1"/>
      <name val="Calibri"/>
      <family val="2"/>
      <scheme val="minor"/>
    </font>
    <font>
      <sz val="48"/>
      <color theme="1"/>
      <name val="Times New Roman"/>
      <family val="1"/>
    </font>
    <font>
      <b/>
      <sz val="48"/>
      <color theme="1"/>
      <name val="Times New Roman"/>
      <family val="1"/>
    </font>
    <font>
      <b/>
      <sz val="24"/>
      <color rgb="FFFF0000"/>
      <name val="Times New Roman"/>
      <family val="1"/>
    </font>
    <font>
      <sz val="24"/>
      <name val="Calibri"/>
      <family val="2"/>
      <scheme val="minor"/>
    </font>
    <font>
      <sz val="24"/>
      <color rgb="FFFF0000"/>
      <name val="Calibri"/>
      <family val="2"/>
      <scheme val="minor"/>
    </font>
    <font>
      <b/>
      <i/>
      <sz val="48"/>
      <color theme="1"/>
      <name val="Times New Roman"/>
      <family val="1"/>
    </font>
    <font>
      <sz val="24"/>
      <color rgb="FF00B0F0"/>
      <name val="Times New Roman"/>
      <family val="1"/>
    </font>
    <font>
      <sz val="28"/>
      <color theme="1"/>
      <name val="Times New Roman"/>
      <family val="1"/>
    </font>
    <font>
      <sz val="28"/>
      <name val="Times New Roman"/>
      <family val="1"/>
    </font>
    <font>
      <b/>
      <i/>
      <u/>
      <sz val="36"/>
      <name val="Times New Roman"/>
      <family val="1"/>
    </font>
    <font>
      <b/>
      <i/>
      <sz val="28"/>
      <name val="Times New Roman"/>
      <family val="1"/>
    </font>
    <font>
      <b/>
      <i/>
      <sz val="24"/>
      <name val="Times New Roman"/>
      <family val="1"/>
    </font>
    <font>
      <b/>
      <sz val="28"/>
      <name val="Calibri"/>
      <family val="2"/>
      <scheme val="minor"/>
    </font>
    <font>
      <b/>
      <sz val="36"/>
      <name val="Times New Roman"/>
      <family val="1"/>
    </font>
    <font>
      <b/>
      <sz val="72"/>
      <name val="Calibri"/>
      <family val="2"/>
      <scheme val="minor"/>
    </font>
    <font>
      <b/>
      <sz val="48"/>
      <name val="Times New Roman"/>
      <family val="1"/>
    </font>
    <font>
      <b/>
      <sz val="28"/>
      <name val="Times New Roman"/>
      <family val="1"/>
    </font>
    <font>
      <b/>
      <sz val="24"/>
      <color rgb="FFEE0000"/>
      <name val="Times New Roman"/>
      <family val="1"/>
    </font>
    <font>
      <sz val="22"/>
      <color theme="1"/>
      <name val="Times New Roman"/>
      <family val="1"/>
    </font>
    <font>
      <sz val="22"/>
      <name val="Times New Roman"/>
      <family val="1"/>
    </font>
    <font>
      <b/>
      <sz val="28"/>
      <color theme="1"/>
      <name val="Calibri"/>
      <family val="2"/>
      <scheme val="minor"/>
    </font>
    <font>
      <sz val="26"/>
      <name val="Times New Roman"/>
      <family val="1"/>
    </font>
    <font>
      <sz val="28"/>
      <name val="Calibri"/>
      <family val="2"/>
      <scheme val="minor"/>
    </font>
    <font>
      <b/>
      <sz val="24"/>
      <name val="Calibri"/>
      <family val="2"/>
      <scheme val="minor"/>
    </font>
    <font>
      <sz val="22"/>
      <color rgb="FFFF0000"/>
      <name val="Times New Roman"/>
      <family val="1"/>
    </font>
    <font>
      <sz val="26"/>
      <color theme="1"/>
      <name val="Times New Roman"/>
      <family val="1"/>
    </font>
    <font>
      <b/>
      <sz val="36"/>
      <color rgb="FFFF0000"/>
      <name val="Times New Roman"/>
      <family val="1"/>
    </font>
    <font>
      <sz val="36"/>
      <color theme="1"/>
      <name val="Times New Roman"/>
      <family val="1"/>
    </font>
    <font>
      <sz val="48"/>
      <name val="Times New Roman"/>
      <family val="1"/>
    </font>
    <font>
      <sz val="36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b/>
      <sz val="22"/>
      <name val="Times New Roman"/>
      <family val="1"/>
    </font>
    <font>
      <sz val="36"/>
      <color rgb="FFFF0000"/>
      <name val="Times New Roman"/>
      <family val="1"/>
    </font>
    <font>
      <b/>
      <sz val="36"/>
      <color theme="1"/>
      <name val="Calibri"/>
      <family val="2"/>
      <scheme val="minor"/>
    </font>
    <font>
      <sz val="36"/>
      <name val="Tahoma"/>
      <family val="2"/>
    </font>
    <font>
      <sz val="22"/>
      <color theme="1"/>
      <name val="Tahoma"/>
      <family val="2"/>
    </font>
    <font>
      <sz val="22"/>
      <name val="Calibri"/>
      <family val="2"/>
      <scheme val="minor"/>
    </font>
    <font>
      <sz val="22"/>
      <color rgb="FFFFC000"/>
      <name val="Times New Roman"/>
      <family val="1"/>
    </font>
    <font>
      <b/>
      <sz val="14"/>
      <color theme="9" tint="-0.499984740745262"/>
      <name val="Century Gothic"/>
      <family val="2"/>
    </font>
    <font>
      <sz val="11"/>
      <color theme="1"/>
      <name val="Century Gothic"/>
      <family val="2"/>
    </font>
    <font>
      <b/>
      <sz val="11"/>
      <color theme="4" tint="-0.249977111117893"/>
      <name val="Century Gothic"/>
      <family val="2"/>
    </font>
    <font>
      <b/>
      <sz val="22"/>
      <color theme="4" tint="-0.249977111117893"/>
      <name val="Century Gothic"/>
      <family val="2"/>
    </font>
    <font>
      <sz val="14"/>
      <color theme="9" tint="-0.499984740745262"/>
      <name val="Century Gothic"/>
      <family val="2"/>
    </font>
    <font>
      <sz val="12"/>
      <color theme="1"/>
      <name val="Roboto"/>
      <family val="2"/>
    </font>
    <font>
      <b/>
      <sz val="14"/>
      <color theme="1" tint="0.249977111117893"/>
      <name val="Calibri"/>
      <family val="2"/>
    </font>
    <font>
      <sz val="18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sz val="12"/>
      <color rgb="FF00B050"/>
      <name val="Century Gothic"/>
      <family val="2"/>
    </font>
    <font>
      <i/>
      <sz val="12"/>
      <name val="Century Gothic"/>
      <family val="2"/>
    </font>
    <font>
      <sz val="12"/>
      <name val="Century Gothic"/>
      <family val="2"/>
    </font>
    <font>
      <b/>
      <i/>
      <sz val="12"/>
      <name val="Century Gothic"/>
      <family val="2"/>
    </font>
    <font>
      <sz val="11"/>
      <name val="Century Gothic"/>
      <family val="2"/>
    </font>
    <font>
      <sz val="12"/>
      <color theme="0"/>
      <name val="Century Gothic"/>
      <family val="2"/>
    </font>
    <font>
      <b/>
      <sz val="12"/>
      <name val="Century Gothic"/>
      <family val="2"/>
    </font>
    <font>
      <sz val="8"/>
      <name val="Verdana"/>
      <family val="2"/>
    </font>
    <font>
      <b/>
      <sz val="11"/>
      <color theme="1"/>
      <name val="Century Gothic"/>
      <family val="2"/>
    </font>
    <font>
      <b/>
      <sz val="22"/>
      <color theme="1"/>
      <name val="Century Gothic"/>
      <family val="2"/>
    </font>
    <font>
      <b/>
      <sz val="9"/>
      <color theme="1"/>
      <name val="Verdana"/>
      <family val="2"/>
    </font>
    <font>
      <b/>
      <sz val="16"/>
      <color theme="1"/>
      <name val="Century Gothic"/>
      <family val="2"/>
    </font>
    <font>
      <b/>
      <sz val="26"/>
      <color theme="1"/>
      <name val="Century Gothic"/>
      <family val="2"/>
    </font>
    <font>
      <b/>
      <sz val="11"/>
      <color rgb="FFC00000"/>
      <name val="Century Gothic"/>
      <family val="2"/>
    </font>
    <font>
      <b/>
      <sz val="8"/>
      <color rgb="FFC00000"/>
      <name val="Verdana"/>
      <family val="2"/>
    </font>
    <font>
      <b/>
      <sz val="11"/>
      <color rgb="FFFF0000"/>
      <name val="Century Gothic"/>
      <family val="2"/>
    </font>
    <font>
      <b/>
      <sz val="8"/>
      <color rgb="FFFF0000"/>
      <name val="Verdana"/>
      <family val="2"/>
    </font>
    <font>
      <sz val="11"/>
      <color rgb="FF00B050"/>
      <name val="Century Gothic"/>
      <family val="2"/>
    </font>
    <font>
      <sz val="8"/>
      <color rgb="FF00B050"/>
      <name val="Verdana"/>
      <family val="2"/>
    </font>
    <font>
      <b/>
      <i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D4F1FC"/>
        <bgColor indexed="64"/>
      </patternFill>
    </fill>
    <fill>
      <patternFill patternType="solid">
        <fgColor rgb="FFF6DF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/>
    <xf numFmtId="0" fontId="65" fillId="0" borderId="0"/>
    <xf numFmtId="167" fontId="1" fillId="0" borderId="0" applyFont="0" applyFill="0" applyBorder="0" applyAlignment="0" applyProtection="0"/>
  </cellStyleXfs>
  <cellXfs count="575">
    <xf numFmtId="0" fontId="0" fillId="0" borderId="0" xfId="0"/>
    <xf numFmtId="0" fontId="5" fillId="0" borderId="0" xfId="0" applyFont="1"/>
    <xf numFmtId="14" fontId="7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4" fontId="7" fillId="3" borderId="1" xfId="0" applyNumberFormat="1" applyFont="1" applyFill="1" applyBorder="1" applyAlignment="1">
      <alignment horizontal="right"/>
    </xf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14" fontId="10" fillId="3" borderId="1" xfId="0" applyNumberFormat="1" applyFont="1" applyFill="1" applyBorder="1" applyAlignment="1">
      <alignment horizontal="right"/>
    </xf>
    <xf numFmtId="0" fontId="10" fillId="3" borderId="1" xfId="0" applyFont="1" applyFill="1" applyBorder="1"/>
    <xf numFmtId="3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65" fontId="10" fillId="0" borderId="1" xfId="1" applyNumberFormat="1" applyFont="1" applyBorder="1" applyAlignment="1">
      <alignment horizontal="right"/>
    </xf>
    <xf numFmtId="3" fontId="10" fillId="3" borderId="1" xfId="0" applyNumberFormat="1" applyFont="1" applyFill="1" applyBorder="1" applyAlignment="1">
      <alignment horizontal="right"/>
    </xf>
    <xf numFmtId="0" fontId="7" fillId="3" borderId="1" xfId="0" applyFont="1" applyFill="1" applyBorder="1"/>
    <xf numFmtId="3" fontId="7" fillId="3" borderId="1" xfId="0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3" fontId="13" fillId="4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3" borderId="0" xfId="0" applyFont="1" applyFill="1"/>
    <xf numFmtId="3" fontId="7" fillId="0" borderId="1" xfId="0" applyNumberFormat="1" applyFont="1" applyBorder="1"/>
    <xf numFmtId="165" fontId="11" fillId="7" borderId="1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3" fontId="7" fillId="3" borderId="1" xfId="0" applyNumberFormat="1" applyFont="1" applyFill="1" applyBorder="1"/>
    <xf numFmtId="14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165" fontId="9" fillId="0" borderId="1" xfId="1" applyNumberFormat="1" applyFont="1" applyBorder="1" applyAlignment="1">
      <alignment horizontal="right"/>
    </xf>
    <xf numFmtId="14" fontId="6" fillId="5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14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15" fillId="0" borderId="0" xfId="0" applyFont="1"/>
    <xf numFmtId="3" fontId="5" fillId="0" borderId="0" xfId="0" applyNumberFormat="1" applyFont="1" applyAlignment="1">
      <alignment horizontal="right"/>
    </xf>
    <xf numFmtId="165" fontId="10" fillId="0" borderId="1" xfId="1" applyNumberFormat="1" applyFont="1" applyFill="1" applyBorder="1" applyAlignment="1">
      <alignment horizontal="right"/>
    </xf>
    <xf numFmtId="14" fontId="17" fillId="0" borderId="1" xfId="0" applyNumberFormat="1" applyFont="1" applyBorder="1" applyAlignment="1">
      <alignment horizontal="right"/>
    </xf>
    <xf numFmtId="3" fontId="17" fillId="0" borderId="1" xfId="0" applyNumberFormat="1" applyFont="1" applyBorder="1" applyAlignment="1">
      <alignment horizontal="right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65" fontId="5" fillId="0" borderId="0" xfId="1" applyNumberFormat="1" applyFont="1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20" fillId="0" borderId="1" xfId="0" applyFont="1" applyBorder="1"/>
    <xf numFmtId="165" fontId="21" fillId="0" borderId="1" xfId="0" applyNumberFormat="1" applyFont="1" applyBorder="1" applyAlignment="1">
      <alignment horizontal="right"/>
    </xf>
    <xf numFmtId="165" fontId="21" fillId="6" borderId="1" xfId="0" applyNumberFormat="1" applyFont="1" applyFill="1" applyBorder="1" applyAlignment="1">
      <alignment horizontal="right"/>
    </xf>
    <xf numFmtId="3" fontId="21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left"/>
    </xf>
    <xf numFmtId="3" fontId="22" fillId="3" borderId="1" xfId="0" applyNumberFormat="1" applyFont="1" applyFill="1" applyBorder="1" applyAlignment="1">
      <alignment horizontal="right"/>
    </xf>
    <xf numFmtId="0" fontId="22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3" fontId="10" fillId="3" borderId="1" xfId="0" applyNumberFormat="1" applyFont="1" applyFill="1" applyBorder="1"/>
    <xf numFmtId="165" fontId="19" fillId="0" borderId="8" xfId="0" applyNumberFormat="1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 vertical="center"/>
    </xf>
    <xf numFmtId="14" fontId="13" fillId="4" borderId="4" xfId="0" applyNumberFormat="1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/>
    </xf>
    <xf numFmtId="165" fontId="10" fillId="3" borderId="1" xfId="1" applyNumberFormat="1" applyFont="1" applyFill="1" applyBorder="1" applyAlignment="1">
      <alignment horizontal="right"/>
    </xf>
    <xf numFmtId="14" fontId="10" fillId="3" borderId="1" xfId="0" applyNumberFormat="1" applyFont="1" applyFill="1" applyBorder="1" applyAlignment="1">
      <alignment horizontal="left"/>
    </xf>
    <xf numFmtId="14" fontId="3" fillId="0" borderId="4" xfId="0" applyNumberFormat="1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left"/>
    </xf>
    <xf numFmtId="165" fontId="17" fillId="3" borderId="1" xfId="1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left"/>
    </xf>
    <xf numFmtId="3" fontId="17" fillId="0" borderId="1" xfId="0" applyNumberFormat="1" applyFont="1" applyBorder="1"/>
    <xf numFmtId="0" fontId="24" fillId="0" borderId="0" xfId="0" applyFont="1"/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/>
    <xf numFmtId="0" fontId="23" fillId="0" borderId="0" xfId="0" applyFont="1"/>
    <xf numFmtId="165" fontId="7" fillId="3" borderId="1" xfId="1" applyNumberFormat="1" applyFont="1" applyFill="1" applyBorder="1" applyAlignment="1">
      <alignment horizontal="right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horizontal="right" vertical="center"/>
    </xf>
    <xf numFmtId="14" fontId="7" fillId="3" borderId="1" xfId="0" applyNumberFormat="1" applyFont="1" applyFill="1" applyBorder="1" applyAlignment="1">
      <alignment horizontal="left"/>
    </xf>
    <xf numFmtId="0" fontId="23" fillId="3" borderId="0" xfId="0" applyFont="1" applyFill="1"/>
    <xf numFmtId="165" fontId="7" fillId="3" borderId="1" xfId="1" applyNumberFormat="1" applyFont="1" applyFill="1" applyBorder="1" applyAlignment="1">
      <alignment horizontal="left"/>
    </xf>
    <xf numFmtId="165" fontId="7" fillId="0" borderId="1" xfId="1" applyNumberFormat="1" applyFont="1" applyBorder="1" applyAlignment="1">
      <alignment horizontal="right"/>
    </xf>
    <xf numFmtId="14" fontId="7" fillId="3" borderId="1" xfId="0" applyNumberFormat="1" applyFont="1" applyFill="1" applyBorder="1" applyAlignment="1">
      <alignment horizontal="center"/>
    </xf>
    <xf numFmtId="14" fontId="10" fillId="3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right"/>
    </xf>
    <xf numFmtId="165" fontId="10" fillId="3" borderId="1" xfId="1" applyNumberFormat="1" applyFont="1" applyFill="1" applyBorder="1" applyAlignment="1">
      <alignment horizontal="center"/>
    </xf>
    <xf numFmtId="165" fontId="7" fillId="3" borderId="1" xfId="1" applyNumberFormat="1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right"/>
    </xf>
    <xf numFmtId="3" fontId="7" fillId="3" borderId="1" xfId="0" applyNumberFormat="1" applyFont="1" applyFill="1" applyBorder="1" applyAlignment="1">
      <alignment horizontal="left"/>
    </xf>
    <xf numFmtId="14" fontId="17" fillId="0" borderId="1" xfId="0" applyNumberFormat="1" applyFont="1" applyBorder="1" applyAlignment="1">
      <alignment horizontal="center"/>
    </xf>
    <xf numFmtId="165" fontId="17" fillId="0" borderId="1" xfId="1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left"/>
    </xf>
    <xf numFmtId="43" fontId="21" fillId="0" borderId="1" xfId="1" applyFont="1" applyBorder="1" applyAlignment="1">
      <alignment horizontal="right"/>
    </xf>
    <xf numFmtId="0" fontId="18" fillId="2" borderId="5" xfId="1" applyNumberFormat="1" applyFont="1" applyFill="1" applyBorder="1" applyAlignment="1">
      <alignment vertical="center"/>
    </xf>
    <xf numFmtId="0" fontId="18" fillId="2" borderId="6" xfId="1" applyNumberFormat="1" applyFont="1" applyFill="1" applyBorder="1" applyAlignment="1">
      <alignment vertical="center"/>
    </xf>
    <xf numFmtId="0" fontId="18" fillId="2" borderId="9" xfId="1" applyNumberFormat="1" applyFont="1" applyFill="1" applyBorder="1" applyAlignment="1">
      <alignment vertical="center"/>
    </xf>
    <xf numFmtId="0" fontId="16" fillId="7" borderId="11" xfId="0" applyFont="1" applyFill="1" applyBorder="1" applyAlignment="1">
      <alignment vertical="center"/>
    </xf>
    <xf numFmtId="0" fontId="16" fillId="7" borderId="12" xfId="0" applyFont="1" applyFill="1" applyBorder="1" applyAlignment="1">
      <alignment vertical="center"/>
    </xf>
    <xf numFmtId="0" fontId="16" fillId="7" borderId="13" xfId="0" applyFont="1" applyFill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3" fontId="3" fillId="0" borderId="4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10" fillId="0" borderId="1" xfId="2" applyNumberFormat="1" applyFont="1" applyBorder="1" applyAlignment="1">
      <alignment horizontal="right" indent="2"/>
    </xf>
    <xf numFmtId="3" fontId="17" fillId="0" borderId="1" xfId="0" applyNumberFormat="1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4" fontId="26" fillId="0" borderId="1" xfId="0" applyNumberFormat="1" applyFont="1" applyBorder="1" applyAlignment="1">
      <alignment horizontal="center"/>
    </xf>
    <xf numFmtId="3" fontId="26" fillId="0" borderId="1" xfId="0" applyNumberFormat="1" applyFont="1" applyBorder="1" applyAlignment="1">
      <alignment horizontal="left"/>
    </xf>
    <xf numFmtId="165" fontId="26" fillId="0" borderId="1" xfId="1" applyNumberFormat="1" applyFont="1" applyBorder="1" applyAlignment="1">
      <alignment horizontal="right"/>
    </xf>
    <xf numFmtId="0" fontId="26" fillId="3" borderId="1" xfId="0" applyFont="1" applyFill="1" applyBorder="1" applyAlignment="1">
      <alignment horizontal="left"/>
    </xf>
    <xf numFmtId="3" fontId="17" fillId="3" borderId="1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165" fontId="23" fillId="3" borderId="0" xfId="0" applyNumberFormat="1" applyFont="1" applyFill="1" applyAlignment="1">
      <alignment horizontal="left"/>
    </xf>
    <xf numFmtId="14" fontId="7" fillId="0" borderId="2" xfId="0" applyNumberFormat="1" applyFont="1" applyBorder="1" applyAlignment="1">
      <alignment horizontal="right"/>
    </xf>
    <xf numFmtId="0" fontId="10" fillId="0" borderId="1" xfId="0" applyFont="1" applyBorder="1"/>
    <xf numFmtId="0" fontId="7" fillId="0" borderId="4" xfId="0" applyFont="1" applyBorder="1" applyAlignment="1">
      <alignment horizontal="left"/>
    </xf>
    <xf numFmtId="0" fontId="16" fillId="7" borderId="14" xfId="0" applyFont="1" applyFill="1" applyBorder="1" applyAlignment="1">
      <alignment vertical="center"/>
    </xf>
    <xf numFmtId="0" fontId="16" fillId="7" borderId="15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13" fillId="4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4" fontId="11" fillId="3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 vertical="center"/>
    </xf>
    <xf numFmtId="14" fontId="27" fillId="3" borderId="1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4" fontId="27" fillId="3" borderId="1" xfId="0" applyNumberFormat="1" applyFont="1" applyFill="1" applyBorder="1" applyAlignment="1">
      <alignment horizontal="center"/>
    </xf>
    <xf numFmtId="14" fontId="27" fillId="3" borderId="1" xfId="0" applyNumberFormat="1" applyFont="1" applyFill="1" applyBorder="1" applyAlignment="1">
      <alignment horizontal="left"/>
    </xf>
    <xf numFmtId="165" fontId="27" fillId="3" borderId="1" xfId="0" applyNumberFormat="1" applyFont="1" applyFill="1" applyBorder="1" applyAlignment="1">
      <alignment horizontal="center"/>
    </xf>
    <xf numFmtId="0" fontId="8" fillId="3" borderId="0" xfId="0" applyFont="1" applyFill="1"/>
    <xf numFmtId="14" fontId="27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left"/>
    </xf>
    <xf numFmtId="3" fontId="27" fillId="0" borderId="1" xfId="0" applyNumberFormat="1" applyFont="1" applyBorder="1" applyAlignment="1">
      <alignment horizontal="right"/>
    </xf>
    <xf numFmtId="14" fontId="27" fillId="0" borderId="1" xfId="0" applyNumberFormat="1" applyFont="1" applyBorder="1" applyAlignment="1">
      <alignment horizontal="center"/>
    </xf>
    <xf numFmtId="3" fontId="27" fillId="0" borderId="1" xfId="0" applyNumberFormat="1" applyFont="1" applyBorder="1" applyAlignment="1">
      <alignment horizontal="left"/>
    </xf>
    <xf numFmtId="165" fontId="27" fillId="0" borderId="1" xfId="1" applyNumberFormat="1" applyFont="1" applyBorder="1" applyAlignment="1">
      <alignment horizontal="right"/>
    </xf>
    <xf numFmtId="14" fontId="28" fillId="3" borderId="1" xfId="0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horizontal="left"/>
    </xf>
    <xf numFmtId="165" fontId="28" fillId="3" borderId="1" xfId="1" applyNumberFormat="1" applyFont="1" applyFill="1" applyBorder="1" applyAlignment="1">
      <alignment horizontal="right"/>
    </xf>
    <xf numFmtId="0" fontId="27" fillId="0" borderId="0" xfId="0" applyFont="1" applyAlignment="1">
      <alignment horizontal="left"/>
    </xf>
    <xf numFmtId="165" fontId="10" fillId="3" borderId="1" xfId="1" applyNumberFormat="1" applyFont="1" applyFill="1" applyBorder="1" applyAlignment="1">
      <alignment horizontal="left"/>
    </xf>
    <xf numFmtId="0" fontId="10" fillId="3" borderId="1" xfId="2" applyNumberFormat="1" applyFont="1" applyFill="1" applyBorder="1" applyAlignment="1">
      <alignment horizontal="right" indent="2"/>
    </xf>
    <xf numFmtId="165" fontId="10" fillId="3" borderId="1" xfId="1" applyNumberFormat="1" applyFont="1" applyFill="1" applyBorder="1" applyAlignment="1">
      <alignment horizontal="right" indent="2"/>
    </xf>
    <xf numFmtId="14" fontId="10" fillId="3" borderId="2" xfId="0" applyNumberFormat="1" applyFont="1" applyFill="1" applyBorder="1" applyAlignment="1">
      <alignment horizontal="center"/>
    </xf>
    <xf numFmtId="0" fontId="29" fillId="2" borderId="9" xfId="1" applyNumberFormat="1" applyFont="1" applyFill="1" applyBorder="1" applyAlignment="1">
      <alignment vertical="center"/>
    </xf>
    <xf numFmtId="0" fontId="30" fillId="7" borderId="13" xfId="0" applyFont="1" applyFill="1" applyBorder="1" applyAlignment="1">
      <alignment vertical="center"/>
    </xf>
    <xf numFmtId="14" fontId="7" fillId="5" borderId="1" xfId="0" applyNumberFormat="1" applyFont="1" applyFill="1" applyBorder="1" applyAlignment="1">
      <alignment horizontal="center"/>
    </xf>
    <xf numFmtId="0" fontId="31" fillId="5" borderId="7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/>
    </xf>
    <xf numFmtId="3" fontId="32" fillId="4" borderId="1" xfId="0" applyNumberFormat="1" applyFont="1" applyFill="1" applyBorder="1" applyAlignment="1">
      <alignment horizontal="right" vertical="center"/>
    </xf>
    <xf numFmtId="14" fontId="3" fillId="4" borderId="2" xfId="0" applyNumberFormat="1" applyFont="1" applyFill="1" applyBorder="1" applyAlignment="1">
      <alignment horizontal="center" vertical="center"/>
    </xf>
    <xf numFmtId="165" fontId="33" fillId="7" borderId="1" xfId="1" applyNumberFormat="1" applyFont="1" applyFill="1" applyBorder="1" applyAlignment="1">
      <alignment vertical="center"/>
    </xf>
    <xf numFmtId="3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65" fontId="34" fillId="0" borderId="8" xfId="0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right"/>
    </xf>
    <xf numFmtId="165" fontId="35" fillId="0" borderId="1" xfId="0" applyNumberFormat="1" applyFont="1" applyBorder="1" applyAlignment="1">
      <alignment horizontal="right"/>
    </xf>
    <xf numFmtId="43" fontId="35" fillId="0" borderId="1" xfId="1" applyFont="1" applyBorder="1" applyAlignment="1">
      <alignment horizontal="right"/>
    </xf>
    <xf numFmtId="165" fontId="35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14" fontId="3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4" fontId="36" fillId="5" borderId="1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3" fontId="37" fillId="0" borderId="0" xfId="0" applyNumberFormat="1" applyFont="1" applyAlignment="1">
      <alignment horizontal="right"/>
    </xf>
    <xf numFmtId="14" fontId="38" fillId="3" borderId="1" xfId="0" applyNumberFormat="1" applyFont="1" applyFill="1" applyBorder="1" applyAlignment="1">
      <alignment horizontal="left"/>
    </xf>
    <xf numFmtId="0" fontId="39" fillId="3" borderId="1" xfId="0" applyFont="1" applyFill="1" applyBorder="1" applyAlignment="1">
      <alignment horizontal="left"/>
    </xf>
    <xf numFmtId="0" fontId="27" fillId="3" borderId="0" xfId="0" applyFont="1" applyFill="1" applyAlignment="1">
      <alignment horizontal="left"/>
    </xf>
    <xf numFmtId="14" fontId="28" fillId="3" borderId="1" xfId="0" applyNumberFormat="1" applyFont="1" applyFill="1" applyBorder="1" applyAlignment="1">
      <alignment horizontal="right"/>
    </xf>
    <xf numFmtId="3" fontId="28" fillId="3" borderId="1" xfId="0" applyNumberFormat="1" applyFont="1" applyFill="1" applyBorder="1" applyAlignment="1">
      <alignment horizontal="right"/>
    </xf>
    <xf numFmtId="0" fontId="28" fillId="3" borderId="0" xfId="0" applyFont="1" applyFill="1" applyAlignment="1">
      <alignment horizontal="left"/>
    </xf>
    <xf numFmtId="0" fontId="38" fillId="3" borderId="1" xfId="0" applyFont="1" applyFill="1" applyBorder="1" applyAlignment="1">
      <alignment horizontal="left"/>
    </xf>
    <xf numFmtId="0" fontId="39" fillId="3" borderId="4" xfId="0" applyFont="1" applyFill="1" applyBorder="1" applyAlignment="1">
      <alignment horizontal="left"/>
    </xf>
    <xf numFmtId="165" fontId="40" fillId="4" borderId="1" xfId="0" applyNumberFormat="1" applyFont="1" applyFill="1" applyBorder="1" applyAlignment="1">
      <alignment horizontal="right" vertical="center"/>
    </xf>
    <xf numFmtId="165" fontId="27" fillId="0" borderId="0" xfId="0" applyNumberFormat="1" applyFont="1" applyAlignment="1">
      <alignment horizontal="left"/>
    </xf>
    <xf numFmtId="0" fontId="11" fillId="3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3" fontId="28" fillId="3" borderId="1" xfId="0" applyNumberFormat="1" applyFont="1" applyFill="1" applyBorder="1" applyAlignment="1">
      <alignment horizontal="left"/>
    </xf>
    <xf numFmtId="0" fontId="28" fillId="3" borderId="0" xfId="0" applyFont="1" applyFill="1" applyAlignment="1">
      <alignment horizontal="left" vertical="center"/>
    </xf>
    <xf numFmtId="3" fontId="41" fillId="3" borderId="1" xfId="0" applyNumberFormat="1" applyFont="1" applyFill="1" applyBorder="1"/>
    <xf numFmtId="165" fontId="41" fillId="3" borderId="1" xfId="1" applyNumberFormat="1" applyFont="1" applyFill="1" applyBorder="1" applyAlignment="1">
      <alignment horizontal="right"/>
    </xf>
    <xf numFmtId="165" fontId="28" fillId="3" borderId="0" xfId="0" applyNumberFormat="1" applyFont="1" applyFill="1" applyAlignment="1">
      <alignment horizontal="right"/>
    </xf>
    <xf numFmtId="3" fontId="28" fillId="3" borderId="0" xfId="0" applyNumberFormat="1" applyFont="1" applyFill="1" applyAlignment="1">
      <alignment horizontal="left"/>
    </xf>
    <xf numFmtId="165" fontId="28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right"/>
    </xf>
    <xf numFmtId="0" fontId="28" fillId="3" borderId="10" xfId="0" applyFont="1" applyFill="1" applyBorder="1" applyAlignment="1">
      <alignment horizontal="left" vertical="center"/>
    </xf>
    <xf numFmtId="165" fontId="28" fillId="3" borderId="10" xfId="0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left"/>
    </xf>
    <xf numFmtId="14" fontId="28" fillId="3" borderId="1" xfId="0" applyNumberFormat="1" applyFont="1" applyFill="1" applyBorder="1"/>
    <xf numFmtId="0" fontId="28" fillId="3" borderId="1" xfId="0" applyFont="1" applyFill="1" applyBorder="1"/>
    <xf numFmtId="3" fontId="28" fillId="3" borderId="1" xfId="0" applyNumberFormat="1" applyFont="1" applyFill="1" applyBorder="1"/>
    <xf numFmtId="14" fontId="10" fillId="3" borderId="2" xfId="0" applyNumberFormat="1" applyFont="1" applyFill="1" applyBorder="1" applyAlignment="1">
      <alignment horizontal="right"/>
    </xf>
    <xf numFmtId="165" fontId="42" fillId="3" borderId="0" xfId="0" applyNumberFormat="1" applyFont="1" applyFill="1" applyAlignment="1">
      <alignment horizontal="left" vertical="center"/>
    </xf>
    <xf numFmtId="0" fontId="43" fillId="3" borderId="0" xfId="0" applyFont="1" applyFill="1"/>
    <xf numFmtId="14" fontId="10" fillId="0" borderId="2" xfId="0" applyNumberFormat="1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0" fontId="23" fillId="0" borderId="0" xfId="0" applyFont="1" applyAlignment="1">
      <alignment horizontal="left"/>
    </xf>
    <xf numFmtId="14" fontId="28" fillId="0" borderId="1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left"/>
    </xf>
    <xf numFmtId="165" fontId="28" fillId="0" borderId="1" xfId="1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14" fontId="36" fillId="0" borderId="1" xfId="0" applyNumberFormat="1" applyFont="1" applyBorder="1" applyAlignment="1">
      <alignment horizontal="center" vertical="center"/>
    </xf>
    <xf numFmtId="0" fontId="38" fillId="3" borderId="4" xfId="0" applyFont="1" applyFill="1" applyBorder="1" applyAlignment="1">
      <alignment horizontal="left"/>
    </xf>
    <xf numFmtId="0" fontId="18" fillId="3" borderId="6" xfId="1" applyNumberFormat="1" applyFont="1" applyFill="1" applyBorder="1" applyAlignment="1">
      <alignment vertical="center"/>
    </xf>
    <xf numFmtId="165" fontId="18" fillId="2" borderId="9" xfId="1" applyNumberFormat="1" applyFont="1" applyFill="1" applyBorder="1" applyAlignment="1">
      <alignment vertical="center"/>
    </xf>
    <xf numFmtId="165" fontId="16" fillId="7" borderId="13" xfId="0" applyNumberFormat="1" applyFont="1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/>
    </xf>
    <xf numFmtId="165" fontId="13" fillId="0" borderId="0" xfId="0" applyNumberFormat="1" applyFont="1" applyAlignment="1">
      <alignment horizontal="left"/>
    </xf>
    <xf numFmtId="14" fontId="38" fillId="3" borderId="10" xfId="0" applyNumberFormat="1" applyFont="1" applyFill="1" applyBorder="1" applyAlignment="1">
      <alignment horizontal="center" vertical="center"/>
    </xf>
    <xf numFmtId="165" fontId="28" fillId="3" borderId="10" xfId="0" applyNumberFormat="1" applyFont="1" applyFill="1" applyBorder="1" applyAlignment="1">
      <alignment horizontal="center" vertical="center"/>
    </xf>
    <xf numFmtId="14" fontId="47" fillId="3" borderId="1" xfId="0" applyNumberFormat="1" applyFont="1" applyFill="1" applyBorder="1" applyAlignment="1">
      <alignment horizontal="center"/>
    </xf>
    <xf numFmtId="165" fontId="20" fillId="3" borderId="1" xfId="0" applyNumberFormat="1" applyFont="1" applyFill="1" applyBorder="1" applyAlignment="1">
      <alignment horizontal="center"/>
    </xf>
    <xf numFmtId="14" fontId="38" fillId="0" borderId="1" xfId="0" applyNumberFormat="1" applyFont="1" applyBorder="1" applyAlignment="1">
      <alignment horizontal="right"/>
    </xf>
    <xf numFmtId="0" fontId="38" fillId="0" borderId="1" xfId="0" applyFont="1" applyBorder="1" applyAlignment="1">
      <alignment horizontal="left"/>
    </xf>
    <xf numFmtId="0" fontId="38" fillId="0" borderId="0" xfId="0" applyFont="1" applyAlignment="1">
      <alignment horizontal="left"/>
    </xf>
    <xf numFmtId="165" fontId="48" fillId="3" borderId="1" xfId="1" applyNumberFormat="1" applyFont="1" applyFill="1" applyBorder="1" applyAlignment="1">
      <alignment horizontal="right"/>
    </xf>
    <xf numFmtId="14" fontId="38" fillId="3" borderId="1" xfId="0" applyNumberFormat="1" applyFont="1" applyFill="1" applyBorder="1" applyAlignment="1">
      <alignment horizontal="center"/>
    </xf>
    <xf numFmtId="14" fontId="49" fillId="3" borderId="1" xfId="0" applyNumberFormat="1" applyFont="1" applyFill="1" applyBorder="1" applyAlignment="1">
      <alignment horizontal="center"/>
    </xf>
    <xf numFmtId="14" fontId="38" fillId="0" borderId="1" xfId="0" applyNumberFormat="1" applyFont="1" applyBorder="1" applyAlignment="1">
      <alignment horizontal="center"/>
    </xf>
    <xf numFmtId="0" fontId="28" fillId="3" borderId="4" xfId="0" applyFont="1" applyFill="1" applyBorder="1" applyAlignment="1">
      <alignment horizontal="left"/>
    </xf>
    <xf numFmtId="14" fontId="39" fillId="3" borderId="1" xfId="0" applyNumberFormat="1" applyFont="1" applyFill="1" applyBorder="1" applyAlignment="1">
      <alignment horizontal="center"/>
    </xf>
    <xf numFmtId="3" fontId="38" fillId="0" borderId="1" xfId="0" applyNumberFormat="1" applyFont="1" applyBorder="1" applyAlignment="1">
      <alignment horizontal="right"/>
    </xf>
    <xf numFmtId="3" fontId="38" fillId="0" borderId="1" xfId="0" applyNumberFormat="1" applyFont="1" applyBorder="1" applyAlignment="1">
      <alignment horizontal="left"/>
    </xf>
    <xf numFmtId="165" fontId="38" fillId="3" borderId="1" xfId="1" applyNumberFormat="1" applyFont="1" applyFill="1" applyBorder="1" applyAlignment="1">
      <alignment horizontal="right"/>
    </xf>
    <xf numFmtId="0" fontId="38" fillId="3" borderId="0" xfId="0" applyFont="1" applyFill="1" applyAlignment="1">
      <alignment horizontal="left"/>
    </xf>
    <xf numFmtId="165" fontId="48" fillId="3" borderId="1" xfId="0" applyNumberFormat="1" applyFont="1" applyFill="1" applyBorder="1" applyAlignment="1">
      <alignment horizontal="left"/>
    </xf>
    <xf numFmtId="0" fontId="50" fillId="3" borderId="2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165" fontId="44" fillId="3" borderId="1" xfId="1" applyNumberFormat="1" applyFont="1" applyFill="1" applyBorder="1" applyAlignment="1">
      <alignment horizontal="right"/>
    </xf>
    <xf numFmtId="14" fontId="50" fillId="0" borderId="1" xfId="0" applyNumberFormat="1" applyFont="1" applyBorder="1" applyAlignment="1">
      <alignment horizontal="left" vertical="center"/>
    </xf>
    <xf numFmtId="3" fontId="50" fillId="0" borderId="1" xfId="0" applyNumberFormat="1" applyFont="1" applyBorder="1" applyAlignment="1">
      <alignment horizontal="right" vertical="center"/>
    </xf>
    <xf numFmtId="3" fontId="50" fillId="0" borderId="1" xfId="0" applyNumberFormat="1" applyFont="1" applyBorder="1" applyAlignment="1">
      <alignment vertical="center"/>
    </xf>
    <xf numFmtId="3" fontId="50" fillId="0" borderId="1" xfId="0" applyNumberFormat="1" applyFont="1" applyBorder="1" applyAlignment="1">
      <alignment horizontal="left"/>
    </xf>
    <xf numFmtId="0" fontId="51" fillId="0" borderId="0" xfId="0" applyFont="1" applyAlignment="1">
      <alignment horizontal="center"/>
    </xf>
    <xf numFmtId="165" fontId="19" fillId="3" borderId="1" xfId="0" applyNumberFormat="1" applyFont="1" applyFill="1" applyBorder="1" applyAlignment="1">
      <alignment horizontal="center" vertical="center"/>
    </xf>
    <xf numFmtId="14" fontId="52" fillId="4" borderId="1" xfId="0" applyNumberFormat="1" applyFont="1" applyFill="1" applyBorder="1" applyAlignment="1">
      <alignment vertical="center"/>
    </xf>
    <xf numFmtId="3" fontId="52" fillId="4" borderId="1" xfId="0" applyNumberFormat="1" applyFont="1" applyFill="1" applyBorder="1" applyAlignment="1">
      <alignment horizontal="right" vertical="center"/>
    </xf>
    <xf numFmtId="14" fontId="50" fillId="3" borderId="1" xfId="0" applyNumberFormat="1" applyFont="1" applyFill="1" applyBorder="1" applyAlignment="1">
      <alignment horizontal="center" vertical="center"/>
    </xf>
    <xf numFmtId="3" fontId="50" fillId="0" borderId="1" xfId="0" applyNumberFormat="1" applyFont="1" applyBorder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right"/>
    </xf>
    <xf numFmtId="0" fontId="50" fillId="3" borderId="0" xfId="0" applyFont="1" applyFill="1" applyAlignment="1">
      <alignment vertical="center"/>
    </xf>
    <xf numFmtId="165" fontId="19" fillId="3" borderId="8" xfId="0" applyNumberFormat="1" applyFont="1" applyFill="1" applyBorder="1" applyAlignment="1">
      <alignment horizontal="center" vertical="center"/>
    </xf>
    <xf numFmtId="14" fontId="51" fillId="0" borderId="0" xfId="0" applyNumberFormat="1" applyFont="1" applyAlignment="1">
      <alignment horizontal="center"/>
    </xf>
    <xf numFmtId="0" fontId="51" fillId="0" borderId="0" xfId="0" applyFont="1"/>
    <xf numFmtId="0" fontId="20" fillId="3" borderId="1" xfId="0" applyFont="1" applyFill="1" applyBorder="1"/>
    <xf numFmtId="0" fontId="51" fillId="0" borderId="0" xfId="0" applyFont="1" applyAlignment="1">
      <alignment horizontal="right" vertical="center"/>
    </xf>
    <xf numFmtId="14" fontId="51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14" fontId="39" fillId="3" borderId="1" xfId="0" applyNumberFormat="1" applyFont="1" applyFill="1" applyBorder="1" applyAlignment="1">
      <alignment horizontal="right"/>
    </xf>
    <xf numFmtId="3" fontId="39" fillId="3" borderId="1" xfId="0" applyNumberFormat="1" applyFont="1" applyFill="1" applyBorder="1" applyAlignment="1">
      <alignment horizontal="right"/>
    </xf>
    <xf numFmtId="14" fontId="39" fillId="3" borderId="10" xfId="0" applyNumberFormat="1" applyFont="1" applyFill="1" applyBorder="1" applyAlignment="1">
      <alignment horizontal="center" vertical="center"/>
    </xf>
    <xf numFmtId="0" fontId="39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/>
    </xf>
    <xf numFmtId="14" fontId="28" fillId="3" borderId="1" xfId="0" applyNumberFormat="1" applyFont="1" applyFill="1" applyBorder="1" applyAlignment="1">
      <alignment horizontal="left"/>
    </xf>
    <xf numFmtId="3" fontId="39" fillId="3" borderId="1" xfId="0" applyNumberFormat="1" applyFont="1" applyFill="1" applyBorder="1" applyAlignment="1">
      <alignment horizontal="left"/>
    </xf>
    <xf numFmtId="165" fontId="39" fillId="3" borderId="1" xfId="1" applyNumberFormat="1" applyFont="1" applyFill="1" applyBorder="1" applyAlignment="1">
      <alignment horizontal="right"/>
    </xf>
    <xf numFmtId="165" fontId="28" fillId="3" borderId="0" xfId="0" applyNumberFormat="1" applyFont="1" applyFill="1" applyAlignment="1">
      <alignment horizontal="left"/>
    </xf>
    <xf numFmtId="165" fontId="39" fillId="3" borderId="2" xfId="1" applyNumberFormat="1" applyFont="1" applyFill="1" applyBorder="1" applyAlignment="1">
      <alignment horizontal="right"/>
    </xf>
    <xf numFmtId="165" fontId="53" fillId="3" borderId="2" xfId="0" applyNumberFormat="1" applyFont="1" applyFill="1" applyBorder="1" applyAlignment="1">
      <alignment horizontal="right" vertical="center"/>
    </xf>
    <xf numFmtId="14" fontId="36" fillId="8" borderId="1" xfId="0" applyNumberFormat="1" applyFont="1" applyFill="1" applyBorder="1" applyAlignment="1">
      <alignment horizontal="center" vertical="center"/>
    </xf>
    <xf numFmtId="165" fontId="47" fillId="3" borderId="1" xfId="1" applyNumberFormat="1" applyFont="1" applyFill="1" applyBorder="1" applyAlignment="1">
      <alignment horizontal="right"/>
    </xf>
    <xf numFmtId="165" fontId="38" fillId="3" borderId="1" xfId="0" applyNumberFormat="1" applyFont="1" applyFill="1" applyBorder="1" applyAlignment="1">
      <alignment horizontal="center"/>
    </xf>
    <xf numFmtId="165" fontId="38" fillId="0" borderId="1" xfId="0" applyNumberFormat="1" applyFont="1" applyBorder="1" applyAlignment="1">
      <alignment horizontal="right"/>
    </xf>
    <xf numFmtId="165" fontId="49" fillId="3" borderId="1" xfId="0" applyNumberFormat="1" applyFont="1" applyFill="1" applyBorder="1" applyAlignment="1">
      <alignment horizontal="center"/>
    </xf>
    <xf numFmtId="3" fontId="41" fillId="0" borderId="1" xfId="0" applyNumberFormat="1" applyFont="1" applyBorder="1" applyAlignment="1">
      <alignment horizontal="left"/>
    </xf>
    <xf numFmtId="165" fontId="49" fillId="0" borderId="1" xfId="1" applyNumberFormat="1" applyFont="1" applyBorder="1" applyAlignment="1">
      <alignment horizontal="right"/>
    </xf>
    <xf numFmtId="165" fontId="47" fillId="0" borderId="1" xfId="0" applyNumberFormat="1" applyFont="1" applyBorder="1" applyAlignment="1">
      <alignment horizontal="right"/>
    </xf>
    <xf numFmtId="165" fontId="38" fillId="3" borderId="1" xfId="0" applyNumberFormat="1" applyFont="1" applyFill="1" applyBorder="1" applyAlignment="1">
      <alignment horizontal="right"/>
    </xf>
    <xf numFmtId="165" fontId="45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3" fontId="45" fillId="0" borderId="1" xfId="0" applyNumberFormat="1" applyFont="1" applyBorder="1" applyAlignment="1">
      <alignment horizontal="left"/>
    </xf>
    <xf numFmtId="165" fontId="47" fillId="0" borderId="1" xfId="1" applyNumberFormat="1" applyFont="1" applyBorder="1" applyAlignment="1">
      <alignment horizontal="right"/>
    </xf>
    <xf numFmtId="165" fontId="38" fillId="3" borderId="1" xfId="0" applyNumberFormat="1" applyFont="1" applyFill="1" applyBorder="1" applyAlignment="1">
      <alignment horizontal="left"/>
    </xf>
    <xf numFmtId="165" fontId="39" fillId="3" borderId="1" xfId="0" applyNumberFormat="1" applyFont="1" applyFill="1" applyBorder="1" applyAlignment="1">
      <alignment horizontal="left"/>
    </xf>
    <xf numFmtId="14" fontId="54" fillId="3" borderId="1" xfId="0" applyNumberFormat="1" applyFont="1" applyFill="1" applyBorder="1" applyAlignment="1">
      <alignment horizontal="center"/>
    </xf>
    <xf numFmtId="3" fontId="47" fillId="0" borderId="1" xfId="0" applyNumberFormat="1" applyFont="1" applyBorder="1" applyAlignment="1">
      <alignment horizontal="left"/>
    </xf>
    <xf numFmtId="3" fontId="11" fillId="0" borderId="1" xfId="0" applyNumberFormat="1" applyFont="1" applyBorder="1" applyAlignment="1">
      <alignment vertical="center"/>
    </xf>
    <xf numFmtId="3" fontId="11" fillId="0" borderId="1" xfId="0" applyNumberFormat="1" applyFont="1" applyBorder="1" applyAlignment="1">
      <alignment horizontal="left" vertical="center"/>
    </xf>
    <xf numFmtId="165" fontId="55" fillId="0" borderId="1" xfId="0" applyNumberFormat="1" applyFont="1" applyBorder="1" applyAlignment="1">
      <alignment horizontal="center"/>
    </xf>
    <xf numFmtId="14" fontId="56" fillId="3" borderId="1" xfId="0" applyNumberFormat="1" applyFont="1" applyFill="1" applyBorder="1" applyAlignment="1">
      <alignment horizontal="center"/>
    </xf>
    <xf numFmtId="0" fontId="57" fillId="3" borderId="1" xfId="0" applyFont="1" applyFill="1" applyBorder="1" applyAlignment="1">
      <alignment horizontal="left"/>
    </xf>
    <xf numFmtId="165" fontId="57" fillId="3" borderId="1" xfId="0" applyNumberFormat="1" applyFont="1" applyFill="1" applyBorder="1" applyAlignment="1">
      <alignment horizontal="left"/>
    </xf>
    <xf numFmtId="14" fontId="47" fillId="0" borderId="1" xfId="0" applyNumberFormat="1" applyFont="1" applyBorder="1" applyAlignment="1">
      <alignment horizontal="right"/>
    </xf>
    <xf numFmtId="0" fontId="47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right" vertical="center"/>
    </xf>
    <xf numFmtId="14" fontId="11" fillId="0" borderId="1" xfId="0" applyNumberFormat="1" applyFont="1" applyBorder="1" applyAlignment="1">
      <alignment horizontal="left" vertical="center"/>
    </xf>
    <xf numFmtId="0" fontId="39" fillId="3" borderId="1" xfId="0" applyFont="1" applyFill="1" applyBorder="1"/>
    <xf numFmtId="165" fontId="39" fillId="3" borderId="1" xfId="1" applyNumberFormat="1" applyFont="1" applyFill="1" applyBorder="1"/>
    <xf numFmtId="0" fontId="11" fillId="3" borderId="1" xfId="0" applyFont="1" applyFill="1" applyBorder="1" applyAlignment="1">
      <alignment horizontal="center" vertical="center"/>
    </xf>
    <xf numFmtId="0" fontId="58" fillId="3" borderId="1" xfId="0" applyFont="1" applyFill="1" applyBorder="1"/>
    <xf numFmtId="165" fontId="58" fillId="3" borderId="1" xfId="1" applyNumberFormat="1" applyFont="1" applyFill="1" applyBorder="1"/>
    <xf numFmtId="0" fontId="0" fillId="3" borderId="0" xfId="0" applyFill="1"/>
    <xf numFmtId="0" fontId="50" fillId="3" borderId="1" xfId="0" applyFont="1" applyFill="1" applyBorder="1" applyAlignment="1">
      <alignment horizontal="center" vertical="center"/>
    </xf>
    <xf numFmtId="14" fontId="59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 vertical="center"/>
    </xf>
    <xf numFmtId="165" fontId="32" fillId="4" borderId="1" xfId="0" applyNumberFormat="1" applyFont="1" applyFill="1" applyBorder="1" applyAlignment="1">
      <alignment horizontal="right" vertical="center"/>
    </xf>
    <xf numFmtId="165" fontId="19" fillId="3" borderId="0" xfId="0" applyNumberFormat="1" applyFont="1" applyFill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11" fillId="7" borderId="17" xfId="0" applyFont="1" applyFill="1" applyBorder="1" applyAlignment="1">
      <alignment horizontal="center" vertical="center"/>
    </xf>
    <xf numFmtId="165" fontId="33" fillId="7" borderId="10" xfId="1" applyNumberFormat="1" applyFont="1" applyFill="1" applyBorder="1" applyAlignment="1">
      <alignment vertical="center"/>
    </xf>
    <xf numFmtId="165" fontId="13" fillId="0" borderId="1" xfId="0" applyNumberFormat="1" applyFont="1" applyBorder="1" applyAlignment="1">
      <alignment horizontal="left"/>
    </xf>
    <xf numFmtId="14" fontId="3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5" fontId="49" fillId="3" borderId="1" xfId="0" applyNumberFormat="1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horizontal="right"/>
    </xf>
    <xf numFmtId="0" fontId="50" fillId="3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right"/>
    </xf>
    <xf numFmtId="0" fontId="51" fillId="0" borderId="1" xfId="0" applyFont="1" applyBorder="1" applyAlignment="1">
      <alignment horizontal="center"/>
    </xf>
    <xf numFmtId="0" fontId="51" fillId="0" borderId="1" xfId="0" applyFont="1" applyBorder="1"/>
    <xf numFmtId="0" fontId="8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5" fillId="3" borderId="1" xfId="0" applyFont="1" applyFill="1" applyBorder="1"/>
    <xf numFmtId="0" fontId="0" fillId="0" borderId="1" xfId="0" applyBorder="1"/>
    <xf numFmtId="0" fontId="5" fillId="3" borderId="1" xfId="0" applyFont="1" applyFill="1" applyBorder="1" applyAlignment="1">
      <alignment horizontal="right"/>
    </xf>
    <xf numFmtId="14" fontId="5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4" fontId="5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right" vertical="center"/>
    </xf>
    <xf numFmtId="0" fontId="11" fillId="3" borderId="1" xfId="0" applyFont="1" applyFill="1" applyBorder="1" applyAlignment="1">
      <alignment vertical="center"/>
    </xf>
    <xf numFmtId="0" fontId="0" fillId="3" borderId="1" xfId="0" applyFill="1" applyBorder="1"/>
    <xf numFmtId="14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1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4" fontId="13" fillId="4" borderId="1" xfId="0" applyNumberFormat="1" applyFont="1" applyFill="1" applyBorder="1" applyAlignment="1">
      <alignment horizontal="center" vertical="center"/>
    </xf>
    <xf numFmtId="14" fontId="47" fillId="3" borderId="1" xfId="0" applyNumberFormat="1" applyFont="1" applyFill="1" applyBorder="1" applyAlignment="1">
      <alignment horizontal="right"/>
    </xf>
    <xf numFmtId="14" fontId="11" fillId="3" borderId="1" xfId="0" applyNumberFormat="1" applyFont="1" applyFill="1" applyBorder="1" applyAlignment="1">
      <alignment horizontal="left" vertical="center"/>
    </xf>
    <xf numFmtId="3" fontId="46" fillId="3" borderId="1" xfId="0" applyNumberFormat="1" applyFont="1" applyFill="1" applyBorder="1" applyAlignment="1">
      <alignment horizontal="right" vertical="center"/>
    </xf>
    <xf numFmtId="165" fontId="55" fillId="3" borderId="1" xfId="0" applyNumberFormat="1" applyFont="1" applyFill="1" applyBorder="1" applyAlignment="1">
      <alignment horizontal="center"/>
    </xf>
    <xf numFmtId="166" fontId="60" fillId="0" borderId="0" xfId="3" applyFont="1" applyAlignment="1">
      <alignment vertical="center"/>
    </xf>
    <xf numFmtId="166" fontId="60" fillId="9" borderId="0" xfId="3" applyFont="1" applyFill="1" applyAlignment="1">
      <alignment vertical="center"/>
    </xf>
    <xf numFmtId="166" fontId="60" fillId="0" borderId="0" xfId="3" applyFont="1" applyAlignment="1">
      <alignment horizontal="center" vertical="center"/>
    </xf>
    <xf numFmtId="166" fontId="61" fillId="0" borderId="0" xfId="3" applyFont="1" applyAlignment="1">
      <alignment vertical="center"/>
    </xf>
    <xf numFmtId="166" fontId="62" fillId="0" borderId="0" xfId="3" applyFont="1" applyAlignment="1">
      <alignment horizontal="right" vertical="center"/>
    </xf>
    <xf numFmtId="1" fontId="63" fillId="10" borderId="0" xfId="3" applyNumberFormat="1" applyFont="1" applyFill="1" applyAlignment="1">
      <alignment vertical="center"/>
    </xf>
    <xf numFmtId="166" fontId="60" fillId="0" borderId="5" xfId="3" applyFont="1" applyBorder="1" applyAlignment="1">
      <alignment horizontal="left" vertical="center" wrapText="1"/>
    </xf>
    <xf numFmtId="166" fontId="64" fillId="0" borderId="0" xfId="3" applyFont="1" applyAlignment="1">
      <alignment horizontal="right" vertical="center" wrapText="1"/>
    </xf>
    <xf numFmtId="166" fontId="60" fillId="9" borderId="1" xfId="3" applyFont="1" applyFill="1" applyBorder="1" applyAlignment="1">
      <alignment horizontal="left" vertical="center" wrapText="1"/>
    </xf>
    <xf numFmtId="166" fontId="61" fillId="0" borderId="0" xfId="3" applyFont="1" applyAlignment="1">
      <alignment vertical="center" wrapText="1"/>
    </xf>
    <xf numFmtId="1" fontId="61" fillId="0" borderId="0" xfId="3" applyNumberFormat="1" applyFont="1" applyAlignment="1">
      <alignment vertical="center" wrapText="1"/>
    </xf>
    <xf numFmtId="0" fontId="66" fillId="11" borderId="1" xfId="4" applyFont="1" applyFill="1" applyBorder="1" applyAlignment="1">
      <alignment horizontal="center" vertical="center" wrapText="1"/>
    </xf>
    <xf numFmtId="0" fontId="66" fillId="12" borderId="1" xfId="4" applyFont="1" applyFill="1" applyBorder="1" applyAlignment="1">
      <alignment horizontal="center" vertical="center" wrapText="1"/>
    </xf>
    <xf numFmtId="43" fontId="61" fillId="0" borderId="0" xfId="1" applyFont="1" applyAlignment="1">
      <alignment vertical="center" wrapText="1"/>
    </xf>
    <xf numFmtId="166" fontId="60" fillId="0" borderId="7" xfId="3" applyFont="1" applyBorder="1" applyAlignment="1">
      <alignment horizontal="left" vertical="center"/>
    </xf>
    <xf numFmtId="166" fontId="64" fillId="0" borderId="0" xfId="3" applyFont="1" applyAlignment="1">
      <alignment horizontal="right" vertical="center"/>
    </xf>
    <xf numFmtId="166" fontId="60" fillId="0" borderId="1" xfId="3" applyFont="1" applyBorder="1" applyAlignment="1">
      <alignment horizontal="left" vertical="center"/>
    </xf>
    <xf numFmtId="166" fontId="67" fillId="0" borderId="0" xfId="3" applyFont="1" applyAlignment="1">
      <alignment vertical="center"/>
    </xf>
    <xf numFmtId="168" fontId="67" fillId="0" borderId="0" xfId="3" applyNumberFormat="1" applyFont="1" applyAlignment="1">
      <alignment vertical="center"/>
    </xf>
    <xf numFmtId="3" fontId="68" fillId="13" borderId="1" xfId="4" applyNumberFormat="1" applyFont="1" applyFill="1" applyBorder="1" applyAlignment="1">
      <alignment horizontal="right" vertical="center"/>
    </xf>
    <xf numFmtId="166" fontId="69" fillId="0" borderId="0" xfId="3" applyFont="1" applyAlignment="1">
      <alignment vertical="center"/>
    </xf>
    <xf numFmtId="0" fontId="70" fillId="0" borderId="0" xfId="3" applyNumberFormat="1" applyFont="1" applyAlignment="1">
      <alignment horizontal="center" vertical="center" wrapText="1"/>
    </xf>
    <xf numFmtId="0" fontId="70" fillId="14" borderId="0" xfId="3" applyNumberFormat="1" applyFont="1" applyFill="1" applyAlignment="1">
      <alignment horizontal="center" vertical="center" wrapText="1"/>
    </xf>
    <xf numFmtId="166" fontId="70" fillId="0" borderId="0" xfId="3" applyFont="1" applyAlignment="1">
      <alignment horizontal="center" vertical="center" wrapText="1"/>
    </xf>
    <xf numFmtId="166" fontId="70" fillId="15" borderId="0" xfId="3" applyFont="1" applyFill="1" applyAlignment="1">
      <alignment horizontal="center" vertical="center" wrapText="1"/>
    </xf>
    <xf numFmtId="166" fontId="70" fillId="14" borderId="0" xfId="3" applyFont="1" applyFill="1" applyAlignment="1">
      <alignment horizontal="center" vertical="center" wrapText="1"/>
    </xf>
    <xf numFmtId="49" fontId="71" fillId="0" borderId="0" xfId="3" applyNumberFormat="1" applyFont="1" applyAlignment="1">
      <alignment horizontal="left" vertical="center" wrapText="1"/>
    </xf>
    <xf numFmtId="49" fontId="71" fillId="0" borderId="0" xfId="3" applyNumberFormat="1" applyFont="1" applyAlignment="1">
      <alignment horizontal="left" vertical="center"/>
    </xf>
    <xf numFmtId="14" fontId="72" fillId="0" borderId="0" xfId="3" applyNumberFormat="1" applyFont="1" applyAlignment="1">
      <alignment horizontal="left" vertical="center"/>
    </xf>
    <xf numFmtId="49" fontId="72" fillId="0" borderId="0" xfId="3" applyNumberFormat="1" applyFont="1" applyAlignment="1">
      <alignment vertical="center"/>
    </xf>
    <xf numFmtId="166" fontId="72" fillId="0" borderId="0" xfId="3" applyFont="1" applyAlignment="1">
      <alignment vertical="center"/>
    </xf>
    <xf numFmtId="166" fontId="73" fillId="0" borderId="0" xfId="3" applyFont="1" applyAlignment="1">
      <alignment vertical="center"/>
    </xf>
    <xf numFmtId="0" fontId="71" fillId="0" borderId="0" xfId="3" applyNumberFormat="1" applyFont="1" applyAlignment="1">
      <alignment vertical="center"/>
    </xf>
    <xf numFmtId="169" fontId="73" fillId="0" borderId="0" xfId="1" applyNumberFormat="1" applyFont="1" applyFill="1" applyBorder="1" applyAlignment="1">
      <alignment vertical="center"/>
    </xf>
    <xf numFmtId="169" fontId="72" fillId="0" borderId="0" xfId="1" applyNumberFormat="1" applyFont="1" applyFill="1" applyBorder="1" applyAlignment="1">
      <alignment vertical="center"/>
    </xf>
    <xf numFmtId="166" fontId="71" fillId="0" borderId="0" xfId="3" applyFont="1" applyAlignment="1">
      <alignment horizontal="center" vertical="center" wrapText="1"/>
    </xf>
    <xf numFmtId="166" fontId="71" fillId="0" borderId="0" xfId="3" applyFont="1" applyAlignment="1">
      <alignment vertical="center"/>
    </xf>
    <xf numFmtId="169" fontId="71" fillId="0" borderId="0" xfId="1" applyNumberFormat="1" applyFont="1" applyFill="1" applyBorder="1" applyAlignment="1">
      <alignment vertical="center"/>
    </xf>
    <xf numFmtId="169" fontId="71" fillId="0" borderId="0" xfId="1" applyNumberFormat="1" applyFont="1" applyFill="1" applyAlignment="1">
      <alignment vertical="center"/>
    </xf>
    <xf numFmtId="0" fontId="74" fillId="0" borderId="0" xfId="3" applyNumberFormat="1" applyFont="1" applyAlignment="1">
      <alignment vertical="center"/>
    </xf>
    <xf numFmtId="169" fontId="71" fillId="3" borderId="0" xfId="1" applyNumberFormat="1" applyFont="1" applyFill="1" applyBorder="1" applyAlignment="1">
      <alignment vertical="center"/>
    </xf>
    <xf numFmtId="14" fontId="72" fillId="3" borderId="0" xfId="3" applyNumberFormat="1" applyFont="1" applyFill="1" applyAlignment="1">
      <alignment horizontal="left" vertical="center"/>
    </xf>
    <xf numFmtId="49" fontId="72" fillId="3" borderId="0" xfId="3" applyNumberFormat="1" applyFont="1" applyFill="1" applyAlignment="1">
      <alignment vertical="center"/>
    </xf>
    <xf numFmtId="166" fontId="72" fillId="3" borderId="0" xfId="3" applyFont="1" applyFill="1" applyAlignment="1">
      <alignment vertical="center"/>
    </xf>
    <xf numFmtId="0" fontId="71" fillId="3" borderId="0" xfId="3" applyNumberFormat="1" applyFont="1" applyFill="1" applyAlignment="1">
      <alignment vertical="center"/>
    </xf>
    <xf numFmtId="166" fontId="71" fillId="3" borderId="0" xfId="3" applyFont="1" applyFill="1" applyAlignment="1">
      <alignment vertical="center"/>
    </xf>
    <xf numFmtId="169" fontId="73" fillId="3" borderId="0" xfId="1" applyNumberFormat="1" applyFont="1" applyFill="1" applyBorder="1" applyAlignment="1">
      <alignment vertical="center"/>
    </xf>
    <xf numFmtId="166" fontId="61" fillId="3" borderId="0" xfId="3" applyFont="1" applyFill="1" applyAlignment="1">
      <alignment vertical="center"/>
    </xf>
    <xf numFmtId="166" fontId="61" fillId="16" borderId="0" xfId="3" applyFont="1" applyFill="1" applyAlignment="1">
      <alignment vertical="center"/>
    </xf>
    <xf numFmtId="169" fontId="71" fillId="3" borderId="0" xfId="1" applyNumberFormat="1" applyFont="1" applyFill="1" applyAlignment="1">
      <alignment vertical="center"/>
    </xf>
    <xf numFmtId="14" fontId="75" fillId="3" borderId="0" xfId="3" applyNumberFormat="1" applyFont="1" applyFill="1" applyAlignment="1">
      <alignment horizontal="left" vertical="center"/>
    </xf>
    <xf numFmtId="49" fontId="75" fillId="3" borderId="0" xfId="3" applyNumberFormat="1" applyFont="1" applyFill="1" applyAlignment="1">
      <alignment vertical="center"/>
    </xf>
    <xf numFmtId="166" fontId="75" fillId="3" borderId="0" xfId="3" applyFont="1" applyFill="1" applyAlignment="1">
      <alignment vertical="center"/>
    </xf>
    <xf numFmtId="0" fontId="76" fillId="3" borderId="0" xfId="3" applyNumberFormat="1" applyFont="1" applyFill="1" applyAlignment="1">
      <alignment vertical="center"/>
    </xf>
    <xf numFmtId="166" fontId="76" fillId="3" borderId="0" xfId="3" applyFont="1" applyFill="1" applyAlignment="1">
      <alignment vertical="center"/>
    </xf>
    <xf numFmtId="169" fontId="76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vertical="center"/>
    </xf>
    <xf numFmtId="169" fontId="76" fillId="3" borderId="0" xfId="1" applyNumberFormat="1" applyFont="1" applyFill="1" applyAlignment="1">
      <alignment vertical="center"/>
    </xf>
    <xf numFmtId="166" fontId="78" fillId="0" borderId="0" xfId="3" applyFont="1" applyAlignment="1">
      <alignment vertical="center"/>
    </xf>
    <xf numFmtId="14" fontId="75" fillId="17" borderId="0" xfId="3" applyNumberFormat="1" applyFont="1" applyFill="1" applyAlignment="1">
      <alignment horizontal="left" vertical="center"/>
    </xf>
    <xf numFmtId="49" fontId="75" fillId="17" borderId="0" xfId="3" applyNumberFormat="1" applyFont="1" applyFill="1" applyAlignment="1">
      <alignment vertical="center"/>
    </xf>
    <xf numFmtId="166" fontId="75" fillId="17" borderId="0" xfId="3" applyFont="1" applyFill="1" applyAlignment="1">
      <alignment vertical="center"/>
    </xf>
    <xf numFmtId="0" fontId="76" fillId="17" borderId="0" xfId="3" applyNumberFormat="1" applyFont="1" applyFill="1" applyAlignment="1">
      <alignment vertical="center"/>
    </xf>
    <xf numFmtId="166" fontId="76" fillId="17" borderId="0" xfId="3" applyFont="1" applyFill="1" applyAlignment="1">
      <alignment vertical="center"/>
    </xf>
    <xf numFmtId="169" fontId="76" fillId="17" borderId="0" xfId="1" applyNumberFormat="1" applyFont="1" applyFill="1" applyBorder="1" applyAlignment="1">
      <alignment vertical="center"/>
    </xf>
    <xf numFmtId="169" fontId="77" fillId="17" borderId="0" xfId="1" applyNumberFormat="1" applyFont="1" applyFill="1" applyBorder="1" applyAlignment="1">
      <alignment vertical="center"/>
    </xf>
    <xf numFmtId="169" fontId="72" fillId="3" borderId="0" xfId="1" applyNumberFormat="1" applyFont="1" applyFill="1" applyBorder="1" applyAlignment="1">
      <alignment vertical="center"/>
    </xf>
    <xf numFmtId="169" fontId="71" fillId="0" borderId="0" xfId="3" applyNumberFormat="1" applyFont="1" applyAlignment="1">
      <alignment vertical="center"/>
    </xf>
    <xf numFmtId="169" fontId="71" fillId="3" borderId="0" xfId="3" applyNumberFormat="1" applyFont="1" applyFill="1" applyAlignment="1">
      <alignment vertical="center"/>
    </xf>
    <xf numFmtId="49" fontId="61" fillId="0" borderId="0" xfId="3" applyNumberFormat="1" applyFont="1" applyAlignment="1">
      <alignment horizontal="left" vertical="center"/>
    </xf>
    <xf numFmtId="14" fontId="71" fillId="0" borderId="0" xfId="3" applyNumberFormat="1" applyFont="1" applyAlignment="1">
      <alignment horizontal="left" vertical="center"/>
    </xf>
    <xf numFmtId="49" fontId="71" fillId="0" borderId="0" xfId="3" applyNumberFormat="1" applyFont="1" applyAlignment="1">
      <alignment vertical="center"/>
    </xf>
    <xf numFmtId="0" fontId="72" fillId="0" borderId="0" xfId="3" applyNumberFormat="1" applyFont="1" applyAlignment="1">
      <alignment vertical="center"/>
    </xf>
    <xf numFmtId="169" fontId="70" fillId="0" borderId="0" xfId="1" applyNumberFormat="1" applyFont="1" applyFill="1" applyAlignment="1">
      <alignment vertical="center"/>
    </xf>
    <xf numFmtId="49" fontId="71" fillId="3" borderId="0" xfId="3" applyNumberFormat="1" applyFont="1" applyFill="1" applyAlignment="1">
      <alignment vertical="center"/>
    </xf>
    <xf numFmtId="0" fontId="72" fillId="3" borderId="0" xfId="3" applyNumberFormat="1" applyFont="1" applyFill="1" applyAlignment="1">
      <alignment vertical="center"/>
    </xf>
    <xf numFmtId="169" fontId="70" fillId="3" borderId="0" xfId="1" applyNumberFormat="1" applyFont="1" applyFill="1" applyAlignment="1">
      <alignment vertical="center"/>
    </xf>
    <xf numFmtId="14" fontId="71" fillId="18" borderId="0" xfId="3" applyNumberFormat="1" applyFont="1" applyFill="1" applyAlignment="1">
      <alignment horizontal="left" vertical="center"/>
    </xf>
    <xf numFmtId="49" fontId="71" fillId="18" borderId="0" xfId="3" applyNumberFormat="1" applyFont="1" applyFill="1" applyAlignment="1">
      <alignment vertical="center"/>
    </xf>
    <xf numFmtId="0" fontId="72" fillId="18" borderId="0" xfId="3" applyNumberFormat="1" applyFont="1" applyFill="1" applyAlignment="1">
      <alignment vertical="center"/>
    </xf>
    <xf numFmtId="0" fontId="71" fillId="18" borderId="0" xfId="3" applyNumberFormat="1" applyFont="1" applyFill="1" applyAlignment="1">
      <alignment vertical="center"/>
    </xf>
    <xf numFmtId="169" fontId="71" fillId="18" borderId="0" xfId="3" applyNumberFormat="1" applyFont="1" applyFill="1" applyAlignment="1">
      <alignment vertical="center"/>
    </xf>
    <xf numFmtId="169" fontId="71" fillId="18" borderId="0" xfId="1" applyNumberFormat="1" applyFont="1" applyFill="1" applyAlignment="1">
      <alignment vertical="center"/>
    </xf>
    <xf numFmtId="169" fontId="70" fillId="18" borderId="0" xfId="1" applyNumberFormat="1" applyFont="1" applyFill="1" applyAlignment="1">
      <alignment vertical="center"/>
    </xf>
    <xf numFmtId="14" fontId="71" fillId="3" borderId="0" xfId="3" applyNumberFormat="1" applyFont="1" applyFill="1" applyAlignment="1">
      <alignment horizontal="left" vertical="center"/>
    </xf>
    <xf numFmtId="0" fontId="79" fillId="3" borderId="0" xfId="3" applyNumberFormat="1" applyFont="1" applyFill="1" applyAlignment="1">
      <alignment vertical="center"/>
    </xf>
    <xf numFmtId="14" fontId="76" fillId="0" borderId="0" xfId="3" applyNumberFormat="1" applyFont="1" applyAlignment="1">
      <alignment horizontal="left" vertical="center"/>
    </xf>
    <xf numFmtId="14" fontId="76" fillId="3" borderId="0" xfId="3" applyNumberFormat="1" applyFont="1" applyFill="1" applyAlignment="1">
      <alignment horizontal="left" vertical="center"/>
    </xf>
    <xf numFmtId="49" fontId="76" fillId="0" borderId="0" xfId="3" applyNumberFormat="1" applyFont="1" applyAlignment="1">
      <alignment vertical="center"/>
    </xf>
    <xf numFmtId="0" fontId="76" fillId="0" borderId="0" xfId="3" applyNumberFormat="1" applyFont="1" applyAlignment="1">
      <alignment vertical="center"/>
    </xf>
    <xf numFmtId="169" fontId="76" fillId="0" borderId="0" xfId="3" applyNumberFormat="1" applyFont="1" applyAlignment="1">
      <alignment vertical="center"/>
    </xf>
    <xf numFmtId="169" fontId="76" fillId="0" borderId="0" xfId="1" applyNumberFormat="1" applyFont="1" applyFill="1" applyAlignment="1">
      <alignment vertical="center"/>
    </xf>
    <xf numFmtId="169" fontId="80" fillId="0" borderId="0" xfId="1" applyNumberFormat="1" applyFont="1" applyFill="1" applyAlignment="1">
      <alignment vertical="center"/>
    </xf>
    <xf numFmtId="0" fontId="81" fillId="0" borderId="0" xfId="0" applyFont="1"/>
    <xf numFmtId="0" fontId="75" fillId="0" borderId="0" xfId="3" applyNumberFormat="1" applyFont="1" applyAlignment="1">
      <alignment vertical="center"/>
    </xf>
    <xf numFmtId="49" fontId="76" fillId="3" borderId="0" xfId="3" applyNumberFormat="1" applyFont="1" applyFill="1" applyAlignment="1">
      <alignment vertical="center"/>
    </xf>
    <xf numFmtId="0" fontId="75" fillId="3" borderId="0" xfId="3" applyNumberFormat="1" applyFont="1" applyFill="1" applyAlignment="1">
      <alignment vertical="center"/>
    </xf>
    <xf numFmtId="169" fontId="74" fillId="3" borderId="0" xfId="3" applyNumberFormat="1" applyFont="1" applyFill="1" applyAlignment="1">
      <alignment vertical="center"/>
    </xf>
    <xf numFmtId="169" fontId="80" fillId="3" borderId="0" xfId="1" applyNumberFormat="1" applyFont="1" applyFill="1" applyAlignment="1">
      <alignment vertical="center"/>
    </xf>
    <xf numFmtId="166" fontId="78" fillId="3" borderId="0" xfId="3" applyFont="1" applyFill="1" applyAlignment="1">
      <alignment vertical="center"/>
    </xf>
    <xf numFmtId="0" fontId="81" fillId="3" borderId="0" xfId="0" applyFont="1" applyFill="1"/>
    <xf numFmtId="14" fontId="71" fillId="10" borderId="0" xfId="3" applyNumberFormat="1" applyFont="1" applyFill="1" applyAlignment="1">
      <alignment horizontal="left" vertical="center"/>
    </xf>
    <xf numFmtId="49" fontId="71" fillId="10" borderId="0" xfId="3" applyNumberFormat="1" applyFont="1" applyFill="1" applyAlignment="1">
      <alignment vertical="center"/>
    </xf>
    <xf numFmtId="0" fontId="72" fillId="10" borderId="0" xfId="3" applyNumberFormat="1" applyFont="1" applyFill="1" applyAlignment="1">
      <alignment vertical="center"/>
    </xf>
    <xf numFmtId="0" fontId="71" fillId="10" borderId="0" xfId="3" applyNumberFormat="1" applyFont="1" applyFill="1" applyAlignment="1">
      <alignment vertical="center"/>
    </xf>
    <xf numFmtId="169" fontId="71" fillId="10" borderId="0" xfId="3" applyNumberFormat="1" applyFont="1" applyFill="1" applyAlignment="1">
      <alignment vertical="center"/>
    </xf>
    <xf numFmtId="169" fontId="71" fillId="10" borderId="0" xfId="1" applyNumberFormat="1" applyFont="1" applyFill="1" applyAlignment="1">
      <alignment vertical="center"/>
    </xf>
    <xf numFmtId="169" fontId="70" fillId="10" borderId="0" xfId="1" applyNumberFormat="1" applyFont="1" applyFill="1" applyAlignment="1">
      <alignment vertical="center"/>
    </xf>
    <xf numFmtId="166" fontId="61" fillId="10" borderId="0" xfId="3" applyFont="1" applyFill="1" applyAlignment="1">
      <alignment vertical="center"/>
    </xf>
    <xf numFmtId="0" fontId="0" fillId="10" borderId="0" xfId="0" applyFill="1"/>
    <xf numFmtId="166" fontId="82" fillId="0" borderId="0" xfId="3" applyFont="1" applyAlignment="1">
      <alignment vertical="center"/>
    </xf>
    <xf numFmtId="0" fontId="84" fillId="0" borderId="1" xfId="0" applyFont="1" applyBorder="1"/>
    <xf numFmtId="169" fontId="85" fillId="19" borderId="1" xfId="1" applyNumberFormat="1" applyFont="1" applyFill="1" applyBorder="1" applyAlignment="1">
      <alignment vertical="center"/>
    </xf>
    <xf numFmtId="0" fontId="84" fillId="0" borderId="16" xfId="0" applyFont="1" applyBorder="1"/>
    <xf numFmtId="169" fontId="85" fillId="0" borderId="1" xfId="1" applyNumberFormat="1" applyFont="1" applyBorder="1" applyAlignment="1">
      <alignment vertical="center"/>
    </xf>
    <xf numFmtId="169" fontId="85" fillId="0" borderId="4" xfId="1" applyNumberFormat="1" applyFont="1" applyBorder="1" applyAlignment="1">
      <alignment vertical="center"/>
    </xf>
    <xf numFmtId="169" fontId="86" fillId="17" borderId="1" xfId="1" applyNumberFormat="1" applyFont="1" applyFill="1" applyBorder="1" applyAlignment="1">
      <alignment vertical="center"/>
    </xf>
    <xf numFmtId="0" fontId="0" fillId="18" borderId="0" xfId="0" applyFill="1"/>
    <xf numFmtId="38" fontId="68" fillId="13" borderId="1" xfId="4" applyNumberFormat="1" applyFont="1" applyFill="1" applyBorder="1" applyAlignment="1">
      <alignment horizontal="right" vertical="center"/>
    </xf>
    <xf numFmtId="169" fontId="67" fillId="0" borderId="0" xfId="1" applyNumberFormat="1" applyFont="1" applyAlignment="1">
      <alignment vertical="center"/>
    </xf>
    <xf numFmtId="49" fontId="76" fillId="0" borderId="0" xfId="3" applyNumberFormat="1" applyFont="1" applyAlignment="1">
      <alignment horizontal="left" vertical="center" wrapText="1"/>
    </xf>
    <xf numFmtId="49" fontId="76" fillId="0" borderId="0" xfId="3" applyNumberFormat="1" applyFont="1" applyAlignment="1">
      <alignment horizontal="left" vertical="center"/>
    </xf>
    <xf numFmtId="170" fontId="75" fillId="0" borderId="0" xfId="3" applyNumberFormat="1" applyFont="1" applyAlignment="1">
      <alignment horizontal="left" vertical="center"/>
    </xf>
    <xf numFmtId="49" fontId="75" fillId="0" borderId="0" xfId="3" applyNumberFormat="1" applyFont="1" applyAlignment="1">
      <alignment vertical="center"/>
    </xf>
    <xf numFmtId="166" fontId="75" fillId="0" borderId="0" xfId="3" applyFont="1" applyAlignment="1">
      <alignment vertical="center"/>
    </xf>
    <xf numFmtId="166" fontId="77" fillId="0" borderId="0" xfId="3" applyFont="1" applyAlignment="1">
      <alignment vertical="center"/>
    </xf>
    <xf numFmtId="169" fontId="77" fillId="0" borderId="0" xfId="1" applyNumberFormat="1" applyFont="1" applyFill="1" applyBorder="1" applyAlignment="1">
      <alignment vertical="center"/>
    </xf>
    <xf numFmtId="169" fontId="75" fillId="0" borderId="0" xfId="1" applyNumberFormat="1" applyFont="1" applyFill="1" applyBorder="1" applyAlignment="1">
      <alignment vertical="center"/>
    </xf>
    <xf numFmtId="166" fontId="76" fillId="0" borderId="0" xfId="3" applyFont="1" applyAlignment="1">
      <alignment horizontal="center" vertical="center" wrapText="1"/>
    </xf>
    <xf numFmtId="166" fontId="76" fillId="0" borderId="0" xfId="3" applyFont="1" applyAlignment="1">
      <alignment vertical="center"/>
    </xf>
    <xf numFmtId="169" fontId="77" fillId="0" borderId="0" xfId="1" applyNumberFormat="1" applyFont="1" applyAlignment="1">
      <alignment vertical="center"/>
    </xf>
    <xf numFmtId="169" fontId="75" fillId="0" borderId="0" xfId="1" applyNumberFormat="1" applyFont="1" applyAlignment="1">
      <alignment vertical="center"/>
    </xf>
    <xf numFmtId="170" fontId="72" fillId="0" borderId="0" xfId="3" applyNumberFormat="1" applyFont="1" applyAlignment="1">
      <alignment horizontal="left" vertical="center"/>
    </xf>
    <xf numFmtId="169" fontId="73" fillId="0" borderId="0" xfId="1" applyNumberFormat="1" applyFont="1" applyAlignment="1">
      <alignment vertical="center"/>
    </xf>
    <xf numFmtId="169" fontId="72" fillId="0" borderId="0" xfId="1" applyNumberFormat="1" applyFont="1" applyAlignment="1">
      <alignment vertical="center"/>
    </xf>
    <xf numFmtId="170" fontId="72" fillId="10" borderId="0" xfId="3" applyNumberFormat="1" applyFont="1" applyFill="1" applyAlignment="1">
      <alignment horizontal="left" vertical="center"/>
    </xf>
    <xf numFmtId="166" fontId="72" fillId="10" borderId="0" xfId="3" applyFont="1" applyFill="1" applyAlignment="1">
      <alignment vertical="center"/>
    </xf>
    <xf numFmtId="166" fontId="71" fillId="10" borderId="0" xfId="3" applyFont="1" applyFill="1" applyAlignment="1">
      <alignment vertical="center"/>
    </xf>
    <xf numFmtId="169" fontId="73" fillId="10" borderId="0" xfId="1" applyNumberFormat="1" applyFont="1" applyFill="1" applyAlignment="1">
      <alignment vertical="center"/>
    </xf>
    <xf numFmtId="169" fontId="72" fillId="10" borderId="0" xfId="1" applyNumberFormat="1" applyFont="1" applyFill="1" applyAlignment="1">
      <alignment vertical="center"/>
    </xf>
    <xf numFmtId="49" fontId="76" fillId="3" borderId="0" xfId="3" applyNumberFormat="1" applyFont="1" applyFill="1" applyAlignment="1">
      <alignment horizontal="left" vertical="center" wrapText="1"/>
    </xf>
    <xf numFmtId="49" fontId="76" fillId="3" borderId="0" xfId="3" applyNumberFormat="1" applyFont="1" applyFill="1" applyAlignment="1">
      <alignment horizontal="left" vertical="center"/>
    </xf>
    <xf numFmtId="170" fontId="75" fillId="3" borderId="0" xfId="3" applyNumberFormat="1" applyFont="1" applyFill="1" applyAlignment="1">
      <alignment horizontal="left" vertical="center"/>
    </xf>
    <xf numFmtId="169" fontId="77" fillId="3" borderId="0" xfId="1" applyNumberFormat="1" applyFont="1" applyFill="1" applyAlignment="1">
      <alignment vertical="center"/>
    </xf>
    <xf numFmtId="169" fontId="75" fillId="3" borderId="0" xfId="1" applyNumberFormat="1" applyFont="1" applyFill="1" applyAlignment="1">
      <alignment vertical="center"/>
    </xf>
    <xf numFmtId="169" fontId="75" fillId="3" borderId="0" xfId="1" applyNumberFormat="1" applyFont="1" applyFill="1" applyBorder="1" applyAlignment="1">
      <alignment vertical="center"/>
    </xf>
    <xf numFmtId="170" fontId="72" fillId="3" borderId="0" xfId="3" applyNumberFormat="1" applyFont="1" applyFill="1" applyAlignment="1">
      <alignment horizontal="left" vertical="center"/>
    </xf>
    <xf numFmtId="169" fontId="73" fillId="3" borderId="0" xfId="1" applyNumberFormat="1" applyFont="1" applyFill="1" applyAlignment="1">
      <alignment vertical="center"/>
    </xf>
    <xf numFmtId="169" fontId="72" fillId="3" borderId="0" xfId="1" applyNumberFormat="1" applyFont="1" applyFill="1" applyAlignment="1">
      <alignment vertical="center"/>
    </xf>
    <xf numFmtId="49" fontId="71" fillId="3" borderId="0" xfId="3" applyNumberFormat="1" applyFont="1" applyFill="1" applyAlignment="1">
      <alignment horizontal="left" vertical="center" wrapText="1"/>
    </xf>
    <xf numFmtId="49" fontId="71" fillId="3" borderId="0" xfId="3" applyNumberFormat="1" applyFont="1" applyFill="1" applyAlignment="1">
      <alignment horizontal="left" vertical="center"/>
    </xf>
    <xf numFmtId="170" fontId="72" fillId="18" borderId="0" xfId="3" applyNumberFormat="1" applyFont="1" applyFill="1" applyAlignment="1">
      <alignment horizontal="left" vertical="center"/>
    </xf>
    <xf numFmtId="166" fontId="72" fillId="18" borderId="0" xfId="3" applyFont="1" applyFill="1" applyAlignment="1">
      <alignment vertical="center"/>
    </xf>
    <xf numFmtId="166" fontId="71" fillId="18" borderId="0" xfId="3" applyFont="1" applyFill="1" applyAlignment="1">
      <alignment vertical="center"/>
    </xf>
    <xf numFmtId="169" fontId="72" fillId="18" borderId="0" xfId="1" applyNumberFormat="1" applyFont="1" applyFill="1" applyAlignment="1">
      <alignment vertical="center"/>
    </xf>
    <xf numFmtId="166" fontId="61" fillId="18" borderId="0" xfId="3" applyFont="1" applyFill="1" applyAlignment="1">
      <alignment vertical="center"/>
    </xf>
    <xf numFmtId="169" fontId="78" fillId="3" borderId="0" xfId="3" applyNumberFormat="1" applyFont="1" applyFill="1" applyAlignment="1">
      <alignment vertical="center"/>
    </xf>
    <xf numFmtId="169" fontId="61" fillId="3" borderId="0" xfId="3" applyNumberFormat="1" applyFont="1" applyFill="1" applyAlignment="1">
      <alignment vertical="center"/>
    </xf>
    <xf numFmtId="170" fontId="72" fillId="21" borderId="0" xfId="3" applyNumberFormat="1" applyFont="1" applyFill="1" applyAlignment="1">
      <alignment horizontal="left" vertical="center"/>
    </xf>
    <xf numFmtId="169" fontId="61" fillId="0" borderId="0" xfId="3" applyNumberFormat="1" applyFont="1" applyAlignment="1">
      <alignment vertical="center"/>
    </xf>
    <xf numFmtId="170" fontId="75" fillId="21" borderId="0" xfId="3" applyNumberFormat="1" applyFont="1" applyFill="1" applyAlignment="1">
      <alignment horizontal="left" vertical="center"/>
    </xf>
    <xf numFmtId="49" fontId="71" fillId="18" borderId="0" xfId="3" applyNumberFormat="1" applyFont="1" applyFill="1" applyAlignment="1">
      <alignment horizontal="left" vertical="center" wrapText="1"/>
    </xf>
    <xf numFmtId="49" fontId="71" fillId="18" borderId="0" xfId="3" applyNumberFormat="1" applyFont="1" applyFill="1" applyAlignment="1">
      <alignment horizontal="left" vertical="center"/>
    </xf>
    <xf numFmtId="170" fontId="75" fillId="18" borderId="0" xfId="3" applyNumberFormat="1" applyFont="1" applyFill="1" applyAlignment="1">
      <alignment horizontal="left" vertical="center"/>
    </xf>
    <xf numFmtId="49" fontId="72" fillId="18" borderId="0" xfId="3" applyNumberFormat="1" applyFont="1" applyFill="1" applyAlignment="1">
      <alignment vertical="center"/>
    </xf>
    <xf numFmtId="169" fontId="61" fillId="18" borderId="0" xfId="3" applyNumberFormat="1" applyFont="1" applyFill="1" applyAlignment="1">
      <alignment vertical="center"/>
    </xf>
    <xf numFmtId="169" fontId="78" fillId="0" borderId="0" xfId="3" applyNumberFormat="1" applyFont="1" applyAlignment="1">
      <alignment vertical="center"/>
    </xf>
    <xf numFmtId="49" fontId="78" fillId="0" borderId="0" xfId="3" applyNumberFormat="1" applyFont="1" applyAlignment="1">
      <alignment horizontal="left" vertical="center"/>
    </xf>
    <xf numFmtId="49" fontId="61" fillId="18" borderId="0" xfId="3" applyNumberFormat="1" applyFont="1" applyFill="1" applyAlignment="1">
      <alignment horizontal="left" vertical="center"/>
    </xf>
    <xf numFmtId="166" fontId="87" fillId="0" borderId="0" xfId="3" applyFont="1" applyAlignment="1">
      <alignment vertical="center"/>
    </xf>
    <xf numFmtId="0" fontId="88" fillId="0" borderId="0" xfId="0" applyFont="1"/>
    <xf numFmtId="49" fontId="61" fillId="3" borderId="0" xfId="3" applyNumberFormat="1" applyFont="1" applyFill="1" applyAlignment="1">
      <alignment horizontal="left" vertical="center"/>
    </xf>
    <xf numFmtId="170" fontId="71" fillId="3" borderId="0" xfId="3" applyNumberFormat="1" applyFont="1" applyFill="1" applyAlignment="1">
      <alignment horizontal="left" vertical="center"/>
    </xf>
    <xf numFmtId="170" fontId="71" fillId="0" borderId="0" xfId="3" applyNumberFormat="1" applyFont="1" applyAlignment="1">
      <alignment horizontal="left" vertical="center"/>
    </xf>
    <xf numFmtId="166" fontId="89" fillId="0" borderId="0" xfId="3" applyFont="1" applyAlignment="1">
      <alignment vertical="center"/>
    </xf>
    <xf numFmtId="0" fontId="90" fillId="0" borderId="0" xfId="0" applyFont="1"/>
    <xf numFmtId="170" fontId="71" fillId="18" borderId="0" xfId="3" applyNumberFormat="1" applyFont="1" applyFill="1" applyAlignment="1">
      <alignment horizontal="left" vertical="center"/>
    </xf>
    <xf numFmtId="166" fontId="91" fillId="0" borderId="0" xfId="3" applyFont="1" applyAlignment="1">
      <alignment vertical="center"/>
    </xf>
    <xf numFmtId="0" fontId="92" fillId="0" borderId="0" xfId="0" applyFont="1"/>
    <xf numFmtId="170" fontId="76" fillId="0" borderId="0" xfId="3" applyNumberFormat="1" applyFont="1" applyAlignment="1">
      <alignment horizontal="left" vertical="center"/>
    </xf>
    <xf numFmtId="166" fontId="93" fillId="0" borderId="0" xfId="5" applyNumberFormat="1" applyFont="1" applyFill="1" applyBorder="1" applyAlignment="1">
      <alignment vertical="center"/>
    </xf>
    <xf numFmtId="166" fontId="94" fillId="0" borderId="0" xfId="5" applyNumberFormat="1" applyFont="1" applyFill="1" applyBorder="1" applyAlignment="1">
      <alignment vertical="center"/>
    </xf>
    <xf numFmtId="166" fontId="94" fillId="3" borderId="0" xfId="5" applyNumberFormat="1" applyFont="1" applyFill="1" applyBorder="1" applyAlignment="1">
      <alignment vertical="center"/>
    </xf>
    <xf numFmtId="169" fontId="61" fillId="0" borderId="18" xfId="3" applyNumberFormat="1" applyFont="1" applyBorder="1" applyAlignment="1">
      <alignment vertical="center"/>
    </xf>
    <xf numFmtId="169" fontId="72" fillId="20" borderId="18" xfId="1" applyNumberFormat="1" applyFont="1" applyFill="1" applyBorder="1" applyAlignment="1">
      <alignment vertical="center"/>
    </xf>
    <xf numFmtId="169" fontId="71" fillId="0" borderId="0" xfId="1" applyNumberFormat="1" applyFont="1" applyAlignment="1">
      <alignment horizontal="left" vertical="center"/>
    </xf>
    <xf numFmtId="166" fontId="77" fillId="3" borderId="0" xfId="3" applyFont="1" applyFill="1" applyAlignment="1">
      <alignment vertical="center"/>
    </xf>
    <xf numFmtId="166" fontId="89" fillId="3" borderId="0" xfId="3" applyFont="1" applyFill="1" applyAlignment="1">
      <alignment vertical="center"/>
    </xf>
    <xf numFmtId="0" fontId="90" fillId="3" borderId="0" xfId="0" applyFont="1" applyFill="1"/>
    <xf numFmtId="14" fontId="13" fillId="4" borderId="2" xfId="0" applyNumberFormat="1" applyFont="1" applyFill="1" applyBorder="1" applyAlignment="1">
      <alignment horizontal="center" vertical="center"/>
    </xf>
    <xf numFmtId="14" fontId="13" fillId="4" borderId="4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65" fontId="19" fillId="0" borderId="8" xfId="0" applyNumberFormat="1" applyFont="1" applyBorder="1" applyAlignment="1">
      <alignment horizontal="center" vertical="center"/>
    </xf>
    <xf numFmtId="0" fontId="18" fillId="2" borderId="5" xfId="1" applyNumberFormat="1" applyFont="1" applyFill="1" applyBorder="1" applyAlignment="1">
      <alignment horizontal="center" vertical="center"/>
    </xf>
    <xf numFmtId="0" fontId="18" fillId="2" borderId="6" xfId="1" applyNumberFormat="1" applyFont="1" applyFill="1" applyBorder="1" applyAlignment="1">
      <alignment horizontal="center" vertical="center"/>
    </xf>
    <xf numFmtId="0" fontId="18" fillId="2" borderId="9" xfId="1" applyNumberFormat="1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66" fontId="83" fillId="0" borderId="1" xfId="3" applyFont="1" applyBorder="1" applyAlignment="1">
      <alignment horizontal="center" vertical="center"/>
    </xf>
  </cellXfs>
  <cellStyles count="6">
    <cellStyle name="Milliers" xfId="1" builtinId="3"/>
    <cellStyle name="Milliers 6 3" xfId="5" xr:uid="{CBA221A1-79EA-474E-97AE-9903FF3A1784}"/>
    <cellStyle name="Monétaire" xfId="2" builtinId="4"/>
    <cellStyle name="Normal" xfId="0" builtinId="0"/>
    <cellStyle name="Normal 2 8" xfId="4" xr:uid="{77B5BFE1-6335-4D70-870C-675520D3BFE1}"/>
    <cellStyle name="Normal 8 3" xfId="3" xr:uid="{EFC106ED-6306-4EB2-8A8B-D5F0E53AC74E}"/>
  </cellStyles>
  <dxfs count="109"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b/>
        <i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70" formatCode="dd/mm/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-* #,##0\ _€_-;\-* #,##0\ _€_-;_-* &quot;-&quot;??\ _€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9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170" formatCode="dd/mm/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P/Desktop/TOSSAVI%20AMA/LOGISTIQUE/2025/TRESO_NOVEMBRE.xlsx" TargetMode="External"/><Relationship Id="rId2" Type="http://schemas.openxmlformats.org/officeDocument/2006/relationships/externalLinkPath" Target="file:///C:\Users\HP\Desktop\TOSSAVI%20AMA\LOGISTIQUE\2025\TRESO_NOVEMBRE.xlsx" TargetMode="External"/><Relationship Id="rId1" Type="http://schemas.openxmlformats.org/officeDocument/2006/relationships/externalLinkPath" Target="/Users/HP/Desktop/TOSSAVI%20AMA/LOGISTIQUE/2025/TRESO_NOVEMBR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P/Desktop/TOSSAVI%20AMA/CAISSE%20POUR%20AUDIT/TRESO%20OCTOBRE%20-%20Copie.xlsx" TargetMode="External"/><Relationship Id="rId2" Type="http://schemas.openxmlformats.org/officeDocument/2006/relationships/externalLinkPath" Target="file:///C:\Users\HP\Desktop\TOSSAVI%20AMA\CAISSE%20POUR%20AUDIT\TRESO%20OCTOBRE%20-%20Copie.xlsx" TargetMode="External"/><Relationship Id="rId1" Type="http://schemas.openxmlformats.org/officeDocument/2006/relationships/externalLinkPath" Target="/Users/HP/Desktop/TOSSAVI%20AMA/CAISSE%20POUR%20AUDIT/TRESO%20OCTOBRE%20-%20Copi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P/Desktop/TOSSAVI%20AMA/CAISSE%20POUR%20AUDIT/TRESO_NOVEMBRE%20-%20Copie.xlsx" TargetMode="External"/><Relationship Id="rId2" Type="http://schemas.openxmlformats.org/officeDocument/2006/relationships/externalLinkPath" Target="file:///C:\Users\HP\Desktop\TOSSAVI%20AMA\CAISSE%20POUR%20AUDIT\TRESO_NOVEMBRE%20-%20Copie.xlsx" TargetMode="External"/><Relationship Id="rId1" Type="http://schemas.openxmlformats.org/officeDocument/2006/relationships/externalLinkPath" Target="/Users/HP/Desktop/TOSSAVI%20AMA/CAISSE%20POUR%20AUDIT/TRESO_NOVEMBRE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OUILLARD DE CAISSE "/>
      <sheetName val="BROUILLARD DE CAISSE  (3)"/>
      <sheetName val="BROUILLARD DE CAISSE  (2)"/>
      <sheetName val="JOURNAL DE BANQUE "/>
      <sheetName val="DONNEES"/>
      <sheetName val="SYNTHESE HEBDOMMADAIRE"/>
      <sheetName val="SUIVI_POSTE_DEPENSES"/>
      <sheetName val="INVENTAIRE CAIS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OUILLARD DE CAISSE "/>
      <sheetName val="SUIVI_POSTE_DEPENSES"/>
      <sheetName val="INVENTAIRE CAISSE"/>
    </sheetNames>
    <sheetDataSet>
      <sheetData sheetId="0">
        <row r="7">
          <cell r="C7">
            <v>45931</v>
          </cell>
        </row>
        <row r="8">
          <cell r="C8">
            <v>45931</v>
          </cell>
        </row>
        <row r="9">
          <cell r="C9">
            <v>45931</v>
          </cell>
        </row>
        <row r="10">
          <cell r="C10">
            <v>45931</v>
          </cell>
        </row>
        <row r="11">
          <cell r="C11">
            <v>45931</v>
          </cell>
        </row>
        <row r="12">
          <cell r="C12">
            <v>45931</v>
          </cell>
        </row>
        <row r="13">
          <cell r="C13">
            <v>45931</v>
          </cell>
        </row>
        <row r="14">
          <cell r="C14">
            <v>45932</v>
          </cell>
        </row>
        <row r="15">
          <cell r="C15">
            <v>45931</v>
          </cell>
        </row>
        <row r="16">
          <cell r="C16">
            <v>45931</v>
          </cell>
        </row>
        <row r="17">
          <cell r="C17">
            <v>45931</v>
          </cell>
        </row>
        <row r="18">
          <cell r="C18">
            <v>45931</v>
          </cell>
        </row>
        <row r="19">
          <cell r="C19">
            <v>45931</v>
          </cell>
        </row>
        <row r="20">
          <cell r="C20">
            <v>45931</v>
          </cell>
        </row>
        <row r="21">
          <cell r="C21">
            <v>45931</v>
          </cell>
        </row>
        <row r="22">
          <cell r="C22">
            <v>45931</v>
          </cell>
        </row>
        <row r="23">
          <cell r="C23">
            <v>45932</v>
          </cell>
        </row>
        <row r="24">
          <cell r="C24">
            <v>45932</v>
          </cell>
        </row>
        <row r="25">
          <cell r="C25">
            <v>45932</v>
          </cell>
        </row>
        <row r="26">
          <cell r="C26">
            <v>45932</v>
          </cell>
        </row>
        <row r="27">
          <cell r="C27">
            <v>45932</v>
          </cell>
        </row>
        <row r="28">
          <cell r="C28">
            <v>45932</v>
          </cell>
        </row>
        <row r="29">
          <cell r="C29">
            <v>45932</v>
          </cell>
        </row>
        <row r="30">
          <cell r="C30">
            <v>45932</v>
          </cell>
        </row>
        <row r="31">
          <cell r="C31">
            <v>45932</v>
          </cell>
        </row>
        <row r="32">
          <cell r="C32">
            <v>45932</v>
          </cell>
        </row>
        <row r="33">
          <cell r="C33">
            <v>45932</v>
          </cell>
        </row>
        <row r="34">
          <cell r="C34">
            <v>45933</v>
          </cell>
        </row>
        <row r="35">
          <cell r="C35">
            <v>45933</v>
          </cell>
        </row>
        <row r="36">
          <cell r="C36">
            <v>45933</v>
          </cell>
        </row>
        <row r="37">
          <cell r="C37">
            <v>45933</v>
          </cell>
        </row>
        <row r="38">
          <cell r="C38">
            <v>45933</v>
          </cell>
        </row>
        <row r="39">
          <cell r="C39">
            <v>45933</v>
          </cell>
        </row>
        <row r="40">
          <cell r="C40">
            <v>45933</v>
          </cell>
        </row>
        <row r="41">
          <cell r="C41">
            <v>45933</v>
          </cell>
        </row>
        <row r="42">
          <cell r="C42">
            <v>45933</v>
          </cell>
        </row>
        <row r="43">
          <cell r="C43">
            <v>45933</v>
          </cell>
        </row>
        <row r="44">
          <cell r="C44">
            <v>45933</v>
          </cell>
        </row>
        <row r="45">
          <cell r="C45">
            <v>45933</v>
          </cell>
        </row>
        <row r="46">
          <cell r="C46">
            <v>45934</v>
          </cell>
        </row>
        <row r="47">
          <cell r="C47">
            <v>45934</v>
          </cell>
        </row>
        <row r="48">
          <cell r="C48">
            <v>45934</v>
          </cell>
        </row>
        <row r="49">
          <cell r="C49">
            <v>45934</v>
          </cell>
        </row>
        <row r="50">
          <cell r="C50">
            <v>45934</v>
          </cell>
        </row>
        <row r="51">
          <cell r="C51">
            <v>45934</v>
          </cell>
        </row>
        <row r="52">
          <cell r="C52">
            <v>45934</v>
          </cell>
        </row>
        <row r="53">
          <cell r="C53">
            <v>45934</v>
          </cell>
        </row>
        <row r="54">
          <cell r="C54">
            <v>45934</v>
          </cell>
        </row>
        <row r="55">
          <cell r="C55">
            <v>45934</v>
          </cell>
        </row>
        <row r="56">
          <cell r="C56">
            <v>45934</v>
          </cell>
        </row>
        <row r="57">
          <cell r="C57">
            <v>45934</v>
          </cell>
        </row>
        <row r="58">
          <cell r="C58">
            <v>45934</v>
          </cell>
        </row>
        <row r="59">
          <cell r="C59">
            <v>45935</v>
          </cell>
        </row>
        <row r="60">
          <cell r="C60">
            <v>45936</v>
          </cell>
        </row>
        <row r="61">
          <cell r="C61">
            <v>45936</v>
          </cell>
        </row>
        <row r="62">
          <cell r="C62">
            <v>45936</v>
          </cell>
        </row>
        <row r="63">
          <cell r="C63">
            <v>45936</v>
          </cell>
        </row>
        <row r="64">
          <cell r="C64">
            <v>45936</v>
          </cell>
        </row>
        <row r="65">
          <cell r="C65">
            <v>45936</v>
          </cell>
        </row>
        <row r="66">
          <cell r="C66">
            <v>45936</v>
          </cell>
        </row>
        <row r="67">
          <cell r="C67">
            <v>45936</v>
          </cell>
        </row>
        <row r="68">
          <cell r="C68">
            <v>45936</v>
          </cell>
        </row>
        <row r="69">
          <cell r="C69">
            <v>45936</v>
          </cell>
        </row>
        <row r="70">
          <cell r="C70">
            <v>45936</v>
          </cell>
        </row>
        <row r="71">
          <cell r="C71">
            <v>45936</v>
          </cell>
        </row>
        <row r="72">
          <cell r="C72">
            <v>45936</v>
          </cell>
        </row>
        <row r="73">
          <cell r="C73">
            <v>45937</v>
          </cell>
        </row>
        <row r="74">
          <cell r="C74">
            <v>45937</v>
          </cell>
        </row>
        <row r="75">
          <cell r="C75">
            <v>45937</v>
          </cell>
        </row>
        <row r="76">
          <cell r="C76">
            <v>45937</v>
          </cell>
        </row>
        <row r="77">
          <cell r="C77">
            <v>45937</v>
          </cell>
        </row>
        <row r="78">
          <cell r="C78">
            <v>45937</v>
          </cell>
        </row>
        <row r="79">
          <cell r="C79">
            <v>45937</v>
          </cell>
        </row>
        <row r="80">
          <cell r="C80">
            <v>45937</v>
          </cell>
        </row>
        <row r="81">
          <cell r="C81">
            <v>45937</v>
          </cell>
        </row>
        <row r="82">
          <cell r="C82">
            <v>45937</v>
          </cell>
        </row>
        <row r="83">
          <cell r="C83">
            <v>45937</v>
          </cell>
        </row>
        <row r="84">
          <cell r="C84">
            <v>45937</v>
          </cell>
        </row>
        <row r="85">
          <cell r="C85">
            <v>45937</v>
          </cell>
        </row>
        <row r="86">
          <cell r="C86">
            <v>45937</v>
          </cell>
        </row>
        <row r="87">
          <cell r="C87">
            <v>45938</v>
          </cell>
        </row>
        <row r="88">
          <cell r="C88">
            <v>45938</v>
          </cell>
        </row>
        <row r="89">
          <cell r="C89">
            <v>45938</v>
          </cell>
        </row>
        <row r="90">
          <cell r="C90">
            <v>45938</v>
          </cell>
        </row>
        <row r="91">
          <cell r="C91">
            <v>45938</v>
          </cell>
        </row>
        <row r="92">
          <cell r="C92">
            <v>45938</v>
          </cell>
        </row>
        <row r="93">
          <cell r="C93">
            <v>45938</v>
          </cell>
        </row>
        <row r="94">
          <cell r="C94">
            <v>45938</v>
          </cell>
        </row>
        <row r="95">
          <cell r="C95">
            <v>45938</v>
          </cell>
        </row>
        <row r="96">
          <cell r="C96">
            <v>45938</v>
          </cell>
        </row>
        <row r="97">
          <cell r="C97">
            <v>45939</v>
          </cell>
        </row>
        <row r="98">
          <cell r="C98">
            <v>45939</v>
          </cell>
        </row>
        <row r="99">
          <cell r="C99">
            <v>45939</v>
          </cell>
        </row>
        <row r="100">
          <cell r="C100">
            <v>45939</v>
          </cell>
        </row>
        <row r="101">
          <cell r="C101">
            <v>45939</v>
          </cell>
        </row>
        <row r="102">
          <cell r="C102">
            <v>45939</v>
          </cell>
        </row>
        <row r="103">
          <cell r="C103">
            <v>45939</v>
          </cell>
        </row>
        <row r="104">
          <cell r="C104">
            <v>45939</v>
          </cell>
        </row>
        <row r="105">
          <cell r="C105">
            <v>45939</v>
          </cell>
        </row>
        <row r="106">
          <cell r="C106">
            <v>45940</v>
          </cell>
        </row>
        <row r="107">
          <cell r="C107">
            <v>45940</v>
          </cell>
        </row>
        <row r="108">
          <cell r="C108">
            <v>45940</v>
          </cell>
        </row>
        <row r="109">
          <cell r="C109">
            <v>45940</v>
          </cell>
        </row>
        <row r="110">
          <cell r="C110">
            <v>45940</v>
          </cell>
        </row>
        <row r="111">
          <cell r="C111">
            <v>45940</v>
          </cell>
        </row>
        <row r="112">
          <cell r="C112">
            <v>45940</v>
          </cell>
        </row>
        <row r="113">
          <cell r="C113">
            <v>45940</v>
          </cell>
        </row>
        <row r="114">
          <cell r="C114">
            <v>45940</v>
          </cell>
        </row>
        <row r="115">
          <cell r="C115">
            <v>45940</v>
          </cell>
        </row>
        <row r="116">
          <cell r="C116">
            <v>45941</v>
          </cell>
        </row>
        <row r="117">
          <cell r="C117">
            <v>45941</v>
          </cell>
        </row>
        <row r="118">
          <cell r="C118">
            <v>45941</v>
          </cell>
        </row>
        <row r="119">
          <cell r="C119">
            <v>45941</v>
          </cell>
        </row>
        <row r="120">
          <cell r="C120">
            <v>45941</v>
          </cell>
        </row>
        <row r="121">
          <cell r="C121">
            <v>45941</v>
          </cell>
        </row>
        <row r="122">
          <cell r="C122">
            <v>45941</v>
          </cell>
        </row>
        <row r="123">
          <cell r="C123">
            <v>45941</v>
          </cell>
        </row>
        <row r="124">
          <cell r="C124">
            <v>45941</v>
          </cell>
        </row>
        <row r="125">
          <cell r="C125">
            <v>45941</v>
          </cell>
        </row>
        <row r="126">
          <cell r="C126">
            <v>45941</v>
          </cell>
        </row>
        <row r="127">
          <cell r="C127">
            <v>45941</v>
          </cell>
        </row>
        <row r="128">
          <cell r="C128">
            <v>45941</v>
          </cell>
        </row>
        <row r="129">
          <cell r="C129">
            <v>45941</v>
          </cell>
        </row>
        <row r="130">
          <cell r="C130">
            <v>45941</v>
          </cell>
        </row>
        <row r="131">
          <cell r="C131">
            <v>45941</v>
          </cell>
        </row>
        <row r="132">
          <cell r="C132">
            <v>45941</v>
          </cell>
        </row>
        <row r="133">
          <cell r="C133">
            <v>45941</v>
          </cell>
        </row>
        <row r="134">
          <cell r="C134">
            <v>45941</v>
          </cell>
        </row>
        <row r="135">
          <cell r="C135">
            <v>45941</v>
          </cell>
        </row>
        <row r="136">
          <cell r="C136">
            <v>45941</v>
          </cell>
        </row>
        <row r="137">
          <cell r="C137">
            <v>45941</v>
          </cell>
        </row>
        <row r="138">
          <cell r="C138">
            <v>45941</v>
          </cell>
        </row>
        <row r="139">
          <cell r="C139">
            <v>45941</v>
          </cell>
        </row>
        <row r="140">
          <cell r="C140">
            <v>45941</v>
          </cell>
        </row>
        <row r="141">
          <cell r="C141">
            <v>45941</v>
          </cell>
        </row>
        <row r="142">
          <cell r="C142">
            <v>45941</v>
          </cell>
        </row>
        <row r="143">
          <cell r="C143">
            <v>45941</v>
          </cell>
        </row>
        <row r="144">
          <cell r="C144">
            <v>45941</v>
          </cell>
        </row>
        <row r="145">
          <cell r="C145">
            <v>45941</v>
          </cell>
        </row>
        <row r="146">
          <cell r="C146">
            <v>45941</v>
          </cell>
        </row>
        <row r="147">
          <cell r="C147">
            <v>45941</v>
          </cell>
        </row>
        <row r="148">
          <cell r="C148">
            <v>45941</v>
          </cell>
        </row>
        <row r="149">
          <cell r="C149">
            <v>45941</v>
          </cell>
        </row>
        <row r="150">
          <cell r="C150">
            <v>45941</v>
          </cell>
        </row>
        <row r="151">
          <cell r="C151">
            <v>45941</v>
          </cell>
        </row>
        <row r="152">
          <cell r="C152">
            <v>45941</v>
          </cell>
        </row>
        <row r="153">
          <cell r="C153">
            <v>45941</v>
          </cell>
        </row>
        <row r="154">
          <cell r="C154">
            <v>45943</v>
          </cell>
        </row>
        <row r="155">
          <cell r="C155">
            <v>45943</v>
          </cell>
        </row>
        <row r="156">
          <cell r="C156">
            <v>45943</v>
          </cell>
        </row>
        <row r="157">
          <cell r="C157">
            <v>45943</v>
          </cell>
        </row>
        <row r="158">
          <cell r="C158">
            <v>45943</v>
          </cell>
        </row>
        <row r="159">
          <cell r="C159">
            <v>45943</v>
          </cell>
        </row>
        <row r="160">
          <cell r="C160">
            <v>45943</v>
          </cell>
        </row>
        <row r="161">
          <cell r="C161">
            <v>45943</v>
          </cell>
        </row>
        <row r="162">
          <cell r="C162">
            <v>45943</v>
          </cell>
        </row>
        <row r="163">
          <cell r="C163">
            <v>45943</v>
          </cell>
        </row>
        <row r="164">
          <cell r="C164">
            <v>45943</v>
          </cell>
        </row>
        <row r="165">
          <cell r="C165">
            <v>45943</v>
          </cell>
        </row>
        <row r="166">
          <cell r="C166">
            <v>45943</v>
          </cell>
        </row>
        <row r="167">
          <cell r="C167">
            <v>45943</v>
          </cell>
        </row>
        <row r="168">
          <cell r="C168">
            <v>45943</v>
          </cell>
        </row>
        <row r="169">
          <cell r="C169">
            <v>45943</v>
          </cell>
        </row>
        <row r="170">
          <cell r="C170">
            <v>45943</v>
          </cell>
        </row>
        <row r="171">
          <cell r="C171">
            <v>45943</v>
          </cell>
        </row>
        <row r="172">
          <cell r="C172">
            <v>45943</v>
          </cell>
        </row>
        <row r="173">
          <cell r="C173">
            <v>45943</v>
          </cell>
        </row>
        <row r="174">
          <cell r="C174">
            <v>45943</v>
          </cell>
        </row>
        <row r="175">
          <cell r="C175">
            <v>45943</v>
          </cell>
        </row>
        <row r="176">
          <cell r="C176">
            <v>45943</v>
          </cell>
        </row>
        <row r="177">
          <cell r="C177">
            <v>45943</v>
          </cell>
        </row>
        <row r="178">
          <cell r="C178">
            <v>45943</v>
          </cell>
        </row>
        <row r="179">
          <cell r="C179">
            <v>45943</v>
          </cell>
        </row>
        <row r="180">
          <cell r="C180">
            <v>45943</v>
          </cell>
        </row>
        <row r="181">
          <cell r="C181">
            <v>45943</v>
          </cell>
        </row>
        <row r="182">
          <cell r="C182">
            <v>45944</v>
          </cell>
        </row>
        <row r="183">
          <cell r="C183">
            <v>45944</v>
          </cell>
        </row>
        <row r="184">
          <cell r="C184">
            <v>45944</v>
          </cell>
        </row>
        <row r="185">
          <cell r="C185">
            <v>45944</v>
          </cell>
        </row>
        <row r="186">
          <cell r="C186">
            <v>45944</v>
          </cell>
        </row>
        <row r="187">
          <cell r="C187">
            <v>45944</v>
          </cell>
        </row>
        <row r="188">
          <cell r="C188">
            <v>45944</v>
          </cell>
        </row>
        <row r="189">
          <cell r="C189">
            <v>45944</v>
          </cell>
        </row>
        <row r="190">
          <cell r="C190">
            <v>45944</v>
          </cell>
        </row>
        <row r="191">
          <cell r="C191">
            <v>45944</v>
          </cell>
        </row>
        <row r="192">
          <cell r="C192">
            <v>45944</v>
          </cell>
        </row>
        <row r="193">
          <cell r="C193">
            <v>45944</v>
          </cell>
        </row>
        <row r="194">
          <cell r="C194">
            <v>45944</v>
          </cell>
        </row>
        <row r="195">
          <cell r="C195">
            <v>45944</v>
          </cell>
        </row>
        <row r="196">
          <cell r="C196">
            <v>45944</v>
          </cell>
        </row>
        <row r="197">
          <cell r="C197">
            <v>45945</v>
          </cell>
        </row>
        <row r="198">
          <cell r="C198">
            <v>45945</v>
          </cell>
        </row>
        <row r="199">
          <cell r="C199">
            <v>45945</v>
          </cell>
        </row>
        <row r="200">
          <cell r="C200">
            <v>45945</v>
          </cell>
        </row>
        <row r="201">
          <cell r="C201">
            <v>45945</v>
          </cell>
        </row>
        <row r="202">
          <cell r="C202">
            <v>45945</v>
          </cell>
        </row>
        <row r="203">
          <cell r="C203">
            <v>45945</v>
          </cell>
        </row>
        <row r="204">
          <cell r="C204">
            <v>45945</v>
          </cell>
        </row>
        <row r="205">
          <cell r="C205">
            <v>45945</v>
          </cell>
        </row>
        <row r="206">
          <cell r="C206">
            <v>45945</v>
          </cell>
        </row>
        <row r="207">
          <cell r="C207">
            <v>45946</v>
          </cell>
        </row>
        <row r="208">
          <cell r="C208">
            <v>45946</v>
          </cell>
        </row>
        <row r="209">
          <cell r="C209">
            <v>45946</v>
          </cell>
        </row>
        <row r="210">
          <cell r="C210">
            <v>45946</v>
          </cell>
        </row>
        <row r="211">
          <cell r="C211">
            <v>45946</v>
          </cell>
        </row>
        <row r="212">
          <cell r="C212">
            <v>45946</v>
          </cell>
        </row>
        <row r="213">
          <cell r="C213">
            <v>45946</v>
          </cell>
        </row>
        <row r="214">
          <cell r="C214">
            <v>45946</v>
          </cell>
        </row>
        <row r="215">
          <cell r="C215">
            <v>45946</v>
          </cell>
        </row>
        <row r="216">
          <cell r="C216">
            <v>45946</v>
          </cell>
        </row>
        <row r="217">
          <cell r="C217">
            <v>45946</v>
          </cell>
        </row>
        <row r="218">
          <cell r="C218">
            <v>45947</v>
          </cell>
        </row>
        <row r="219">
          <cell r="C219">
            <v>45947</v>
          </cell>
        </row>
        <row r="220">
          <cell r="C220">
            <v>45947</v>
          </cell>
        </row>
        <row r="221">
          <cell r="C221">
            <v>45947</v>
          </cell>
        </row>
        <row r="222">
          <cell r="C222">
            <v>45947</v>
          </cell>
        </row>
        <row r="223">
          <cell r="C223">
            <v>45947</v>
          </cell>
        </row>
        <row r="224">
          <cell r="C224">
            <v>45947</v>
          </cell>
        </row>
        <row r="225">
          <cell r="C225">
            <v>45947</v>
          </cell>
        </row>
        <row r="226">
          <cell r="C226">
            <v>45947</v>
          </cell>
        </row>
        <row r="227">
          <cell r="C227">
            <v>45948</v>
          </cell>
        </row>
        <row r="228">
          <cell r="C228">
            <v>45948</v>
          </cell>
        </row>
        <row r="229">
          <cell r="C229">
            <v>45948</v>
          </cell>
        </row>
        <row r="230">
          <cell r="C230">
            <v>45948</v>
          </cell>
        </row>
        <row r="231">
          <cell r="C231">
            <v>45948</v>
          </cell>
        </row>
        <row r="232">
          <cell r="C232">
            <v>45950</v>
          </cell>
        </row>
        <row r="233">
          <cell r="C233">
            <v>45950</v>
          </cell>
        </row>
        <row r="234">
          <cell r="C234">
            <v>45950</v>
          </cell>
        </row>
        <row r="235">
          <cell r="C235">
            <v>45950</v>
          </cell>
        </row>
        <row r="236">
          <cell r="C236">
            <v>45950</v>
          </cell>
        </row>
        <row r="237">
          <cell r="C237">
            <v>45950</v>
          </cell>
        </row>
        <row r="238">
          <cell r="C238">
            <v>45950</v>
          </cell>
        </row>
        <row r="264">
          <cell r="C264">
            <v>45950</v>
          </cell>
        </row>
        <row r="265">
          <cell r="C265">
            <v>45950</v>
          </cell>
        </row>
        <row r="266">
          <cell r="C266">
            <v>45950</v>
          </cell>
        </row>
        <row r="267">
          <cell r="C267" t="str">
            <v>21/0/10/2025</v>
          </cell>
        </row>
        <row r="268">
          <cell r="C268">
            <v>45951</v>
          </cell>
        </row>
        <row r="269">
          <cell r="C269">
            <v>45951</v>
          </cell>
        </row>
        <row r="270">
          <cell r="C270">
            <v>45951</v>
          </cell>
        </row>
        <row r="271">
          <cell r="C271">
            <v>45951</v>
          </cell>
        </row>
        <row r="272">
          <cell r="C272">
            <v>45951</v>
          </cell>
        </row>
        <row r="273">
          <cell r="C273">
            <v>45951</v>
          </cell>
        </row>
        <row r="274">
          <cell r="C274">
            <v>45951</v>
          </cell>
        </row>
        <row r="275">
          <cell r="C275">
            <v>45951</v>
          </cell>
        </row>
        <row r="276">
          <cell r="C276">
            <v>45951</v>
          </cell>
        </row>
        <row r="277">
          <cell r="C277">
            <v>45951</v>
          </cell>
        </row>
        <row r="278">
          <cell r="C278">
            <v>45952</v>
          </cell>
        </row>
        <row r="309">
          <cell r="C309">
            <v>45952</v>
          </cell>
        </row>
        <row r="310">
          <cell r="C310">
            <v>45952</v>
          </cell>
        </row>
        <row r="311">
          <cell r="C311">
            <v>45952</v>
          </cell>
        </row>
        <row r="312">
          <cell r="C312">
            <v>45952</v>
          </cell>
        </row>
        <row r="313">
          <cell r="C313">
            <v>45952</v>
          </cell>
        </row>
        <row r="314">
          <cell r="C314">
            <v>45952</v>
          </cell>
        </row>
        <row r="315">
          <cell r="C315">
            <v>45952</v>
          </cell>
        </row>
        <row r="316">
          <cell r="C316">
            <v>45952</v>
          </cell>
        </row>
        <row r="317">
          <cell r="C317">
            <v>45952</v>
          </cell>
        </row>
        <row r="318">
          <cell r="C318">
            <v>45953</v>
          </cell>
        </row>
        <row r="319">
          <cell r="C319">
            <v>45953</v>
          </cell>
        </row>
        <row r="320">
          <cell r="C320">
            <v>45953</v>
          </cell>
        </row>
        <row r="321">
          <cell r="C321">
            <v>45953</v>
          </cell>
        </row>
        <row r="322">
          <cell r="C322">
            <v>45953</v>
          </cell>
        </row>
        <row r="323">
          <cell r="C323">
            <v>45953</v>
          </cell>
        </row>
        <row r="324">
          <cell r="C324">
            <v>45953</v>
          </cell>
        </row>
        <row r="325">
          <cell r="C325">
            <v>45953</v>
          </cell>
        </row>
        <row r="326">
          <cell r="C326">
            <v>45953</v>
          </cell>
        </row>
        <row r="327">
          <cell r="C327">
            <v>45953</v>
          </cell>
        </row>
        <row r="328">
          <cell r="C328">
            <v>45953</v>
          </cell>
        </row>
        <row r="329">
          <cell r="C329">
            <v>45953</v>
          </cell>
        </row>
        <row r="330">
          <cell r="C330">
            <v>45953</v>
          </cell>
        </row>
        <row r="331">
          <cell r="C331">
            <v>45954</v>
          </cell>
        </row>
        <row r="332">
          <cell r="C332">
            <v>45954</v>
          </cell>
        </row>
        <row r="333">
          <cell r="C333">
            <v>45954</v>
          </cell>
        </row>
        <row r="334">
          <cell r="C334">
            <v>45957</v>
          </cell>
        </row>
        <row r="335">
          <cell r="C335">
            <v>45957</v>
          </cell>
        </row>
        <row r="336">
          <cell r="C336">
            <v>45957</v>
          </cell>
        </row>
        <row r="337">
          <cell r="C337">
            <v>45957</v>
          </cell>
        </row>
        <row r="338">
          <cell r="C338">
            <v>45957</v>
          </cell>
        </row>
        <row r="339">
          <cell r="C339">
            <v>45957</v>
          </cell>
        </row>
        <row r="340">
          <cell r="C340">
            <v>45958</v>
          </cell>
        </row>
        <row r="341">
          <cell r="C341">
            <v>45958</v>
          </cell>
        </row>
        <row r="342">
          <cell r="C342">
            <v>45958</v>
          </cell>
        </row>
        <row r="343">
          <cell r="C343">
            <v>45958</v>
          </cell>
        </row>
        <row r="344">
          <cell r="C344">
            <v>45958</v>
          </cell>
        </row>
        <row r="345">
          <cell r="C345">
            <v>45958</v>
          </cell>
        </row>
        <row r="346">
          <cell r="C346">
            <v>45958</v>
          </cell>
        </row>
        <row r="347">
          <cell r="C347">
            <v>45958</v>
          </cell>
        </row>
        <row r="348">
          <cell r="C348">
            <v>45958</v>
          </cell>
        </row>
        <row r="349">
          <cell r="C349">
            <v>45958</v>
          </cell>
        </row>
        <row r="350">
          <cell r="C350">
            <v>45958</v>
          </cell>
        </row>
        <row r="351">
          <cell r="C351">
            <v>45959</v>
          </cell>
        </row>
        <row r="352">
          <cell r="C352">
            <v>45959</v>
          </cell>
        </row>
        <row r="353">
          <cell r="C353">
            <v>45959</v>
          </cell>
        </row>
        <row r="354">
          <cell r="C354">
            <v>45959</v>
          </cell>
        </row>
        <row r="355">
          <cell r="C355">
            <v>45959</v>
          </cell>
        </row>
        <row r="356">
          <cell r="C356">
            <v>45959</v>
          </cell>
        </row>
        <row r="357">
          <cell r="C357">
            <v>45959</v>
          </cell>
        </row>
        <row r="358">
          <cell r="C358">
            <v>45959</v>
          </cell>
        </row>
        <row r="359">
          <cell r="C359">
            <v>45959</v>
          </cell>
        </row>
        <row r="360">
          <cell r="C360">
            <v>45959</v>
          </cell>
        </row>
        <row r="361">
          <cell r="C361">
            <v>45959</v>
          </cell>
        </row>
        <row r="362">
          <cell r="C362">
            <v>45959</v>
          </cell>
        </row>
        <row r="363">
          <cell r="C363">
            <v>45959</v>
          </cell>
        </row>
        <row r="364">
          <cell r="C364">
            <v>45959</v>
          </cell>
        </row>
        <row r="365">
          <cell r="C365">
            <v>45959</v>
          </cell>
        </row>
        <row r="366">
          <cell r="C366">
            <v>45959</v>
          </cell>
        </row>
        <row r="367">
          <cell r="C367">
            <v>45960</v>
          </cell>
        </row>
        <row r="368">
          <cell r="C368">
            <v>45960</v>
          </cell>
        </row>
        <row r="369">
          <cell r="C369">
            <v>45960</v>
          </cell>
        </row>
        <row r="370">
          <cell r="C370">
            <v>45960</v>
          </cell>
        </row>
        <row r="371">
          <cell r="C371">
            <v>45960</v>
          </cell>
        </row>
        <row r="372">
          <cell r="C372">
            <v>45960</v>
          </cell>
        </row>
        <row r="373">
          <cell r="C373">
            <v>45960</v>
          </cell>
        </row>
        <row r="374">
          <cell r="C374">
            <v>45960</v>
          </cell>
        </row>
        <row r="375">
          <cell r="C375">
            <v>45960</v>
          </cell>
        </row>
        <row r="376">
          <cell r="C376">
            <v>45960</v>
          </cell>
        </row>
        <row r="377">
          <cell r="C377">
            <v>45960</v>
          </cell>
        </row>
        <row r="378">
          <cell r="C378">
            <v>45960</v>
          </cell>
        </row>
        <row r="379">
          <cell r="C379">
            <v>45960</v>
          </cell>
        </row>
        <row r="380">
          <cell r="C380">
            <v>45960</v>
          </cell>
        </row>
        <row r="381">
          <cell r="C381">
            <v>45961</v>
          </cell>
        </row>
        <row r="382">
          <cell r="C382">
            <v>45961</v>
          </cell>
        </row>
        <row r="383">
          <cell r="C383">
            <v>45961</v>
          </cell>
        </row>
        <row r="384">
          <cell r="C384">
            <v>45961</v>
          </cell>
        </row>
        <row r="385">
          <cell r="C385">
            <v>45961</v>
          </cell>
        </row>
        <row r="386">
          <cell r="C386">
            <v>45961</v>
          </cell>
        </row>
        <row r="387">
          <cell r="C387">
            <v>45961</v>
          </cell>
        </row>
        <row r="388">
          <cell r="C388">
            <v>45961</v>
          </cell>
        </row>
        <row r="389">
          <cell r="C389">
            <v>45961</v>
          </cell>
        </row>
        <row r="390">
          <cell r="C390">
            <v>45961</v>
          </cell>
        </row>
        <row r="391">
          <cell r="C391">
            <v>45961</v>
          </cell>
        </row>
        <row r="392">
          <cell r="C392">
            <v>45961</v>
          </cell>
        </row>
        <row r="393">
          <cell r="C393">
            <v>45961</v>
          </cell>
        </row>
        <row r="394">
          <cell r="C394">
            <v>45961</v>
          </cell>
        </row>
        <row r="395">
          <cell r="C395">
            <v>45961</v>
          </cell>
        </row>
        <row r="396">
          <cell r="C396">
            <v>45961</v>
          </cell>
        </row>
        <row r="397">
          <cell r="C397">
            <v>45961</v>
          </cell>
        </row>
        <row r="398">
          <cell r="C398">
            <v>45961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OUILLARD DE CAISSE "/>
      <sheetName val="SUIVI_POSTE_DEPENSES"/>
      <sheetName val="INVENTAIRE CAISSE"/>
    </sheetNames>
    <sheetDataSet>
      <sheetData sheetId="0">
        <row r="7">
          <cell r="C7">
            <v>45962</v>
          </cell>
        </row>
        <row r="9">
          <cell r="C9">
            <v>45962</v>
          </cell>
        </row>
        <row r="10">
          <cell r="C10">
            <v>45962</v>
          </cell>
        </row>
        <row r="11">
          <cell r="C11">
            <v>45962</v>
          </cell>
        </row>
        <row r="12">
          <cell r="C12">
            <v>45962</v>
          </cell>
        </row>
        <row r="13">
          <cell r="C13">
            <v>45963</v>
          </cell>
        </row>
        <row r="14">
          <cell r="C14">
            <v>45963</v>
          </cell>
        </row>
        <row r="15">
          <cell r="C15">
            <v>45963</v>
          </cell>
        </row>
        <row r="16">
          <cell r="C16">
            <v>45963</v>
          </cell>
        </row>
        <row r="17">
          <cell r="C17">
            <v>45964</v>
          </cell>
        </row>
        <row r="18">
          <cell r="C18">
            <v>45964</v>
          </cell>
        </row>
        <row r="19">
          <cell r="C19">
            <v>45964</v>
          </cell>
        </row>
        <row r="20">
          <cell r="C20">
            <v>45964</v>
          </cell>
        </row>
        <row r="21">
          <cell r="C21">
            <v>45964</v>
          </cell>
        </row>
        <row r="22">
          <cell r="C22">
            <v>45964</v>
          </cell>
        </row>
        <row r="23">
          <cell r="C23">
            <v>45964</v>
          </cell>
        </row>
        <row r="24">
          <cell r="C24">
            <v>45964</v>
          </cell>
        </row>
        <row r="25">
          <cell r="C25">
            <v>45964</v>
          </cell>
        </row>
        <row r="26">
          <cell r="C26">
            <v>45964</v>
          </cell>
        </row>
        <row r="27">
          <cell r="C27">
            <v>45964</v>
          </cell>
        </row>
        <row r="28">
          <cell r="C28">
            <v>45964</v>
          </cell>
        </row>
        <row r="29">
          <cell r="C29">
            <v>45964</v>
          </cell>
        </row>
        <row r="30">
          <cell r="C30">
            <v>45964</v>
          </cell>
        </row>
        <row r="31">
          <cell r="C31">
            <v>45964</v>
          </cell>
        </row>
        <row r="32">
          <cell r="C32">
            <v>45964</v>
          </cell>
        </row>
        <row r="33">
          <cell r="C33">
            <v>45964</v>
          </cell>
        </row>
        <row r="34">
          <cell r="C34">
            <v>45964</v>
          </cell>
        </row>
        <row r="35">
          <cell r="C35">
            <v>45965</v>
          </cell>
        </row>
        <row r="36">
          <cell r="C36">
            <v>45965</v>
          </cell>
        </row>
        <row r="37">
          <cell r="C37">
            <v>45965</v>
          </cell>
        </row>
        <row r="38">
          <cell r="C38">
            <v>45965</v>
          </cell>
        </row>
        <row r="39">
          <cell r="C39">
            <v>45965</v>
          </cell>
        </row>
        <row r="40">
          <cell r="C40">
            <v>45965</v>
          </cell>
        </row>
        <row r="41">
          <cell r="C41">
            <v>45965</v>
          </cell>
        </row>
        <row r="42">
          <cell r="C42">
            <v>45965</v>
          </cell>
        </row>
        <row r="43">
          <cell r="C43">
            <v>45965</v>
          </cell>
        </row>
        <row r="44">
          <cell r="C44">
            <v>45965</v>
          </cell>
        </row>
        <row r="45">
          <cell r="C45">
            <v>45965</v>
          </cell>
        </row>
        <row r="46">
          <cell r="C46">
            <v>45965</v>
          </cell>
        </row>
        <row r="47">
          <cell r="C47">
            <v>45965</v>
          </cell>
        </row>
        <row r="48">
          <cell r="C48">
            <v>45965</v>
          </cell>
        </row>
        <row r="49">
          <cell r="C49">
            <v>45965</v>
          </cell>
        </row>
        <row r="50">
          <cell r="C50">
            <v>45966</v>
          </cell>
        </row>
        <row r="51">
          <cell r="C51">
            <v>45966</v>
          </cell>
        </row>
        <row r="52">
          <cell r="C52">
            <v>45966</v>
          </cell>
        </row>
        <row r="53">
          <cell r="C53">
            <v>45966</v>
          </cell>
        </row>
        <row r="54">
          <cell r="C54">
            <v>45966</v>
          </cell>
        </row>
        <row r="55">
          <cell r="C55">
            <v>45966</v>
          </cell>
        </row>
        <row r="56">
          <cell r="C56">
            <v>45966</v>
          </cell>
        </row>
        <row r="57">
          <cell r="C57">
            <v>45966</v>
          </cell>
        </row>
        <row r="58">
          <cell r="C58">
            <v>45966</v>
          </cell>
        </row>
        <row r="59">
          <cell r="C59">
            <v>45966</v>
          </cell>
        </row>
        <row r="60">
          <cell r="C60">
            <v>45966</v>
          </cell>
        </row>
        <row r="61">
          <cell r="C61">
            <v>45966</v>
          </cell>
        </row>
        <row r="62">
          <cell r="C62">
            <v>45966</v>
          </cell>
        </row>
        <row r="63">
          <cell r="C63">
            <v>45966</v>
          </cell>
        </row>
        <row r="64">
          <cell r="C64">
            <v>45967</v>
          </cell>
        </row>
        <row r="65">
          <cell r="C65">
            <v>45967</v>
          </cell>
        </row>
        <row r="66">
          <cell r="C66">
            <v>45967</v>
          </cell>
        </row>
        <row r="67">
          <cell r="C67">
            <v>45967</v>
          </cell>
        </row>
        <row r="68">
          <cell r="C68">
            <v>45967</v>
          </cell>
        </row>
        <row r="69">
          <cell r="C69">
            <v>45967</v>
          </cell>
        </row>
        <row r="70">
          <cell r="C70">
            <v>45967</v>
          </cell>
        </row>
        <row r="71">
          <cell r="C71">
            <v>45967</v>
          </cell>
        </row>
        <row r="72">
          <cell r="C72">
            <v>45967</v>
          </cell>
        </row>
        <row r="73">
          <cell r="C73">
            <v>45967</v>
          </cell>
        </row>
        <row r="74">
          <cell r="C74">
            <v>45967</v>
          </cell>
        </row>
        <row r="75">
          <cell r="C75">
            <v>45967</v>
          </cell>
        </row>
        <row r="76">
          <cell r="C76">
            <v>45967</v>
          </cell>
        </row>
        <row r="77">
          <cell r="C77">
            <v>45967</v>
          </cell>
        </row>
        <row r="78">
          <cell r="C78">
            <v>45967</v>
          </cell>
        </row>
        <row r="79">
          <cell r="C79">
            <v>45967</v>
          </cell>
        </row>
        <row r="80">
          <cell r="C80">
            <v>45967</v>
          </cell>
        </row>
        <row r="81">
          <cell r="C81">
            <v>45967</v>
          </cell>
        </row>
        <row r="82">
          <cell r="C82">
            <v>45967</v>
          </cell>
        </row>
        <row r="83">
          <cell r="C83">
            <v>45967</v>
          </cell>
        </row>
        <row r="84">
          <cell r="C84">
            <v>45967</v>
          </cell>
        </row>
        <row r="85">
          <cell r="C85">
            <v>45967</v>
          </cell>
        </row>
        <row r="86">
          <cell r="C86">
            <v>45967</v>
          </cell>
        </row>
        <row r="87">
          <cell r="C87">
            <v>45967</v>
          </cell>
        </row>
        <row r="88">
          <cell r="C88">
            <v>45967</v>
          </cell>
        </row>
        <row r="89">
          <cell r="C89">
            <v>45967</v>
          </cell>
        </row>
        <row r="90">
          <cell r="C90">
            <v>45967</v>
          </cell>
        </row>
        <row r="91">
          <cell r="C91">
            <v>45967</v>
          </cell>
        </row>
        <row r="92">
          <cell r="C92">
            <v>45967</v>
          </cell>
        </row>
        <row r="93">
          <cell r="C93">
            <v>45967</v>
          </cell>
        </row>
        <row r="94">
          <cell r="C94">
            <v>45967</v>
          </cell>
        </row>
        <row r="95">
          <cell r="C95">
            <v>45967</v>
          </cell>
        </row>
        <row r="96">
          <cell r="C96">
            <v>45967</v>
          </cell>
        </row>
        <row r="97">
          <cell r="C97">
            <v>45967</v>
          </cell>
        </row>
        <row r="98">
          <cell r="C98">
            <v>45967</v>
          </cell>
        </row>
        <row r="99">
          <cell r="C99">
            <v>45967</v>
          </cell>
        </row>
        <row r="100">
          <cell r="C100">
            <v>45967</v>
          </cell>
        </row>
        <row r="101">
          <cell r="C101">
            <v>45967</v>
          </cell>
        </row>
        <row r="102">
          <cell r="C102">
            <v>45967</v>
          </cell>
        </row>
        <row r="103">
          <cell r="C103">
            <v>45967</v>
          </cell>
        </row>
        <row r="104">
          <cell r="C104">
            <v>45967</v>
          </cell>
        </row>
        <row r="105">
          <cell r="C105">
            <v>45967</v>
          </cell>
        </row>
        <row r="106">
          <cell r="C106">
            <v>45967</v>
          </cell>
        </row>
        <row r="107">
          <cell r="C107">
            <v>45967</v>
          </cell>
        </row>
        <row r="108">
          <cell r="C108">
            <v>45967</v>
          </cell>
        </row>
        <row r="109">
          <cell r="C109">
            <v>45967</v>
          </cell>
        </row>
        <row r="110">
          <cell r="C110">
            <v>45967</v>
          </cell>
        </row>
        <row r="111">
          <cell r="C111">
            <v>45968</v>
          </cell>
        </row>
        <row r="112">
          <cell r="C112">
            <v>45968</v>
          </cell>
        </row>
        <row r="113">
          <cell r="C113">
            <v>45968</v>
          </cell>
        </row>
        <row r="114">
          <cell r="C114">
            <v>45968</v>
          </cell>
        </row>
        <row r="115">
          <cell r="C115">
            <v>45968</v>
          </cell>
        </row>
        <row r="116">
          <cell r="C116">
            <v>45968</v>
          </cell>
        </row>
        <row r="117">
          <cell r="C117">
            <v>45968</v>
          </cell>
        </row>
        <row r="118">
          <cell r="C118">
            <v>45968</v>
          </cell>
        </row>
        <row r="119">
          <cell r="C119">
            <v>45968</v>
          </cell>
        </row>
        <row r="120">
          <cell r="C120">
            <v>45968</v>
          </cell>
        </row>
        <row r="121">
          <cell r="C121">
            <v>45968</v>
          </cell>
        </row>
        <row r="122">
          <cell r="C122">
            <v>45968</v>
          </cell>
        </row>
        <row r="123">
          <cell r="C123">
            <v>45968</v>
          </cell>
        </row>
        <row r="124">
          <cell r="C124">
            <v>45968</v>
          </cell>
        </row>
        <row r="125">
          <cell r="C125">
            <v>45968</v>
          </cell>
        </row>
        <row r="126">
          <cell r="C126">
            <v>45968</v>
          </cell>
        </row>
        <row r="127">
          <cell r="C127">
            <v>45969</v>
          </cell>
        </row>
        <row r="128">
          <cell r="C128">
            <v>45969</v>
          </cell>
        </row>
        <row r="129">
          <cell r="C129">
            <v>45969</v>
          </cell>
        </row>
        <row r="130">
          <cell r="C130">
            <v>45969</v>
          </cell>
        </row>
        <row r="131">
          <cell r="C131">
            <v>45969</v>
          </cell>
        </row>
        <row r="132">
          <cell r="C132">
            <v>45969</v>
          </cell>
        </row>
        <row r="133">
          <cell r="C133">
            <v>45969</v>
          </cell>
        </row>
        <row r="134">
          <cell r="C134">
            <v>45970</v>
          </cell>
        </row>
        <row r="135">
          <cell r="C135">
            <v>45970</v>
          </cell>
        </row>
        <row r="136">
          <cell r="C136">
            <v>45971</v>
          </cell>
        </row>
        <row r="137">
          <cell r="C137">
            <v>45971</v>
          </cell>
        </row>
        <row r="138">
          <cell r="C138">
            <v>45971</v>
          </cell>
        </row>
        <row r="139">
          <cell r="C139">
            <v>45971</v>
          </cell>
        </row>
        <row r="140">
          <cell r="C140">
            <v>45971</v>
          </cell>
        </row>
        <row r="141">
          <cell r="C141">
            <v>45971</v>
          </cell>
        </row>
        <row r="142">
          <cell r="C142">
            <v>45971</v>
          </cell>
        </row>
        <row r="143">
          <cell r="C143">
            <v>45971</v>
          </cell>
        </row>
        <row r="144">
          <cell r="C144">
            <v>45971</v>
          </cell>
        </row>
        <row r="145">
          <cell r="C145">
            <v>45971</v>
          </cell>
        </row>
        <row r="146">
          <cell r="C146">
            <v>45971</v>
          </cell>
        </row>
        <row r="147">
          <cell r="C147">
            <v>45971</v>
          </cell>
        </row>
        <row r="148">
          <cell r="C148">
            <v>45972</v>
          </cell>
        </row>
        <row r="149">
          <cell r="C149">
            <v>45972</v>
          </cell>
        </row>
        <row r="150">
          <cell r="C150">
            <v>45972</v>
          </cell>
        </row>
        <row r="151">
          <cell r="C151">
            <v>45972</v>
          </cell>
        </row>
        <row r="152">
          <cell r="C152">
            <v>45972</v>
          </cell>
        </row>
        <row r="153">
          <cell r="C153">
            <v>45972</v>
          </cell>
        </row>
        <row r="154">
          <cell r="C154">
            <v>45972</v>
          </cell>
        </row>
        <row r="155">
          <cell r="C155">
            <v>46002</v>
          </cell>
        </row>
        <row r="156">
          <cell r="C156">
            <v>46003</v>
          </cell>
        </row>
        <row r="157">
          <cell r="C157">
            <v>46003</v>
          </cell>
        </row>
        <row r="158">
          <cell r="C158">
            <v>46003</v>
          </cell>
        </row>
        <row r="159">
          <cell r="C159">
            <v>46003</v>
          </cell>
        </row>
        <row r="160">
          <cell r="C160">
            <v>46003</v>
          </cell>
        </row>
        <row r="161">
          <cell r="C161">
            <v>46003</v>
          </cell>
        </row>
        <row r="162">
          <cell r="C162">
            <v>46003</v>
          </cell>
        </row>
        <row r="163">
          <cell r="C163">
            <v>46003</v>
          </cell>
        </row>
        <row r="164">
          <cell r="C164">
            <v>46003</v>
          </cell>
        </row>
        <row r="165">
          <cell r="C165">
            <v>46003</v>
          </cell>
        </row>
        <row r="166">
          <cell r="C166">
            <v>46003</v>
          </cell>
        </row>
        <row r="167">
          <cell r="C167">
            <v>46003</v>
          </cell>
        </row>
        <row r="168">
          <cell r="C168">
            <v>45974</v>
          </cell>
        </row>
        <row r="169">
          <cell r="C169">
            <v>45974</v>
          </cell>
        </row>
        <row r="170">
          <cell r="C170">
            <v>45974</v>
          </cell>
        </row>
        <row r="171">
          <cell r="C171">
            <v>45974</v>
          </cell>
        </row>
        <row r="172">
          <cell r="C172">
            <v>45974</v>
          </cell>
        </row>
        <row r="173">
          <cell r="C173">
            <v>45974</v>
          </cell>
        </row>
        <row r="174">
          <cell r="C174">
            <v>45974</v>
          </cell>
        </row>
        <row r="175">
          <cell r="C175">
            <v>45974</v>
          </cell>
        </row>
        <row r="176">
          <cell r="C176">
            <v>45974</v>
          </cell>
        </row>
        <row r="177">
          <cell r="C177">
            <v>45974</v>
          </cell>
        </row>
        <row r="178">
          <cell r="C178">
            <v>45974</v>
          </cell>
        </row>
        <row r="179">
          <cell r="C179">
            <v>45975</v>
          </cell>
        </row>
        <row r="180">
          <cell r="C180">
            <v>45975</v>
          </cell>
        </row>
        <row r="181">
          <cell r="C181">
            <v>45975</v>
          </cell>
        </row>
        <row r="182">
          <cell r="C182">
            <v>45975</v>
          </cell>
        </row>
        <row r="183">
          <cell r="C183">
            <v>45975</v>
          </cell>
        </row>
        <row r="184">
          <cell r="C184">
            <v>45975</v>
          </cell>
        </row>
        <row r="185">
          <cell r="C185">
            <v>45975</v>
          </cell>
        </row>
        <row r="186">
          <cell r="C186">
            <v>45975</v>
          </cell>
        </row>
        <row r="187">
          <cell r="C187">
            <v>45975</v>
          </cell>
        </row>
        <row r="188">
          <cell r="C188">
            <v>45975</v>
          </cell>
        </row>
        <row r="189">
          <cell r="C189">
            <v>45975</v>
          </cell>
        </row>
        <row r="190">
          <cell r="C190">
            <v>45975</v>
          </cell>
        </row>
        <row r="191">
          <cell r="C191">
            <v>45975</v>
          </cell>
        </row>
        <row r="192">
          <cell r="C192">
            <v>45975</v>
          </cell>
        </row>
        <row r="193">
          <cell r="C193">
            <v>45975</v>
          </cell>
        </row>
        <row r="194">
          <cell r="C194">
            <v>45975</v>
          </cell>
        </row>
        <row r="195">
          <cell r="C195">
            <v>45975</v>
          </cell>
        </row>
        <row r="196">
          <cell r="C196">
            <v>45975</v>
          </cell>
        </row>
        <row r="197">
          <cell r="C197">
            <v>45975</v>
          </cell>
        </row>
        <row r="198">
          <cell r="C198">
            <v>45975</v>
          </cell>
        </row>
        <row r="199">
          <cell r="C199">
            <v>45975</v>
          </cell>
        </row>
        <row r="200">
          <cell r="C200">
            <v>45976</v>
          </cell>
        </row>
        <row r="201">
          <cell r="C201">
            <v>45976</v>
          </cell>
        </row>
        <row r="202">
          <cell r="C202">
            <v>45976</v>
          </cell>
        </row>
        <row r="203">
          <cell r="C203">
            <v>45976</v>
          </cell>
        </row>
        <row r="204">
          <cell r="C204">
            <v>45976</v>
          </cell>
        </row>
        <row r="205">
          <cell r="C205">
            <v>45978</v>
          </cell>
        </row>
        <row r="206">
          <cell r="C206">
            <v>45978</v>
          </cell>
        </row>
        <row r="207">
          <cell r="C207">
            <v>45978</v>
          </cell>
        </row>
        <row r="208">
          <cell r="C208">
            <v>45978</v>
          </cell>
        </row>
        <row r="209">
          <cell r="C209">
            <v>45978</v>
          </cell>
        </row>
        <row r="210">
          <cell r="C210">
            <v>45978</v>
          </cell>
        </row>
        <row r="211">
          <cell r="C211">
            <v>45978</v>
          </cell>
        </row>
        <row r="212">
          <cell r="C212">
            <v>45978</v>
          </cell>
        </row>
        <row r="213">
          <cell r="C213">
            <v>45978</v>
          </cell>
        </row>
        <row r="214">
          <cell r="C214">
            <v>45978</v>
          </cell>
        </row>
        <row r="215">
          <cell r="C215">
            <v>45978</v>
          </cell>
        </row>
        <row r="216">
          <cell r="C216">
            <v>45978</v>
          </cell>
        </row>
        <row r="217">
          <cell r="C217">
            <v>45978</v>
          </cell>
        </row>
        <row r="218">
          <cell r="C218">
            <v>45978</v>
          </cell>
        </row>
        <row r="219">
          <cell r="C219">
            <v>45978</v>
          </cell>
        </row>
        <row r="220">
          <cell r="C220">
            <v>45979</v>
          </cell>
        </row>
        <row r="221">
          <cell r="C221">
            <v>45979</v>
          </cell>
        </row>
        <row r="222">
          <cell r="C222">
            <v>45979</v>
          </cell>
        </row>
        <row r="223">
          <cell r="C223">
            <v>45979</v>
          </cell>
        </row>
        <row r="224">
          <cell r="C224">
            <v>45979</v>
          </cell>
        </row>
        <row r="225">
          <cell r="C225">
            <v>45979</v>
          </cell>
        </row>
        <row r="226">
          <cell r="C226">
            <v>45979</v>
          </cell>
        </row>
        <row r="227">
          <cell r="C227">
            <v>45979</v>
          </cell>
        </row>
        <row r="228">
          <cell r="C228">
            <v>45979</v>
          </cell>
        </row>
        <row r="229">
          <cell r="C229">
            <v>45979</v>
          </cell>
        </row>
        <row r="230">
          <cell r="C230">
            <v>45979</v>
          </cell>
        </row>
        <row r="231">
          <cell r="C231">
            <v>45979</v>
          </cell>
        </row>
        <row r="232">
          <cell r="C232">
            <v>45979</v>
          </cell>
        </row>
        <row r="233">
          <cell r="C233">
            <v>45979</v>
          </cell>
        </row>
        <row r="234">
          <cell r="C234">
            <v>45979</v>
          </cell>
        </row>
        <row r="235">
          <cell r="C235">
            <v>45980</v>
          </cell>
        </row>
        <row r="236">
          <cell r="C236">
            <v>45980</v>
          </cell>
        </row>
        <row r="237">
          <cell r="C237">
            <v>45980</v>
          </cell>
        </row>
        <row r="238">
          <cell r="C238">
            <v>45980</v>
          </cell>
        </row>
        <row r="239">
          <cell r="C239">
            <v>45980</v>
          </cell>
        </row>
        <row r="240">
          <cell r="C240">
            <v>45980</v>
          </cell>
        </row>
        <row r="241">
          <cell r="C241">
            <v>45980</v>
          </cell>
        </row>
        <row r="242">
          <cell r="C242">
            <v>45980</v>
          </cell>
        </row>
        <row r="243">
          <cell r="C243">
            <v>45980</v>
          </cell>
        </row>
        <row r="244">
          <cell r="C244">
            <v>45980</v>
          </cell>
        </row>
        <row r="245">
          <cell r="C245">
            <v>45980</v>
          </cell>
        </row>
        <row r="246">
          <cell r="C246">
            <v>45980</v>
          </cell>
        </row>
        <row r="247">
          <cell r="C247">
            <v>45980</v>
          </cell>
        </row>
        <row r="248">
          <cell r="C248">
            <v>45980</v>
          </cell>
        </row>
        <row r="249">
          <cell r="C249">
            <v>45980</v>
          </cell>
        </row>
        <row r="250">
          <cell r="C250">
            <v>45981</v>
          </cell>
        </row>
        <row r="251">
          <cell r="C251">
            <v>45981</v>
          </cell>
        </row>
        <row r="252">
          <cell r="C252">
            <v>45981</v>
          </cell>
        </row>
        <row r="253">
          <cell r="C253">
            <v>45981</v>
          </cell>
        </row>
        <row r="254">
          <cell r="C254">
            <v>45981</v>
          </cell>
        </row>
        <row r="255">
          <cell r="C255">
            <v>45981</v>
          </cell>
        </row>
        <row r="256">
          <cell r="C256">
            <v>45981</v>
          </cell>
        </row>
        <row r="257">
          <cell r="C257">
            <v>45981</v>
          </cell>
        </row>
        <row r="258">
          <cell r="C258">
            <v>45981</v>
          </cell>
        </row>
        <row r="259">
          <cell r="C259">
            <v>45981</v>
          </cell>
        </row>
        <row r="260">
          <cell r="C260">
            <v>45981</v>
          </cell>
        </row>
        <row r="261">
          <cell r="C261">
            <v>45981</v>
          </cell>
        </row>
        <row r="262">
          <cell r="C262">
            <v>45981</v>
          </cell>
        </row>
        <row r="263">
          <cell r="C263">
            <v>45982</v>
          </cell>
        </row>
        <row r="264">
          <cell r="C264">
            <v>45982</v>
          </cell>
        </row>
        <row r="265">
          <cell r="C265">
            <v>45982</v>
          </cell>
        </row>
        <row r="266">
          <cell r="C266">
            <v>45982</v>
          </cell>
        </row>
        <row r="267">
          <cell r="C267">
            <v>45982</v>
          </cell>
        </row>
        <row r="268">
          <cell r="C268">
            <v>45982</v>
          </cell>
        </row>
        <row r="269">
          <cell r="C269">
            <v>45982</v>
          </cell>
        </row>
        <row r="270">
          <cell r="C270">
            <v>45982</v>
          </cell>
        </row>
        <row r="271">
          <cell r="C271">
            <v>45982</v>
          </cell>
        </row>
        <row r="272">
          <cell r="C272">
            <v>45982</v>
          </cell>
        </row>
        <row r="273">
          <cell r="C273">
            <v>45982</v>
          </cell>
        </row>
        <row r="274">
          <cell r="C274">
            <v>45982</v>
          </cell>
        </row>
        <row r="275">
          <cell r="C275">
            <v>45982</v>
          </cell>
        </row>
        <row r="276">
          <cell r="C276">
            <v>45982</v>
          </cell>
        </row>
        <row r="277">
          <cell r="C277">
            <v>45982</v>
          </cell>
        </row>
        <row r="278">
          <cell r="C278">
            <v>45982</v>
          </cell>
        </row>
        <row r="279">
          <cell r="C279">
            <v>45982</v>
          </cell>
        </row>
        <row r="280">
          <cell r="C280">
            <v>45982</v>
          </cell>
        </row>
        <row r="281">
          <cell r="C281">
            <v>45982</v>
          </cell>
        </row>
        <row r="282">
          <cell r="C282">
            <v>45982</v>
          </cell>
        </row>
        <row r="283">
          <cell r="C283">
            <v>45983</v>
          </cell>
        </row>
        <row r="284">
          <cell r="C284">
            <v>45983</v>
          </cell>
        </row>
        <row r="285">
          <cell r="C285">
            <v>45983</v>
          </cell>
        </row>
        <row r="286">
          <cell r="C286">
            <v>45983</v>
          </cell>
        </row>
        <row r="287">
          <cell r="C287">
            <v>45983</v>
          </cell>
        </row>
        <row r="288">
          <cell r="C288">
            <v>45983</v>
          </cell>
        </row>
        <row r="289">
          <cell r="C289">
            <v>45983</v>
          </cell>
        </row>
        <row r="290">
          <cell r="C290">
            <v>45983</v>
          </cell>
        </row>
        <row r="291">
          <cell r="C291">
            <v>45983</v>
          </cell>
        </row>
        <row r="292">
          <cell r="C292">
            <v>45983</v>
          </cell>
        </row>
        <row r="293">
          <cell r="C293">
            <v>45983</v>
          </cell>
        </row>
        <row r="294">
          <cell r="C294">
            <v>45983</v>
          </cell>
        </row>
        <row r="295">
          <cell r="C295">
            <v>45983</v>
          </cell>
        </row>
        <row r="296">
          <cell r="C296">
            <v>45984</v>
          </cell>
        </row>
        <row r="297">
          <cell r="C297">
            <v>45984</v>
          </cell>
        </row>
        <row r="298">
          <cell r="C298">
            <v>45984</v>
          </cell>
        </row>
        <row r="299">
          <cell r="C299">
            <v>45984</v>
          </cell>
        </row>
        <row r="300">
          <cell r="C300">
            <v>45984</v>
          </cell>
        </row>
        <row r="301">
          <cell r="C301">
            <v>45985</v>
          </cell>
        </row>
        <row r="302">
          <cell r="C302">
            <v>45985</v>
          </cell>
        </row>
        <row r="303">
          <cell r="C303">
            <v>45985</v>
          </cell>
        </row>
        <row r="304">
          <cell r="C304">
            <v>45985</v>
          </cell>
        </row>
        <row r="305">
          <cell r="C305">
            <v>45985</v>
          </cell>
        </row>
        <row r="306">
          <cell r="C306">
            <v>45985</v>
          </cell>
        </row>
        <row r="307">
          <cell r="C307">
            <v>45985</v>
          </cell>
        </row>
        <row r="308">
          <cell r="C308">
            <v>45985</v>
          </cell>
        </row>
        <row r="309">
          <cell r="C309">
            <v>45985</v>
          </cell>
        </row>
        <row r="310">
          <cell r="C310">
            <v>45985</v>
          </cell>
        </row>
        <row r="311">
          <cell r="C311">
            <v>45985</v>
          </cell>
        </row>
        <row r="312">
          <cell r="C312">
            <v>45985</v>
          </cell>
        </row>
        <row r="313">
          <cell r="C313">
            <v>45985</v>
          </cell>
        </row>
        <row r="314">
          <cell r="C314">
            <v>45986</v>
          </cell>
        </row>
        <row r="315">
          <cell r="C315">
            <v>45986</v>
          </cell>
        </row>
        <row r="316">
          <cell r="C316">
            <v>45986</v>
          </cell>
        </row>
        <row r="317">
          <cell r="C317">
            <v>45986</v>
          </cell>
        </row>
        <row r="318">
          <cell r="C318">
            <v>45986</v>
          </cell>
        </row>
        <row r="319">
          <cell r="C319">
            <v>45986</v>
          </cell>
        </row>
        <row r="320">
          <cell r="C320">
            <v>45986</v>
          </cell>
        </row>
        <row r="321">
          <cell r="C321">
            <v>45986</v>
          </cell>
        </row>
        <row r="322">
          <cell r="C322">
            <v>45986</v>
          </cell>
        </row>
        <row r="323">
          <cell r="C323">
            <v>45986</v>
          </cell>
        </row>
        <row r="324">
          <cell r="C324">
            <v>45986</v>
          </cell>
        </row>
        <row r="325">
          <cell r="C325">
            <v>45986</v>
          </cell>
        </row>
        <row r="326">
          <cell r="C326">
            <v>45986</v>
          </cell>
        </row>
        <row r="327">
          <cell r="C327">
            <v>45986</v>
          </cell>
        </row>
        <row r="328">
          <cell r="C328">
            <v>45986</v>
          </cell>
        </row>
        <row r="329">
          <cell r="C329">
            <v>45986</v>
          </cell>
        </row>
        <row r="330">
          <cell r="C330">
            <v>45986</v>
          </cell>
        </row>
        <row r="331">
          <cell r="C331">
            <v>45986</v>
          </cell>
        </row>
        <row r="332">
          <cell r="C332">
            <v>45987</v>
          </cell>
        </row>
        <row r="333">
          <cell r="C333">
            <v>45987</v>
          </cell>
        </row>
        <row r="334">
          <cell r="C334">
            <v>45987</v>
          </cell>
        </row>
        <row r="335">
          <cell r="C335">
            <v>45987</v>
          </cell>
        </row>
        <row r="336">
          <cell r="C336">
            <v>45987</v>
          </cell>
        </row>
        <row r="337">
          <cell r="C337">
            <v>45987</v>
          </cell>
        </row>
        <row r="338">
          <cell r="C338">
            <v>45987</v>
          </cell>
        </row>
        <row r="339">
          <cell r="C339">
            <v>45987</v>
          </cell>
        </row>
        <row r="340">
          <cell r="C340">
            <v>45987</v>
          </cell>
        </row>
        <row r="341">
          <cell r="C341">
            <v>45987</v>
          </cell>
        </row>
        <row r="342">
          <cell r="C342">
            <v>45987</v>
          </cell>
        </row>
        <row r="343">
          <cell r="C343">
            <v>45987</v>
          </cell>
        </row>
        <row r="344">
          <cell r="C344">
            <v>45987</v>
          </cell>
        </row>
        <row r="345">
          <cell r="C345">
            <v>45987</v>
          </cell>
        </row>
        <row r="346">
          <cell r="C346">
            <v>45987</v>
          </cell>
        </row>
        <row r="347">
          <cell r="C347">
            <v>45988</v>
          </cell>
        </row>
        <row r="348">
          <cell r="C348">
            <v>45988</v>
          </cell>
        </row>
        <row r="349">
          <cell r="C349">
            <v>45988</v>
          </cell>
        </row>
        <row r="350">
          <cell r="C350">
            <v>45988</v>
          </cell>
        </row>
        <row r="351">
          <cell r="C351">
            <v>45988</v>
          </cell>
        </row>
        <row r="352">
          <cell r="C352">
            <v>45988</v>
          </cell>
        </row>
        <row r="353">
          <cell r="C353">
            <v>45988</v>
          </cell>
        </row>
        <row r="354">
          <cell r="C354">
            <v>45988</v>
          </cell>
        </row>
        <row r="355">
          <cell r="C355">
            <v>45988</v>
          </cell>
        </row>
        <row r="356">
          <cell r="C356">
            <v>45988</v>
          </cell>
        </row>
        <row r="357">
          <cell r="C357">
            <v>45988</v>
          </cell>
        </row>
        <row r="358">
          <cell r="C358">
            <v>45988</v>
          </cell>
        </row>
        <row r="359">
          <cell r="C359">
            <v>45988</v>
          </cell>
        </row>
        <row r="360">
          <cell r="C360">
            <v>45988</v>
          </cell>
        </row>
        <row r="361">
          <cell r="C361">
            <v>45988</v>
          </cell>
        </row>
        <row r="362">
          <cell r="C362">
            <v>45988</v>
          </cell>
        </row>
        <row r="363">
          <cell r="C363">
            <v>45989</v>
          </cell>
        </row>
        <row r="364">
          <cell r="C364">
            <v>45989</v>
          </cell>
        </row>
        <row r="365">
          <cell r="C365">
            <v>45989</v>
          </cell>
        </row>
        <row r="366">
          <cell r="C366">
            <v>45989</v>
          </cell>
        </row>
        <row r="367">
          <cell r="C367">
            <v>45989</v>
          </cell>
        </row>
        <row r="368">
          <cell r="C368">
            <v>45989</v>
          </cell>
        </row>
        <row r="369">
          <cell r="C369">
            <v>45989</v>
          </cell>
        </row>
        <row r="370">
          <cell r="C370">
            <v>45989</v>
          </cell>
        </row>
        <row r="371">
          <cell r="C371">
            <v>45989</v>
          </cell>
        </row>
        <row r="372">
          <cell r="C372">
            <v>45989</v>
          </cell>
        </row>
        <row r="373">
          <cell r="C373">
            <v>45989</v>
          </cell>
        </row>
        <row r="374">
          <cell r="C374">
            <v>45989</v>
          </cell>
        </row>
        <row r="375">
          <cell r="C375">
            <v>45989</v>
          </cell>
        </row>
        <row r="376">
          <cell r="C376">
            <v>45989</v>
          </cell>
        </row>
        <row r="377">
          <cell r="C377">
            <v>45989</v>
          </cell>
        </row>
        <row r="378">
          <cell r="C378">
            <v>45990</v>
          </cell>
        </row>
        <row r="379">
          <cell r="C379">
            <v>45990</v>
          </cell>
        </row>
        <row r="380">
          <cell r="C380">
            <v>45990</v>
          </cell>
        </row>
        <row r="381">
          <cell r="C381">
            <v>45990</v>
          </cell>
        </row>
        <row r="382">
          <cell r="C382">
            <v>45990</v>
          </cell>
        </row>
        <row r="383">
          <cell r="C383">
            <v>45990</v>
          </cell>
        </row>
        <row r="384">
          <cell r="C384">
            <v>45990</v>
          </cell>
        </row>
        <row r="385">
          <cell r="C385">
            <v>45991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D6A0B-6C99-4747-8BC4-6ECEEDE125BD}" name="Tableau1535678910111213162523692" displayName="Tableau1535678910111213162523692" ref="A6:L398" headerRowDxfId="76">
  <autoFilter ref="A6:L398" xr:uid="{888D6A0B-6C99-4747-8BC4-6ECEEDE125BD}"/>
  <sortState xmlns:xlrd2="http://schemas.microsoft.com/office/spreadsheetml/2017/richdata2" ref="A7:L262">
    <sortCondition ref="C6:C262"/>
  </sortState>
  <tableColumns count="12">
    <tableColumn id="14" xr3:uid="{642A087A-DB0A-461D-878F-1BFBD5BE665A}" name="ENTITE" dataDxfId="75" totalsRowDxfId="74"/>
    <tableColumn id="18" xr3:uid="{1B96EFC6-1119-4FC8-B538-07A54BE73038}" name="ACTIVITES" dataDxfId="73" totalsRowDxfId="72" dataCellStyle="Normal 8 3"/>
    <tableColumn id="1" xr3:uid="{2D21FA05-789A-483E-BD87-F52A521ABBFF}" name="DATE OPÉTATION" totalsRowLabel=" " dataDxfId="71" totalsRowDxfId="70"/>
    <tableColumn id="3" xr3:uid="{665E5C34-9A00-4063-9E30-2B69FE50850D}" name="TYPE OPÉRATION" dataDxfId="69" totalsRowDxfId="68">
      <calculatedColumnFormula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calculatedColumnFormula>
    </tableColumn>
    <tableColumn id="11" xr3:uid="{C0DE4279-47C3-4A9D-ADA9-8C39D84C0767}" name="BENEFICIAIRE" dataDxfId="67" totalsRowDxfId="66"/>
    <tableColumn id="4" xr3:uid="{4BBBC272-2D32-4F46-BF83-EB180BC5A215}" name="LIBELLE" dataDxfId="65" totalsRowDxfId="64"/>
    <tableColumn id="12" xr3:uid="{1F0C7179-3BB6-4439-8894-A7E6B14E0569}" name="CATEGORIE DE DEPENSES" dataDxfId="63" totalsRowDxfId="62" dataCellStyle="Normal 8 3"/>
    <tableColumn id="17" xr3:uid="{5862DF2F-74DF-41D6-9AE3-FDF03627F59B}" name="IMPUTATION ANALYTIQUE_x000a_MATERIEL" dataDxfId="61" totalsRowDxfId="60" dataCellStyle="Normal 8 3"/>
    <tableColumn id="5" xr3:uid="{D7809406-3967-43E3-93D0-D6875A2CCDD3}" name="RECETTE" totalsRowFunction="sum" dataDxfId="59" totalsRowDxfId="58" dataCellStyle="Milliers"/>
    <tableColumn id="6" xr3:uid="{9D7D814F-B6F1-4C88-B49C-712287801589}" name="DÉPENSE" totalsRowFunction="sum" dataDxfId="57" totalsRowDxfId="56" dataCellStyle="Milliers"/>
    <tableColumn id="7" xr3:uid="{54619B11-3B9F-4877-A0AF-5A0ACF3BAF6F}" name="SOLDE" totalsRowFunction="custom" dataDxfId="55" totalsRowDxfId="54" dataCellStyle="Milliers">
      <calculatedColumnFormula>+IF('[2]BROUILLARD DE CAISSE '!$C7="","",SUMIFS(INDIRECT("$K$7:K"&amp;ROW()),INDIRECT("$D$7:D"&amp;ROW()),"="&amp;"Report à nouveau")+SUMIFS(INDIRECT("$K$7:K"&amp;ROW()),INDIRECT("$D$7:D"&amp;ROW()),"="&amp;"Entrée")-SUMIFS(INDIRECT("$L$7:L"&amp;ROW()),INDIRECT("$D$7:D"&amp;ROW()),"="&amp;"Sortie"))</calculatedColumnFormula>
      <totalsRowFormula>+Tableau1535678910111213162523692[[#Totals],[RECETTE]]-Tableau1535678910111213162523692[[#Totals],[DÉPENSE]]</totalsRowFormula>
    </tableColumn>
    <tableColumn id="15" xr3:uid="{22B05122-43AE-4757-90E4-4F0C3482F47E}" name="SOLDE PAR ENTITE" dataDxfId="53" totalsRowDxfId="52" dataCellStyle="Milliers">
      <calculatedColumnFormula>+IF($B7="","",SUMIFS(INDIRECT("$K$7:K"&amp;ROW()),INDIRECT("$B$7:B"&amp;ROW()),Tableau1535678910111213162523692[[#This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0ADF8-BF27-401C-B683-68FE6CFDFD76}" name="Tableau15356789101112131625236923" displayName="Tableau15356789101112131625236923" ref="A6:L390" headerRowDxfId="51">
  <autoFilter ref="A6:L390" xr:uid="{1C80ADF8-BF27-401C-B683-68FE6CFDFD76}"/>
  <sortState xmlns:xlrd2="http://schemas.microsoft.com/office/spreadsheetml/2017/richdata2" ref="A7:L154">
    <sortCondition ref="C6:C154"/>
  </sortState>
  <tableColumns count="12">
    <tableColumn id="14" xr3:uid="{545C8CBB-1A78-4366-A450-FEA90902B0F4}" name="ENTITE" dataDxfId="50" totalsRowDxfId="49"/>
    <tableColumn id="18" xr3:uid="{6A1DF719-2B5D-4DB0-85CA-3EBE52E4FD33}" name="ACTIVITES" dataDxfId="48" totalsRowDxfId="47" dataCellStyle="Normal 8 3"/>
    <tableColumn id="1" xr3:uid="{61BEF090-9F8F-4D9C-B2EB-EB150547EA4D}" name="DATE OPÉTATION" totalsRowLabel=" " dataDxfId="46" totalsRowDxfId="45"/>
    <tableColumn id="3" xr3:uid="{8305FE5E-0F03-4446-9D36-2C26851744FB}" name="TYPE OPÉRATION" dataDxfId="44" totalsRowDxfId="43">
      <calculatedColumnFormula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calculatedColumnFormula>
    </tableColumn>
    <tableColumn id="11" xr3:uid="{82D2D83D-FC77-4323-9EAB-C17413140766}" name="BENEFICIAIRE" dataDxfId="42" totalsRowDxfId="41"/>
    <tableColumn id="4" xr3:uid="{99B0E75F-9C1F-4FC0-A0AD-F450984F641D}" name="LIBELLE" dataDxfId="40" totalsRowDxfId="39"/>
    <tableColumn id="12" xr3:uid="{053D7375-9497-46F8-8D36-DB904C322388}" name="CATEGORIE DE DEPENSES" dataDxfId="38" totalsRowDxfId="37" dataCellStyle="Normal 8 3"/>
    <tableColumn id="17" xr3:uid="{00632796-03DF-4F94-A145-EBFCB7B36EC0}" name="IMPUTATION ANALYTIQUE_x000a_MATERIEL" dataDxfId="36" totalsRowDxfId="35" dataCellStyle="Normal 8 3"/>
    <tableColumn id="5" xr3:uid="{8DC91397-7EAD-4D77-AF27-048F7F51EE32}" name="RECETTE" totalsRowFunction="sum" dataDxfId="34" totalsRowDxfId="33" dataCellStyle="Milliers"/>
    <tableColumn id="6" xr3:uid="{E06FD36B-99C1-4CFD-95CA-41DF823E62AA}" name="DÉPENSE" totalsRowFunction="sum" dataDxfId="32" totalsRowDxfId="31" dataCellStyle="Milliers"/>
    <tableColumn id="7" xr3:uid="{E5C324CA-385E-4C68-8D0C-AC4082128494}" name="SOLDE" totalsRowFunction="custom" dataDxfId="30" dataCellStyle="Milliers">
      <calculatedColumnFormula>+IF('[3]BROUILLARD DE CAISSE '!$C7="","",SUMIFS(INDIRECT("$K$7:K"&amp;ROW()),INDIRECT("$D$7:D"&amp;ROW()),"="&amp;"Report à nouveau")+SUMIFS(INDIRECT("$K$7:K"&amp;ROW()),INDIRECT("$D$7:D"&amp;ROW()),"="&amp;"Entrée")-SUMIFS(INDIRECT("$L$7:L"&amp;ROW()),INDIRECT("$D$7:D"&amp;ROW()),"="&amp;"Sortie"))</calculatedColumnFormula>
      <totalsRowFormula>+Tableau15356789101112131625236923[[#Totals],[RECETTE]]-Tableau15356789101112131625236923[[#Totals],[DÉPENSE]]</totalsRowFormula>
    </tableColumn>
    <tableColumn id="15" xr3:uid="{74E0FF4D-1FEE-407A-8192-A3E44DC2353D}" name="SOLDE PAR ENTITE" dataDxfId="29" totalsRowDxfId="28" dataCellStyle="Milliers">
      <calculatedColumnFormula>+IF($B7="","",SUMIFS(INDIRECT("$K$7:K"&amp;ROW()),INDIRECT("$B$7:B"&amp;ROW()),Tableau15356789101112131625236923[[#This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693BB-0A6C-4573-B751-1F7CFE004C8F}" name="Tableau15356789101112131625236924" displayName="Tableau15356789101112131625236924" ref="A6:M608" headerRowDxfId="108">
  <autoFilter ref="A6:M608" xr:uid="{700693BB-0A6C-4573-B751-1F7CFE004C8F}"/>
  <sortState xmlns:xlrd2="http://schemas.microsoft.com/office/spreadsheetml/2017/richdata2" ref="A7:M155">
    <sortCondition ref="C6:C155"/>
  </sortState>
  <tableColumns count="13">
    <tableColumn id="14" xr3:uid="{4F0796F4-D227-448F-AD92-CB527A5292DC}" name="ENTITE" dataDxfId="107" totalsRowDxfId="106"/>
    <tableColumn id="18" xr3:uid="{DEC831A3-0DF6-4C65-AFD6-8B15F12B0E22}" name="ACTIVITES" dataDxfId="105" totalsRowDxfId="104" dataCellStyle="Normal 8 3"/>
    <tableColumn id="1" xr3:uid="{8ECFAE91-6E9D-42BF-B28F-3DE6119D45A9}" name="DATE OPÉTATION" totalsRowLabel=" " dataDxfId="103" totalsRowDxfId="102"/>
    <tableColumn id="3" xr3:uid="{65BED564-EBE1-41B1-943D-07CC2FB4B13B}" name="TYPE OPÉRATION" dataDxfId="101" totalsRowDxfId="100">
      <calculatedColumnFormula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calculatedColumnFormula>
    </tableColumn>
    <tableColumn id="11" xr3:uid="{6ADA5512-155B-45DB-AEAB-356437868CA8}" name="BENEFICIAIRE" dataDxfId="99" totalsRowDxfId="98"/>
    <tableColumn id="4" xr3:uid="{B89789B2-4CCB-4499-A775-21067D4E0401}" name="LIBELLE" dataDxfId="97" totalsRowDxfId="96"/>
    <tableColumn id="12" xr3:uid="{EF9F8CFA-2F30-495D-BF1B-985C90B30605}" name="CATEGORIE DE DEPENSES" dataDxfId="95" totalsRowDxfId="94" dataCellStyle="Normal 8 3"/>
    <tableColumn id="17" xr3:uid="{7F3C604F-AE4E-414B-976C-3DEAB8706CA9}" name="IMPUTATION ANALYTIQUE_x000a_MATERIEL" dataDxfId="93" totalsRowDxfId="92" dataCellStyle="Normal 8 3"/>
    <tableColumn id="5" xr3:uid="{2F2887F1-428D-4C7C-AC79-3306434861F2}" name="RECETTE" totalsRowFunction="sum" dataDxfId="91" totalsRowDxfId="90" dataCellStyle="Milliers"/>
    <tableColumn id="6" xr3:uid="{22110861-2D09-4867-ABBF-4BA8FEB0A23C}" name="DÉPENSE" totalsRowFunction="sum" dataDxfId="89" totalsRowDxfId="88" dataCellStyle="Milliers"/>
    <tableColumn id="7" xr3:uid="{7A62D07B-846B-4018-B787-5742EC010972}" name="SOLDE" totalsRowFunction="custom" dataDxfId="87" dataCellStyle="Milliers">
      <calculatedColumnFormula>+IF('[1]BROUILLARD DE CAISSE '!$C7="","",SUMIFS(INDIRECT("$K$7:K"&amp;ROW()),INDIRECT("$D$7:D"&amp;ROW()),"="&amp;"Report à nouveau")+SUMIFS(INDIRECT("$K$7:K"&amp;ROW()),INDIRECT("$D$7:D"&amp;ROW()),"="&amp;"Entrée")-SUMIFS(INDIRECT("$L$7:L"&amp;ROW()),INDIRECT("$D$7:D"&amp;ROW()),"="&amp;"Sortie"))</calculatedColumnFormula>
      <totalsRowFormula>+Tableau15356789101112131625236924[[#Totals],[RECETTE]]-Tableau15356789101112131625236924[[#Totals],[DÉPENSE]]</totalsRowFormula>
    </tableColumn>
    <tableColumn id="15" xr3:uid="{3FA0D9D8-4DA5-4A0E-8D40-0882BC60E3F1}" name="SOLDE PAR ENTITE" dataDxfId="86" totalsRowDxfId="85" dataCellStyle="Milliers">
      <calculatedColumnFormula>+IF($B7="","",SUMIFS(INDIRECT("$K$7:K"&amp;ROW()),INDIRECT("$B$7:B"&amp;ROW()),Tableau15356789101112131625236924[[#This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calculatedColumnFormula>
    </tableColumn>
    <tableColumn id="8" xr3:uid="{2AEC85D1-1A17-4498-BCFC-E29706D6D7B7}" name="DATE DE JUSTIFICATIF" dataDxfId="84" totalsRowDxfId="8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9A83-40B3-43BD-8B90-529D2E1E24D0}">
  <sheetPr>
    <tabColor theme="9" tint="0.59999389629810485"/>
  </sheetPr>
  <dimension ref="A1:I179"/>
  <sheetViews>
    <sheetView topLeftCell="D144" zoomScale="34" zoomScaleNormal="34" zoomScaleSheetLayoutView="30" workbookViewId="0">
      <selection activeCell="E185" sqref="E185"/>
    </sheetView>
  </sheetViews>
  <sheetFormatPr baseColWidth="10" defaultColWidth="11.5546875" defaultRowHeight="31.2" x14ac:dyDescent="0.6"/>
  <cols>
    <col min="1" max="1" width="25.44140625" style="7" customWidth="1"/>
    <col min="2" max="2" width="172.6640625" style="1" customWidth="1"/>
    <col min="3" max="3" width="36.33203125" style="7" customWidth="1"/>
    <col min="4" max="4" width="32.109375" style="6" customWidth="1"/>
    <col min="5" max="5" width="209" style="1" customWidth="1"/>
    <col min="6" max="6" width="33.6640625" style="7" customWidth="1"/>
    <col min="7" max="7" width="43.6640625" style="1" customWidth="1"/>
    <col min="8" max="8" width="240.88671875" style="1" customWidth="1"/>
    <col min="9" max="9" width="50" style="7" customWidth="1"/>
    <col min="10" max="16384" width="11.5546875" style="1"/>
  </cols>
  <sheetData>
    <row r="1" spans="1:9" s="17" customFormat="1" ht="61.95" customHeight="1" thickBot="1" x14ac:dyDescent="0.35">
      <c r="A1" s="559" t="s">
        <v>26</v>
      </c>
      <c r="B1" s="560"/>
      <c r="C1" s="560"/>
      <c r="D1" s="560"/>
      <c r="E1" s="560"/>
      <c r="F1" s="560"/>
      <c r="G1" s="560"/>
      <c r="H1" s="560"/>
      <c r="I1" s="561"/>
    </row>
    <row r="2" spans="1:9" s="8" customFormat="1" ht="51.6" customHeight="1" thickBot="1" x14ac:dyDescent="0.35">
      <c r="A2" s="562" t="s">
        <v>4</v>
      </c>
      <c r="B2" s="563"/>
      <c r="C2" s="564"/>
      <c r="D2" s="565" t="s">
        <v>5</v>
      </c>
      <c r="E2" s="566"/>
      <c r="F2" s="566"/>
      <c r="G2" s="566"/>
      <c r="H2" s="566"/>
      <c r="I2" s="567"/>
    </row>
    <row r="3" spans="1:9" s="33" customForma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71" t="s">
        <v>0</v>
      </c>
      <c r="H3" s="32" t="s">
        <v>9</v>
      </c>
      <c r="I3" s="45" t="s">
        <v>2</v>
      </c>
    </row>
    <row r="4" spans="1:9" s="60" customFormat="1" ht="33" customHeight="1" x14ac:dyDescent="0.6">
      <c r="A4" s="5"/>
      <c r="B4" s="62" t="s">
        <v>27</v>
      </c>
      <c r="C4" s="61">
        <v>1195260</v>
      </c>
      <c r="D4" s="5">
        <v>45664</v>
      </c>
      <c r="E4" s="27" t="s">
        <v>42</v>
      </c>
      <c r="F4" s="16">
        <v>1100000</v>
      </c>
      <c r="G4" s="9">
        <v>45660</v>
      </c>
      <c r="H4" s="10" t="s">
        <v>28</v>
      </c>
      <c r="I4" s="14">
        <v>8100</v>
      </c>
    </row>
    <row r="5" spans="1:9" s="60" customFormat="1" ht="33" customHeight="1" x14ac:dyDescent="0.6">
      <c r="A5" s="5">
        <v>45602</v>
      </c>
      <c r="B5" s="22" t="s">
        <v>18</v>
      </c>
      <c r="C5" s="16">
        <v>1500000</v>
      </c>
      <c r="D5" s="9">
        <v>45667</v>
      </c>
      <c r="E5" s="10" t="s">
        <v>74</v>
      </c>
      <c r="F5" s="14">
        <v>603000</v>
      </c>
      <c r="G5" s="9">
        <v>45660</v>
      </c>
      <c r="H5" s="10" t="s">
        <v>29</v>
      </c>
      <c r="I5" s="14">
        <v>21000</v>
      </c>
    </row>
    <row r="6" spans="1:9" s="60" customFormat="1" ht="33" customHeight="1" x14ac:dyDescent="0.6">
      <c r="A6" s="5">
        <v>45602</v>
      </c>
      <c r="B6" s="22" t="s">
        <v>40</v>
      </c>
      <c r="C6" s="16">
        <v>4000000</v>
      </c>
      <c r="D6" s="9">
        <v>45668</v>
      </c>
      <c r="E6" s="10" t="s">
        <v>75</v>
      </c>
      <c r="F6" s="16">
        <v>303000</v>
      </c>
      <c r="G6" s="9">
        <v>45660</v>
      </c>
      <c r="H6" s="10" t="s">
        <v>30</v>
      </c>
      <c r="I6" s="14">
        <v>96850</v>
      </c>
    </row>
    <row r="7" spans="1:9" s="60" customFormat="1" ht="33" customHeight="1" x14ac:dyDescent="0.6">
      <c r="A7" s="5">
        <v>45665</v>
      </c>
      <c r="B7" s="22" t="s">
        <v>51</v>
      </c>
      <c r="C7" s="16">
        <v>2000000</v>
      </c>
      <c r="D7" s="9">
        <v>45668</v>
      </c>
      <c r="E7" s="27" t="s">
        <v>77</v>
      </c>
      <c r="F7" s="16">
        <v>636300</v>
      </c>
      <c r="G7" s="9">
        <v>45661</v>
      </c>
      <c r="H7" s="10" t="s">
        <v>185</v>
      </c>
      <c r="I7" s="14">
        <v>10000</v>
      </c>
    </row>
    <row r="8" spans="1:9" s="60" customFormat="1" ht="33" customHeight="1" x14ac:dyDescent="0.6">
      <c r="A8" s="5">
        <v>45665</v>
      </c>
      <c r="B8" s="22" t="s">
        <v>54</v>
      </c>
      <c r="C8" s="16">
        <v>500000</v>
      </c>
      <c r="D8" s="5">
        <v>46004</v>
      </c>
      <c r="E8" s="27" t="s">
        <v>84</v>
      </c>
      <c r="F8" s="16">
        <v>186465</v>
      </c>
      <c r="G8" s="9">
        <v>45661</v>
      </c>
      <c r="H8" s="10" t="s">
        <v>31</v>
      </c>
      <c r="I8" s="14">
        <v>10100</v>
      </c>
    </row>
    <row r="9" spans="1:9" s="60" customFormat="1" ht="33" customHeight="1" x14ac:dyDescent="0.6">
      <c r="A9" s="5">
        <v>45302</v>
      </c>
      <c r="B9" s="22" t="s">
        <v>76</v>
      </c>
      <c r="C9" s="16">
        <v>2000000</v>
      </c>
      <c r="D9" s="5">
        <v>46005</v>
      </c>
      <c r="E9" s="27" t="s">
        <v>88</v>
      </c>
      <c r="F9" s="16">
        <v>814060</v>
      </c>
      <c r="G9" s="9">
        <v>45661</v>
      </c>
      <c r="H9" s="10" t="s">
        <v>41</v>
      </c>
      <c r="I9" s="14">
        <v>65000</v>
      </c>
    </row>
    <row r="10" spans="1:9" s="60" customFormat="1" ht="33" customHeight="1" x14ac:dyDescent="0.6">
      <c r="A10" s="5">
        <v>45304</v>
      </c>
      <c r="B10" s="22" t="s">
        <v>78</v>
      </c>
      <c r="C10" s="16">
        <v>1555270</v>
      </c>
      <c r="D10" s="5">
        <v>46006</v>
      </c>
      <c r="E10" s="27" t="s">
        <v>100</v>
      </c>
      <c r="F10" s="16">
        <v>951600</v>
      </c>
      <c r="G10" s="9">
        <v>45661</v>
      </c>
      <c r="H10" s="10" t="s">
        <v>32</v>
      </c>
      <c r="I10" s="14">
        <v>535000</v>
      </c>
    </row>
    <row r="11" spans="1:9" s="60" customFormat="1" ht="33" customHeight="1" x14ac:dyDescent="0.6">
      <c r="A11" s="5">
        <v>45305</v>
      </c>
      <c r="B11" s="22" t="s">
        <v>89</v>
      </c>
      <c r="C11" s="16">
        <v>1000000</v>
      </c>
      <c r="D11" s="5">
        <v>45687</v>
      </c>
      <c r="E11" s="27" t="s">
        <v>170</v>
      </c>
      <c r="F11" s="16">
        <v>101000</v>
      </c>
      <c r="G11" s="9">
        <v>45661</v>
      </c>
      <c r="H11" s="10" t="s">
        <v>33</v>
      </c>
      <c r="I11" s="14">
        <v>20000</v>
      </c>
    </row>
    <row r="12" spans="1:9" s="60" customFormat="1" ht="33" customHeight="1" x14ac:dyDescent="0.6">
      <c r="A12" s="5">
        <v>45305</v>
      </c>
      <c r="B12" s="10" t="s">
        <v>94</v>
      </c>
      <c r="C12" s="16">
        <v>20000</v>
      </c>
      <c r="D12" s="5">
        <v>45688</v>
      </c>
      <c r="E12" s="27" t="s">
        <v>176</v>
      </c>
      <c r="F12" s="16">
        <v>101000</v>
      </c>
      <c r="G12" s="9">
        <v>45661</v>
      </c>
      <c r="H12" s="10" t="s">
        <v>34</v>
      </c>
      <c r="I12" s="14">
        <v>6000</v>
      </c>
    </row>
    <row r="13" spans="1:9" s="60" customFormat="1" ht="33" customHeight="1" x14ac:dyDescent="0.6">
      <c r="A13" s="5">
        <v>45306</v>
      </c>
      <c r="B13" s="22" t="s">
        <v>98</v>
      </c>
      <c r="C13" s="16">
        <v>2000000</v>
      </c>
      <c r="D13" s="5"/>
      <c r="E13" s="5"/>
      <c r="F13" s="5"/>
      <c r="G13" s="9">
        <v>45661</v>
      </c>
      <c r="H13" s="10" t="s">
        <v>35</v>
      </c>
      <c r="I13" s="14">
        <v>3600</v>
      </c>
    </row>
    <row r="14" spans="1:9" s="60" customFormat="1" ht="33" customHeight="1" x14ac:dyDescent="0.6">
      <c r="A14" s="5">
        <v>45677</v>
      </c>
      <c r="B14" s="22" t="s">
        <v>113</v>
      </c>
      <c r="C14" s="16">
        <v>3000000</v>
      </c>
      <c r="D14" s="5"/>
      <c r="E14" s="5"/>
      <c r="F14" s="5"/>
      <c r="G14" s="9">
        <v>45663</v>
      </c>
      <c r="H14" s="10" t="s">
        <v>29</v>
      </c>
      <c r="I14" s="14">
        <v>21000</v>
      </c>
    </row>
    <row r="15" spans="1:9" s="60" customFormat="1" ht="33" customHeight="1" x14ac:dyDescent="0.6">
      <c r="A15" s="5">
        <v>45682</v>
      </c>
      <c r="B15" s="22" t="s">
        <v>18</v>
      </c>
      <c r="C15" s="16">
        <v>500000</v>
      </c>
      <c r="D15" s="5"/>
      <c r="E15" s="5"/>
      <c r="F15" s="5"/>
      <c r="G15" s="9">
        <v>45663</v>
      </c>
      <c r="H15" s="10" t="s">
        <v>36</v>
      </c>
      <c r="I15" s="14">
        <v>40400</v>
      </c>
    </row>
    <row r="16" spans="1:9" s="60" customFormat="1" ht="33" customHeight="1" x14ac:dyDescent="0.6">
      <c r="A16" s="5">
        <v>45682</v>
      </c>
      <c r="B16" s="22" t="s">
        <v>18</v>
      </c>
      <c r="C16" s="16">
        <v>1000000</v>
      </c>
      <c r="D16" s="5"/>
      <c r="E16" s="5"/>
      <c r="F16" s="5"/>
      <c r="G16" s="9">
        <v>45663</v>
      </c>
      <c r="H16" s="10" t="s">
        <v>37</v>
      </c>
      <c r="I16" s="14">
        <v>11110</v>
      </c>
    </row>
    <row r="17" spans="1:9" s="23" customFormat="1" ht="33" customHeight="1" x14ac:dyDescent="0.6">
      <c r="A17" s="5">
        <v>45684</v>
      </c>
      <c r="B17" s="22" t="s">
        <v>153</v>
      </c>
      <c r="C17" s="16">
        <v>2000000</v>
      </c>
      <c r="D17" s="5"/>
      <c r="E17" s="5"/>
      <c r="F17" s="5"/>
      <c r="G17" s="9">
        <v>45663</v>
      </c>
      <c r="H17" s="10" t="s">
        <v>38</v>
      </c>
      <c r="I17" s="14">
        <v>4000</v>
      </c>
    </row>
    <row r="18" spans="1:9" s="23" customFormat="1" ht="33" customHeight="1" x14ac:dyDescent="0.6">
      <c r="A18" s="5">
        <v>45687</v>
      </c>
      <c r="B18" s="22" t="s">
        <v>167</v>
      </c>
      <c r="C18" s="16">
        <v>1000000</v>
      </c>
      <c r="D18" s="5"/>
      <c r="E18" s="27"/>
      <c r="F18" s="16"/>
      <c r="G18" s="9">
        <v>45663</v>
      </c>
      <c r="H18" s="10" t="s">
        <v>39</v>
      </c>
      <c r="I18" s="14">
        <v>2000</v>
      </c>
    </row>
    <row r="19" spans="1:9" s="23" customFormat="1" ht="33" customHeight="1" x14ac:dyDescent="0.6">
      <c r="A19" s="5">
        <v>45688</v>
      </c>
      <c r="B19" s="22" t="s">
        <v>178</v>
      </c>
      <c r="C19" s="16">
        <v>2000000</v>
      </c>
      <c r="D19" s="5"/>
      <c r="E19" s="27"/>
      <c r="F19" s="16"/>
      <c r="G19" s="9">
        <v>45664</v>
      </c>
      <c r="H19" s="10" t="s">
        <v>128</v>
      </c>
      <c r="I19" s="14">
        <v>2020000</v>
      </c>
    </row>
    <row r="20" spans="1:9" s="23" customFormat="1" ht="33" customHeight="1" x14ac:dyDescent="0.6">
      <c r="A20" s="5"/>
      <c r="B20" s="22"/>
      <c r="C20" s="16"/>
      <c r="D20" s="5"/>
      <c r="E20" s="27"/>
      <c r="F20" s="16"/>
      <c r="G20" s="9">
        <v>45664</v>
      </c>
      <c r="H20" s="10" t="s">
        <v>11</v>
      </c>
      <c r="I20" s="14">
        <v>600</v>
      </c>
    </row>
    <row r="21" spans="1:9" s="23" customFormat="1" ht="33" customHeight="1" x14ac:dyDescent="0.6">
      <c r="A21" s="5"/>
      <c r="B21" s="22"/>
      <c r="C21" s="16"/>
      <c r="D21" s="5"/>
      <c r="E21" s="27"/>
      <c r="F21" s="16"/>
      <c r="G21" s="9">
        <v>45664</v>
      </c>
      <c r="H21" s="10" t="s">
        <v>43</v>
      </c>
      <c r="I21" s="14">
        <v>2800</v>
      </c>
    </row>
    <row r="22" spans="1:9" s="23" customFormat="1" ht="33" customHeight="1" x14ac:dyDescent="0.6">
      <c r="A22" s="5"/>
      <c r="B22" s="22"/>
      <c r="C22" s="16"/>
      <c r="D22" s="5"/>
      <c r="E22" s="27"/>
      <c r="F22" s="16"/>
      <c r="G22" s="9">
        <v>45664</v>
      </c>
      <c r="H22" s="10" t="s">
        <v>45</v>
      </c>
      <c r="I22" s="14">
        <v>2000000</v>
      </c>
    </row>
    <row r="23" spans="1:9" ht="33" customHeight="1" x14ac:dyDescent="0.6">
      <c r="A23" s="5"/>
      <c r="B23" s="22"/>
      <c r="C23" s="16"/>
      <c r="D23" s="3"/>
      <c r="E23" s="24"/>
      <c r="F23" s="4"/>
      <c r="G23" s="9">
        <v>45664</v>
      </c>
      <c r="H23" s="10" t="s">
        <v>44</v>
      </c>
      <c r="I23" s="14">
        <v>10000</v>
      </c>
    </row>
    <row r="24" spans="1:9" ht="33" customHeight="1" x14ac:dyDescent="0.6">
      <c r="A24" s="5"/>
      <c r="B24" s="22"/>
      <c r="C24" s="16"/>
      <c r="D24" s="3"/>
      <c r="E24" s="24"/>
      <c r="F24" s="4"/>
      <c r="G24" s="9">
        <v>45664</v>
      </c>
      <c r="H24" s="10" t="s">
        <v>46</v>
      </c>
      <c r="I24" s="14">
        <v>1200</v>
      </c>
    </row>
    <row r="25" spans="1:9" ht="33" customHeight="1" x14ac:dyDescent="0.6">
      <c r="A25" s="5"/>
      <c r="B25" s="22"/>
      <c r="C25" s="16"/>
      <c r="D25" s="3"/>
      <c r="E25" s="24"/>
      <c r="F25" s="4"/>
      <c r="G25" s="9">
        <v>45664</v>
      </c>
      <c r="H25" s="10" t="s">
        <v>47</v>
      </c>
      <c r="I25" s="14">
        <v>262000</v>
      </c>
    </row>
    <row r="26" spans="1:9" ht="33" customHeight="1" x14ac:dyDescent="0.6">
      <c r="A26" s="3"/>
      <c r="B26" s="26"/>
      <c r="C26" s="4"/>
      <c r="D26" s="3"/>
      <c r="E26" s="24"/>
      <c r="F26" s="4"/>
      <c r="G26" s="9">
        <v>45664</v>
      </c>
      <c r="H26" s="10" t="s">
        <v>48</v>
      </c>
      <c r="I26" s="14">
        <v>10000</v>
      </c>
    </row>
    <row r="27" spans="1:9" ht="33" customHeight="1" x14ac:dyDescent="0.6">
      <c r="A27" s="3"/>
      <c r="B27" s="26"/>
      <c r="C27" s="4"/>
      <c r="D27" s="3"/>
      <c r="E27" s="24"/>
      <c r="F27" s="4"/>
      <c r="G27" s="9">
        <v>45665</v>
      </c>
      <c r="H27" s="10" t="s">
        <v>49</v>
      </c>
      <c r="I27" s="14">
        <v>22000</v>
      </c>
    </row>
    <row r="28" spans="1:9" ht="33" customHeight="1" x14ac:dyDescent="0.6">
      <c r="A28" s="3"/>
      <c r="B28" s="26"/>
      <c r="C28" s="4"/>
      <c r="D28" s="3"/>
      <c r="E28" s="24"/>
      <c r="F28" s="4"/>
      <c r="G28" s="9">
        <v>45665</v>
      </c>
      <c r="H28" s="10" t="s">
        <v>50</v>
      </c>
      <c r="I28" s="14">
        <v>600</v>
      </c>
    </row>
    <row r="29" spans="1:9" ht="33" customHeight="1" x14ac:dyDescent="0.6">
      <c r="A29" s="3"/>
      <c r="B29" s="26"/>
      <c r="C29" s="4"/>
      <c r="D29" s="3"/>
      <c r="E29" s="24"/>
      <c r="F29" s="4"/>
      <c r="G29" s="9">
        <v>45665</v>
      </c>
      <c r="H29" s="10" t="s">
        <v>11</v>
      </c>
      <c r="I29" s="14">
        <v>500</v>
      </c>
    </row>
    <row r="30" spans="1:9" ht="33" customHeight="1" x14ac:dyDescent="0.6">
      <c r="A30" s="3"/>
      <c r="B30" s="26"/>
      <c r="C30" s="4"/>
      <c r="D30" s="3"/>
      <c r="E30" s="24"/>
      <c r="F30" s="4"/>
      <c r="G30" s="9">
        <v>45665</v>
      </c>
      <c r="H30" s="10" t="s">
        <v>52</v>
      </c>
      <c r="I30" s="14">
        <v>20000</v>
      </c>
    </row>
    <row r="31" spans="1:9" ht="33" customHeight="1" x14ac:dyDescent="0.6">
      <c r="A31" s="3"/>
      <c r="B31" s="26"/>
      <c r="C31" s="4"/>
      <c r="D31" s="3"/>
      <c r="E31" s="24"/>
      <c r="F31" s="4"/>
      <c r="G31" s="9">
        <v>45665</v>
      </c>
      <c r="H31" s="10" t="s">
        <v>53</v>
      </c>
      <c r="I31" s="14">
        <v>40400</v>
      </c>
    </row>
    <row r="32" spans="1:9" ht="33" customHeight="1" x14ac:dyDescent="0.6">
      <c r="A32" s="3"/>
      <c r="B32" s="26"/>
      <c r="C32" s="4"/>
      <c r="D32" s="3"/>
      <c r="E32" s="24"/>
      <c r="F32" s="4"/>
      <c r="G32" s="9">
        <v>45666</v>
      </c>
      <c r="H32" s="10" t="s">
        <v>56</v>
      </c>
      <c r="I32" s="14">
        <v>842000</v>
      </c>
    </row>
    <row r="33" spans="1:9" s="23" customFormat="1" ht="33" customHeight="1" x14ac:dyDescent="0.6">
      <c r="A33" s="5"/>
      <c r="B33" s="22"/>
      <c r="C33" s="16"/>
      <c r="D33" s="5"/>
      <c r="E33" s="27"/>
      <c r="F33" s="16"/>
      <c r="G33" s="9">
        <v>45666</v>
      </c>
      <c r="H33" s="10" t="s">
        <v>79</v>
      </c>
      <c r="I33" s="14">
        <v>1000</v>
      </c>
    </row>
    <row r="34" spans="1:9" ht="33" customHeight="1" x14ac:dyDescent="0.6">
      <c r="A34" s="3"/>
      <c r="B34" s="26"/>
      <c r="C34" s="4"/>
      <c r="D34" s="3"/>
      <c r="E34" s="24"/>
      <c r="F34" s="4"/>
      <c r="G34" s="9">
        <v>45666</v>
      </c>
      <c r="H34" s="10" t="s">
        <v>55</v>
      </c>
      <c r="I34" s="14">
        <v>2000</v>
      </c>
    </row>
    <row r="35" spans="1:9" ht="33" customHeight="1" x14ac:dyDescent="0.6">
      <c r="A35" s="3"/>
      <c r="B35" s="26"/>
      <c r="C35" s="4"/>
      <c r="D35" s="3"/>
      <c r="E35" s="24"/>
      <c r="F35" s="4"/>
      <c r="G35" s="9">
        <v>45666</v>
      </c>
      <c r="H35" s="10" t="s">
        <v>57</v>
      </c>
      <c r="I35" s="14">
        <v>2800</v>
      </c>
    </row>
    <row r="36" spans="1:9" ht="33" customHeight="1" x14ac:dyDescent="0.6">
      <c r="A36" s="3"/>
      <c r="B36" s="26"/>
      <c r="C36" s="4"/>
      <c r="D36" s="3"/>
      <c r="E36" s="24"/>
      <c r="F36" s="4"/>
      <c r="G36" s="9">
        <v>45666</v>
      </c>
      <c r="H36" s="10" t="s">
        <v>58</v>
      </c>
      <c r="I36" s="14">
        <v>60600</v>
      </c>
    </row>
    <row r="37" spans="1:9" ht="33" customHeight="1" x14ac:dyDescent="0.6">
      <c r="A37" s="3"/>
      <c r="B37" s="26"/>
      <c r="C37" s="4"/>
      <c r="D37" s="3"/>
      <c r="E37" s="24"/>
      <c r="F37" s="4"/>
      <c r="G37" s="9">
        <v>45666</v>
      </c>
      <c r="H37" s="10" t="s">
        <v>59</v>
      </c>
      <c r="I37" s="14">
        <v>60600</v>
      </c>
    </row>
    <row r="38" spans="1:9" ht="33" customHeight="1" x14ac:dyDescent="0.6">
      <c r="A38" s="3"/>
      <c r="B38" s="26"/>
      <c r="C38" s="4"/>
      <c r="D38" s="3"/>
      <c r="E38" s="24"/>
      <c r="F38" s="4"/>
      <c r="G38" s="9">
        <v>45666</v>
      </c>
      <c r="H38" s="10" t="s">
        <v>60</v>
      </c>
      <c r="I38" s="14">
        <v>30300</v>
      </c>
    </row>
    <row r="39" spans="1:9" ht="33" customHeight="1" x14ac:dyDescent="0.6">
      <c r="A39" s="3"/>
      <c r="B39" s="26"/>
      <c r="C39" s="4"/>
      <c r="D39" s="3"/>
      <c r="E39" s="24"/>
      <c r="F39" s="4"/>
      <c r="G39" s="9">
        <v>45666</v>
      </c>
      <c r="H39" s="10" t="s">
        <v>61</v>
      </c>
      <c r="I39" s="14">
        <v>660540</v>
      </c>
    </row>
    <row r="40" spans="1:9" ht="33" customHeight="1" x14ac:dyDescent="0.6">
      <c r="A40" s="3"/>
      <c r="B40" s="26"/>
      <c r="C40" s="4"/>
      <c r="D40" s="3"/>
      <c r="E40" s="24"/>
      <c r="F40" s="4"/>
      <c r="G40" s="9">
        <v>45666</v>
      </c>
      <c r="H40" s="10" t="s">
        <v>62</v>
      </c>
      <c r="I40" s="14">
        <v>202000</v>
      </c>
    </row>
    <row r="41" spans="1:9" ht="33" customHeight="1" x14ac:dyDescent="0.6">
      <c r="A41" s="3"/>
      <c r="B41" s="26"/>
      <c r="C41" s="4"/>
      <c r="D41" s="3"/>
      <c r="E41" s="24"/>
      <c r="F41" s="4"/>
      <c r="G41" s="9">
        <v>45666</v>
      </c>
      <c r="H41" s="10" t="s">
        <v>63</v>
      </c>
      <c r="I41" s="14">
        <v>150000</v>
      </c>
    </row>
    <row r="42" spans="1:9" ht="33" customHeight="1" x14ac:dyDescent="0.6">
      <c r="A42" s="3"/>
      <c r="B42" s="26"/>
      <c r="C42" s="4"/>
      <c r="D42" s="3"/>
      <c r="E42" s="24"/>
      <c r="F42" s="4"/>
      <c r="G42" s="9">
        <v>45666</v>
      </c>
      <c r="H42" s="10" t="s">
        <v>64</v>
      </c>
      <c r="I42" s="14">
        <v>2000</v>
      </c>
    </row>
    <row r="43" spans="1:9" ht="33" customHeight="1" x14ac:dyDescent="0.6">
      <c r="A43" s="3"/>
      <c r="B43" s="26"/>
      <c r="C43" s="4"/>
      <c r="D43" s="3"/>
      <c r="E43" s="24"/>
      <c r="F43" s="4"/>
      <c r="G43" s="9">
        <v>45667</v>
      </c>
      <c r="H43" s="10" t="s">
        <v>65</v>
      </c>
      <c r="I43" s="14">
        <v>10000</v>
      </c>
    </row>
    <row r="44" spans="1:9" ht="33" customHeight="1" x14ac:dyDescent="0.6">
      <c r="A44" s="3"/>
      <c r="B44" s="26"/>
      <c r="C44" s="4"/>
      <c r="D44" s="3"/>
      <c r="E44" s="24"/>
      <c r="F44" s="4"/>
      <c r="G44" s="9">
        <v>45667</v>
      </c>
      <c r="H44" s="10" t="s">
        <v>67</v>
      </c>
      <c r="I44" s="14">
        <v>2800</v>
      </c>
    </row>
    <row r="45" spans="1:9" ht="33" customHeight="1" x14ac:dyDescent="0.6">
      <c r="A45" s="3"/>
      <c r="B45" s="26"/>
      <c r="C45" s="4"/>
      <c r="D45" s="3"/>
      <c r="E45" s="24"/>
      <c r="F45" s="4"/>
      <c r="G45" s="9">
        <v>45667</v>
      </c>
      <c r="H45" s="10" t="s">
        <v>66</v>
      </c>
      <c r="I45" s="14">
        <v>6060</v>
      </c>
    </row>
    <row r="46" spans="1:9" ht="33" customHeight="1" x14ac:dyDescent="0.6">
      <c r="A46" s="3"/>
      <c r="B46" s="26"/>
      <c r="C46" s="4"/>
      <c r="D46" s="3"/>
      <c r="E46" s="24"/>
      <c r="F46" s="4"/>
      <c r="G46" s="9">
        <v>45667</v>
      </c>
      <c r="H46" s="10" t="s">
        <v>68</v>
      </c>
      <c r="I46" s="14">
        <v>8000</v>
      </c>
    </row>
    <row r="47" spans="1:9" ht="33" customHeight="1" x14ac:dyDescent="0.6">
      <c r="A47" s="3"/>
      <c r="B47" s="26"/>
      <c r="C47" s="4"/>
      <c r="D47" s="3"/>
      <c r="E47" s="24"/>
      <c r="F47" s="4"/>
      <c r="G47" s="9">
        <v>45667</v>
      </c>
      <c r="H47" s="10" t="s">
        <v>70</v>
      </c>
      <c r="I47" s="14">
        <v>60600</v>
      </c>
    </row>
    <row r="48" spans="1:9" ht="33" customHeight="1" x14ac:dyDescent="0.6">
      <c r="A48" s="3"/>
      <c r="B48" s="26"/>
      <c r="C48" s="4"/>
      <c r="D48" s="3"/>
      <c r="E48" s="24"/>
      <c r="F48" s="4"/>
      <c r="G48" s="9">
        <v>45668</v>
      </c>
      <c r="H48" s="10" t="s">
        <v>71</v>
      </c>
      <c r="I48" s="14">
        <v>4600</v>
      </c>
    </row>
    <row r="49" spans="1:9" ht="33" customHeight="1" x14ac:dyDescent="0.6">
      <c r="A49" s="3"/>
      <c r="B49" s="26"/>
      <c r="C49" s="4"/>
      <c r="D49" s="3"/>
      <c r="E49" s="24"/>
      <c r="F49" s="4"/>
      <c r="G49" s="9">
        <v>45668</v>
      </c>
      <c r="H49" s="10" t="s">
        <v>72</v>
      </c>
      <c r="I49" s="14">
        <v>450000</v>
      </c>
    </row>
    <row r="50" spans="1:9" ht="33" customHeight="1" x14ac:dyDescent="0.6">
      <c r="A50" s="3"/>
      <c r="B50" s="26"/>
      <c r="C50" s="4"/>
      <c r="D50" s="3"/>
      <c r="E50" s="24"/>
      <c r="F50" s="4"/>
      <c r="G50" s="9">
        <v>45668</v>
      </c>
      <c r="H50" s="10" t="s">
        <v>73</v>
      </c>
      <c r="I50" s="14">
        <v>101000</v>
      </c>
    </row>
    <row r="51" spans="1:9" ht="33" customHeight="1" x14ac:dyDescent="0.6">
      <c r="A51" s="3"/>
      <c r="B51" s="26"/>
      <c r="C51" s="4"/>
      <c r="D51" s="3"/>
      <c r="E51" s="24"/>
      <c r="F51" s="4"/>
      <c r="G51" s="9">
        <v>45670</v>
      </c>
      <c r="H51" s="10" t="s">
        <v>21</v>
      </c>
      <c r="I51" s="14">
        <v>10000</v>
      </c>
    </row>
    <row r="52" spans="1:9" ht="33" customHeight="1" x14ac:dyDescent="0.6">
      <c r="A52" s="3"/>
      <c r="B52" s="26"/>
      <c r="C52" s="4"/>
      <c r="D52" s="3"/>
      <c r="E52" s="24"/>
      <c r="F52" s="4"/>
      <c r="G52" s="9">
        <v>45670</v>
      </c>
      <c r="H52" s="10" t="s">
        <v>80</v>
      </c>
      <c r="I52" s="14">
        <v>500</v>
      </c>
    </row>
    <row r="53" spans="1:9" ht="33" customHeight="1" x14ac:dyDescent="0.6">
      <c r="A53" s="3"/>
      <c r="B53" s="26"/>
      <c r="C53" s="4"/>
      <c r="D53" s="3"/>
      <c r="E53" s="24"/>
      <c r="F53" s="4"/>
      <c r="G53" s="9">
        <v>45670</v>
      </c>
      <c r="H53" s="10" t="s">
        <v>82</v>
      </c>
      <c r="I53" s="14">
        <v>18180</v>
      </c>
    </row>
    <row r="54" spans="1:9" ht="33" customHeight="1" x14ac:dyDescent="0.6">
      <c r="A54" s="3"/>
      <c r="B54" s="26"/>
      <c r="C54" s="4"/>
      <c r="D54" s="3"/>
      <c r="E54" s="24"/>
      <c r="F54" s="4"/>
      <c r="G54" s="9">
        <v>45670</v>
      </c>
      <c r="H54" s="10" t="s">
        <v>83</v>
      </c>
      <c r="I54" s="14">
        <v>8000</v>
      </c>
    </row>
    <row r="55" spans="1:9" ht="33" customHeight="1" x14ac:dyDescent="0.6">
      <c r="A55" s="3"/>
      <c r="B55" s="26"/>
      <c r="C55" s="4"/>
      <c r="D55" s="3"/>
      <c r="E55" s="24"/>
      <c r="F55" s="4"/>
      <c r="G55" s="9">
        <v>45670</v>
      </c>
      <c r="H55" s="10" t="s">
        <v>86</v>
      </c>
      <c r="I55" s="14">
        <v>134330</v>
      </c>
    </row>
    <row r="56" spans="1:9" ht="33" customHeight="1" x14ac:dyDescent="0.6">
      <c r="A56" s="3"/>
      <c r="B56" s="26"/>
      <c r="C56" s="4"/>
      <c r="D56" s="3"/>
      <c r="E56" s="24"/>
      <c r="F56" s="4"/>
      <c r="G56" s="9">
        <v>45670</v>
      </c>
      <c r="H56" s="10" t="s">
        <v>85</v>
      </c>
      <c r="I56" s="14">
        <v>687200</v>
      </c>
    </row>
    <row r="57" spans="1:9" ht="33" customHeight="1" x14ac:dyDescent="0.6">
      <c r="A57" s="3"/>
      <c r="B57" s="26"/>
      <c r="C57" s="4"/>
      <c r="D57" s="3"/>
      <c r="E57" s="24"/>
      <c r="F57" s="4"/>
      <c r="G57" s="9">
        <v>45670</v>
      </c>
      <c r="H57" s="10" t="s">
        <v>87</v>
      </c>
      <c r="I57" s="14">
        <v>121200</v>
      </c>
    </row>
    <row r="58" spans="1:9" ht="33" customHeight="1" x14ac:dyDescent="0.6">
      <c r="A58" s="3"/>
      <c r="B58" s="26"/>
      <c r="C58" s="4"/>
      <c r="D58" s="3"/>
      <c r="E58" s="24"/>
      <c r="F58" s="4"/>
      <c r="G58" s="9">
        <v>45671</v>
      </c>
      <c r="H58" s="10" t="s">
        <v>12</v>
      </c>
      <c r="I58" s="14">
        <v>20000</v>
      </c>
    </row>
    <row r="59" spans="1:9" ht="33" customHeight="1" x14ac:dyDescent="0.6">
      <c r="A59" s="3"/>
      <c r="B59" s="26"/>
      <c r="C59" s="4"/>
      <c r="D59" s="3"/>
      <c r="E59" s="24"/>
      <c r="F59" s="4"/>
      <c r="G59" s="9">
        <v>45671</v>
      </c>
      <c r="H59" s="10" t="s">
        <v>11</v>
      </c>
      <c r="I59" s="14">
        <v>500</v>
      </c>
    </row>
    <row r="60" spans="1:9" ht="33" customHeight="1" x14ac:dyDescent="0.6">
      <c r="A60" s="3"/>
      <c r="B60" s="26"/>
      <c r="C60" s="4"/>
      <c r="D60" s="3"/>
      <c r="E60" s="24"/>
      <c r="F60" s="4"/>
      <c r="G60" s="9">
        <v>45671</v>
      </c>
      <c r="H60" s="10" t="s">
        <v>90</v>
      </c>
      <c r="I60" s="14">
        <v>18055</v>
      </c>
    </row>
    <row r="61" spans="1:9" ht="33" customHeight="1" x14ac:dyDescent="0.6">
      <c r="A61" s="3"/>
      <c r="B61" s="26"/>
      <c r="C61" s="4"/>
      <c r="D61" s="3"/>
      <c r="E61" s="24"/>
      <c r="F61" s="4"/>
      <c r="G61" s="9">
        <v>45671</v>
      </c>
      <c r="H61" s="10" t="s">
        <v>91</v>
      </c>
      <c r="I61" s="14">
        <v>3500</v>
      </c>
    </row>
    <row r="62" spans="1:9" ht="33" customHeight="1" x14ac:dyDescent="0.6">
      <c r="A62" s="3"/>
      <c r="B62" s="26"/>
      <c r="C62" s="4"/>
      <c r="D62" s="3"/>
      <c r="E62" s="24"/>
      <c r="F62" s="4"/>
      <c r="G62" s="9">
        <v>45671</v>
      </c>
      <c r="H62" s="10" t="s">
        <v>92</v>
      </c>
      <c r="I62" s="14">
        <v>4000</v>
      </c>
    </row>
    <row r="63" spans="1:9" ht="33" customHeight="1" x14ac:dyDescent="0.6">
      <c r="A63" s="3"/>
      <c r="B63" s="26"/>
      <c r="C63" s="4"/>
      <c r="D63" s="3"/>
      <c r="E63" s="24"/>
      <c r="F63" s="4"/>
      <c r="G63" s="9">
        <v>45671</v>
      </c>
      <c r="H63" s="10" t="s">
        <v>93</v>
      </c>
      <c r="I63" s="14">
        <v>25000</v>
      </c>
    </row>
    <row r="64" spans="1:9" ht="33" customHeight="1" x14ac:dyDescent="0.6">
      <c r="A64" s="3"/>
      <c r="B64" s="26"/>
      <c r="C64" s="4"/>
      <c r="D64" s="3"/>
      <c r="E64" s="24"/>
      <c r="F64" s="4"/>
      <c r="G64" s="9">
        <v>45671</v>
      </c>
      <c r="H64" s="10" t="s">
        <v>14</v>
      </c>
      <c r="I64" s="14">
        <v>2000</v>
      </c>
    </row>
    <row r="65" spans="1:9" ht="33" customHeight="1" x14ac:dyDescent="0.6">
      <c r="A65" s="3"/>
      <c r="B65" s="26"/>
      <c r="C65" s="4"/>
      <c r="D65" s="3"/>
      <c r="E65" s="24"/>
      <c r="F65" s="4"/>
      <c r="G65" s="9">
        <v>45671</v>
      </c>
      <c r="H65" s="10" t="s">
        <v>95</v>
      </c>
      <c r="I65" s="14">
        <v>75000</v>
      </c>
    </row>
    <row r="66" spans="1:9" ht="33" customHeight="1" x14ac:dyDescent="0.6">
      <c r="A66" s="3"/>
      <c r="B66" s="26"/>
      <c r="C66" s="4"/>
      <c r="D66" s="3"/>
      <c r="E66" s="24"/>
      <c r="F66" s="4"/>
      <c r="G66" s="9">
        <v>45671</v>
      </c>
      <c r="H66" s="10" t="s">
        <v>96</v>
      </c>
      <c r="I66" s="14">
        <v>6060</v>
      </c>
    </row>
    <row r="67" spans="1:9" ht="33" customHeight="1" x14ac:dyDescent="0.6">
      <c r="A67" s="3"/>
      <c r="B67" s="26"/>
      <c r="C67" s="4"/>
      <c r="D67" s="3"/>
      <c r="E67" s="24"/>
      <c r="F67" s="4"/>
      <c r="G67" s="9">
        <v>45672</v>
      </c>
      <c r="H67" s="10" t="s">
        <v>97</v>
      </c>
      <c r="I67" s="14">
        <v>700</v>
      </c>
    </row>
    <row r="68" spans="1:9" ht="33" customHeight="1" x14ac:dyDescent="0.6">
      <c r="A68" s="3"/>
      <c r="B68" s="26"/>
      <c r="C68" s="4"/>
      <c r="D68" s="3"/>
      <c r="E68" s="24"/>
      <c r="F68" s="4"/>
      <c r="G68" s="9">
        <v>45672</v>
      </c>
      <c r="H68" s="10" t="s">
        <v>154</v>
      </c>
      <c r="I68" s="14">
        <v>92415</v>
      </c>
    </row>
    <row r="69" spans="1:9" ht="33" customHeight="1" x14ac:dyDescent="0.6">
      <c r="A69" s="3"/>
      <c r="B69" s="26"/>
      <c r="C69" s="4"/>
      <c r="D69" s="3"/>
      <c r="E69" s="24"/>
      <c r="F69" s="4"/>
      <c r="G69" s="9">
        <v>45672</v>
      </c>
      <c r="H69" s="10" t="s">
        <v>99</v>
      </c>
      <c r="I69" s="14">
        <v>900</v>
      </c>
    </row>
    <row r="70" spans="1:9" ht="33" customHeight="1" x14ac:dyDescent="0.6">
      <c r="A70" s="3"/>
      <c r="B70" s="26"/>
      <c r="C70" s="4"/>
      <c r="D70" s="3"/>
      <c r="E70" s="24"/>
      <c r="F70" s="4"/>
      <c r="G70" s="9">
        <v>45672</v>
      </c>
      <c r="H70" s="10" t="s">
        <v>101</v>
      </c>
      <c r="I70" s="14">
        <v>3100</v>
      </c>
    </row>
    <row r="71" spans="1:9" ht="33" customHeight="1" x14ac:dyDescent="0.6">
      <c r="A71" s="3"/>
      <c r="B71" s="26"/>
      <c r="C71" s="4"/>
      <c r="D71" s="3"/>
      <c r="E71" s="24"/>
      <c r="F71" s="4"/>
      <c r="G71" s="9">
        <v>45673</v>
      </c>
      <c r="H71" s="10" t="s">
        <v>102</v>
      </c>
      <c r="I71" s="14">
        <v>235000</v>
      </c>
    </row>
    <row r="72" spans="1:9" ht="33" customHeight="1" x14ac:dyDescent="0.6">
      <c r="A72" s="3"/>
      <c r="B72" s="26"/>
      <c r="C72" s="4"/>
      <c r="D72" s="3"/>
      <c r="E72" s="24"/>
      <c r="F72" s="4"/>
      <c r="G72" s="9">
        <v>45673</v>
      </c>
      <c r="H72" s="10" t="s">
        <v>103</v>
      </c>
      <c r="I72" s="14">
        <v>500000</v>
      </c>
    </row>
    <row r="73" spans="1:9" ht="33" customHeight="1" x14ac:dyDescent="0.6">
      <c r="A73" s="3"/>
      <c r="B73" s="26"/>
      <c r="C73" s="4"/>
      <c r="D73" s="3"/>
      <c r="E73" s="24"/>
      <c r="F73" s="4"/>
      <c r="G73" s="9">
        <v>45673</v>
      </c>
      <c r="H73" s="10" t="s">
        <v>104</v>
      </c>
      <c r="I73" s="14">
        <v>62000</v>
      </c>
    </row>
    <row r="74" spans="1:9" ht="33" customHeight="1" x14ac:dyDescent="0.6">
      <c r="A74" s="3"/>
      <c r="B74" s="26"/>
      <c r="C74" s="4"/>
      <c r="D74" s="3"/>
      <c r="E74" s="24"/>
      <c r="F74" s="4"/>
      <c r="G74" s="9">
        <v>45674</v>
      </c>
      <c r="H74" s="10" t="s">
        <v>105</v>
      </c>
      <c r="I74" s="14">
        <v>40400</v>
      </c>
    </row>
    <row r="75" spans="1:9" ht="33" customHeight="1" x14ac:dyDescent="0.6">
      <c r="A75" s="3"/>
      <c r="B75" s="26"/>
      <c r="C75" s="4"/>
      <c r="D75" s="3"/>
      <c r="E75" s="24"/>
      <c r="F75" s="4"/>
      <c r="G75" s="9">
        <v>45674</v>
      </c>
      <c r="H75" s="10" t="s">
        <v>106</v>
      </c>
      <c r="I75" s="14">
        <v>180000</v>
      </c>
    </row>
    <row r="76" spans="1:9" ht="33" customHeight="1" x14ac:dyDescent="0.6">
      <c r="A76" s="3"/>
      <c r="B76" s="26"/>
      <c r="C76" s="4"/>
      <c r="D76" s="3"/>
      <c r="E76" s="24"/>
      <c r="F76" s="4"/>
      <c r="G76" s="9">
        <v>45674</v>
      </c>
      <c r="H76" s="10" t="s">
        <v>107</v>
      </c>
      <c r="I76" s="14">
        <f>21210+136350</f>
        <v>157560</v>
      </c>
    </row>
    <row r="77" spans="1:9" ht="33" customHeight="1" x14ac:dyDescent="0.6">
      <c r="A77" s="3"/>
      <c r="B77" s="26"/>
      <c r="C77" s="4"/>
      <c r="D77" s="3"/>
      <c r="E77" s="24"/>
      <c r="F77" s="4"/>
      <c r="G77" s="9">
        <v>45675</v>
      </c>
      <c r="H77" s="10" t="s">
        <v>108</v>
      </c>
      <c r="I77" s="14">
        <v>9090</v>
      </c>
    </row>
    <row r="78" spans="1:9" ht="33" customHeight="1" x14ac:dyDescent="0.6">
      <c r="A78" s="3"/>
      <c r="B78" s="26"/>
      <c r="C78" s="4"/>
      <c r="D78" s="3"/>
      <c r="E78" s="24"/>
      <c r="F78" s="4"/>
      <c r="G78" s="9">
        <v>45675</v>
      </c>
      <c r="H78" s="10" t="s">
        <v>109</v>
      </c>
      <c r="I78" s="14">
        <v>35000</v>
      </c>
    </row>
    <row r="79" spans="1:9" ht="33" customHeight="1" x14ac:dyDescent="0.6">
      <c r="A79" s="3"/>
      <c r="B79" s="26"/>
      <c r="C79" s="4"/>
      <c r="D79" s="3"/>
      <c r="E79" s="24"/>
      <c r="F79" s="4"/>
      <c r="G79" s="9">
        <v>45675</v>
      </c>
      <c r="H79" s="10" t="s">
        <v>110</v>
      </c>
      <c r="I79" s="14">
        <v>252500</v>
      </c>
    </row>
    <row r="80" spans="1:9" ht="33" customHeight="1" x14ac:dyDescent="0.6">
      <c r="A80" s="3"/>
      <c r="B80" s="26"/>
      <c r="C80" s="4"/>
      <c r="D80" s="3"/>
      <c r="E80" s="24"/>
      <c r="F80" s="4"/>
      <c r="G80" s="9">
        <v>45677</v>
      </c>
      <c r="H80" s="10" t="s">
        <v>12</v>
      </c>
      <c r="I80" s="14">
        <v>20000</v>
      </c>
    </row>
    <row r="81" spans="1:9" ht="33" customHeight="1" x14ac:dyDescent="0.6">
      <c r="A81" s="3"/>
      <c r="B81" s="26"/>
      <c r="C81" s="4"/>
      <c r="D81" s="3"/>
      <c r="E81" s="24"/>
      <c r="F81" s="4"/>
      <c r="G81" s="9">
        <v>45677</v>
      </c>
      <c r="H81" s="10" t="s">
        <v>111</v>
      </c>
      <c r="I81" s="14">
        <v>420000</v>
      </c>
    </row>
    <row r="82" spans="1:9" ht="33" customHeight="1" x14ac:dyDescent="0.6">
      <c r="A82" s="3"/>
      <c r="B82" s="26"/>
      <c r="C82" s="4"/>
      <c r="D82" s="3"/>
      <c r="E82" s="24"/>
      <c r="F82" s="4"/>
      <c r="G82" s="9">
        <v>45677</v>
      </c>
      <c r="H82" s="10" t="s">
        <v>112</v>
      </c>
      <c r="I82" s="14">
        <v>8000</v>
      </c>
    </row>
    <row r="83" spans="1:9" ht="33" customHeight="1" x14ac:dyDescent="0.6">
      <c r="A83" s="3"/>
      <c r="B83" s="26"/>
      <c r="C83" s="4"/>
      <c r="D83" s="3"/>
      <c r="E83" s="24"/>
      <c r="F83" s="4"/>
      <c r="G83" s="9">
        <v>45677</v>
      </c>
      <c r="H83" s="10" t="s">
        <v>114</v>
      </c>
      <c r="I83" s="14">
        <v>12120</v>
      </c>
    </row>
    <row r="84" spans="1:9" ht="33" customHeight="1" x14ac:dyDescent="0.6">
      <c r="A84" s="3"/>
      <c r="B84" s="26"/>
      <c r="C84" s="4"/>
      <c r="D84" s="3"/>
      <c r="E84" s="24"/>
      <c r="F84" s="4"/>
      <c r="G84" s="9">
        <v>45677</v>
      </c>
      <c r="H84" s="10" t="s">
        <v>115</v>
      </c>
      <c r="I84" s="14">
        <v>2000</v>
      </c>
    </row>
    <row r="85" spans="1:9" ht="33" customHeight="1" x14ac:dyDescent="0.6">
      <c r="A85" s="3"/>
      <c r="B85" s="26"/>
      <c r="C85" s="4"/>
      <c r="D85" s="3"/>
      <c r="E85" s="24"/>
      <c r="F85" s="4"/>
      <c r="G85" s="9">
        <v>45678</v>
      </c>
      <c r="H85" s="10" t="s">
        <v>14</v>
      </c>
      <c r="I85" s="14">
        <v>1000</v>
      </c>
    </row>
    <row r="86" spans="1:9" ht="33" customHeight="1" x14ac:dyDescent="0.6">
      <c r="A86" s="3"/>
      <c r="B86" s="26"/>
      <c r="C86" s="4"/>
      <c r="D86" s="3"/>
      <c r="E86" s="24"/>
      <c r="F86" s="4"/>
      <c r="G86" s="9">
        <v>45678</v>
      </c>
      <c r="H86" s="10" t="s">
        <v>116</v>
      </c>
      <c r="I86" s="14">
        <v>140000</v>
      </c>
    </row>
    <row r="87" spans="1:9" ht="33" customHeight="1" x14ac:dyDescent="0.6">
      <c r="A87" s="3"/>
      <c r="B87" s="26"/>
      <c r="C87" s="4"/>
      <c r="D87" s="3"/>
      <c r="E87" s="24"/>
      <c r="F87" s="4"/>
      <c r="G87" s="9">
        <v>45678</v>
      </c>
      <c r="H87" s="10" t="s">
        <v>117</v>
      </c>
      <c r="I87" s="14">
        <v>6000</v>
      </c>
    </row>
    <row r="88" spans="1:9" ht="33" customHeight="1" x14ac:dyDescent="0.6">
      <c r="A88" s="3"/>
      <c r="B88" s="26"/>
      <c r="C88" s="4"/>
      <c r="D88" s="3"/>
      <c r="E88" s="24"/>
      <c r="F88" s="4"/>
      <c r="G88" s="9">
        <v>45678</v>
      </c>
      <c r="H88" s="10" t="s">
        <v>118</v>
      </c>
      <c r="I88" s="14">
        <v>21210</v>
      </c>
    </row>
    <row r="89" spans="1:9" ht="33" customHeight="1" x14ac:dyDescent="0.6">
      <c r="A89" s="3"/>
      <c r="B89" s="26"/>
      <c r="C89" s="4"/>
      <c r="D89" s="3"/>
      <c r="E89" s="24"/>
      <c r="F89" s="4"/>
      <c r="G89" s="9">
        <v>45678</v>
      </c>
      <c r="H89" s="10" t="s">
        <v>119</v>
      </c>
      <c r="I89" s="14">
        <v>500</v>
      </c>
    </row>
    <row r="90" spans="1:9" ht="33" customHeight="1" x14ac:dyDescent="0.6">
      <c r="A90" s="3"/>
      <c r="B90" s="26"/>
      <c r="C90" s="4"/>
      <c r="D90" s="3"/>
      <c r="E90" s="24"/>
      <c r="F90" s="4"/>
      <c r="G90" s="9">
        <v>45678</v>
      </c>
      <c r="H90" s="10" t="s">
        <v>120</v>
      </c>
      <c r="I90" s="14">
        <v>1500</v>
      </c>
    </row>
    <row r="91" spans="1:9" ht="33" customHeight="1" x14ac:dyDescent="0.6">
      <c r="A91" s="3"/>
      <c r="B91" s="26"/>
      <c r="C91" s="4"/>
      <c r="D91" s="3"/>
      <c r="E91" s="24"/>
      <c r="F91" s="4"/>
      <c r="G91" s="9">
        <v>45678</v>
      </c>
      <c r="H91" s="10" t="s">
        <v>121</v>
      </c>
      <c r="I91" s="14">
        <v>65650</v>
      </c>
    </row>
    <row r="92" spans="1:9" ht="33" customHeight="1" x14ac:dyDescent="0.6">
      <c r="A92" s="3"/>
      <c r="B92" s="26"/>
      <c r="C92" s="4"/>
      <c r="D92" s="3"/>
      <c r="E92" s="24"/>
      <c r="F92" s="4"/>
      <c r="G92" s="9">
        <v>45678</v>
      </c>
      <c r="H92" s="10" t="s">
        <v>122</v>
      </c>
      <c r="I92" s="14">
        <v>52000</v>
      </c>
    </row>
    <row r="93" spans="1:9" ht="33" customHeight="1" x14ac:dyDescent="0.6">
      <c r="A93" s="3"/>
      <c r="B93" s="26"/>
      <c r="C93" s="4"/>
      <c r="D93" s="3"/>
      <c r="E93" s="24"/>
      <c r="F93" s="4"/>
      <c r="G93" s="9">
        <v>45678</v>
      </c>
      <c r="H93" s="10" t="s">
        <v>123</v>
      </c>
      <c r="I93" s="14">
        <v>450000</v>
      </c>
    </row>
    <row r="94" spans="1:9" ht="33" customHeight="1" x14ac:dyDescent="0.6">
      <c r="A94" s="3"/>
      <c r="B94" s="26"/>
      <c r="C94" s="4"/>
      <c r="D94" s="3"/>
      <c r="E94" s="24"/>
      <c r="F94" s="4"/>
      <c r="G94" s="9">
        <v>45678</v>
      </c>
      <c r="H94" s="10" t="s">
        <v>124</v>
      </c>
      <c r="I94" s="14">
        <v>24000</v>
      </c>
    </row>
    <row r="95" spans="1:9" ht="33" customHeight="1" x14ac:dyDescent="0.6">
      <c r="A95" s="3"/>
      <c r="B95" s="26"/>
      <c r="C95" s="4"/>
      <c r="D95" s="3"/>
      <c r="E95" s="24"/>
      <c r="F95" s="4"/>
      <c r="G95" s="9">
        <v>45678</v>
      </c>
      <c r="H95" s="10" t="s">
        <v>125</v>
      </c>
      <c r="I95" s="14">
        <v>2020</v>
      </c>
    </row>
    <row r="96" spans="1:9" ht="33" customHeight="1" x14ac:dyDescent="0.6">
      <c r="A96" s="3"/>
      <c r="B96" s="26"/>
      <c r="C96" s="4"/>
      <c r="D96" s="3"/>
      <c r="E96" s="24"/>
      <c r="F96" s="4"/>
      <c r="G96" s="9">
        <v>45679</v>
      </c>
      <c r="H96" s="10" t="s">
        <v>126</v>
      </c>
      <c r="I96" s="14">
        <v>1000</v>
      </c>
    </row>
    <row r="97" spans="1:9" ht="33" customHeight="1" x14ac:dyDescent="0.6">
      <c r="A97" s="3"/>
      <c r="B97" s="26"/>
      <c r="C97" s="4"/>
      <c r="D97" s="3"/>
      <c r="E97" s="24"/>
      <c r="F97" s="4"/>
      <c r="G97" s="9">
        <v>45679</v>
      </c>
      <c r="H97" s="10" t="s">
        <v>127</v>
      </c>
      <c r="I97" s="14">
        <v>94000</v>
      </c>
    </row>
    <row r="98" spans="1:9" ht="33" customHeight="1" x14ac:dyDescent="0.6">
      <c r="A98" s="3"/>
      <c r="B98" s="26"/>
      <c r="C98" s="4"/>
      <c r="D98" s="3"/>
      <c r="E98" s="24"/>
      <c r="F98" s="4"/>
      <c r="G98" s="9">
        <v>45679</v>
      </c>
      <c r="H98" s="10" t="s">
        <v>12</v>
      </c>
      <c r="I98" s="14">
        <v>20000</v>
      </c>
    </row>
    <row r="99" spans="1:9" ht="33" customHeight="1" x14ac:dyDescent="0.6">
      <c r="A99" s="3"/>
      <c r="B99" s="26"/>
      <c r="C99" s="4"/>
      <c r="D99" s="3"/>
      <c r="E99" s="24"/>
      <c r="F99" s="4"/>
      <c r="G99" s="9">
        <v>45679</v>
      </c>
      <c r="H99" s="10" t="s">
        <v>129</v>
      </c>
      <c r="I99" s="14">
        <v>20000</v>
      </c>
    </row>
    <row r="100" spans="1:9" ht="33" customHeight="1" x14ac:dyDescent="0.6">
      <c r="A100" s="3"/>
      <c r="B100" s="26"/>
      <c r="C100" s="4"/>
      <c r="D100" s="3"/>
      <c r="E100" s="24"/>
      <c r="F100" s="4"/>
      <c r="G100" s="9">
        <v>45679</v>
      </c>
      <c r="H100" s="10" t="s">
        <v>130</v>
      </c>
      <c r="I100" s="14">
        <v>18000</v>
      </c>
    </row>
    <row r="101" spans="1:9" ht="33" customHeight="1" x14ac:dyDescent="0.6">
      <c r="A101" s="3"/>
      <c r="B101" s="26"/>
      <c r="C101" s="4"/>
      <c r="D101" s="3"/>
      <c r="E101" s="24"/>
      <c r="F101" s="4"/>
      <c r="G101" s="9">
        <v>45679</v>
      </c>
      <c r="H101" s="10" t="s">
        <v>155</v>
      </c>
      <c r="I101" s="14">
        <v>43430</v>
      </c>
    </row>
    <row r="102" spans="1:9" ht="33" customHeight="1" x14ac:dyDescent="0.6">
      <c r="A102" s="3"/>
      <c r="B102" s="26"/>
      <c r="C102" s="4"/>
      <c r="D102" s="3"/>
      <c r="E102" s="24"/>
      <c r="F102" s="4"/>
      <c r="G102" s="9">
        <v>45679</v>
      </c>
      <c r="H102" s="10" t="s">
        <v>131</v>
      </c>
      <c r="I102" s="14">
        <v>8000</v>
      </c>
    </row>
    <row r="103" spans="1:9" ht="33" customHeight="1" x14ac:dyDescent="0.6">
      <c r="A103" s="3"/>
      <c r="B103" s="26"/>
      <c r="C103" s="4"/>
      <c r="D103" s="3"/>
      <c r="E103" s="24"/>
      <c r="F103" s="4"/>
      <c r="G103" s="9">
        <v>45679</v>
      </c>
      <c r="H103" s="10" t="s">
        <v>133</v>
      </c>
      <c r="I103" s="14">
        <v>10100</v>
      </c>
    </row>
    <row r="104" spans="1:9" ht="33" customHeight="1" x14ac:dyDescent="0.6">
      <c r="A104" s="3"/>
      <c r="B104" s="26"/>
      <c r="C104" s="4"/>
      <c r="D104" s="3"/>
      <c r="E104" s="24"/>
      <c r="F104" s="4"/>
      <c r="G104" s="9">
        <v>45679</v>
      </c>
      <c r="H104" s="10" t="s">
        <v>132</v>
      </c>
      <c r="I104" s="14">
        <v>27270</v>
      </c>
    </row>
    <row r="105" spans="1:9" ht="33" customHeight="1" x14ac:dyDescent="0.6">
      <c r="A105" s="3"/>
      <c r="B105" s="26"/>
      <c r="C105" s="4"/>
      <c r="D105" s="3"/>
      <c r="E105" s="24"/>
      <c r="F105" s="4"/>
      <c r="G105" s="9">
        <v>45679</v>
      </c>
      <c r="H105" s="10" t="s">
        <v>134</v>
      </c>
      <c r="I105" s="14">
        <v>52000</v>
      </c>
    </row>
    <row r="106" spans="1:9" ht="33" customHeight="1" x14ac:dyDescent="0.6">
      <c r="A106" s="3"/>
      <c r="B106" s="26"/>
      <c r="C106" s="4"/>
      <c r="D106" s="3"/>
      <c r="E106" s="24"/>
      <c r="F106" s="4"/>
      <c r="G106" s="9">
        <v>45680</v>
      </c>
      <c r="H106" s="10" t="s">
        <v>135</v>
      </c>
      <c r="I106" s="14">
        <v>30300</v>
      </c>
    </row>
    <row r="107" spans="1:9" ht="33" customHeight="1" x14ac:dyDescent="0.6">
      <c r="A107" s="3"/>
      <c r="B107" s="26"/>
      <c r="C107" s="4"/>
      <c r="D107" s="3"/>
      <c r="E107" s="24"/>
      <c r="F107" s="4"/>
      <c r="G107" s="9">
        <v>45680</v>
      </c>
      <c r="H107" s="10" t="s">
        <v>137</v>
      </c>
      <c r="I107" s="14">
        <v>488840</v>
      </c>
    </row>
    <row r="108" spans="1:9" ht="33" customHeight="1" x14ac:dyDescent="0.6">
      <c r="A108" s="3"/>
      <c r="B108" s="26"/>
      <c r="C108" s="4"/>
      <c r="D108" s="3"/>
      <c r="E108" s="24"/>
      <c r="F108" s="4"/>
      <c r="G108" s="9">
        <v>45680</v>
      </c>
      <c r="H108" s="10" t="s">
        <v>136</v>
      </c>
      <c r="I108" s="14">
        <v>95950</v>
      </c>
    </row>
    <row r="109" spans="1:9" ht="33" customHeight="1" x14ac:dyDescent="0.6">
      <c r="A109" s="3"/>
      <c r="B109" s="26"/>
      <c r="C109" s="4"/>
      <c r="D109" s="3"/>
      <c r="E109" s="24"/>
      <c r="F109" s="4"/>
      <c r="G109" s="9">
        <v>45680</v>
      </c>
      <c r="H109" s="10" t="s">
        <v>138</v>
      </c>
      <c r="I109" s="14">
        <v>30300</v>
      </c>
    </row>
    <row r="110" spans="1:9" ht="33" customHeight="1" x14ac:dyDescent="0.6">
      <c r="A110" s="3"/>
      <c r="B110" s="26"/>
      <c r="C110" s="4"/>
      <c r="D110" s="3"/>
      <c r="E110" s="24"/>
      <c r="F110" s="4"/>
      <c r="G110" s="9">
        <v>45680</v>
      </c>
      <c r="H110" s="10" t="s">
        <v>139</v>
      </c>
      <c r="I110" s="14">
        <f>262600+26260</f>
        <v>288860</v>
      </c>
    </row>
    <row r="111" spans="1:9" ht="33" customHeight="1" x14ac:dyDescent="0.6">
      <c r="A111" s="3"/>
      <c r="B111" s="26"/>
      <c r="C111" s="4"/>
      <c r="D111" s="3"/>
      <c r="E111" s="24"/>
      <c r="F111" s="4"/>
      <c r="G111" s="9">
        <v>45681</v>
      </c>
      <c r="H111" s="10" t="s">
        <v>208</v>
      </c>
      <c r="I111" s="14">
        <v>5050</v>
      </c>
    </row>
    <row r="112" spans="1:9" ht="33" customHeight="1" x14ac:dyDescent="0.6">
      <c r="A112" s="3"/>
      <c r="B112" s="26"/>
      <c r="C112" s="4"/>
      <c r="D112" s="3"/>
      <c r="E112" s="24"/>
      <c r="F112" s="4"/>
      <c r="G112" s="9">
        <v>45681</v>
      </c>
      <c r="H112" s="10" t="s">
        <v>106</v>
      </c>
      <c r="I112" s="14">
        <v>50000</v>
      </c>
    </row>
    <row r="113" spans="1:9" ht="33" customHeight="1" x14ac:dyDescent="0.6">
      <c r="A113" s="3"/>
      <c r="B113" s="26"/>
      <c r="C113" s="4"/>
      <c r="D113" s="3"/>
      <c r="E113" s="24"/>
      <c r="F113" s="4"/>
      <c r="G113" s="9">
        <v>45681</v>
      </c>
      <c r="H113" s="10" t="s">
        <v>140</v>
      </c>
      <c r="I113" s="14">
        <v>2700</v>
      </c>
    </row>
    <row r="114" spans="1:9" ht="33" customHeight="1" x14ac:dyDescent="0.6">
      <c r="A114" s="3"/>
      <c r="B114" s="26"/>
      <c r="C114" s="4"/>
      <c r="D114" s="3"/>
      <c r="E114" s="24"/>
      <c r="F114" s="4"/>
      <c r="G114" s="9">
        <v>45681</v>
      </c>
      <c r="H114" s="10" t="s">
        <v>141</v>
      </c>
      <c r="I114" s="14">
        <v>10100</v>
      </c>
    </row>
    <row r="115" spans="1:9" ht="33" customHeight="1" x14ac:dyDescent="0.6">
      <c r="A115" s="3"/>
      <c r="B115" s="26"/>
      <c r="C115" s="4"/>
      <c r="D115" s="3"/>
      <c r="E115" s="24"/>
      <c r="F115" s="4"/>
      <c r="G115" s="9">
        <v>45681</v>
      </c>
      <c r="H115" s="10" t="s">
        <v>142</v>
      </c>
      <c r="I115" s="14">
        <v>15150</v>
      </c>
    </row>
    <row r="116" spans="1:9" ht="33" customHeight="1" x14ac:dyDescent="0.6">
      <c r="A116" s="3"/>
      <c r="B116" s="26"/>
      <c r="C116" s="4"/>
      <c r="D116" s="3"/>
      <c r="E116" s="24"/>
      <c r="F116" s="4"/>
      <c r="G116" s="9">
        <v>45681</v>
      </c>
      <c r="H116" s="10" t="s">
        <v>143</v>
      </c>
      <c r="I116" s="14">
        <v>115140</v>
      </c>
    </row>
    <row r="117" spans="1:9" ht="33" customHeight="1" x14ac:dyDescent="0.6">
      <c r="A117" s="3"/>
      <c r="B117" s="26"/>
      <c r="C117" s="4"/>
      <c r="D117" s="3"/>
      <c r="E117" s="24"/>
      <c r="F117" s="4"/>
      <c r="G117" s="9">
        <v>45681</v>
      </c>
      <c r="H117" s="10" t="s">
        <v>144</v>
      </c>
      <c r="I117" s="14">
        <v>4000</v>
      </c>
    </row>
    <row r="118" spans="1:9" ht="33" customHeight="1" x14ac:dyDescent="0.6">
      <c r="A118" s="3"/>
      <c r="B118" s="26"/>
      <c r="C118" s="4"/>
      <c r="D118" s="3"/>
      <c r="E118" s="24"/>
      <c r="F118" s="4"/>
      <c r="G118" s="9">
        <v>45682</v>
      </c>
      <c r="H118" s="10" t="s">
        <v>145</v>
      </c>
      <c r="I118" s="14">
        <v>505000</v>
      </c>
    </row>
    <row r="119" spans="1:9" ht="33" customHeight="1" x14ac:dyDescent="0.6">
      <c r="A119" s="3"/>
      <c r="B119" s="26"/>
      <c r="C119" s="4"/>
      <c r="D119" s="3"/>
      <c r="E119" s="24"/>
      <c r="F119" s="4"/>
      <c r="G119" s="9">
        <v>45682</v>
      </c>
      <c r="H119" s="10" t="s">
        <v>146</v>
      </c>
      <c r="I119" s="14">
        <v>30500</v>
      </c>
    </row>
    <row r="120" spans="1:9" ht="33" customHeight="1" x14ac:dyDescent="0.6">
      <c r="A120" s="3"/>
      <c r="B120" s="26"/>
      <c r="C120" s="4"/>
      <c r="D120" s="3"/>
      <c r="E120" s="24"/>
      <c r="F120" s="4"/>
      <c r="G120" s="9">
        <v>45682</v>
      </c>
      <c r="H120" s="10" t="s">
        <v>147</v>
      </c>
      <c r="I120" s="14">
        <v>400000</v>
      </c>
    </row>
    <row r="121" spans="1:9" ht="33" customHeight="1" x14ac:dyDescent="0.6">
      <c r="A121" s="3"/>
      <c r="B121" s="26"/>
      <c r="C121" s="4"/>
      <c r="D121" s="3"/>
      <c r="E121" s="24"/>
      <c r="F121" s="4"/>
      <c r="G121" s="9">
        <v>45682</v>
      </c>
      <c r="H121" s="10" t="s">
        <v>207</v>
      </c>
      <c r="I121" s="14">
        <v>1000000</v>
      </c>
    </row>
    <row r="122" spans="1:9" ht="33" customHeight="1" x14ac:dyDescent="0.6">
      <c r="A122" s="3"/>
      <c r="B122" s="26"/>
      <c r="C122" s="4"/>
      <c r="D122" s="3"/>
      <c r="E122" s="24"/>
      <c r="F122" s="4"/>
      <c r="G122" s="9">
        <v>45684</v>
      </c>
      <c r="H122" s="10" t="s">
        <v>14</v>
      </c>
      <c r="I122" s="14">
        <v>2000</v>
      </c>
    </row>
    <row r="123" spans="1:9" ht="33" customHeight="1" x14ac:dyDescent="0.6">
      <c r="A123" s="3"/>
      <c r="B123" s="26"/>
      <c r="C123" s="4"/>
      <c r="D123" s="3"/>
      <c r="E123" s="24"/>
      <c r="F123" s="4"/>
      <c r="G123" s="9">
        <v>45684</v>
      </c>
      <c r="H123" s="10" t="s">
        <v>148</v>
      </c>
      <c r="I123" s="14">
        <v>198465</v>
      </c>
    </row>
    <row r="124" spans="1:9" ht="33" customHeight="1" x14ac:dyDescent="0.6">
      <c r="A124" s="3"/>
      <c r="B124" s="26"/>
      <c r="C124" s="4"/>
      <c r="D124" s="3"/>
      <c r="E124" s="24"/>
      <c r="F124" s="4"/>
      <c r="G124" s="9">
        <v>45684</v>
      </c>
      <c r="H124" s="10" t="s">
        <v>149</v>
      </c>
      <c r="I124" s="14">
        <v>1200</v>
      </c>
    </row>
    <row r="125" spans="1:9" ht="33" customHeight="1" x14ac:dyDescent="0.6">
      <c r="A125" s="3"/>
      <c r="B125" s="26"/>
      <c r="C125" s="4"/>
      <c r="D125" s="3"/>
      <c r="E125" s="24"/>
      <c r="F125" s="4"/>
      <c r="G125" s="9">
        <v>45684</v>
      </c>
      <c r="H125" s="10" t="s">
        <v>150</v>
      </c>
      <c r="I125" s="14">
        <v>9000</v>
      </c>
    </row>
    <row r="126" spans="1:9" ht="33" customHeight="1" x14ac:dyDescent="0.6">
      <c r="A126" s="3"/>
      <c r="B126" s="26"/>
      <c r="C126" s="4"/>
      <c r="D126" s="3"/>
      <c r="E126" s="24"/>
      <c r="F126" s="4"/>
      <c r="G126" s="9">
        <v>45684</v>
      </c>
      <c r="H126" s="10" t="s">
        <v>151</v>
      </c>
      <c r="I126" s="14">
        <v>141400</v>
      </c>
    </row>
    <row r="127" spans="1:9" ht="33" customHeight="1" x14ac:dyDescent="0.6">
      <c r="A127" s="3"/>
      <c r="B127" s="26"/>
      <c r="C127" s="4"/>
      <c r="D127" s="3"/>
      <c r="E127" s="24"/>
      <c r="F127" s="4"/>
      <c r="G127" s="9">
        <v>45684</v>
      </c>
      <c r="H127" s="10" t="s">
        <v>152</v>
      </c>
      <c r="I127" s="14">
        <v>200740</v>
      </c>
    </row>
    <row r="128" spans="1:9" ht="33" customHeight="1" x14ac:dyDescent="0.6">
      <c r="A128" s="3"/>
      <c r="B128" s="26"/>
      <c r="C128" s="4"/>
      <c r="D128" s="3"/>
      <c r="E128" s="24"/>
      <c r="F128" s="4"/>
      <c r="G128" s="9">
        <v>45685</v>
      </c>
      <c r="H128" s="10" t="s">
        <v>156</v>
      </c>
      <c r="I128" s="14">
        <v>40400</v>
      </c>
    </row>
    <row r="129" spans="1:9" ht="33" customHeight="1" x14ac:dyDescent="0.6">
      <c r="A129" s="3"/>
      <c r="B129" s="26"/>
      <c r="C129" s="4"/>
      <c r="D129" s="3"/>
      <c r="E129" s="24"/>
      <c r="F129" s="4"/>
      <c r="G129" s="9">
        <v>45685</v>
      </c>
      <c r="H129" s="10" t="s">
        <v>55</v>
      </c>
      <c r="I129" s="14">
        <v>2000</v>
      </c>
    </row>
    <row r="130" spans="1:9" ht="33" customHeight="1" x14ac:dyDescent="0.6">
      <c r="A130" s="3"/>
      <c r="B130" s="26"/>
      <c r="C130" s="4"/>
      <c r="D130" s="3"/>
      <c r="E130" s="24"/>
      <c r="F130" s="4"/>
      <c r="G130" s="9">
        <v>45685</v>
      </c>
      <c r="H130" s="10" t="s">
        <v>157</v>
      </c>
      <c r="I130" s="14">
        <f>143000+1430</f>
        <v>144430</v>
      </c>
    </row>
    <row r="131" spans="1:9" ht="33" customHeight="1" x14ac:dyDescent="0.6">
      <c r="A131" s="3"/>
      <c r="B131" s="26"/>
      <c r="C131" s="4"/>
      <c r="D131" s="3"/>
      <c r="E131" s="24"/>
      <c r="F131" s="4"/>
      <c r="G131" s="9">
        <v>45685</v>
      </c>
      <c r="H131" s="10" t="s">
        <v>158</v>
      </c>
      <c r="I131" s="14">
        <f>17170+81245</f>
        <v>98415</v>
      </c>
    </row>
    <row r="132" spans="1:9" ht="33" customHeight="1" x14ac:dyDescent="0.6">
      <c r="A132" s="3"/>
      <c r="B132" s="26"/>
      <c r="C132" s="4"/>
      <c r="D132" s="3"/>
      <c r="E132" s="24"/>
      <c r="F132" s="4"/>
      <c r="G132" s="9">
        <v>45685</v>
      </c>
      <c r="H132" s="10" t="s">
        <v>159</v>
      </c>
      <c r="I132" s="14">
        <v>117160</v>
      </c>
    </row>
    <row r="133" spans="1:9" ht="33" customHeight="1" x14ac:dyDescent="0.6">
      <c r="A133" s="3"/>
      <c r="B133" s="26"/>
      <c r="C133" s="4"/>
      <c r="D133" s="3"/>
      <c r="E133" s="24"/>
      <c r="F133" s="4"/>
      <c r="G133" s="9">
        <v>45685</v>
      </c>
      <c r="H133" s="10" t="s">
        <v>160</v>
      </c>
      <c r="I133" s="14">
        <v>9090</v>
      </c>
    </row>
    <row r="134" spans="1:9" ht="33" customHeight="1" x14ac:dyDescent="0.6">
      <c r="A134" s="3"/>
      <c r="B134" s="26"/>
      <c r="C134" s="4"/>
      <c r="D134" s="3"/>
      <c r="E134" s="24"/>
      <c r="F134" s="4"/>
      <c r="G134" s="9">
        <v>45686</v>
      </c>
      <c r="H134" s="10" t="s">
        <v>163</v>
      </c>
      <c r="I134" s="14">
        <v>577720</v>
      </c>
    </row>
    <row r="135" spans="1:9" ht="33" customHeight="1" x14ac:dyDescent="0.6">
      <c r="A135" s="3"/>
      <c r="B135" s="26"/>
      <c r="C135" s="4"/>
      <c r="D135" s="3"/>
      <c r="E135" s="24"/>
      <c r="F135" s="4"/>
      <c r="G135" s="9">
        <v>45686</v>
      </c>
      <c r="H135" s="10" t="s">
        <v>509</v>
      </c>
      <c r="I135" s="14">
        <v>108320</v>
      </c>
    </row>
    <row r="136" spans="1:9" ht="33" customHeight="1" x14ac:dyDescent="0.6">
      <c r="A136" s="3"/>
      <c r="B136" s="26"/>
      <c r="C136" s="4"/>
      <c r="D136" s="3"/>
      <c r="E136" s="24"/>
      <c r="F136" s="4"/>
      <c r="G136" s="9">
        <v>45686</v>
      </c>
      <c r="H136" s="10" t="s">
        <v>161</v>
      </c>
      <c r="I136" s="14">
        <v>3000</v>
      </c>
    </row>
    <row r="137" spans="1:9" ht="33" customHeight="1" x14ac:dyDescent="0.6">
      <c r="A137" s="3"/>
      <c r="B137" s="26"/>
      <c r="C137" s="4"/>
      <c r="D137" s="3"/>
      <c r="E137" s="24"/>
      <c r="F137" s="4"/>
      <c r="G137" s="9">
        <v>45686</v>
      </c>
      <c r="H137" s="10" t="s">
        <v>162</v>
      </c>
      <c r="I137" s="14">
        <v>207050</v>
      </c>
    </row>
    <row r="138" spans="1:9" ht="33" customHeight="1" x14ac:dyDescent="0.6">
      <c r="A138" s="3"/>
      <c r="B138" s="26"/>
      <c r="C138" s="4"/>
      <c r="D138" s="3"/>
      <c r="E138" s="24"/>
      <c r="F138" s="4"/>
      <c r="G138" s="9">
        <v>45686</v>
      </c>
      <c r="H138" s="10" t="s">
        <v>12</v>
      </c>
      <c r="I138" s="14">
        <v>20000</v>
      </c>
    </row>
    <row r="139" spans="1:9" ht="33" customHeight="1" x14ac:dyDescent="0.6">
      <c r="A139" s="3"/>
      <c r="B139" s="26"/>
      <c r="C139" s="4"/>
      <c r="D139" s="3"/>
      <c r="E139" s="24"/>
      <c r="F139" s="4"/>
      <c r="G139" s="9">
        <v>45686</v>
      </c>
      <c r="H139" s="10" t="s">
        <v>187</v>
      </c>
      <c r="I139" s="14">
        <v>25250</v>
      </c>
    </row>
    <row r="140" spans="1:9" ht="33" customHeight="1" x14ac:dyDescent="0.6">
      <c r="A140" s="3"/>
      <c r="B140" s="26"/>
      <c r="C140" s="4"/>
      <c r="D140" s="3"/>
      <c r="E140" s="24"/>
      <c r="F140" s="4"/>
      <c r="G140" s="9">
        <v>45686</v>
      </c>
      <c r="H140" s="10" t="s">
        <v>164</v>
      </c>
      <c r="I140" s="14">
        <v>36110</v>
      </c>
    </row>
    <row r="141" spans="1:9" ht="33" customHeight="1" x14ac:dyDescent="0.6">
      <c r="A141" s="3"/>
      <c r="B141" s="26"/>
      <c r="C141" s="4"/>
      <c r="D141" s="3"/>
      <c r="E141" s="24"/>
      <c r="F141" s="4"/>
      <c r="G141" s="9">
        <v>45686</v>
      </c>
      <c r="H141" s="10" t="s">
        <v>55</v>
      </c>
      <c r="I141" s="14">
        <v>2000</v>
      </c>
    </row>
    <row r="142" spans="1:9" ht="33" customHeight="1" x14ac:dyDescent="0.6">
      <c r="A142" s="3"/>
      <c r="B142" s="26"/>
      <c r="C142" s="4"/>
      <c r="D142" s="3"/>
      <c r="E142" s="24"/>
      <c r="F142" s="4"/>
      <c r="G142" s="9">
        <v>45686</v>
      </c>
      <c r="H142" s="10" t="s">
        <v>165</v>
      </c>
      <c r="I142" s="14">
        <v>1000</v>
      </c>
    </row>
    <row r="143" spans="1:9" ht="33" customHeight="1" x14ac:dyDescent="0.6">
      <c r="A143" s="3"/>
      <c r="B143" s="26"/>
      <c r="C143" s="4"/>
      <c r="D143" s="3"/>
      <c r="E143" s="24"/>
      <c r="F143" s="4"/>
      <c r="G143" s="9">
        <v>45687</v>
      </c>
      <c r="H143" s="10" t="s">
        <v>166</v>
      </c>
      <c r="I143" s="14">
        <v>11000</v>
      </c>
    </row>
    <row r="144" spans="1:9" ht="33" customHeight="1" x14ac:dyDescent="0.6">
      <c r="A144" s="3"/>
      <c r="B144" s="26"/>
      <c r="C144" s="4"/>
      <c r="D144" s="3"/>
      <c r="E144" s="24"/>
      <c r="F144" s="4"/>
      <c r="G144" s="9">
        <v>45687</v>
      </c>
      <c r="H144" s="10" t="s">
        <v>12</v>
      </c>
      <c r="I144" s="14">
        <v>20200</v>
      </c>
    </row>
    <row r="145" spans="1:9" ht="33" customHeight="1" x14ac:dyDescent="0.6">
      <c r="A145" s="3"/>
      <c r="B145" s="26"/>
      <c r="C145" s="4"/>
      <c r="D145" s="3"/>
      <c r="E145" s="24"/>
      <c r="F145" s="4"/>
      <c r="G145" s="9">
        <v>45687</v>
      </c>
      <c r="H145" s="10" t="s">
        <v>168</v>
      </c>
      <c r="I145" s="14">
        <v>249470</v>
      </c>
    </row>
    <row r="146" spans="1:9" ht="33" customHeight="1" x14ac:dyDescent="0.6">
      <c r="A146" s="3"/>
      <c r="B146" s="26"/>
      <c r="C146" s="4"/>
      <c r="D146" s="3"/>
      <c r="E146" s="24"/>
      <c r="F146" s="4"/>
      <c r="G146" s="9">
        <v>45687</v>
      </c>
      <c r="H146" s="10" t="s">
        <v>169</v>
      </c>
      <c r="I146" s="14">
        <v>279770</v>
      </c>
    </row>
    <row r="147" spans="1:9" ht="33" customHeight="1" x14ac:dyDescent="0.6">
      <c r="A147" s="3"/>
      <c r="B147" s="26"/>
      <c r="C147" s="4"/>
      <c r="D147" s="3"/>
      <c r="E147" s="24"/>
      <c r="F147" s="4"/>
      <c r="G147" s="9">
        <v>45687</v>
      </c>
      <c r="H147" s="10" t="s">
        <v>172</v>
      </c>
      <c r="I147" s="14">
        <v>375000</v>
      </c>
    </row>
    <row r="148" spans="1:9" ht="33" customHeight="1" x14ac:dyDescent="0.6">
      <c r="A148" s="3"/>
      <c r="B148" s="26"/>
      <c r="C148" s="4"/>
      <c r="D148" s="3"/>
      <c r="E148" s="24"/>
      <c r="F148" s="4"/>
      <c r="G148" s="9">
        <v>45687</v>
      </c>
      <c r="H148" s="10" t="s">
        <v>171</v>
      </c>
      <c r="I148" s="14">
        <v>4000</v>
      </c>
    </row>
    <row r="149" spans="1:9" ht="33" customHeight="1" x14ac:dyDescent="0.6">
      <c r="A149" s="3"/>
      <c r="B149" s="26"/>
      <c r="C149" s="4"/>
      <c r="D149" s="3"/>
      <c r="E149" s="24"/>
      <c r="F149" s="4"/>
      <c r="G149" s="9">
        <v>45688</v>
      </c>
      <c r="H149" s="10" t="s">
        <v>206</v>
      </c>
      <c r="I149" s="14">
        <v>40400</v>
      </c>
    </row>
    <row r="150" spans="1:9" ht="33" customHeight="1" x14ac:dyDescent="0.6">
      <c r="A150" s="3"/>
      <c r="B150" s="26"/>
      <c r="C150" s="4"/>
      <c r="D150" s="3"/>
      <c r="E150" s="24"/>
      <c r="F150" s="4"/>
      <c r="G150" s="9">
        <v>45688</v>
      </c>
      <c r="H150" s="10" t="s">
        <v>174</v>
      </c>
      <c r="I150" s="14">
        <v>17170</v>
      </c>
    </row>
    <row r="151" spans="1:9" ht="33" customHeight="1" x14ac:dyDescent="0.6">
      <c r="A151" s="3"/>
      <c r="B151" s="26"/>
      <c r="C151" s="4"/>
      <c r="D151" s="3"/>
      <c r="E151" s="24"/>
      <c r="F151" s="4"/>
      <c r="G151" s="9">
        <v>45688</v>
      </c>
      <c r="H151" s="10" t="s">
        <v>173</v>
      </c>
      <c r="I151" s="14">
        <v>1000</v>
      </c>
    </row>
    <row r="152" spans="1:9" ht="33" customHeight="1" x14ac:dyDescent="0.6">
      <c r="A152" s="3"/>
      <c r="B152" s="26"/>
      <c r="C152" s="4"/>
      <c r="D152" s="3"/>
      <c r="E152" s="24"/>
      <c r="F152" s="4"/>
      <c r="G152" s="9">
        <v>45688</v>
      </c>
      <c r="H152" s="10" t="s">
        <v>14</v>
      </c>
      <c r="I152" s="14">
        <v>2000</v>
      </c>
    </row>
    <row r="153" spans="1:9" ht="33" customHeight="1" x14ac:dyDescent="0.6">
      <c r="A153" s="3"/>
      <c r="B153" s="26"/>
      <c r="C153" s="4"/>
      <c r="D153" s="3"/>
      <c r="E153" s="24"/>
      <c r="F153" s="4"/>
      <c r="G153" s="9">
        <v>45688</v>
      </c>
      <c r="H153" s="10" t="s">
        <v>175</v>
      </c>
      <c r="I153" s="14">
        <f>1010+72215</f>
        <v>73225</v>
      </c>
    </row>
    <row r="154" spans="1:9" ht="33" customHeight="1" x14ac:dyDescent="0.6">
      <c r="A154" s="3"/>
      <c r="B154" s="26"/>
      <c r="C154" s="4"/>
      <c r="D154" s="3"/>
      <c r="E154" s="24"/>
      <c r="F154" s="4"/>
      <c r="G154" s="9">
        <v>45688</v>
      </c>
      <c r="H154" s="10" t="s">
        <v>177</v>
      </c>
      <c r="I154" s="14">
        <v>40400</v>
      </c>
    </row>
    <row r="155" spans="1:9" ht="33" customHeight="1" x14ac:dyDescent="0.6">
      <c r="A155" s="3"/>
      <c r="B155" s="26"/>
      <c r="C155" s="4"/>
      <c r="D155" s="3"/>
      <c r="E155" s="24"/>
      <c r="F155" s="4"/>
      <c r="G155" s="9">
        <v>45688</v>
      </c>
      <c r="H155" s="10" t="s">
        <v>181</v>
      </c>
      <c r="I155" s="14">
        <v>1000</v>
      </c>
    </row>
    <row r="156" spans="1:9" ht="33" customHeight="1" x14ac:dyDescent="0.6">
      <c r="A156" s="3"/>
      <c r="B156" s="26"/>
      <c r="C156" s="4"/>
      <c r="D156" s="3"/>
      <c r="E156" s="24"/>
      <c r="F156" s="4"/>
      <c r="G156" s="9">
        <v>45688</v>
      </c>
      <c r="H156" s="10" t="s">
        <v>180</v>
      </c>
      <c r="I156" s="14">
        <v>600</v>
      </c>
    </row>
    <row r="157" spans="1:9" ht="33" customHeight="1" x14ac:dyDescent="0.6">
      <c r="A157" s="3"/>
      <c r="B157" s="26"/>
      <c r="C157" s="4"/>
      <c r="D157" s="3"/>
      <c r="E157" s="24"/>
      <c r="F157" s="4"/>
      <c r="G157" s="9">
        <v>45688</v>
      </c>
      <c r="H157" s="10" t="s">
        <v>179</v>
      </c>
      <c r="I157" s="14">
        <v>4000</v>
      </c>
    </row>
    <row r="158" spans="1:9" ht="33" customHeight="1" x14ac:dyDescent="0.6">
      <c r="A158" s="3"/>
      <c r="B158" s="26"/>
      <c r="C158" s="4"/>
      <c r="D158" s="3"/>
      <c r="E158" s="24"/>
      <c r="F158" s="4"/>
      <c r="G158" s="9">
        <v>45688</v>
      </c>
      <c r="H158" s="10" t="s">
        <v>182</v>
      </c>
      <c r="I158" s="14">
        <v>252500</v>
      </c>
    </row>
    <row r="159" spans="1:9" ht="33" customHeight="1" x14ac:dyDescent="0.6">
      <c r="A159" s="3"/>
      <c r="B159" s="26"/>
      <c r="C159" s="4"/>
      <c r="D159" s="3"/>
      <c r="E159" s="24"/>
      <c r="F159" s="4"/>
      <c r="G159" s="9">
        <v>45688</v>
      </c>
      <c r="H159" s="10" t="s">
        <v>183</v>
      </c>
      <c r="I159" s="14">
        <v>437330</v>
      </c>
    </row>
    <row r="160" spans="1:9" ht="33" customHeight="1" x14ac:dyDescent="0.6">
      <c r="A160" s="3"/>
      <c r="B160" s="26"/>
      <c r="C160" s="4"/>
      <c r="D160" s="3"/>
      <c r="E160" s="24"/>
      <c r="F160" s="4"/>
      <c r="G160" s="9">
        <v>45688</v>
      </c>
      <c r="H160" s="10" t="s">
        <v>1712</v>
      </c>
      <c r="I160" s="14">
        <v>4000</v>
      </c>
    </row>
    <row r="161" spans="1:9" ht="33" customHeight="1" x14ac:dyDescent="0.6">
      <c r="A161" s="3"/>
      <c r="B161" s="26"/>
      <c r="C161" s="4"/>
      <c r="D161" s="3"/>
      <c r="E161" s="24"/>
      <c r="F161" s="4"/>
      <c r="G161" s="12"/>
      <c r="H161" s="21"/>
      <c r="I161" s="14"/>
    </row>
    <row r="162" spans="1:9" x14ac:dyDescent="0.6">
      <c r="A162" s="3"/>
      <c r="B162" s="26"/>
      <c r="C162" s="4"/>
      <c r="D162" s="34"/>
      <c r="E162" s="35"/>
      <c r="F162" s="36"/>
      <c r="G162" s="37"/>
      <c r="H162" s="38"/>
      <c r="I162" s="30"/>
    </row>
    <row r="163" spans="1:9" ht="34.799999999999997" x14ac:dyDescent="0.6">
      <c r="A163" s="568" t="s">
        <v>7</v>
      </c>
      <c r="B163" s="569"/>
      <c r="C163" s="20">
        <f>SUM(C4:C162)</f>
        <v>25270530</v>
      </c>
      <c r="D163" s="570" t="s">
        <v>7</v>
      </c>
      <c r="E163" s="571"/>
      <c r="F163" s="20">
        <f>SUM(F4:F162)</f>
        <v>4796425</v>
      </c>
      <c r="G163" s="568" t="s">
        <v>7</v>
      </c>
      <c r="H163" s="569"/>
      <c r="I163" s="30">
        <f>SUM(I4:I162)</f>
        <v>18952855</v>
      </c>
    </row>
    <row r="164" spans="1:9" ht="45.6" x14ac:dyDescent="0.6">
      <c r="A164" s="554" t="s">
        <v>13</v>
      </c>
      <c r="B164" s="555"/>
      <c r="C164" s="18">
        <f>+C163</f>
        <v>25270530</v>
      </c>
      <c r="D164" s="28"/>
      <c r="E164" s="29"/>
      <c r="F164" s="29"/>
      <c r="G164" s="554" t="s">
        <v>20</v>
      </c>
      <c r="H164" s="555"/>
      <c r="I164" s="19">
        <f>+F163+I163</f>
        <v>23749280</v>
      </c>
    </row>
    <row r="165" spans="1:9" ht="45.6" x14ac:dyDescent="0.6">
      <c r="D165" s="7"/>
      <c r="E165" s="7"/>
      <c r="G165" s="556" t="s">
        <v>10</v>
      </c>
      <c r="H165" s="557"/>
      <c r="I165" s="25">
        <f>+C163-F163-I163</f>
        <v>1521250</v>
      </c>
    </row>
    <row r="166" spans="1:9" s="39" customFormat="1" x14ac:dyDescent="0.6">
      <c r="A166" s="7"/>
      <c r="B166" s="1"/>
      <c r="C166" s="7"/>
      <c r="D166" s="6"/>
      <c r="E166" s="1" t="s">
        <v>81</v>
      </c>
      <c r="F166" s="7"/>
      <c r="G166" s="1"/>
      <c r="H166" s="1"/>
      <c r="I166" s="40">
        <f>+C164-I164</f>
        <v>1521250</v>
      </c>
    </row>
    <row r="167" spans="1:9" x14ac:dyDescent="0.6">
      <c r="H167" s="46"/>
      <c r="I167" s="40">
        <f>+I165-I166</f>
        <v>0</v>
      </c>
    </row>
    <row r="168" spans="1:9" s="8" customFormat="1" ht="49.2" customHeight="1" x14ac:dyDescent="0.6">
      <c r="A168" s="7"/>
      <c r="B168" s="1"/>
      <c r="C168" s="7"/>
      <c r="D168" s="6"/>
      <c r="E168" s="1"/>
      <c r="F168" s="7"/>
      <c r="G168" s="1"/>
      <c r="H168" s="1"/>
      <c r="I168" s="56"/>
    </row>
    <row r="169" spans="1:9" s="8" customFormat="1" ht="51" customHeight="1" x14ac:dyDescent="0.6">
      <c r="A169" s="7"/>
      <c r="B169" s="1"/>
      <c r="C169" s="7"/>
      <c r="D169" s="6"/>
      <c r="F169" s="7"/>
      <c r="G169" s="1"/>
      <c r="H169" s="1"/>
      <c r="I169" s="7"/>
    </row>
    <row r="170" spans="1:9" s="17" customFormat="1" ht="116.4" customHeight="1" x14ac:dyDescent="0.3">
      <c r="A170" s="57"/>
      <c r="B170" s="58"/>
      <c r="C170" s="57"/>
      <c r="D170" s="59"/>
      <c r="F170" s="57"/>
      <c r="G170" s="58"/>
      <c r="H170" s="558" t="s">
        <v>22</v>
      </c>
      <c r="I170" s="558"/>
    </row>
    <row r="171" spans="1:9" s="50" customFormat="1" ht="61.2" x14ac:dyDescent="1.05">
      <c r="A171" s="7"/>
      <c r="B171" s="1"/>
      <c r="C171" s="7"/>
      <c r="D171" s="6"/>
      <c r="E171" s="1"/>
      <c r="F171" s="7"/>
      <c r="G171" s="1"/>
      <c r="H171" s="52" t="s">
        <v>3</v>
      </c>
      <c r="I171" s="55">
        <f>+C164</f>
        <v>25270530</v>
      </c>
    </row>
    <row r="172" spans="1:9" s="50" customFormat="1" ht="61.2" x14ac:dyDescent="1.05">
      <c r="A172" s="7"/>
      <c r="B172" s="1"/>
      <c r="C172" s="7"/>
      <c r="D172" s="6"/>
      <c r="E172" s="1"/>
      <c r="F172" s="7"/>
      <c r="G172" s="1"/>
      <c r="H172" s="52" t="s">
        <v>23</v>
      </c>
      <c r="I172" s="55">
        <f>+F163</f>
        <v>4796425</v>
      </c>
    </row>
    <row r="173" spans="1:9" s="50" customFormat="1" ht="61.2" x14ac:dyDescent="1.05">
      <c r="A173" s="7"/>
      <c r="B173" s="1"/>
      <c r="C173" s="7"/>
      <c r="D173" s="6"/>
      <c r="E173" s="1"/>
      <c r="F173" s="7"/>
      <c r="G173" s="1"/>
      <c r="H173" s="52" t="s">
        <v>24</v>
      </c>
      <c r="I173" s="53">
        <f>+I163-I32</f>
        <v>18110855</v>
      </c>
    </row>
    <row r="174" spans="1:9" s="50" customFormat="1" ht="61.2" x14ac:dyDescent="1.05">
      <c r="A174" s="7"/>
      <c r="B174" s="1"/>
      <c r="C174" s="7"/>
      <c r="D174" s="6"/>
      <c r="E174" s="1"/>
      <c r="F174" s="7"/>
      <c r="G174" s="1"/>
      <c r="H174" s="52" t="s">
        <v>69</v>
      </c>
      <c r="I174" s="53">
        <f>+I32</f>
        <v>842000</v>
      </c>
    </row>
    <row r="175" spans="1:9" s="50" customFormat="1" ht="61.2" x14ac:dyDescent="1.05">
      <c r="A175" s="7"/>
      <c r="B175" s="1"/>
      <c r="C175" s="7"/>
      <c r="D175" s="6"/>
      <c r="E175" s="1"/>
      <c r="F175" s="7"/>
      <c r="G175" s="1"/>
      <c r="H175" s="52" t="s">
        <v>25</v>
      </c>
      <c r="I175" s="54">
        <f>+I171-I172-I173-I174</f>
        <v>1521250</v>
      </c>
    </row>
    <row r="176" spans="1:9" s="50" customFormat="1" x14ac:dyDescent="0.6">
      <c r="A176" s="7"/>
      <c r="B176" s="1"/>
      <c r="C176" s="7"/>
      <c r="D176" s="6"/>
      <c r="E176" s="1"/>
      <c r="F176" s="7"/>
      <c r="G176" s="1"/>
      <c r="H176" s="1"/>
      <c r="I176" s="1"/>
    </row>
    <row r="177" spans="1:9" s="50" customFormat="1" x14ac:dyDescent="0.6">
      <c r="A177" s="7"/>
      <c r="B177" s="1"/>
      <c r="C177" s="7"/>
      <c r="D177" s="6"/>
      <c r="E177" s="1"/>
      <c r="F177" s="7"/>
      <c r="G177" s="1"/>
      <c r="H177" s="1"/>
      <c r="I177" s="1"/>
    </row>
    <row r="178" spans="1:9" s="50" customFormat="1" x14ac:dyDescent="0.6">
      <c r="A178" s="7"/>
      <c r="B178" s="1"/>
      <c r="C178" s="7"/>
      <c r="D178" s="6"/>
      <c r="E178" s="1"/>
      <c r="F178" s="7"/>
      <c r="G178" s="1"/>
      <c r="H178" s="1"/>
      <c r="I178" s="1"/>
    </row>
    <row r="179" spans="1:9" s="50" customFormat="1" x14ac:dyDescent="0.6">
      <c r="A179" s="7"/>
      <c r="B179" s="1"/>
      <c r="C179" s="7"/>
      <c r="D179" s="6"/>
      <c r="E179" s="1"/>
      <c r="F179" s="7"/>
      <c r="G179" s="1"/>
      <c r="H179" s="1"/>
      <c r="I179" s="1"/>
    </row>
  </sheetData>
  <autoFilter ref="A3:I116" xr:uid="{C27F9055-AF1A-4DFB-ADB2-58AB89720241}"/>
  <mergeCells count="10">
    <mergeCell ref="A164:B164"/>
    <mergeCell ref="G164:H164"/>
    <mergeCell ref="G165:H165"/>
    <mergeCell ref="H170:I170"/>
    <mergeCell ref="A1:I1"/>
    <mergeCell ref="A2:C2"/>
    <mergeCell ref="D2:I2"/>
    <mergeCell ref="A163:B163"/>
    <mergeCell ref="D163:E163"/>
    <mergeCell ref="G163:H163"/>
  </mergeCells>
  <pageMargins left="0.7" right="0.7" top="0.75" bottom="0.75" header="0.3" footer="0.3"/>
  <pageSetup paperSize="9" scale="26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E4C9-F9F3-4882-8867-B233DA9A71C8}">
  <sheetPr>
    <tabColor theme="9" tint="0.59999389629810485"/>
  </sheetPr>
  <dimension ref="A1:K218"/>
  <sheetViews>
    <sheetView topLeftCell="E191" zoomScale="40" zoomScaleNormal="40" zoomScaleSheetLayoutView="10" workbookViewId="0">
      <selection activeCell="E210" sqref="E210"/>
    </sheetView>
  </sheetViews>
  <sheetFormatPr baseColWidth="10" defaultColWidth="11.5546875" defaultRowHeight="31.2" x14ac:dyDescent="0.6"/>
  <cols>
    <col min="1" max="1" width="38.6640625" style="7" customWidth="1"/>
    <col min="2" max="2" width="162.33203125" style="1" customWidth="1"/>
    <col min="3" max="3" width="36.33203125" style="7" customWidth="1"/>
    <col min="4" max="4" width="41" style="6" customWidth="1"/>
    <col min="5" max="5" width="248.88671875" style="1" customWidth="1"/>
    <col min="6" max="6" width="63.6640625" style="7" customWidth="1"/>
    <col min="7" max="7" width="31.5546875" style="1" customWidth="1"/>
    <col min="8" max="8" width="185.6640625" style="1" customWidth="1"/>
    <col min="9" max="9" width="64.21875" style="7" customWidth="1"/>
    <col min="10" max="10" width="21.33203125" style="50" customWidth="1"/>
    <col min="11" max="16384" width="11.5546875" style="1"/>
  </cols>
  <sheetData>
    <row r="1" spans="1:11" s="17" customFormat="1" ht="61.95" customHeight="1" thickBot="1" x14ac:dyDescent="0.35">
      <c r="A1" s="559" t="s">
        <v>184</v>
      </c>
      <c r="B1" s="560"/>
      <c r="C1" s="560"/>
      <c r="D1" s="560"/>
      <c r="E1" s="560"/>
      <c r="F1" s="560"/>
      <c r="G1" s="560"/>
      <c r="H1" s="560"/>
      <c r="I1" s="561"/>
      <c r="J1" s="47"/>
    </row>
    <row r="2" spans="1:11" s="8" customFormat="1" ht="51.6" customHeight="1" thickBot="1" x14ac:dyDescent="0.35">
      <c r="A2" s="562" t="s">
        <v>4</v>
      </c>
      <c r="B2" s="563"/>
      <c r="C2" s="564"/>
      <c r="D2" s="562" t="s">
        <v>5</v>
      </c>
      <c r="E2" s="563"/>
      <c r="F2" s="563"/>
      <c r="G2" s="563"/>
      <c r="H2" s="563"/>
      <c r="I2" s="564"/>
      <c r="J2" s="48"/>
    </row>
    <row r="3" spans="1:11" s="33" customFormat="1" ht="91.2" customHeigh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71" t="s">
        <v>0</v>
      </c>
      <c r="H3" s="32" t="s">
        <v>9</v>
      </c>
      <c r="I3" s="45" t="s">
        <v>2</v>
      </c>
      <c r="J3" s="49"/>
    </row>
    <row r="4" spans="1:11" s="60" customFormat="1" ht="33" customHeight="1" x14ac:dyDescent="0.6">
      <c r="A4" s="5"/>
      <c r="B4" s="62" t="s">
        <v>186</v>
      </c>
      <c r="C4" s="61">
        <f>1497260+2000+12500+10500</f>
        <v>1522260</v>
      </c>
      <c r="D4" s="5">
        <v>45691</v>
      </c>
      <c r="E4" s="27" t="s">
        <v>190</v>
      </c>
      <c r="F4" s="16">
        <v>30000</v>
      </c>
      <c r="G4" s="9">
        <v>45689</v>
      </c>
      <c r="H4" s="10" t="s">
        <v>188</v>
      </c>
      <c r="I4" s="14">
        <v>28885</v>
      </c>
      <c r="J4" s="50"/>
    </row>
    <row r="5" spans="1:11" ht="33" customHeight="1" x14ac:dyDescent="0.6">
      <c r="A5" s="3">
        <v>45691</v>
      </c>
      <c r="B5" s="26" t="s">
        <v>18</v>
      </c>
      <c r="C5" s="4">
        <v>1660000</v>
      </c>
      <c r="D5" s="3">
        <v>45694</v>
      </c>
      <c r="E5" s="24" t="s">
        <v>243</v>
      </c>
      <c r="F5" s="4">
        <v>731500</v>
      </c>
      <c r="G5" s="9">
        <v>45689</v>
      </c>
      <c r="H5" s="10" t="s">
        <v>189</v>
      </c>
      <c r="I5" s="14">
        <v>127260</v>
      </c>
    </row>
    <row r="6" spans="1:11" ht="33" customHeight="1" x14ac:dyDescent="0.6">
      <c r="A6" s="3">
        <v>45693</v>
      </c>
      <c r="B6" s="26" t="s">
        <v>214</v>
      </c>
      <c r="C6" s="4">
        <v>5000000</v>
      </c>
      <c r="D6" s="3">
        <v>45695</v>
      </c>
      <c r="E6" s="24" t="s">
        <v>244</v>
      </c>
      <c r="F6" s="16">
        <v>303000</v>
      </c>
      <c r="G6" s="9">
        <v>45689</v>
      </c>
      <c r="H6" s="10" t="s">
        <v>11</v>
      </c>
      <c r="I6" s="14">
        <v>500</v>
      </c>
    </row>
    <row r="7" spans="1:11" ht="33" customHeight="1" x14ac:dyDescent="0.6">
      <c r="A7" s="3">
        <v>45694</v>
      </c>
      <c r="B7" s="26" t="s">
        <v>236</v>
      </c>
      <c r="C7" s="4">
        <v>5000000</v>
      </c>
      <c r="D7" s="3">
        <v>45695</v>
      </c>
      <c r="E7" s="24" t="s">
        <v>261</v>
      </c>
      <c r="F7" s="16">
        <v>80800</v>
      </c>
      <c r="G7" s="9">
        <v>45689</v>
      </c>
      <c r="H7" s="10" t="s">
        <v>193</v>
      </c>
      <c r="I7" s="14">
        <v>30000</v>
      </c>
    </row>
    <row r="8" spans="1:11" s="50" customFormat="1" ht="33" customHeight="1" x14ac:dyDescent="0.6">
      <c r="A8" s="3">
        <v>45696</v>
      </c>
      <c r="B8" s="26" t="s">
        <v>18</v>
      </c>
      <c r="C8" s="4">
        <v>1000000</v>
      </c>
      <c r="D8" s="3">
        <v>45695</v>
      </c>
      <c r="E8" s="24" t="s">
        <v>256</v>
      </c>
      <c r="F8" s="16">
        <v>475800</v>
      </c>
      <c r="G8" s="9">
        <v>45689</v>
      </c>
      <c r="H8" s="10" t="s">
        <v>198</v>
      </c>
      <c r="I8" s="14">
        <v>43000</v>
      </c>
      <c r="K8" s="1"/>
    </row>
    <row r="9" spans="1:11" s="50" customFormat="1" ht="33" customHeight="1" x14ac:dyDescent="0.6">
      <c r="A9" s="3">
        <v>45698</v>
      </c>
      <c r="B9" s="26" t="s">
        <v>278</v>
      </c>
      <c r="C9" s="4">
        <v>2000000</v>
      </c>
      <c r="D9" s="3">
        <v>45695</v>
      </c>
      <c r="E9" s="24" t="s">
        <v>258</v>
      </c>
      <c r="F9" s="16">
        <v>558250</v>
      </c>
      <c r="G9" s="9">
        <v>45689</v>
      </c>
      <c r="H9" s="15" t="s">
        <v>194</v>
      </c>
      <c r="I9" s="16">
        <v>13950</v>
      </c>
      <c r="K9" s="1"/>
    </row>
    <row r="10" spans="1:11" ht="33" customHeight="1" x14ac:dyDescent="0.6">
      <c r="A10" s="3">
        <v>45699</v>
      </c>
      <c r="B10" s="26" t="s">
        <v>283</v>
      </c>
      <c r="C10" s="4">
        <v>1500000</v>
      </c>
      <c r="D10" s="3">
        <v>45695</v>
      </c>
      <c r="E10" s="24" t="s">
        <v>264</v>
      </c>
      <c r="F10" s="16">
        <v>750000</v>
      </c>
      <c r="G10" s="9">
        <v>45689</v>
      </c>
      <c r="H10" s="10" t="s">
        <v>191</v>
      </c>
      <c r="I10" s="14">
        <v>90900</v>
      </c>
    </row>
    <row r="11" spans="1:11" ht="33" customHeight="1" x14ac:dyDescent="0.6">
      <c r="A11" s="3">
        <v>45700</v>
      </c>
      <c r="B11" s="26" t="s">
        <v>283</v>
      </c>
      <c r="C11" s="4">
        <v>1100000</v>
      </c>
      <c r="D11" s="3">
        <v>45696</v>
      </c>
      <c r="E11" s="24" t="s">
        <v>262</v>
      </c>
      <c r="F11" s="16">
        <v>101000</v>
      </c>
      <c r="G11" s="9">
        <v>45691</v>
      </c>
      <c r="H11" s="10" t="s">
        <v>192</v>
      </c>
      <c r="I11" s="14">
        <v>5050</v>
      </c>
    </row>
    <row r="12" spans="1:11" ht="33" customHeight="1" x14ac:dyDescent="0.6">
      <c r="A12" s="3">
        <v>45702</v>
      </c>
      <c r="B12" s="26" t="s">
        <v>18</v>
      </c>
      <c r="C12" s="4">
        <v>3000000</v>
      </c>
      <c r="D12" s="3">
        <v>45696</v>
      </c>
      <c r="E12" s="75" t="s">
        <v>266</v>
      </c>
      <c r="F12" s="16">
        <v>600000</v>
      </c>
      <c r="G12" s="9">
        <v>45691</v>
      </c>
      <c r="H12" s="10" t="s">
        <v>195</v>
      </c>
      <c r="I12" s="14">
        <v>404000</v>
      </c>
    </row>
    <row r="13" spans="1:11" ht="33" customHeight="1" x14ac:dyDescent="0.6">
      <c r="A13" s="3">
        <v>45703</v>
      </c>
      <c r="B13" s="26" t="s">
        <v>18</v>
      </c>
      <c r="C13" s="4">
        <v>500000</v>
      </c>
      <c r="D13" s="3">
        <v>45699</v>
      </c>
      <c r="E13" s="24" t="s">
        <v>280</v>
      </c>
      <c r="F13" s="16">
        <v>186465</v>
      </c>
      <c r="G13" s="9">
        <v>45691</v>
      </c>
      <c r="H13" s="10" t="s">
        <v>196</v>
      </c>
      <c r="I13" s="72">
        <v>2000</v>
      </c>
    </row>
    <row r="14" spans="1:11" ht="33" customHeight="1" x14ac:dyDescent="0.6">
      <c r="A14" s="3">
        <v>45705</v>
      </c>
      <c r="B14" s="26" t="s">
        <v>18</v>
      </c>
      <c r="C14" s="4">
        <v>1895000</v>
      </c>
      <c r="D14" s="3">
        <v>45699</v>
      </c>
      <c r="E14" s="24" t="s">
        <v>281</v>
      </c>
      <c r="F14" s="4">
        <v>326310</v>
      </c>
      <c r="G14" s="9">
        <v>45691</v>
      </c>
      <c r="H14" s="10" t="s">
        <v>197</v>
      </c>
      <c r="I14" s="72">
        <v>25250</v>
      </c>
    </row>
    <row r="15" spans="1:11" ht="33" customHeight="1" x14ac:dyDescent="0.6">
      <c r="A15" s="3">
        <v>45706</v>
      </c>
      <c r="B15" s="26" t="s">
        <v>340</v>
      </c>
      <c r="C15" s="4">
        <v>1500000</v>
      </c>
      <c r="D15" s="3">
        <v>45699</v>
      </c>
      <c r="E15" s="24" t="s">
        <v>282</v>
      </c>
      <c r="F15" s="4">
        <v>438000</v>
      </c>
      <c r="G15" s="9">
        <v>45691</v>
      </c>
      <c r="H15" s="73" t="s">
        <v>199</v>
      </c>
      <c r="I15" s="72">
        <v>150000</v>
      </c>
    </row>
    <row r="16" spans="1:11" ht="33" customHeight="1" x14ac:dyDescent="0.6">
      <c r="A16" s="3">
        <v>45707</v>
      </c>
      <c r="B16" s="26" t="s">
        <v>340</v>
      </c>
      <c r="C16" s="4">
        <v>600000</v>
      </c>
      <c r="D16" s="3">
        <v>45699</v>
      </c>
      <c r="E16" s="24" t="s">
        <v>284</v>
      </c>
      <c r="F16" s="4">
        <v>1350000</v>
      </c>
      <c r="G16" s="9">
        <v>45691</v>
      </c>
      <c r="H16" s="63" t="s">
        <v>200</v>
      </c>
      <c r="I16" s="72">
        <v>300000</v>
      </c>
    </row>
    <row r="17" spans="1:9" ht="33" customHeight="1" x14ac:dyDescent="0.6">
      <c r="A17" s="3">
        <v>45709</v>
      </c>
      <c r="B17" s="26" t="s">
        <v>366</v>
      </c>
      <c r="C17" s="4">
        <v>900000</v>
      </c>
      <c r="D17" s="3">
        <v>45699</v>
      </c>
      <c r="E17" s="24" t="s">
        <v>285</v>
      </c>
      <c r="F17" s="4">
        <v>101000</v>
      </c>
      <c r="G17" s="9">
        <v>45691</v>
      </c>
      <c r="H17" s="63" t="s">
        <v>201</v>
      </c>
      <c r="I17" s="72">
        <v>337340</v>
      </c>
    </row>
    <row r="18" spans="1:9" ht="33" customHeight="1" x14ac:dyDescent="0.6">
      <c r="A18" s="3">
        <v>45710</v>
      </c>
      <c r="B18" s="26" t="s">
        <v>371</v>
      </c>
      <c r="C18" s="4">
        <v>2000000</v>
      </c>
      <c r="D18" s="3">
        <v>45700</v>
      </c>
      <c r="E18" s="24" t="s">
        <v>302</v>
      </c>
      <c r="F18" s="4">
        <v>505000</v>
      </c>
      <c r="G18" s="9">
        <v>45691</v>
      </c>
      <c r="H18" s="63" t="s">
        <v>202</v>
      </c>
      <c r="I18" s="72">
        <v>700</v>
      </c>
    </row>
    <row r="19" spans="1:9" ht="33" customHeight="1" x14ac:dyDescent="0.6">
      <c r="A19" s="3">
        <v>45713</v>
      </c>
      <c r="B19" s="26" t="s">
        <v>386</v>
      </c>
      <c r="C19" s="4">
        <v>1500000</v>
      </c>
      <c r="D19" s="3">
        <v>45702</v>
      </c>
      <c r="E19" s="24" t="s">
        <v>318</v>
      </c>
      <c r="F19" s="4">
        <v>350000</v>
      </c>
      <c r="G19" s="9">
        <v>45691</v>
      </c>
      <c r="H19" s="63" t="s">
        <v>203</v>
      </c>
      <c r="I19" s="72">
        <v>393000</v>
      </c>
    </row>
    <row r="20" spans="1:9" ht="33" customHeight="1" x14ac:dyDescent="0.6">
      <c r="A20" s="3">
        <v>45716</v>
      </c>
      <c r="B20" s="26" t="s">
        <v>18</v>
      </c>
      <c r="C20" s="4">
        <v>1000000</v>
      </c>
      <c r="D20" s="3">
        <v>45702</v>
      </c>
      <c r="E20" s="24" t="s">
        <v>319</v>
      </c>
      <c r="F20" s="4">
        <v>20000</v>
      </c>
      <c r="G20" s="9">
        <v>45691</v>
      </c>
      <c r="H20" s="63" t="s">
        <v>204</v>
      </c>
      <c r="I20" s="72">
        <v>6000</v>
      </c>
    </row>
    <row r="21" spans="1:9" ht="33" customHeight="1" x14ac:dyDescent="0.6">
      <c r="A21" s="3"/>
      <c r="B21" s="26"/>
      <c r="C21" s="4"/>
      <c r="D21" s="3">
        <v>45703</v>
      </c>
      <c r="E21" s="24" t="s">
        <v>324</v>
      </c>
      <c r="F21" s="4">
        <v>1800000</v>
      </c>
      <c r="G21" s="9">
        <v>45692</v>
      </c>
      <c r="H21" s="63" t="s">
        <v>205</v>
      </c>
      <c r="I21" s="72">
        <v>10000</v>
      </c>
    </row>
    <row r="22" spans="1:9" ht="33" customHeight="1" x14ac:dyDescent="0.6">
      <c r="A22" s="3"/>
      <c r="B22" s="26"/>
      <c r="C22" s="4"/>
      <c r="D22" s="3">
        <v>45703</v>
      </c>
      <c r="E22" s="24" t="s">
        <v>326</v>
      </c>
      <c r="F22" s="4">
        <v>505000</v>
      </c>
      <c r="G22" s="9">
        <v>45692</v>
      </c>
      <c r="H22" s="63" t="s">
        <v>209</v>
      </c>
      <c r="I22" s="72">
        <v>665000</v>
      </c>
    </row>
    <row r="23" spans="1:9" ht="33" customHeight="1" x14ac:dyDescent="0.6">
      <c r="A23" s="322"/>
      <c r="B23" s="322"/>
      <c r="C23" s="20"/>
      <c r="D23" s="3">
        <v>45705</v>
      </c>
      <c r="E23" s="24" t="s">
        <v>335</v>
      </c>
      <c r="F23" s="4">
        <v>535300</v>
      </c>
      <c r="G23" s="9">
        <v>45692</v>
      </c>
      <c r="H23" s="63" t="s">
        <v>210</v>
      </c>
      <c r="I23" s="72">
        <v>101000</v>
      </c>
    </row>
    <row r="24" spans="1:9" ht="33" customHeight="1" x14ac:dyDescent="0.6">
      <c r="A24" s="3"/>
      <c r="B24" s="26"/>
      <c r="C24" s="4"/>
      <c r="D24" s="3">
        <v>45706</v>
      </c>
      <c r="E24" s="24" t="s">
        <v>344</v>
      </c>
      <c r="F24" s="4">
        <v>303000</v>
      </c>
      <c r="G24" s="9">
        <v>45693</v>
      </c>
      <c r="H24" s="63" t="s">
        <v>211</v>
      </c>
      <c r="I24" s="72">
        <v>22000</v>
      </c>
    </row>
    <row r="25" spans="1:9" ht="33" customHeight="1" x14ac:dyDescent="0.6">
      <c r="A25" s="3"/>
      <c r="B25" s="26"/>
      <c r="C25" s="4"/>
      <c r="D25" s="3">
        <v>45707</v>
      </c>
      <c r="E25" s="24" t="s">
        <v>349</v>
      </c>
      <c r="F25" s="4">
        <v>192500</v>
      </c>
      <c r="G25" s="9">
        <v>45693</v>
      </c>
      <c r="H25" s="63" t="s">
        <v>212</v>
      </c>
      <c r="I25" s="72">
        <v>219000</v>
      </c>
    </row>
    <row r="26" spans="1:9" ht="33" customHeight="1" x14ac:dyDescent="0.6">
      <c r="A26" s="3"/>
      <c r="B26" s="26"/>
      <c r="C26" s="4"/>
      <c r="D26" s="3">
        <v>45707</v>
      </c>
      <c r="E26" s="24" t="s">
        <v>355</v>
      </c>
      <c r="F26" s="4">
        <v>600000</v>
      </c>
      <c r="G26" s="9">
        <v>45693</v>
      </c>
      <c r="H26" s="63" t="s">
        <v>39</v>
      </c>
      <c r="I26" s="72">
        <v>2000</v>
      </c>
    </row>
    <row r="27" spans="1:9" ht="33" customHeight="1" x14ac:dyDescent="0.6">
      <c r="A27" s="3"/>
      <c r="B27" s="26"/>
      <c r="C27" s="4"/>
      <c r="D27" s="3">
        <v>45708</v>
      </c>
      <c r="E27" s="24" t="s">
        <v>358</v>
      </c>
      <c r="F27" s="16">
        <v>505000</v>
      </c>
      <c r="G27" s="9">
        <v>45693</v>
      </c>
      <c r="H27" s="63" t="s">
        <v>213</v>
      </c>
      <c r="I27" s="72">
        <v>5050</v>
      </c>
    </row>
    <row r="28" spans="1:9" ht="33" customHeight="1" x14ac:dyDescent="0.6">
      <c r="A28" s="3"/>
      <c r="B28" s="26"/>
      <c r="C28" s="4"/>
      <c r="D28" s="3">
        <v>45709</v>
      </c>
      <c r="E28" s="24" t="s">
        <v>367</v>
      </c>
      <c r="F28" s="4">
        <v>502000</v>
      </c>
      <c r="G28" s="9">
        <v>45693</v>
      </c>
      <c r="H28" s="63" t="s">
        <v>215</v>
      </c>
      <c r="I28" s="72">
        <v>700</v>
      </c>
    </row>
    <row r="29" spans="1:9" ht="33" customHeight="1" x14ac:dyDescent="0.6">
      <c r="A29" s="3"/>
      <c r="B29" s="26"/>
      <c r="C29" s="4"/>
      <c r="D29" s="3">
        <v>45710</v>
      </c>
      <c r="E29" s="24" t="s">
        <v>372</v>
      </c>
      <c r="F29" s="4">
        <v>505000</v>
      </c>
      <c r="G29" s="9">
        <v>45693</v>
      </c>
      <c r="H29" s="63" t="s">
        <v>216</v>
      </c>
      <c r="I29" s="72">
        <v>353500</v>
      </c>
    </row>
    <row r="30" spans="1:9" ht="33" customHeight="1" x14ac:dyDescent="0.6">
      <c r="A30" s="3"/>
      <c r="B30" s="26"/>
      <c r="C30" s="4"/>
      <c r="D30" s="3">
        <v>45712</v>
      </c>
      <c r="E30" s="24" t="s">
        <v>381</v>
      </c>
      <c r="F30" s="4">
        <v>180000</v>
      </c>
      <c r="G30" s="9">
        <v>45693</v>
      </c>
      <c r="H30" s="63" t="s">
        <v>217</v>
      </c>
      <c r="I30" s="72">
        <v>303000</v>
      </c>
    </row>
    <row r="31" spans="1:9" ht="33" customHeight="1" x14ac:dyDescent="0.6">
      <c r="A31" s="3"/>
      <c r="B31" s="26"/>
      <c r="C31" s="4"/>
      <c r="D31" s="3">
        <v>45714</v>
      </c>
      <c r="E31" s="24" t="s">
        <v>391</v>
      </c>
      <c r="F31" s="4">
        <v>70700</v>
      </c>
      <c r="G31" s="9">
        <v>45693</v>
      </c>
      <c r="H31" s="63" t="s">
        <v>218</v>
      </c>
      <c r="I31" s="72">
        <v>5050</v>
      </c>
    </row>
    <row r="32" spans="1:9" ht="33" customHeight="1" x14ac:dyDescent="0.6">
      <c r="A32" s="3"/>
      <c r="B32" s="26"/>
      <c r="C32" s="4"/>
      <c r="D32" s="3">
        <v>45715</v>
      </c>
      <c r="E32" s="24" t="s">
        <v>396</v>
      </c>
      <c r="F32" s="4">
        <v>121200</v>
      </c>
      <c r="G32" s="9">
        <v>45693</v>
      </c>
      <c r="H32" s="63" t="s">
        <v>219</v>
      </c>
      <c r="I32" s="72">
        <v>34340</v>
      </c>
    </row>
    <row r="33" spans="1:9" ht="33" customHeight="1" x14ac:dyDescent="0.6">
      <c r="A33" s="3"/>
      <c r="B33" s="26"/>
      <c r="C33" s="4"/>
      <c r="D33" s="3">
        <v>45715</v>
      </c>
      <c r="E33" s="24" t="s">
        <v>397</v>
      </c>
      <c r="F33" s="4">
        <v>10100</v>
      </c>
      <c r="G33" s="9">
        <v>45693</v>
      </c>
      <c r="H33" s="63" t="s">
        <v>220</v>
      </c>
      <c r="I33" s="72">
        <v>151500</v>
      </c>
    </row>
    <row r="34" spans="1:9" ht="33" customHeight="1" x14ac:dyDescent="0.6">
      <c r="A34" s="3"/>
      <c r="B34" s="26"/>
      <c r="C34" s="4"/>
      <c r="D34" s="3">
        <v>45716</v>
      </c>
      <c r="E34" s="24" t="s">
        <v>399</v>
      </c>
      <c r="F34" s="4">
        <v>72215</v>
      </c>
      <c r="G34" s="9">
        <v>45693</v>
      </c>
      <c r="H34" s="63" t="s">
        <v>221</v>
      </c>
      <c r="I34" s="72">
        <v>500</v>
      </c>
    </row>
    <row r="35" spans="1:9" ht="33" customHeight="1" x14ac:dyDescent="0.6">
      <c r="A35" s="3"/>
      <c r="B35" s="26"/>
      <c r="C35" s="4"/>
      <c r="D35" s="3"/>
      <c r="E35" s="24"/>
      <c r="F35" s="4"/>
      <c r="G35" s="9">
        <v>45693</v>
      </c>
      <c r="H35" s="63" t="s">
        <v>222</v>
      </c>
      <c r="I35" s="72">
        <v>151500</v>
      </c>
    </row>
    <row r="36" spans="1:9" ht="33" customHeight="1" x14ac:dyDescent="0.6">
      <c r="A36" s="3"/>
      <c r="B36" s="26"/>
      <c r="C36" s="4"/>
      <c r="D36" s="115"/>
      <c r="E36" s="116"/>
      <c r="F36" s="20"/>
      <c r="G36" s="9">
        <v>45693</v>
      </c>
      <c r="H36" s="63" t="s">
        <v>223</v>
      </c>
      <c r="I36" s="72">
        <v>63125</v>
      </c>
    </row>
    <row r="37" spans="1:9" ht="33" customHeight="1" x14ac:dyDescent="0.6">
      <c r="A37" s="3"/>
      <c r="B37" s="26"/>
      <c r="C37" s="4"/>
      <c r="D37" s="3"/>
      <c r="E37" s="24"/>
      <c r="F37" s="4"/>
      <c r="G37" s="9">
        <v>45693</v>
      </c>
      <c r="H37" s="63" t="s">
        <v>224</v>
      </c>
      <c r="I37" s="72">
        <v>181800</v>
      </c>
    </row>
    <row r="38" spans="1:9" ht="33" customHeight="1" x14ac:dyDescent="0.6">
      <c r="A38" s="3"/>
      <c r="B38" s="26"/>
      <c r="C38" s="4"/>
      <c r="D38" s="3"/>
      <c r="E38" s="24"/>
      <c r="F38" s="4"/>
      <c r="G38" s="9">
        <v>45693</v>
      </c>
      <c r="H38" s="63" t="s">
        <v>227</v>
      </c>
      <c r="I38" s="72">
        <v>121200</v>
      </c>
    </row>
    <row r="39" spans="1:9" ht="33" customHeight="1" x14ac:dyDescent="0.6">
      <c r="A39" s="3"/>
      <c r="B39" s="26"/>
      <c r="C39" s="4"/>
      <c r="D39" s="3"/>
      <c r="E39" s="24"/>
      <c r="F39" s="4"/>
      <c r="G39" s="9">
        <v>45693</v>
      </c>
      <c r="H39" s="63" t="s">
        <v>225</v>
      </c>
      <c r="I39" s="72">
        <v>52445</v>
      </c>
    </row>
    <row r="40" spans="1:9" ht="33" customHeight="1" x14ac:dyDescent="0.6">
      <c r="A40" s="3"/>
      <c r="B40" s="26"/>
      <c r="C40" s="4"/>
      <c r="D40" s="3"/>
      <c r="E40" s="24"/>
      <c r="F40" s="4"/>
      <c r="G40" s="9">
        <v>45693</v>
      </c>
      <c r="H40" s="63" t="s">
        <v>226</v>
      </c>
      <c r="I40" s="72">
        <v>121200</v>
      </c>
    </row>
    <row r="41" spans="1:9" ht="33" customHeight="1" x14ac:dyDescent="0.6">
      <c r="A41" s="3"/>
      <c r="B41" s="26"/>
      <c r="C41" s="4"/>
      <c r="D41" s="3"/>
      <c r="E41" s="24"/>
      <c r="F41" s="4"/>
      <c r="G41" s="9">
        <v>45693</v>
      </c>
      <c r="H41" s="63" t="s">
        <v>228</v>
      </c>
      <c r="I41" s="72">
        <v>75000</v>
      </c>
    </row>
    <row r="42" spans="1:9" ht="33" customHeight="1" x14ac:dyDescent="0.6">
      <c r="A42" s="3"/>
      <c r="B42" s="26"/>
      <c r="C42" s="4"/>
      <c r="D42" s="3"/>
      <c r="E42" s="24"/>
      <c r="F42" s="4"/>
      <c r="G42" s="9">
        <v>45693</v>
      </c>
      <c r="H42" s="63" t="s">
        <v>229</v>
      </c>
      <c r="I42" s="72">
        <v>252500</v>
      </c>
    </row>
    <row r="43" spans="1:9" ht="33" customHeight="1" x14ac:dyDescent="0.6">
      <c r="A43" s="3"/>
      <c r="B43" s="26"/>
      <c r="C43" s="4"/>
      <c r="D43" s="3"/>
      <c r="E43" s="24"/>
      <c r="F43" s="4"/>
      <c r="G43" s="9">
        <v>45693</v>
      </c>
      <c r="H43" s="63" t="s">
        <v>230</v>
      </c>
      <c r="I43" s="72">
        <v>151500</v>
      </c>
    </row>
    <row r="44" spans="1:9" ht="33" customHeight="1" x14ac:dyDescent="0.6">
      <c r="A44" s="3"/>
      <c r="B44" s="26"/>
      <c r="C44" s="4"/>
      <c r="D44" s="3"/>
      <c r="E44" s="24"/>
      <c r="F44" s="4"/>
      <c r="G44" s="9">
        <v>45693</v>
      </c>
      <c r="H44" s="63" t="s">
        <v>231</v>
      </c>
      <c r="I44" s="72">
        <v>151500</v>
      </c>
    </row>
    <row r="45" spans="1:9" ht="33" customHeight="1" x14ac:dyDescent="0.6">
      <c r="A45" s="3"/>
      <c r="B45" s="26"/>
      <c r="C45" s="4"/>
      <c r="D45" s="3"/>
      <c r="E45" s="24"/>
      <c r="F45" s="4"/>
      <c r="G45" s="9">
        <v>45693</v>
      </c>
      <c r="H45" s="63" t="s">
        <v>232</v>
      </c>
      <c r="I45" s="72">
        <v>151500</v>
      </c>
    </row>
    <row r="46" spans="1:9" ht="33" customHeight="1" x14ac:dyDescent="0.6">
      <c r="A46" s="3"/>
      <c r="B46" s="26"/>
      <c r="C46" s="4"/>
      <c r="D46" s="3"/>
      <c r="E46" s="24"/>
      <c r="F46" s="4"/>
      <c r="G46" s="9">
        <v>45693</v>
      </c>
      <c r="H46" s="63" t="s">
        <v>233</v>
      </c>
      <c r="I46" s="72">
        <v>202000</v>
      </c>
    </row>
    <row r="47" spans="1:9" ht="33" customHeight="1" x14ac:dyDescent="0.6">
      <c r="A47" s="3"/>
      <c r="B47" s="26"/>
      <c r="C47" s="4"/>
      <c r="D47" s="3"/>
      <c r="E47" s="24"/>
      <c r="F47" s="4"/>
      <c r="G47" s="9">
        <v>45693</v>
      </c>
      <c r="H47" s="63" t="s">
        <v>234</v>
      </c>
      <c r="I47" s="72">
        <v>252500</v>
      </c>
    </row>
    <row r="48" spans="1:9" ht="33" customHeight="1" x14ac:dyDescent="0.6">
      <c r="A48" s="3"/>
      <c r="B48" s="26"/>
      <c r="C48" s="4"/>
      <c r="D48" s="3"/>
      <c r="E48" s="24"/>
      <c r="F48" s="4"/>
      <c r="G48" s="9">
        <v>45693</v>
      </c>
      <c r="H48" s="63" t="s">
        <v>235</v>
      </c>
      <c r="I48" s="72">
        <v>181800</v>
      </c>
    </row>
    <row r="49" spans="1:9" ht="33" customHeight="1" x14ac:dyDescent="0.6">
      <c r="A49" s="3"/>
      <c r="B49" s="26"/>
      <c r="C49" s="4"/>
      <c r="D49" s="3"/>
      <c r="E49" s="24"/>
      <c r="F49" s="4"/>
      <c r="G49" s="9">
        <v>45693</v>
      </c>
      <c r="H49" s="63" t="s">
        <v>248</v>
      </c>
      <c r="I49" s="72">
        <v>181800</v>
      </c>
    </row>
    <row r="50" spans="1:9" ht="33" customHeight="1" x14ac:dyDescent="0.6">
      <c r="A50" s="3"/>
      <c r="B50" s="26"/>
      <c r="C50" s="4"/>
      <c r="D50" s="3"/>
      <c r="E50" s="24"/>
      <c r="F50" s="4"/>
      <c r="G50" s="9">
        <v>45694</v>
      </c>
      <c r="H50" s="63" t="s">
        <v>50</v>
      </c>
      <c r="I50" s="72">
        <v>600</v>
      </c>
    </row>
    <row r="51" spans="1:9" ht="33" customHeight="1" x14ac:dyDescent="0.6">
      <c r="A51" s="3"/>
      <c r="B51" s="26"/>
      <c r="C51" s="4"/>
      <c r="D51" s="3"/>
      <c r="E51" s="24"/>
      <c r="F51" s="4"/>
      <c r="G51" s="9">
        <v>45694</v>
      </c>
      <c r="H51" s="63" t="s">
        <v>239</v>
      </c>
      <c r="I51" s="72">
        <v>14140</v>
      </c>
    </row>
    <row r="52" spans="1:9" ht="33" customHeight="1" x14ac:dyDescent="0.6">
      <c r="A52" s="3"/>
      <c r="B52" s="26"/>
      <c r="C52" s="4"/>
      <c r="D52" s="3"/>
      <c r="E52" s="24"/>
      <c r="F52" s="4"/>
      <c r="G52" s="9">
        <v>45694</v>
      </c>
      <c r="H52" s="63" t="s">
        <v>238</v>
      </c>
      <c r="I52" s="72">
        <v>90900</v>
      </c>
    </row>
    <row r="53" spans="1:9" ht="33" customHeight="1" x14ac:dyDescent="0.6">
      <c r="A53" s="3"/>
      <c r="B53" s="26"/>
      <c r="C53" s="4"/>
      <c r="D53" s="3"/>
      <c r="E53" s="24"/>
      <c r="F53" s="4"/>
      <c r="G53" s="9">
        <v>45694</v>
      </c>
      <c r="H53" s="63" t="s">
        <v>237</v>
      </c>
      <c r="I53" s="72">
        <v>202000</v>
      </c>
    </row>
    <row r="54" spans="1:9" ht="33" customHeight="1" x14ac:dyDescent="0.6">
      <c r="A54" s="3"/>
      <c r="B54" s="26"/>
      <c r="C54" s="4"/>
      <c r="D54" s="3"/>
      <c r="E54" s="24"/>
      <c r="F54" s="4"/>
      <c r="G54" s="9">
        <v>45694</v>
      </c>
      <c r="H54" s="63" t="s">
        <v>240</v>
      </c>
      <c r="I54" s="72">
        <v>121200</v>
      </c>
    </row>
    <row r="55" spans="1:9" ht="33" customHeight="1" x14ac:dyDescent="0.6">
      <c r="A55" s="3"/>
      <c r="B55" s="26"/>
      <c r="C55" s="4"/>
      <c r="D55" s="3"/>
      <c r="E55" s="24"/>
      <c r="F55" s="4"/>
      <c r="G55" s="9">
        <v>45694</v>
      </c>
      <c r="H55" s="63" t="s">
        <v>249</v>
      </c>
      <c r="I55" s="72">
        <v>80800</v>
      </c>
    </row>
    <row r="56" spans="1:9" ht="33" customHeight="1" x14ac:dyDescent="0.6">
      <c r="A56" s="3"/>
      <c r="B56" s="26"/>
      <c r="C56" s="4"/>
      <c r="D56" s="3"/>
      <c r="E56" s="24"/>
      <c r="F56" s="4"/>
      <c r="G56" s="9">
        <v>45694</v>
      </c>
      <c r="H56" s="63" t="s">
        <v>241</v>
      </c>
      <c r="I56" s="72">
        <v>202000</v>
      </c>
    </row>
    <row r="57" spans="1:9" ht="33" customHeight="1" x14ac:dyDescent="0.6">
      <c r="A57" s="3"/>
      <c r="B57" s="26"/>
      <c r="C57" s="4"/>
      <c r="D57" s="3"/>
      <c r="E57" s="24"/>
      <c r="F57" s="4"/>
      <c r="G57" s="9">
        <v>45694</v>
      </c>
      <c r="H57" s="63" t="s">
        <v>242</v>
      </c>
      <c r="I57" s="72">
        <v>303000</v>
      </c>
    </row>
    <row r="58" spans="1:9" ht="33" customHeight="1" x14ac:dyDescent="0.6">
      <c r="A58" s="3"/>
      <c r="B58" s="26"/>
      <c r="C58" s="4"/>
      <c r="D58" s="3"/>
      <c r="E58" s="24"/>
      <c r="F58" s="4"/>
      <c r="G58" s="9">
        <v>45694</v>
      </c>
      <c r="H58" s="22" t="s">
        <v>250</v>
      </c>
      <c r="I58" s="72">
        <v>252500</v>
      </c>
    </row>
    <row r="59" spans="1:9" ht="33" customHeight="1" x14ac:dyDescent="0.6">
      <c r="A59" s="3"/>
      <c r="B59" s="26"/>
      <c r="C59" s="4"/>
      <c r="D59" s="3"/>
      <c r="E59" s="24"/>
      <c r="F59" s="4"/>
      <c r="G59" s="9">
        <v>45694</v>
      </c>
      <c r="H59" s="22" t="s">
        <v>251</v>
      </c>
      <c r="I59" s="72">
        <v>126250</v>
      </c>
    </row>
    <row r="60" spans="1:9" ht="33" customHeight="1" x14ac:dyDescent="0.6">
      <c r="A60" s="3"/>
      <c r="B60" s="26"/>
      <c r="C60" s="4"/>
      <c r="D60" s="3"/>
      <c r="E60" s="24"/>
      <c r="F60" s="4"/>
      <c r="G60" s="9">
        <v>45694</v>
      </c>
      <c r="H60" s="22" t="s">
        <v>376</v>
      </c>
      <c r="I60" s="72">
        <v>7000</v>
      </c>
    </row>
    <row r="61" spans="1:9" ht="33" customHeight="1" x14ac:dyDescent="0.6">
      <c r="A61" s="3"/>
      <c r="B61" s="26"/>
      <c r="C61" s="4"/>
      <c r="D61" s="3"/>
      <c r="E61" s="24"/>
      <c r="F61" s="4"/>
      <c r="G61" s="9">
        <v>45695</v>
      </c>
      <c r="H61" s="22" t="s">
        <v>193</v>
      </c>
      <c r="I61" s="72">
        <f>15000+4000</f>
        <v>19000</v>
      </c>
    </row>
    <row r="62" spans="1:9" ht="33" customHeight="1" x14ac:dyDescent="0.6">
      <c r="A62" s="3"/>
      <c r="B62" s="26"/>
      <c r="C62" s="4"/>
      <c r="D62" s="3"/>
      <c r="E62" s="24"/>
      <c r="F62" s="4"/>
      <c r="G62" s="3">
        <v>45695</v>
      </c>
      <c r="H62" s="22" t="s">
        <v>245</v>
      </c>
      <c r="I62" s="72">
        <v>20000</v>
      </c>
    </row>
    <row r="63" spans="1:9" ht="33" customHeight="1" x14ac:dyDescent="0.6">
      <c r="A63" s="3"/>
      <c r="B63" s="26"/>
      <c r="C63" s="4"/>
      <c r="D63" s="3"/>
      <c r="E63" s="24"/>
      <c r="F63" s="4"/>
      <c r="G63" s="3">
        <v>45695</v>
      </c>
      <c r="H63" s="22" t="s">
        <v>252</v>
      </c>
      <c r="I63" s="72">
        <f>125000+1250</f>
        <v>126250</v>
      </c>
    </row>
    <row r="64" spans="1:9" ht="33" customHeight="1" x14ac:dyDescent="0.6">
      <c r="A64" s="3"/>
      <c r="B64" s="26"/>
      <c r="C64" s="4"/>
      <c r="D64" s="3"/>
      <c r="E64" s="24"/>
      <c r="F64" s="4"/>
      <c r="G64" s="9">
        <v>45695</v>
      </c>
      <c r="H64" s="22" t="s">
        <v>246</v>
      </c>
      <c r="I64" s="72">
        <v>25250</v>
      </c>
    </row>
    <row r="65" spans="1:9" ht="33" customHeight="1" x14ac:dyDescent="0.6">
      <c r="A65" s="3"/>
      <c r="B65" s="26"/>
      <c r="C65" s="4"/>
      <c r="D65" s="3"/>
      <c r="E65" s="24"/>
      <c r="F65" s="4"/>
      <c r="G65" s="3">
        <v>45695</v>
      </c>
      <c r="H65" s="63" t="s">
        <v>247</v>
      </c>
      <c r="I65" s="72">
        <v>72215</v>
      </c>
    </row>
    <row r="66" spans="1:9" ht="33" customHeight="1" x14ac:dyDescent="0.6">
      <c r="A66" s="3"/>
      <c r="B66" s="26"/>
      <c r="C66" s="4"/>
      <c r="D66" s="3"/>
      <c r="E66" s="24"/>
      <c r="F66" s="4"/>
      <c r="G66" s="3">
        <v>45695</v>
      </c>
      <c r="H66" s="63" t="s">
        <v>253</v>
      </c>
      <c r="I66" s="72">
        <v>202000</v>
      </c>
    </row>
    <row r="67" spans="1:9" ht="33" customHeight="1" x14ac:dyDescent="0.6">
      <c r="A67" s="3"/>
      <c r="B67" s="26"/>
      <c r="C67" s="4"/>
      <c r="D67" s="3"/>
      <c r="E67" s="24"/>
      <c r="F67" s="4"/>
      <c r="G67" s="9">
        <v>45695</v>
      </c>
      <c r="H67" s="63" t="s">
        <v>254</v>
      </c>
      <c r="I67" s="72">
        <v>60600</v>
      </c>
    </row>
    <row r="68" spans="1:9" ht="33" customHeight="1" x14ac:dyDescent="0.6">
      <c r="A68" s="3"/>
      <c r="B68" s="26"/>
      <c r="C68" s="4"/>
      <c r="D68" s="3"/>
      <c r="E68" s="24"/>
      <c r="F68" s="4"/>
      <c r="G68" s="3">
        <v>45695</v>
      </c>
      <c r="H68" s="63" t="s">
        <v>255</v>
      </c>
      <c r="I68" s="72">
        <v>10100</v>
      </c>
    </row>
    <row r="69" spans="1:9" ht="33" customHeight="1" x14ac:dyDescent="0.6">
      <c r="A69" s="3"/>
      <c r="B69" s="26"/>
      <c r="C69" s="4"/>
      <c r="D69" s="3"/>
      <c r="E69" s="24"/>
      <c r="F69" s="4"/>
      <c r="G69" s="9">
        <v>45695</v>
      </c>
      <c r="H69" s="63" t="s">
        <v>257</v>
      </c>
      <c r="I69" s="72">
        <v>202000</v>
      </c>
    </row>
    <row r="70" spans="1:9" ht="33" customHeight="1" x14ac:dyDescent="0.6">
      <c r="A70" s="3"/>
      <c r="B70" s="26"/>
      <c r="C70" s="4"/>
      <c r="D70" s="3"/>
      <c r="E70" s="24"/>
      <c r="F70" s="4"/>
      <c r="G70" s="9">
        <v>45696</v>
      </c>
      <c r="H70" s="63" t="s">
        <v>259</v>
      </c>
      <c r="I70" s="72">
        <v>400000</v>
      </c>
    </row>
    <row r="71" spans="1:9" ht="33" customHeight="1" x14ac:dyDescent="0.6">
      <c r="A71" s="3"/>
      <c r="B71" s="26"/>
      <c r="C71" s="4"/>
      <c r="D71" s="3"/>
      <c r="E71" s="24"/>
      <c r="F71" s="4"/>
      <c r="G71" s="9">
        <v>45696</v>
      </c>
      <c r="H71" s="63" t="s">
        <v>260</v>
      </c>
      <c r="I71" s="72">
        <v>500</v>
      </c>
    </row>
    <row r="72" spans="1:9" ht="33" customHeight="1" x14ac:dyDescent="0.6">
      <c r="A72" s="3"/>
      <c r="B72" s="26"/>
      <c r="C72" s="4"/>
      <c r="D72" s="3"/>
      <c r="E72" s="24"/>
      <c r="F72" s="4"/>
      <c r="G72" s="9">
        <v>45696</v>
      </c>
      <c r="H72" s="63" t="s">
        <v>263</v>
      </c>
      <c r="I72" s="72">
        <f>22500+56500+30000+30000+30000+50000</f>
        <v>219000</v>
      </c>
    </row>
    <row r="73" spans="1:9" ht="33" customHeight="1" x14ac:dyDescent="0.6">
      <c r="A73" s="3"/>
      <c r="B73" s="26"/>
      <c r="C73" s="4"/>
      <c r="D73" s="3"/>
      <c r="E73" s="24"/>
      <c r="F73" s="4"/>
      <c r="G73" s="9">
        <v>45696</v>
      </c>
      <c r="H73" s="63" t="s">
        <v>265</v>
      </c>
      <c r="I73" s="72">
        <v>230000</v>
      </c>
    </row>
    <row r="74" spans="1:9" ht="33" customHeight="1" x14ac:dyDescent="0.6">
      <c r="A74" s="3"/>
      <c r="B74" s="26"/>
      <c r="C74" s="4"/>
      <c r="D74" s="3"/>
      <c r="E74" s="24"/>
      <c r="F74" s="4"/>
      <c r="G74" s="9">
        <v>45696</v>
      </c>
      <c r="H74" s="63" t="s">
        <v>267</v>
      </c>
      <c r="I74" s="72">
        <v>13000</v>
      </c>
    </row>
    <row r="75" spans="1:9" ht="33" customHeight="1" x14ac:dyDescent="0.6">
      <c r="A75" s="3"/>
      <c r="B75" s="26"/>
      <c r="C75" s="4"/>
      <c r="D75" s="3"/>
      <c r="E75" s="24"/>
      <c r="F75" s="4"/>
      <c r="G75" s="9">
        <v>45696</v>
      </c>
      <c r="H75" s="63" t="s">
        <v>268</v>
      </c>
      <c r="I75" s="72">
        <v>270000</v>
      </c>
    </row>
    <row r="76" spans="1:9" ht="33" customHeight="1" x14ac:dyDescent="0.6">
      <c r="A76" s="3"/>
      <c r="B76" s="26"/>
      <c r="C76" s="4"/>
      <c r="D76" s="3"/>
      <c r="E76" s="24"/>
      <c r="F76" s="4"/>
      <c r="G76" s="9">
        <v>45696</v>
      </c>
      <c r="H76" s="63" t="s">
        <v>269</v>
      </c>
      <c r="I76" s="72">
        <v>10100</v>
      </c>
    </row>
    <row r="77" spans="1:9" ht="33" customHeight="1" x14ac:dyDescent="0.6">
      <c r="A77" s="3"/>
      <c r="B77" s="26"/>
      <c r="C77" s="4"/>
      <c r="D77" s="3"/>
      <c r="E77" s="24"/>
      <c r="F77" s="4"/>
      <c r="G77" s="9">
        <v>45698</v>
      </c>
      <c r="H77" s="63" t="s">
        <v>211</v>
      </c>
      <c r="I77" s="72">
        <v>22000</v>
      </c>
    </row>
    <row r="78" spans="1:9" ht="33" customHeight="1" x14ac:dyDescent="0.6">
      <c r="A78" s="3"/>
      <c r="B78" s="26"/>
      <c r="C78" s="4"/>
      <c r="D78" s="3"/>
      <c r="E78" s="24"/>
      <c r="F78" s="4"/>
      <c r="G78" s="9">
        <v>45698</v>
      </c>
      <c r="H78" s="63" t="s">
        <v>270</v>
      </c>
      <c r="I78" s="72">
        <v>1000</v>
      </c>
    </row>
    <row r="79" spans="1:9" ht="33" customHeight="1" x14ac:dyDescent="0.6">
      <c r="A79" s="3"/>
      <c r="B79" s="26"/>
      <c r="C79" s="4"/>
      <c r="D79" s="3"/>
      <c r="E79" s="24"/>
      <c r="F79" s="4"/>
      <c r="G79" s="9">
        <v>45698</v>
      </c>
      <c r="H79" s="63" t="s">
        <v>271</v>
      </c>
      <c r="I79" s="72">
        <v>800</v>
      </c>
    </row>
    <row r="80" spans="1:9" ht="33" customHeight="1" x14ac:dyDescent="0.6">
      <c r="A80" s="3"/>
      <c r="B80" s="26"/>
      <c r="C80" s="4"/>
      <c r="D80" s="3"/>
      <c r="E80" s="24"/>
      <c r="F80" s="4"/>
      <c r="G80" s="9">
        <v>45698</v>
      </c>
      <c r="H80" s="63" t="s">
        <v>272</v>
      </c>
      <c r="I80" s="72">
        <v>574600</v>
      </c>
    </row>
    <row r="81" spans="1:10" ht="33" customHeight="1" x14ac:dyDescent="0.6">
      <c r="A81" s="3"/>
      <c r="B81" s="26"/>
      <c r="C81" s="4"/>
      <c r="D81" s="3"/>
      <c r="E81" s="24"/>
      <c r="F81" s="4"/>
      <c r="G81" s="9">
        <v>45698</v>
      </c>
      <c r="H81" s="63" t="s">
        <v>204</v>
      </c>
      <c r="I81" s="72">
        <v>5000</v>
      </c>
    </row>
    <row r="82" spans="1:10" ht="33" customHeight="1" x14ac:dyDescent="0.6">
      <c r="A82" s="3"/>
      <c r="B82" s="26"/>
      <c r="C82" s="4"/>
      <c r="D82" s="3"/>
      <c r="E82" s="24"/>
      <c r="F82" s="4"/>
      <c r="G82" s="9">
        <v>45698</v>
      </c>
      <c r="H82" s="63" t="s">
        <v>273</v>
      </c>
      <c r="I82" s="72">
        <v>223715</v>
      </c>
    </row>
    <row r="83" spans="1:10" ht="33" customHeight="1" x14ac:dyDescent="0.6">
      <c r="A83" s="3"/>
      <c r="B83" s="26"/>
      <c r="C83" s="4"/>
      <c r="D83" s="3"/>
      <c r="E83" s="24"/>
      <c r="F83" s="4"/>
      <c r="G83" s="9">
        <v>45698</v>
      </c>
      <c r="H83" s="63" t="s">
        <v>274</v>
      </c>
      <c r="I83" s="72">
        <v>7070</v>
      </c>
    </row>
    <row r="84" spans="1:10" ht="33" customHeight="1" x14ac:dyDescent="0.6">
      <c r="A84" s="3"/>
      <c r="B84" s="26"/>
      <c r="C84" s="4"/>
      <c r="D84" s="3"/>
      <c r="E84" s="24"/>
      <c r="F84" s="4"/>
      <c r="G84" s="9">
        <v>45698</v>
      </c>
      <c r="H84" s="63" t="s">
        <v>275</v>
      </c>
      <c r="I84" s="72">
        <v>20200</v>
      </c>
    </row>
    <row r="85" spans="1:10" ht="33" customHeight="1" x14ac:dyDescent="0.6">
      <c r="A85" s="3"/>
      <c r="B85" s="26"/>
      <c r="C85" s="4"/>
      <c r="D85" s="3"/>
      <c r="E85" s="24"/>
      <c r="F85" s="4"/>
      <c r="G85" s="9">
        <v>45698</v>
      </c>
      <c r="H85" s="63" t="s">
        <v>276</v>
      </c>
      <c r="I85" s="72">
        <v>141400</v>
      </c>
    </row>
    <row r="86" spans="1:10" ht="33" customHeight="1" x14ac:dyDescent="0.6">
      <c r="A86" s="3"/>
      <c r="B86" s="26"/>
      <c r="C86" s="4"/>
      <c r="D86" s="3"/>
      <c r="E86" s="24"/>
      <c r="F86" s="4"/>
      <c r="G86" s="9">
        <v>45698</v>
      </c>
      <c r="H86" s="63" t="s">
        <v>277</v>
      </c>
      <c r="I86" s="72">
        <v>121200</v>
      </c>
    </row>
    <row r="87" spans="1:10" ht="33" customHeight="1" x14ac:dyDescent="0.6">
      <c r="A87" s="3"/>
      <c r="B87" s="26"/>
      <c r="C87" s="4"/>
      <c r="D87" s="3"/>
      <c r="E87" s="24"/>
      <c r="F87" s="4"/>
      <c r="G87" s="9">
        <v>45699</v>
      </c>
      <c r="H87" s="63" t="s">
        <v>279</v>
      </c>
      <c r="I87" s="72">
        <v>5050</v>
      </c>
    </row>
    <row r="88" spans="1:10" ht="33" customHeight="1" x14ac:dyDescent="0.6">
      <c r="A88" s="3"/>
      <c r="B88" s="26"/>
      <c r="C88" s="4"/>
      <c r="D88" s="3"/>
      <c r="E88" s="24"/>
      <c r="F88" s="4"/>
      <c r="G88" s="9">
        <v>45699</v>
      </c>
      <c r="H88" s="63" t="s">
        <v>286</v>
      </c>
      <c r="I88" s="72">
        <v>2000</v>
      </c>
    </row>
    <row r="89" spans="1:10" ht="33" customHeight="1" x14ac:dyDescent="0.6">
      <c r="A89" s="3"/>
      <c r="B89" s="26"/>
      <c r="C89" s="4"/>
      <c r="D89" s="3"/>
      <c r="E89" s="24"/>
      <c r="F89" s="4"/>
      <c r="G89" s="9">
        <v>45699</v>
      </c>
      <c r="H89" s="63" t="s">
        <v>288</v>
      </c>
      <c r="I89" s="72">
        <v>61105</v>
      </c>
    </row>
    <row r="90" spans="1:10" ht="33" customHeight="1" x14ac:dyDescent="0.6">
      <c r="A90" s="3"/>
      <c r="B90" s="26"/>
      <c r="C90" s="4"/>
      <c r="D90" s="3"/>
      <c r="E90" s="24"/>
      <c r="F90" s="4"/>
      <c r="G90" s="9">
        <v>45699</v>
      </c>
      <c r="H90" s="63" t="s">
        <v>287</v>
      </c>
      <c r="I90" s="72">
        <v>60000</v>
      </c>
    </row>
    <row r="91" spans="1:10" ht="33" customHeight="1" x14ac:dyDescent="0.6">
      <c r="A91" s="3"/>
      <c r="B91" s="26"/>
      <c r="C91" s="4"/>
      <c r="D91" s="3"/>
      <c r="E91" s="24"/>
      <c r="F91" s="4"/>
      <c r="G91" s="9">
        <v>45700</v>
      </c>
      <c r="H91" s="63" t="s">
        <v>289</v>
      </c>
      <c r="I91" s="72">
        <v>3030</v>
      </c>
    </row>
    <row r="92" spans="1:10" ht="33" customHeight="1" x14ac:dyDescent="0.6">
      <c r="A92" s="3"/>
      <c r="B92" s="26"/>
      <c r="C92" s="4"/>
      <c r="D92" s="3"/>
      <c r="E92" s="24"/>
      <c r="F92" s="4"/>
      <c r="G92" s="9">
        <v>45700</v>
      </c>
      <c r="H92" s="63" t="s">
        <v>290</v>
      </c>
      <c r="I92" s="72">
        <v>30300</v>
      </c>
    </row>
    <row r="93" spans="1:10" ht="33" customHeight="1" x14ac:dyDescent="0.6">
      <c r="A93" s="3"/>
      <c r="B93" s="26"/>
      <c r="C93" s="4"/>
      <c r="D93" s="3"/>
      <c r="E93" s="24"/>
      <c r="F93" s="4"/>
      <c r="G93" s="9">
        <v>45700</v>
      </c>
      <c r="H93" s="63" t="s">
        <v>291</v>
      </c>
      <c r="I93" s="72">
        <v>60600</v>
      </c>
    </row>
    <row r="94" spans="1:10" ht="33" customHeight="1" x14ac:dyDescent="0.6">
      <c r="A94" s="3"/>
      <c r="B94" s="26"/>
      <c r="C94" s="4"/>
      <c r="D94" s="3"/>
      <c r="E94" s="24"/>
      <c r="F94" s="4"/>
      <c r="G94" s="9">
        <v>45700</v>
      </c>
      <c r="H94" s="63" t="s">
        <v>292</v>
      </c>
      <c r="I94" s="72">
        <v>60600</v>
      </c>
    </row>
    <row r="95" spans="1:10" ht="33" customHeight="1" x14ac:dyDescent="0.6">
      <c r="A95" s="3"/>
      <c r="B95" s="26"/>
      <c r="C95" s="4"/>
      <c r="D95" s="3"/>
      <c r="E95" s="24"/>
      <c r="F95" s="4"/>
      <c r="G95" s="9">
        <v>45700</v>
      </c>
      <c r="H95" s="63" t="s">
        <v>294</v>
      </c>
      <c r="I95" s="72">
        <v>202000</v>
      </c>
    </row>
    <row r="96" spans="1:10" s="79" customFormat="1" ht="33" customHeight="1" x14ac:dyDescent="0.6">
      <c r="A96" s="3"/>
      <c r="B96" s="26"/>
      <c r="C96" s="4"/>
      <c r="D96" s="3"/>
      <c r="E96" s="24"/>
      <c r="F96" s="4"/>
      <c r="G96" s="9">
        <v>45700</v>
      </c>
      <c r="H96" s="63" t="s">
        <v>295</v>
      </c>
      <c r="I96" s="72">
        <v>60000</v>
      </c>
      <c r="J96" s="50"/>
    </row>
    <row r="97" spans="1:9" ht="33" customHeight="1" x14ac:dyDescent="0.6">
      <c r="A97" s="3"/>
      <c r="B97" s="26"/>
      <c r="C97" s="4"/>
      <c r="D97" s="3"/>
      <c r="E97" s="24"/>
      <c r="F97" s="4"/>
      <c r="G97" s="9">
        <v>45700</v>
      </c>
      <c r="H97" s="63" t="s">
        <v>296</v>
      </c>
      <c r="I97" s="72">
        <v>3500</v>
      </c>
    </row>
    <row r="98" spans="1:9" ht="33" customHeight="1" x14ac:dyDescent="0.6">
      <c r="A98" s="3"/>
      <c r="B98" s="26"/>
      <c r="C98" s="4"/>
      <c r="D98" s="3"/>
      <c r="E98" s="24"/>
      <c r="F98" s="4"/>
      <c r="G98" s="9">
        <v>45700</v>
      </c>
      <c r="H98" s="63" t="s">
        <v>298</v>
      </c>
      <c r="I98" s="72">
        <v>82315</v>
      </c>
    </row>
    <row r="99" spans="1:9" ht="33" customHeight="1" x14ac:dyDescent="0.6">
      <c r="A99" s="3"/>
      <c r="B99" s="26"/>
      <c r="C99" s="4"/>
      <c r="D99" s="3"/>
      <c r="E99" s="24"/>
      <c r="F99" s="4"/>
      <c r="G99" s="9">
        <v>45700</v>
      </c>
      <c r="H99" s="63" t="s">
        <v>299</v>
      </c>
      <c r="I99" s="72">
        <v>121200</v>
      </c>
    </row>
    <row r="100" spans="1:9" ht="33" customHeight="1" x14ac:dyDescent="0.6">
      <c r="A100" s="42"/>
      <c r="B100" s="77"/>
      <c r="C100" s="43"/>
      <c r="D100" s="42"/>
      <c r="E100" s="78"/>
      <c r="F100" s="43"/>
      <c r="G100" s="5">
        <v>45700</v>
      </c>
      <c r="H100" s="22" t="s">
        <v>293</v>
      </c>
      <c r="I100" s="83">
        <v>252000</v>
      </c>
    </row>
    <row r="101" spans="1:9" ht="33" customHeight="1" x14ac:dyDescent="0.6">
      <c r="A101" s="3"/>
      <c r="B101" s="26"/>
      <c r="C101" s="4"/>
      <c r="D101" s="3"/>
      <c r="E101" s="24"/>
      <c r="F101" s="4"/>
      <c r="G101" s="9">
        <v>45700</v>
      </c>
      <c r="H101" s="63" t="s">
        <v>297</v>
      </c>
      <c r="I101" s="72">
        <v>10000</v>
      </c>
    </row>
    <row r="102" spans="1:9" ht="33" customHeight="1" x14ac:dyDescent="0.6">
      <c r="A102" s="3"/>
      <c r="B102" s="26"/>
      <c r="C102" s="4"/>
      <c r="D102" s="3"/>
      <c r="E102" s="24"/>
      <c r="F102" s="4"/>
      <c r="G102" s="9">
        <v>45700</v>
      </c>
      <c r="H102" s="63" t="s">
        <v>300</v>
      </c>
      <c r="I102" s="72">
        <v>121200</v>
      </c>
    </row>
    <row r="103" spans="1:9" ht="33" customHeight="1" x14ac:dyDescent="0.6">
      <c r="A103" s="3"/>
      <c r="B103" s="26"/>
      <c r="C103" s="4"/>
      <c r="D103" s="3"/>
      <c r="E103" s="24"/>
      <c r="F103" s="4"/>
      <c r="G103" s="9">
        <v>45700</v>
      </c>
      <c r="H103" s="63" t="s">
        <v>301</v>
      </c>
      <c r="I103" s="72">
        <v>10100</v>
      </c>
    </row>
    <row r="104" spans="1:9" ht="33" customHeight="1" x14ac:dyDescent="0.6">
      <c r="A104" s="3"/>
      <c r="B104" s="26"/>
      <c r="C104" s="4"/>
      <c r="D104" s="3"/>
      <c r="E104" s="24"/>
      <c r="F104" s="4"/>
      <c r="G104" s="9">
        <v>45700</v>
      </c>
      <c r="H104" s="63" t="s">
        <v>303</v>
      </c>
      <c r="I104" s="72">
        <v>7600</v>
      </c>
    </row>
    <row r="105" spans="1:9" ht="33" customHeight="1" x14ac:dyDescent="0.6">
      <c r="A105" s="3"/>
      <c r="B105" s="26"/>
      <c r="C105" s="4"/>
      <c r="D105" s="3"/>
      <c r="E105" s="24"/>
      <c r="F105" s="4"/>
      <c r="G105" s="9">
        <v>45701</v>
      </c>
      <c r="H105" s="63" t="s">
        <v>304</v>
      </c>
      <c r="I105" s="72">
        <v>115544</v>
      </c>
    </row>
    <row r="106" spans="1:9" ht="33" customHeight="1" x14ac:dyDescent="0.6">
      <c r="A106" s="3"/>
      <c r="B106" s="26"/>
      <c r="C106" s="4"/>
      <c r="D106" s="3"/>
      <c r="E106" s="24"/>
      <c r="F106" s="4"/>
      <c r="G106" s="9">
        <v>45701</v>
      </c>
      <c r="H106" s="63" t="s">
        <v>374</v>
      </c>
      <c r="I106" s="72">
        <v>240900</v>
      </c>
    </row>
    <row r="107" spans="1:9" ht="33" customHeight="1" x14ac:dyDescent="0.6">
      <c r="A107" s="3"/>
      <c r="B107" s="26"/>
      <c r="C107" s="4"/>
      <c r="D107" s="3"/>
      <c r="E107" s="24"/>
      <c r="F107" s="4"/>
      <c r="G107" s="9">
        <v>45701</v>
      </c>
      <c r="H107" s="63" t="s">
        <v>305</v>
      </c>
      <c r="I107" s="72">
        <v>36110</v>
      </c>
    </row>
    <row r="108" spans="1:9" ht="33" customHeight="1" x14ac:dyDescent="0.6">
      <c r="A108" s="3"/>
      <c r="B108" s="26"/>
      <c r="C108" s="4"/>
      <c r="D108" s="3"/>
      <c r="E108" s="24"/>
      <c r="F108" s="4"/>
      <c r="G108" s="9">
        <v>45701</v>
      </c>
      <c r="H108" s="63" t="s">
        <v>306</v>
      </c>
      <c r="I108" s="72">
        <v>45450</v>
      </c>
    </row>
    <row r="109" spans="1:9" ht="33" customHeight="1" x14ac:dyDescent="0.6">
      <c r="A109" s="3"/>
      <c r="B109" s="26"/>
      <c r="C109" s="4"/>
      <c r="D109" s="3"/>
      <c r="E109" s="24"/>
      <c r="F109" s="4"/>
      <c r="G109" s="9">
        <v>45701</v>
      </c>
      <c r="H109" s="63" t="s">
        <v>307</v>
      </c>
      <c r="I109" s="72">
        <v>20000</v>
      </c>
    </row>
    <row r="110" spans="1:9" ht="33" customHeight="1" x14ac:dyDescent="0.6">
      <c r="A110" s="3"/>
      <c r="B110" s="26"/>
      <c r="C110" s="4"/>
      <c r="D110" s="3"/>
      <c r="E110" s="24"/>
      <c r="F110" s="4"/>
      <c r="G110" s="9">
        <v>45701</v>
      </c>
      <c r="H110" s="63" t="s">
        <v>308</v>
      </c>
      <c r="I110" s="72">
        <v>15150</v>
      </c>
    </row>
    <row r="111" spans="1:9" ht="33" customHeight="1" x14ac:dyDescent="0.6">
      <c r="A111" s="3"/>
      <c r="B111" s="26"/>
      <c r="C111" s="4"/>
      <c r="D111" s="3"/>
      <c r="E111" s="24"/>
      <c r="F111" s="4"/>
      <c r="G111" s="9">
        <v>45701</v>
      </c>
      <c r="H111" s="63" t="s">
        <v>309</v>
      </c>
      <c r="I111" s="72">
        <v>500</v>
      </c>
    </row>
    <row r="112" spans="1:9" ht="33" customHeight="1" x14ac:dyDescent="0.6">
      <c r="A112" s="3"/>
      <c r="B112" s="26"/>
      <c r="C112" s="4"/>
      <c r="D112" s="3"/>
      <c r="E112" s="24"/>
      <c r="F112" s="4"/>
      <c r="G112" s="9">
        <v>45702</v>
      </c>
      <c r="H112" s="63" t="s">
        <v>310</v>
      </c>
      <c r="I112" s="72">
        <v>4345</v>
      </c>
    </row>
    <row r="113" spans="1:10" ht="33" customHeight="1" x14ac:dyDescent="0.6">
      <c r="A113" s="3"/>
      <c r="B113" s="26"/>
      <c r="C113" s="4"/>
      <c r="D113" s="3"/>
      <c r="E113" s="24"/>
      <c r="F113" s="4"/>
      <c r="G113" s="9">
        <v>45702</v>
      </c>
      <c r="H113" s="63" t="s">
        <v>311</v>
      </c>
      <c r="I113" s="72">
        <v>3000</v>
      </c>
    </row>
    <row r="114" spans="1:10" ht="33" customHeight="1" x14ac:dyDescent="0.6">
      <c r="A114" s="3"/>
      <c r="B114" s="26"/>
      <c r="C114" s="4"/>
      <c r="D114" s="3"/>
      <c r="E114" s="24"/>
      <c r="F114" s="4"/>
      <c r="G114" s="9">
        <v>45702</v>
      </c>
      <c r="H114" s="63" t="s">
        <v>312</v>
      </c>
      <c r="I114" s="72">
        <v>500</v>
      </c>
    </row>
    <row r="115" spans="1:10" ht="33" customHeight="1" x14ac:dyDescent="0.6">
      <c r="A115" s="3"/>
      <c r="B115" s="26"/>
      <c r="C115" s="4"/>
      <c r="D115" s="3"/>
      <c r="E115" s="24"/>
      <c r="F115" s="4"/>
      <c r="G115" s="9">
        <v>45702</v>
      </c>
      <c r="H115" s="63" t="s">
        <v>313</v>
      </c>
      <c r="I115" s="72">
        <v>25500</v>
      </c>
    </row>
    <row r="116" spans="1:10" ht="33" customHeight="1" x14ac:dyDescent="0.6">
      <c r="A116" s="3"/>
      <c r="B116" s="26"/>
      <c r="C116" s="4"/>
      <c r="D116" s="3"/>
      <c r="E116" s="24"/>
      <c r="F116" s="4"/>
      <c r="G116" s="9">
        <v>45702</v>
      </c>
      <c r="H116" s="63" t="s">
        <v>315</v>
      </c>
      <c r="I116" s="72">
        <v>5050</v>
      </c>
    </row>
    <row r="117" spans="1:10" ht="33" customHeight="1" x14ac:dyDescent="0.6">
      <c r="A117" s="3"/>
      <c r="B117" s="26"/>
      <c r="C117" s="4"/>
      <c r="D117" s="3"/>
      <c r="E117" s="24"/>
      <c r="F117" s="4"/>
      <c r="G117" s="9">
        <v>45702</v>
      </c>
      <c r="H117" s="63" t="s">
        <v>314</v>
      </c>
      <c r="I117" s="72">
        <v>2000</v>
      </c>
    </row>
    <row r="118" spans="1:10" ht="33" customHeight="1" x14ac:dyDescent="0.6">
      <c r="A118" s="3"/>
      <c r="B118" s="26"/>
      <c r="C118" s="4"/>
      <c r="D118" s="3"/>
      <c r="E118" s="24"/>
      <c r="F118" s="4"/>
      <c r="G118" s="9">
        <v>45702</v>
      </c>
      <c r="H118" s="63" t="s">
        <v>375</v>
      </c>
      <c r="I118" s="72">
        <v>303000</v>
      </c>
    </row>
    <row r="119" spans="1:10" ht="33" customHeight="1" x14ac:dyDescent="0.6">
      <c r="A119" s="3"/>
      <c r="B119" s="26"/>
      <c r="C119" s="4"/>
      <c r="D119" s="3"/>
      <c r="E119" s="24"/>
      <c r="F119" s="4"/>
      <c r="G119" s="9">
        <v>45702</v>
      </c>
      <c r="H119" s="63" t="s">
        <v>316</v>
      </c>
      <c r="I119" s="72">
        <v>21000</v>
      </c>
    </row>
    <row r="120" spans="1:10" ht="33" customHeight="1" x14ac:dyDescent="0.6">
      <c r="A120" s="3"/>
      <c r="B120" s="26"/>
      <c r="C120" s="4"/>
      <c r="D120" s="3"/>
      <c r="E120" s="24"/>
      <c r="F120" s="4"/>
      <c r="G120" s="9">
        <v>45702</v>
      </c>
      <c r="H120" s="63" t="s">
        <v>317</v>
      </c>
      <c r="I120" s="72">
        <v>17170</v>
      </c>
    </row>
    <row r="121" spans="1:10" ht="33" customHeight="1" x14ac:dyDescent="0.6">
      <c r="A121" s="3"/>
      <c r="B121" s="26"/>
      <c r="C121" s="4"/>
      <c r="D121" s="3"/>
      <c r="E121" s="24"/>
      <c r="F121" s="4"/>
      <c r="G121" s="9">
        <v>45702</v>
      </c>
      <c r="H121" s="63" t="s">
        <v>320</v>
      </c>
      <c r="I121" s="72">
        <v>40400</v>
      </c>
    </row>
    <row r="122" spans="1:10" ht="33" customHeight="1" x14ac:dyDescent="0.6">
      <c r="A122" s="3"/>
      <c r="B122" s="26"/>
      <c r="C122" s="4"/>
      <c r="D122" s="3"/>
      <c r="E122" s="24"/>
      <c r="F122" s="4"/>
      <c r="G122" s="9">
        <v>45703</v>
      </c>
      <c r="H122" s="63" t="s">
        <v>321</v>
      </c>
      <c r="I122" s="72">
        <v>60000</v>
      </c>
    </row>
    <row r="123" spans="1:10" ht="33" customHeight="1" x14ac:dyDescent="0.6">
      <c r="A123" s="3"/>
      <c r="B123" s="26"/>
      <c r="C123" s="4"/>
      <c r="D123" s="3"/>
      <c r="E123" s="24"/>
      <c r="F123" s="4"/>
      <c r="G123" s="9">
        <v>45703</v>
      </c>
      <c r="H123" s="63" t="s">
        <v>315</v>
      </c>
      <c r="I123" s="72">
        <v>5050</v>
      </c>
    </row>
    <row r="124" spans="1:10" ht="33" customHeight="1" x14ac:dyDescent="0.6">
      <c r="A124" s="12"/>
      <c r="B124" s="80"/>
      <c r="C124" s="11"/>
      <c r="D124" s="12"/>
      <c r="E124" s="81"/>
      <c r="F124" s="11"/>
      <c r="G124" s="9">
        <v>45703</v>
      </c>
      <c r="H124" s="63" t="s">
        <v>322</v>
      </c>
      <c r="I124" s="72">
        <v>20200</v>
      </c>
    </row>
    <row r="125" spans="1:10" ht="33" customHeight="1" x14ac:dyDescent="0.6">
      <c r="A125" s="3"/>
      <c r="B125" s="26"/>
      <c r="C125" s="4"/>
      <c r="D125" s="3"/>
      <c r="E125" s="24"/>
      <c r="F125" s="4"/>
      <c r="G125" s="9">
        <v>45703</v>
      </c>
      <c r="H125" s="63" t="s">
        <v>323</v>
      </c>
      <c r="I125" s="72">
        <v>200000</v>
      </c>
    </row>
    <row r="126" spans="1:10" s="82" customFormat="1" ht="33" customHeight="1" x14ac:dyDescent="0.6">
      <c r="A126" s="3"/>
      <c r="B126" s="26"/>
      <c r="C126" s="4"/>
      <c r="D126" s="3"/>
      <c r="E126" s="24"/>
      <c r="F126" s="4"/>
      <c r="G126" s="9">
        <v>45703</v>
      </c>
      <c r="H126" s="63" t="s">
        <v>325</v>
      </c>
      <c r="I126" s="72">
        <v>10000</v>
      </c>
      <c r="J126" s="50"/>
    </row>
    <row r="127" spans="1:10" ht="33" customHeight="1" x14ac:dyDescent="0.6">
      <c r="A127" s="3"/>
      <c r="B127" s="26"/>
      <c r="C127" s="4"/>
      <c r="D127" s="3"/>
      <c r="E127" s="24"/>
      <c r="F127" s="4"/>
      <c r="G127" s="9">
        <v>45703</v>
      </c>
      <c r="H127" s="63" t="s">
        <v>328</v>
      </c>
      <c r="I127" s="72">
        <v>20000</v>
      </c>
    </row>
    <row r="128" spans="1:10" ht="33" customHeight="1" x14ac:dyDescent="0.6">
      <c r="A128" s="3"/>
      <c r="B128" s="26"/>
      <c r="C128" s="4"/>
      <c r="D128" s="3"/>
      <c r="E128" s="24"/>
      <c r="F128" s="4"/>
      <c r="G128" s="9">
        <v>45703</v>
      </c>
      <c r="H128" s="63" t="s">
        <v>329</v>
      </c>
      <c r="I128" s="72">
        <v>15150</v>
      </c>
    </row>
    <row r="129" spans="1:9" ht="33" customHeight="1" x14ac:dyDescent="0.6">
      <c r="A129" s="3"/>
      <c r="B129" s="26"/>
      <c r="C129" s="4"/>
      <c r="D129" s="3"/>
      <c r="E129" s="24"/>
      <c r="F129" s="4"/>
      <c r="G129" s="9">
        <v>45703</v>
      </c>
      <c r="H129" s="63" t="s">
        <v>330</v>
      </c>
      <c r="I129" s="72">
        <v>72215</v>
      </c>
    </row>
    <row r="130" spans="1:9" ht="33" customHeight="1" x14ac:dyDescent="0.6">
      <c r="A130" s="3"/>
      <c r="B130" s="26"/>
      <c r="C130" s="4"/>
      <c r="D130" s="3"/>
      <c r="E130" s="24"/>
      <c r="F130" s="4"/>
      <c r="G130" s="9">
        <v>45704</v>
      </c>
      <c r="H130" s="63" t="s">
        <v>327</v>
      </c>
      <c r="I130" s="72">
        <v>25250</v>
      </c>
    </row>
    <row r="131" spans="1:9" ht="33" customHeight="1" x14ac:dyDescent="0.6">
      <c r="A131" s="3"/>
      <c r="B131" s="26"/>
      <c r="C131" s="4"/>
      <c r="D131" s="3"/>
      <c r="E131" s="24"/>
      <c r="F131" s="4"/>
      <c r="G131" s="9">
        <v>45705</v>
      </c>
      <c r="H131" s="63" t="s">
        <v>331</v>
      </c>
      <c r="I131" s="72">
        <v>205000</v>
      </c>
    </row>
    <row r="132" spans="1:9" ht="33" customHeight="1" x14ac:dyDescent="0.6">
      <c r="A132" s="3"/>
      <c r="B132" s="26"/>
      <c r="C132" s="4"/>
      <c r="D132" s="3"/>
      <c r="E132" s="24"/>
      <c r="F132" s="4"/>
      <c r="G132" s="9">
        <v>45705</v>
      </c>
      <c r="H132" s="63" t="s">
        <v>332</v>
      </c>
      <c r="I132" s="72">
        <v>200000</v>
      </c>
    </row>
    <row r="133" spans="1:9" ht="33" customHeight="1" x14ac:dyDescent="0.6">
      <c r="A133" s="3"/>
      <c r="B133" s="26"/>
      <c r="C133" s="4"/>
      <c r="D133" s="3"/>
      <c r="E133" s="24"/>
      <c r="F133" s="4"/>
      <c r="G133" s="9">
        <v>45705</v>
      </c>
      <c r="H133" s="63" t="s">
        <v>333</v>
      </c>
      <c r="I133" s="72">
        <v>100000</v>
      </c>
    </row>
    <row r="134" spans="1:9" ht="33" customHeight="1" x14ac:dyDescent="0.6">
      <c r="A134" s="3"/>
      <c r="B134" s="26"/>
      <c r="C134" s="4"/>
      <c r="D134" s="3"/>
      <c r="E134" s="24"/>
      <c r="F134" s="4"/>
      <c r="G134" s="9">
        <v>45705</v>
      </c>
      <c r="H134" s="63" t="s">
        <v>334</v>
      </c>
      <c r="I134" s="72">
        <v>5000</v>
      </c>
    </row>
    <row r="135" spans="1:9" ht="33" customHeight="1" x14ac:dyDescent="0.6">
      <c r="A135" s="3"/>
      <c r="B135" s="26"/>
      <c r="C135" s="4"/>
      <c r="D135" s="3"/>
      <c r="E135" s="24"/>
      <c r="F135" s="4"/>
      <c r="G135" s="9">
        <v>45706</v>
      </c>
      <c r="H135" s="63" t="s">
        <v>336</v>
      </c>
      <c r="I135" s="72">
        <v>96000</v>
      </c>
    </row>
    <row r="136" spans="1:9" ht="33" customHeight="1" x14ac:dyDescent="0.6">
      <c r="A136" s="3"/>
      <c r="B136" s="26"/>
      <c r="C136" s="4"/>
      <c r="D136" s="3"/>
      <c r="E136" s="24"/>
      <c r="F136" s="4"/>
      <c r="G136" s="9">
        <v>45706</v>
      </c>
      <c r="H136" s="63" t="s">
        <v>337</v>
      </c>
      <c r="I136" s="72">
        <v>1000</v>
      </c>
    </row>
    <row r="137" spans="1:9" ht="33" customHeight="1" x14ac:dyDescent="0.6">
      <c r="A137" s="3"/>
      <c r="B137" s="26"/>
      <c r="C137" s="4"/>
      <c r="D137" s="3"/>
      <c r="E137" s="24"/>
      <c r="F137" s="4"/>
      <c r="G137" s="9">
        <v>45706</v>
      </c>
      <c r="H137" s="63" t="s">
        <v>338</v>
      </c>
      <c r="I137" s="72">
        <f>18250+500</f>
        <v>18750</v>
      </c>
    </row>
    <row r="138" spans="1:9" ht="33" customHeight="1" x14ac:dyDescent="0.6">
      <c r="A138" s="3"/>
      <c r="B138" s="26"/>
      <c r="C138" s="4"/>
      <c r="D138" s="3"/>
      <c r="E138" s="24"/>
      <c r="F138" s="4"/>
      <c r="G138" s="9">
        <v>45706</v>
      </c>
      <c r="H138" s="63" t="s">
        <v>339</v>
      </c>
      <c r="I138" s="72">
        <v>26750</v>
      </c>
    </row>
    <row r="139" spans="1:9" ht="33" customHeight="1" x14ac:dyDescent="0.6">
      <c r="A139" s="3"/>
      <c r="B139" s="26"/>
      <c r="C139" s="4"/>
      <c r="D139" s="3"/>
      <c r="E139" s="24"/>
      <c r="F139" s="4"/>
      <c r="G139" s="9">
        <v>45706</v>
      </c>
      <c r="H139" s="63" t="s">
        <v>342</v>
      </c>
      <c r="I139" s="72">
        <v>41160</v>
      </c>
    </row>
    <row r="140" spans="1:9" ht="33" customHeight="1" x14ac:dyDescent="0.6">
      <c r="A140" s="3"/>
      <c r="B140" s="26"/>
      <c r="C140" s="4"/>
      <c r="D140" s="3"/>
      <c r="E140" s="24"/>
      <c r="F140" s="4"/>
      <c r="G140" s="9">
        <v>45706</v>
      </c>
      <c r="H140" s="63" t="s">
        <v>343</v>
      </c>
      <c r="I140" s="72">
        <v>484800</v>
      </c>
    </row>
    <row r="141" spans="1:9" ht="33" customHeight="1" x14ac:dyDescent="0.6">
      <c r="A141" s="3"/>
      <c r="B141" s="26"/>
      <c r="C141" s="4"/>
      <c r="D141" s="3"/>
      <c r="E141" s="24"/>
      <c r="F141" s="4"/>
      <c r="G141" s="9">
        <v>45706</v>
      </c>
      <c r="H141" s="63" t="s">
        <v>341</v>
      </c>
      <c r="I141" s="72">
        <v>20000</v>
      </c>
    </row>
    <row r="142" spans="1:9" ht="33" customHeight="1" x14ac:dyDescent="0.6">
      <c r="A142" s="3"/>
      <c r="B142" s="26"/>
      <c r="C142" s="4"/>
      <c r="D142" s="3"/>
      <c r="E142" s="24"/>
      <c r="F142" s="4"/>
      <c r="G142" s="9">
        <v>45706</v>
      </c>
      <c r="H142" s="63" t="s">
        <v>345</v>
      </c>
      <c r="I142" s="72">
        <v>10100</v>
      </c>
    </row>
    <row r="143" spans="1:9" ht="33" customHeight="1" x14ac:dyDescent="0.6">
      <c r="A143" s="3"/>
      <c r="B143" s="26"/>
      <c r="C143" s="4"/>
      <c r="D143" s="3"/>
      <c r="E143" s="24"/>
      <c r="F143" s="4"/>
      <c r="G143" s="9">
        <v>45707</v>
      </c>
      <c r="H143" s="63" t="s">
        <v>354</v>
      </c>
      <c r="I143" s="72">
        <v>7070</v>
      </c>
    </row>
    <row r="144" spans="1:9" ht="33" customHeight="1" x14ac:dyDescent="0.6">
      <c r="A144" s="3"/>
      <c r="B144" s="26"/>
      <c r="C144" s="4"/>
      <c r="D144" s="3"/>
      <c r="E144" s="24"/>
      <c r="F144" s="4"/>
      <c r="G144" s="9">
        <v>45707</v>
      </c>
      <c r="H144" s="63" t="s">
        <v>346</v>
      </c>
      <c r="I144" s="72">
        <v>3900</v>
      </c>
    </row>
    <row r="145" spans="1:9" ht="33" customHeight="1" x14ac:dyDescent="0.6">
      <c r="A145" s="3"/>
      <c r="B145" s="26"/>
      <c r="C145" s="4"/>
      <c r="D145" s="3"/>
      <c r="E145" s="24"/>
      <c r="F145" s="4"/>
      <c r="G145" s="9">
        <v>45707</v>
      </c>
      <c r="H145" s="63" t="s">
        <v>347</v>
      </c>
      <c r="I145" s="72">
        <v>100000</v>
      </c>
    </row>
    <row r="146" spans="1:9" ht="33" customHeight="1" x14ac:dyDescent="0.6">
      <c r="A146" s="3"/>
      <c r="B146" s="26"/>
      <c r="C146" s="4"/>
      <c r="D146" s="3"/>
      <c r="E146" s="24"/>
      <c r="F146" s="4"/>
      <c r="G146" s="9">
        <v>45707</v>
      </c>
      <c r="H146" s="63" t="s">
        <v>348</v>
      </c>
      <c r="I146" s="72">
        <v>2325</v>
      </c>
    </row>
    <row r="147" spans="1:9" ht="33" customHeight="1" x14ac:dyDescent="0.6">
      <c r="A147" s="3"/>
      <c r="B147" s="26"/>
      <c r="C147" s="4"/>
      <c r="D147" s="3"/>
      <c r="E147" s="24"/>
      <c r="F147" s="4"/>
      <c r="G147" s="9">
        <v>45707</v>
      </c>
      <c r="H147" s="63" t="s">
        <v>350</v>
      </c>
      <c r="I147" s="72">
        <v>3030</v>
      </c>
    </row>
    <row r="148" spans="1:9" ht="33" customHeight="1" x14ac:dyDescent="0.6">
      <c r="A148" s="3"/>
      <c r="B148" s="26"/>
      <c r="C148" s="4"/>
      <c r="D148" s="3"/>
      <c r="E148" s="24"/>
      <c r="F148" s="4"/>
      <c r="G148" s="9">
        <v>45707</v>
      </c>
      <c r="H148" s="63" t="s">
        <v>351</v>
      </c>
      <c r="I148" s="72">
        <v>36110</v>
      </c>
    </row>
    <row r="149" spans="1:9" ht="33" customHeight="1" x14ac:dyDescent="0.6">
      <c r="A149" s="3"/>
      <c r="B149" s="26"/>
      <c r="C149" s="4"/>
      <c r="D149" s="3"/>
      <c r="E149" s="24"/>
      <c r="F149" s="4"/>
      <c r="G149" s="9">
        <v>45707</v>
      </c>
      <c r="H149" s="63" t="s">
        <v>352</v>
      </c>
      <c r="I149" s="72">
        <v>9090</v>
      </c>
    </row>
    <row r="150" spans="1:9" ht="33" customHeight="1" x14ac:dyDescent="0.6">
      <c r="A150" s="3"/>
      <c r="B150" s="26"/>
      <c r="C150" s="4"/>
      <c r="D150" s="3"/>
      <c r="E150" s="24"/>
      <c r="F150" s="4"/>
      <c r="G150" s="9">
        <v>45707</v>
      </c>
      <c r="H150" s="63" t="s">
        <v>353</v>
      </c>
      <c r="I150" s="72">
        <v>2000</v>
      </c>
    </row>
    <row r="151" spans="1:9" ht="33" customHeight="1" x14ac:dyDescent="0.6">
      <c r="A151" s="3"/>
      <c r="B151" s="26"/>
      <c r="C151" s="4"/>
      <c r="D151" s="3"/>
      <c r="E151" s="24"/>
      <c r="F151" s="4"/>
      <c r="G151" s="9">
        <v>45707</v>
      </c>
      <c r="H151" s="63" t="s">
        <v>21</v>
      </c>
      <c r="I151" s="72">
        <v>10000</v>
      </c>
    </row>
    <row r="152" spans="1:9" ht="33" customHeight="1" x14ac:dyDescent="0.6">
      <c r="A152" s="3"/>
      <c r="B152" s="26"/>
      <c r="C152" s="4"/>
      <c r="D152" s="3"/>
      <c r="E152" s="24"/>
      <c r="F152" s="4"/>
      <c r="G152" s="9">
        <v>45707</v>
      </c>
      <c r="H152" s="63" t="s">
        <v>356</v>
      </c>
      <c r="I152" s="72">
        <v>4040</v>
      </c>
    </row>
    <row r="153" spans="1:9" ht="33" customHeight="1" x14ac:dyDescent="0.6">
      <c r="A153" s="3"/>
      <c r="B153" s="26"/>
      <c r="C153" s="4"/>
      <c r="D153" s="3"/>
      <c r="E153" s="24"/>
      <c r="F153" s="4"/>
      <c r="G153" s="9">
        <v>45707</v>
      </c>
      <c r="H153" s="63" t="s">
        <v>360</v>
      </c>
      <c r="I153" s="72">
        <v>50500</v>
      </c>
    </row>
    <row r="154" spans="1:9" ht="33" customHeight="1" x14ac:dyDescent="0.6">
      <c r="A154" s="3"/>
      <c r="B154" s="26"/>
      <c r="C154" s="4"/>
      <c r="D154" s="3"/>
      <c r="E154" s="24"/>
      <c r="F154" s="4"/>
      <c r="G154" s="9">
        <v>45707</v>
      </c>
      <c r="H154" s="63" t="s">
        <v>359</v>
      </c>
      <c r="I154" s="72">
        <v>101000</v>
      </c>
    </row>
    <row r="155" spans="1:9" ht="33" customHeight="1" x14ac:dyDescent="0.6">
      <c r="A155" s="3"/>
      <c r="B155" s="26"/>
      <c r="C155" s="4"/>
      <c r="D155" s="3"/>
      <c r="E155" s="24"/>
      <c r="F155" s="4"/>
      <c r="G155" s="9">
        <v>45707</v>
      </c>
      <c r="H155" s="63" t="s">
        <v>361</v>
      </c>
      <c r="I155" s="72">
        <v>19420</v>
      </c>
    </row>
    <row r="156" spans="1:9" ht="33" customHeight="1" x14ac:dyDescent="0.6">
      <c r="A156" s="3"/>
      <c r="B156" s="26"/>
      <c r="C156" s="4"/>
      <c r="D156" s="3"/>
      <c r="E156" s="24"/>
      <c r="F156" s="4"/>
      <c r="G156" s="9">
        <v>45707</v>
      </c>
      <c r="H156" s="63" t="s">
        <v>362</v>
      </c>
      <c r="I156" s="72">
        <f>5050+72215</f>
        <v>77265</v>
      </c>
    </row>
    <row r="157" spans="1:9" ht="33" customHeight="1" x14ac:dyDescent="0.6">
      <c r="A157" s="3"/>
      <c r="B157" s="26"/>
      <c r="C157" s="4"/>
      <c r="D157" s="3"/>
      <c r="E157" s="24"/>
      <c r="F157" s="4"/>
      <c r="G157" s="9">
        <v>45708</v>
      </c>
      <c r="H157" s="63" t="s">
        <v>357</v>
      </c>
      <c r="I157" s="72">
        <v>5050</v>
      </c>
    </row>
    <row r="158" spans="1:9" ht="33" customHeight="1" x14ac:dyDescent="0.6">
      <c r="A158" s="3"/>
      <c r="B158" s="26"/>
      <c r="C158" s="4"/>
      <c r="D158" s="3"/>
      <c r="E158" s="24"/>
      <c r="F158" s="4"/>
      <c r="G158" s="9">
        <v>45708</v>
      </c>
      <c r="H158" s="63" t="s">
        <v>363</v>
      </c>
      <c r="I158" s="72">
        <v>2000</v>
      </c>
    </row>
    <row r="159" spans="1:9" ht="33" customHeight="1" x14ac:dyDescent="0.6">
      <c r="A159" s="3"/>
      <c r="B159" s="26"/>
      <c r="C159" s="4"/>
      <c r="D159" s="3"/>
      <c r="E159" s="24"/>
      <c r="F159" s="4"/>
      <c r="G159" s="9">
        <v>45708</v>
      </c>
      <c r="H159" s="63" t="s">
        <v>411</v>
      </c>
      <c r="I159" s="72">
        <f>132500+1325</f>
        <v>133825</v>
      </c>
    </row>
    <row r="160" spans="1:9" ht="33" customHeight="1" x14ac:dyDescent="0.6">
      <c r="A160" s="3"/>
      <c r="B160" s="26"/>
      <c r="C160" s="4"/>
      <c r="D160" s="3"/>
      <c r="E160" s="24"/>
      <c r="F160" s="4"/>
      <c r="G160" s="9">
        <v>45709</v>
      </c>
      <c r="H160" s="63" t="s">
        <v>364</v>
      </c>
      <c r="I160" s="72">
        <v>600</v>
      </c>
    </row>
    <row r="161" spans="1:9" ht="33" customHeight="1" x14ac:dyDescent="0.6">
      <c r="A161" s="3"/>
      <c r="B161" s="26"/>
      <c r="C161" s="4"/>
      <c r="D161" s="3"/>
      <c r="E161" s="24"/>
      <c r="F161" s="4"/>
      <c r="G161" s="9">
        <v>45709</v>
      </c>
      <c r="H161" s="63" t="s">
        <v>365</v>
      </c>
      <c r="I161" s="72">
        <v>70700</v>
      </c>
    </row>
    <row r="162" spans="1:9" ht="33" customHeight="1" x14ac:dyDescent="0.6">
      <c r="A162" s="3"/>
      <c r="B162" s="26"/>
      <c r="C162" s="4"/>
      <c r="D162" s="3"/>
      <c r="E162" s="24"/>
      <c r="F162" s="4"/>
      <c r="G162" s="9">
        <v>45709</v>
      </c>
      <c r="H162" s="63" t="s">
        <v>368</v>
      </c>
      <c r="I162" s="72">
        <v>60000</v>
      </c>
    </row>
    <row r="163" spans="1:9" ht="33" customHeight="1" x14ac:dyDescent="0.6">
      <c r="A163" s="3"/>
      <c r="B163" s="26"/>
      <c r="C163" s="4"/>
      <c r="D163" s="3"/>
      <c r="E163" s="24"/>
      <c r="F163" s="4"/>
      <c r="G163" s="9">
        <v>45709</v>
      </c>
      <c r="H163" s="63" t="s">
        <v>369</v>
      </c>
      <c r="I163" s="72">
        <v>600</v>
      </c>
    </row>
    <row r="164" spans="1:9" ht="33" customHeight="1" x14ac:dyDescent="0.6">
      <c r="A164" s="3"/>
      <c r="B164" s="26"/>
      <c r="C164" s="4"/>
      <c r="D164" s="3"/>
      <c r="E164" s="24"/>
      <c r="F164" s="4"/>
      <c r="G164" s="9">
        <v>45709</v>
      </c>
      <c r="H164" s="63" t="s">
        <v>316</v>
      </c>
      <c r="I164" s="72">
        <v>22000</v>
      </c>
    </row>
    <row r="165" spans="1:9" ht="33" customHeight="1" x14ac:dyDescent="0.6">
      <c r="A165" s="3"/>
      <c r="B165" s="26"/>
      <c r="C165" s="4"/>
      <c r="D165" s="3"/>
      <c r="E165" s="24"/>
      <c r="F165" s="4"/>
      <c r="G165" s="9">
        <v>45709</v>
      </c>
      <c r="H165" s="63" t="s">
        <v>377</v>
      </c>
      <c r="I165" s="72">
        <v>5400</v>
      </c>
    </row>
    <row r="166" spans="1:9" ht="33" customHeight="1" x14ac:dyDescent="0.6">
      <c r="A166" s="3"/>
      <c r="B166" s="26"/>
      <c r="C166" s="4"/>
      <c r="D166" s="3"/>
      <c r="E166" s="24"/>
      <c r="F166" s="4"/>
      <c r="G166" s="9">
        <v>45709</v>
      </c>
      <c r="H166" s="63" t="s">
        <v>383</v>
      </c>
      <c r="I166" s="72">
        <v>72215</v>
      </c>
    </row>
    <row r="167" spans="1:9" ht="33" customHeight="1" x14ac:dyDescent="0.6">
      <c r="A167" s="3"/>
      <c r="B167" s="26"/>
      <c r="C167" s="4"/>
      <c r="D167" s="3"/>
      <c r="E167" s="24"/>
      <c r="F167" s="4"/>
      <c r="G167" s="9">
        <v>45710</v>
      </c>
      <c r="H167" s="63" t="s">
        <v>365</v>
      </c>
      <c r="I167" s="72">
        <v>36110</v>
      </c>
    </row>
    <row r="168" spans="1:9" ht="33" customHeight="1" x14ac:dyDescent="0.6">
      <c r="A168" s="3"/>
      <c r="B168" s="26"/>
      <c r="C168" s="4"/>
      <c r="D168" s="3"/>
      <c r="E168" s="24"/>
      <c r="F168" s="4"/>
      <c r="G168" s="9">
        <v>45710</v>
      </c>
      <c r="H168" s="63" t="s">
        <v>370</v>
      </c>
      <c r="I168" s="72">
        <v>37875</v>
      </c>
    </row>
    <row r="169" spans="1:9" ht="33" customHeight="1" x14ac:dyDescent="0.6">
      <c r="A169" s="3"/>
      <c r="B169" s="26"/>
      <c r="C169" s="4"/>
      <c r="D169" s="3"/>
      <c r="E169" s="24"/>
      <c r="F169" s="4"/>
      <c r="G169" s="9">
        <v>45710</v>
      </c>
      <c r="H169" s="63" t="s">
        <v>11</v>
      </c>
      <c r="I169" s="72">
        <v>500</v>
      </c>
    </row>
    <row r="170" spans="1:9" ht="33" customHeight="1" x14ac:dyDescent="0.6">
      <c r="A170" s="3"/>
      <c r="B170" s="26"/>
      <c r="C170" s="4"/>
      <c r="D170" s="3"/>
      <c r="E170" s="24"/>
      <c r="F170" s="4"/>
      <c r="G170" s="9">
        <v>45710</v>
      </c>
      <c r="H170" s="63" t="s">
        <v>373</v>
      </c>
      <c r="I170" s="72">
        <v>55045</v>
      </c>
    </row>
    <row r="171" spans="1:9" ht="33" customHeight="1" x14ac:dyDescent="0.6">
      <c r="A171" s="3"/>
      <c r="B171" s="26"/>
      <c r="C171" s="4"/>
      <c r="D171" s="3"/>
      <c r="E171" s="24"/>
      <c r="F171" s="4"/>
      <c r="G171" s="9">
        <v>45710</v>
      </c>
      <c r="H171" s="63" t="s">
        <v>16</v>
      </c>
      <c r="I171" s="72">
        <v>26000</v>
      </c>
    </row>
    <row r="172" spans="1:9" ht="33" customHeight="1" x14ac:dyDescent="0.6">
      <c r="A172" s="3"/>
      <c r="B172" s="26"/>
      <c r="C172" s="4"/>
      <c r="D172" s="3"/>
      <c r="E172" s="24"/>
      <c r="F172" s="4"/>
      <c r="G172" s="9">
        <v>45712</v>
      </c>
      <c r="H172" s="63" t="s">
        <v>134</v>
      </c>
      <c r="I172" s="72">
        <v>76000</v>
      </c>
    </row>
    <row r="173" spans="1:9" ht="33" customHeight="1" x14ac:dyDescent="0.6">
      <c r="A173" s="3"/>
      <c r="B173" s="26"/>
      <c r="C173" s="4"/>
      <c r="D173" s="3"/>
      <c r="E173" s="24"/>
      <c r="F173" s="4"/>
      <c r="G173" s="9">
        <v>45712</v>
      </c>
      <c r="H173" s="63" t="s">
        <v>378</v>
      </c>
      <c r="I173" s="72">
        <v>392000</v>
      </c>
    </row>
    <row r="174" spans="1:9" ht="33" customHeight="1" x14ac:dyDescent="0.6">
      <c r="A174" s="3"/>
      <c r="B174" s="26"/>
      <c r="C174" s="4"/>
      <c r="D174" s="3"/>
      <c r="E174" s="24"/>
      <c r="F174" s="4"/>
      <c r="G174" s="9">
        <v>45712</v>
      </c>
      <c r="H174" s="63" t="s">
        <v>379</v>
      </c>
      <c r="I174" s="72">
        <v>14500</v>
      </c>
    </row>
    <row r="175" spans="1:9" ht="33" customHeight="1" x14ac:dyDescent="0.6">
      <c r="A175" s="3"/>
      <c r="B175" s="26"/>
      <c r="C175" s="4"/>
      <c r="D175" s="3"/>
      <c r="E175" s="24"/>
      <c r="F175" s="4"/>
      <c r="G175" s="9">
        <v>45712</v>
      </c>
      <c r="H175" s="63" t="s">
        <v>380</v>
      </c>
      <c r="I175" s="72">
        <v>72000</v>
      </c>
    </row>
    <row r="176" spans="1:9" ht="33" customHeight="1" x14ac:dyDescent="0.6">
      <c r="A176" s="3"/>
      <c r="B176" s="26"/>
      <c r="C176" s="4"/>
      <c r="D176" s="3"/>
      <c r="E176" s="24"/>
      <c r="F176" s="4"/>
      <c r="G176" s="9">
        <v>45712</v>
      </c>
      <c r="H176" s="63" t="s">
        <v>382</v>
      </c>
      <c r="I176" s="72">
        <v>5000</v>
      </c>
    </row>
    <row r="177" spans="1:9" ht="33" customHeight="1" x14ac:dyDescent="0.6">
      <c r="A177" s="3"/>
      <c r="B177" s="26"/>
      <c r="C177" s="4"/>
      <c r="D177" s="3"/>
      <c r="E177" s="24"/>
      <c r="F177" s="4"/>
      <c r="G177" s="9">
        <v>45713</v>
      </c>
      <c r="H177" s="63" t="s">
        <v>382</v>
      </c>
      <c r="I177" s="72">
        <v>2500</v>
      </c>
    </row>
    <row r="178" spans="1:9" ht="33" customHeight="1" x14ac:dyDescent="0.6">
      <c r="A178" s="3"/>
      <c r="B178" s="26"/>
      <c r="C178" s="4"/>
      <c r="D178" s="3"/>
      <c r="E178" s="24"/>
      <c r="F178" s="4"/>
      <c r="G178" s="9">
        <v>45713</v>
      </c>
      <c r="H178" s="63" t="s">
        <v>384</v>
      </c>
      <c r="I178" s="72">
        <v>10000</v>
      </c>
    </row>
    <row r="179" spans="1:9" ht="33" customHeight="1" x14ac:dyDescent="0.6">
      <c r="A179" s="3"/>
      <c r="B179" s="26"/>
      <c r="C179" s="4"/>
      <c r="D179" s="3"/>
      <c r="E179" s="24"/>
      <c r="F179" s="4"/>
      <c r="G179" s="9">
        <v>45713</v>
      </c>
      <c r="H179" s="63" t="s">
        <v>385</v>
      </c>
      <c r="I179" s="72">
        <v>1464500</v>
      </c>
    </row>
    <row r="180" spans="1:9" ht="33" customHeight="1" x14ac:dyDescent="0.6">
      <c r="A180" s="3"/>
      <c r="B180" s="26"/>
      <c r="C180" s="4"/>
      <c r="D180" s="3"/>
      <c r="E180" s="24"/>
      <c r="F180" s="4"/>
      <c r="G180" s="9">
        <v>45713</v>
      </c>
      <c r="H180" s="63" t="s">
        <v>387</v>
      </c>
      <c r="I180" s="72">
        <v>50500</v>
      </c>
    </row>
    <row r="181" spans="1:9" ht="33" customHeight="1" x14ac:dyDescent="0.6">
      <c r="A181" s="3"/>
      <c r="B181" s="26"/>
      <c r="C181" s="4"/>
      <c r="D181" s="3"/>
      <c r="E181" s="24"/>
      <c r="F181" s="4"/>
      <c r="G181" s="9">
        <v>45713</v>
      </c>
      <c r="H181" s="63" t="s">
        <v>388</v>
      </c>
      <c r="I181" s="72">
        <v>20000</v>
      </c>
    </row>
    <row r="182" spans="1:9" ht="33" customHeight="1" x14ac:dyDescent="0.6">
      <c r="A182" s="3"/>
      <c r="B182" s="26"/>
      <c r="C182" s="4"/>
      <c r="D182" s="3"/>
      <c r="E182" s="24"/>
      <c r="F182" s="4"/>
      <c r="G182" s="9">
        <v>45713</v>
      </c>
      <c r="H182" s="63" t="s">
        <v>389</v>
      </c>
      <c r="I182" s="72">
        <v>4000</v>
      </c>
    </row>
    <row r="183" spans="1:9" ht="33" customHeight="1" x14ac:dyDescent="0.6">
      <c r="A183" s="3"/>
      <c r="B183" s="26"/>
      <c r="C183" s="4"/>
      <c r="D183" s="3"/>
      <c r="E183" s="24"/>
      <c r="F183" s="4"/>
      <c r="G183" s="9">
        <v>45714</v>
      </c>
      <c r="H183" s="63" t="s">
        <v>390</v>
      </c>
      <c r="I183" s="72">
        <v>10100</v>
      </c>
    </row>
    <row r="184" spans="1:9" ht="33" customHeight="1" x14ac:dyDescent="0.6">
      <c r="A184" s="3"/>
      <c r="B184" s="26"/>
      <c r="C184" s="4"/>
      <c r="D184" s="3"/>
      <c r="E184" s="24"/>
      <c r="F184" s="4"/>
      <c r="G184" s="9">
        <v>45714</v>
      </c>
      <c r="H184" s="63" t="s">
        <v>392</v>
      </c>
      <c r="I184" s="72">
        <v>30300</v>
      </c>
    </row>
    <row r="185" spans="1:9" ht="33" customHeight="1" x14ac:dyDescent="0.6">
      <c r="A185" s="3"/>
      <c r="B185" s="26"/>
      <c r="C185" s="4"/>
      <c r="D185" s="3"/>
      <c r="E185" s="24"/>
      <c r="F185" s="4"/>
      <c r="G185" s="9">
        <v>45714</v>
      </c>
      <c r="H185" s="63" t="s">
        <v>413</v>
      </c>
      <c r="I185" s="72">
        <v>6000</v>
      </c>
    </row>
    <row r="186" spans="1:9" ht="33" customHeight="1" x14ac:dyDescent="0.6">
      <c r="A186" s="3"/>
      <c r="B186" s="26"/>
      <c r="C186" s="4"/>
      <c r="D186" s="3"/>
      <c r="E186" s="24"/>
      <c r="F186" s="4"/>
      <c r="G186" s="9">
        <v>45714</v>
      </c>
      <c r="H186" s="63" t="s">
        <v>393</v>
      </c>
      <c r="I186" s="72">
        <v>19190</v>
      </c>
    </row>
    <row r="187" spans="1:9" ht="33" customHeight="1" x14ac:dyDescent="0.6">
      <c r="A187" s="3"/>
      <c r="B187" s="26"/>
      <c r="C187" s="4"/>
      <c r="D187" s="3"/>
      <c r="E187" s="24"/>
      <c r="F187" s="4"/>
      <c r="G187" s="9">
        <v>45715</v>
      </c>
      <c r="H187" s="63" t="s">
        <v>394</v>
      </c>
      <c r="I187" s="72">
        <v>72215</v>
      </c>
    </row>
    <row r="188" spans="1:9" ht="33" customHeight="1" x14ac:dyDescent="0.6">
      <c r="A188" s="3"/>
      <c r="B188" s="26"/>
      <c r="C188" s="4"/>
      <c r="D188" s="3"/>
      <c r="E188" s="24"/>
      <c r="F188" s="4"/>
      <c r="G188" s="9">
        <v>45715</v>
      </c>
      <c r="H188" s="63" t="s">
        <v>395</v>
      </c>
      <c r="I188" s="72">
        <v>2000</v>
      </c>
    </row>
    <row r="189" spans="1:9" ht="33" customHeight="1" x14ac:dyDescent="0.6">
      <c r="A189" s="3"/>
      <c r="B189" s="26"/>
      <c r="C189" s="4"/>
      <c r="D189" s="3"/>
      <c r="E189" s="24"/>
      <c r="F189" s="4"/>
      <c r="G189" s="9">
        <v>45715</v>
      </c>
      <c r="H189" s="63" t="s">
        <v>409</v>
      </c>
      <c r="I189" s="72">
        <v>151500</v>
      </c>
    </row>
    <row r="190" spans="1:9" ht="33" customHeight="1" x14ac:dyDescent="0.6">
      <c r="A190" s="3"/>
      <c r="B190" s="26"/>
      <c r="C190" s="4"/>
      <c r="D190" s="3"/>
      <c r="E190" s="24"/>
      <c r="F190" s="4"/>
      <c r="G190" s="9">
        <v>45716</v>
      </c>
      <c r="H190" s="63" t="s">
        <v>398</v>
      </c>
      <c r="I190" s="72">
        <v>35000</v>
      </c>
    </row>
    <row r="191" spans="1:9" ht="33" customHeight="1" x14ac:dyDescent="0.6">
      <c r="A191" s="3"/>
      <c r="B191" s="26"/>
      <c r="C191" s="4"/>
      <c r="D191" s="3"/>
      <c r="E191" s="24"/>
      <c r="F191" s="4"/>
      <c r="G191" s="9">
        <v>45716</v>
      </c>
      <c r="H191" s="63" t="s">
        <v>400</v>
      </c>
      <c r="I191" s="72">
        <v>10100</v>
      </c>
    </row>
    <row r="192" spans="1:9" ht="33" customHeight="1" x14ac:dyDescent="0.6">
      <c r="A192" s="3"/>
      <c r="B192" s="26"/>
      <c r="C192" s="4"/>
      <c r="D192" s="3"/>
      <c r="E192" s="24"/>
      <c r="F192" s="4"/>
      <c r="G192" s="9">
        <v>45716</v>
      </c>
      <c r="H192" s="63" t="s">
        <v>401</v>
      </c>
      <c r="I192" s="72">
        <v>20200</v>
      </c>
    </row>
    <row r="193" spans="1:10" ht="33" customHeight="1" x14ac:dyDescent="0.6">
      <c r="A193" s="3"/>
      <c r="B193" s="26"/>
      <c r="C193" s="4"/>
      <c r="D193" s="3"/>
      <c r="E193" s="24"/>
      <c r="F193" s="4"/>
      <c r="G193" s="9">
        <v>45716</v>
      </c>
      <c r="H193" s="63" t="s">
        <v>402</v>
      </c>
      <c r="I193" s="72">
        <v>136350</v>
      </c>
    </row>
    <row r="194" spans="1:10" ht="33" customHeight="1" x14ac:dyDescent="0.6">
      <c r="A194" s="3"/>
      <c r="B194" s="26"/>
      <c r="C194" s="4"/>
      <c r="D194" s="3"/>
      <c r="E194" s="24"/>
      <c r="F194" s="4"/>
      <c r="G194" s="9">
        <v>45716</v>
      </c>
      <c r="H194" s="63" t="s">
        <v>403</v>
      </c>
      <c r="I194" s="72">
        <v>40400</v>
      </c>
    </row>
    <row r="195" spans="1:10" ht="33" customHeight="1" x14ac:dyDescent="0.6">
      <c r="A195" s="3"/>
      <c r="B195" s="26"/>
      <c r="C195" s="4"/>
      <c r="D195" s="3"/>
      <c r="E195" s="24"/>
      <c r="F195" s="4"/>
      <c r="G195" s="9">
        <v>45716</v>
      </c>
      <c r="H195" s="63" t="s">
        <v>404</v>
      </c>
      <c r="I195" s="72">
        <v>4000</v>
      </c>
    </row>
    <row r="196" spans="1:10" ht="33" customHeight="1" x14ac:dyDescent="0.6">
      <c r="A196" s="3"/>
      <c r="B196" s="26"/>
      <c r="C196" s="4"/>
      <c r="D196" s="3"/>
      <c r="E196" s="24"/>
      <c r="F196" s="4"/>
      <c r="G196" s="9">
        <v>45716</v>
      </c>
      <c r="H196" s="63" t="s">
        <v>405</v>
      </c>
      <c r="I196" s="72">
        <v>5000</v>
      </c>
    </row>
    <row r="197" spans="1:10" ht="33" customHeight="1" x14ac:dyDescent="0.6">
      <c r="A197" s="3"/>
      <c r="B197" s="26"/>
      <c r="C197" s="4"/>
      <c r="D197" s="3"/>
      <c r="E197" s="24"/>
      <c r="F197" s="4"/>
      <c r="G197" s="9">
        <v>45716</v>
      </c>
      <c r="H197" s="63" t="s">
        <v>408</v>
      </c>
      <c r="I197" s="72">
        <v>20200</v>
      </c>
    </row>
    <row r="198" spans="1:10" ht="33" customHeight="1" x14ac:dyDescent="0.6">
      <c r="A198" s="3"/>
      <c r="B198" s="26"/>
      <c r="C198" s="4"/>
      <c r="D198" s="3"/>
      <c r="E198" s="24"/>
      <c r="F198" s="4"/>
      <c r="G198" s="9"/>
      <c r="H198" s="63"/>
      <c r="I198" s="72"/>
    </row>
    <row r="199" spans="1:10" ht="33" customHeight="1" x14ac:dyDescent="0.6">
      <c r="A199" s="3"/>
      <c r="B199" s="26"/>
      <c r="C199" s="4"/>
      <c r="D199" s="34"/>
      <c r="E199" s="35"/>
      <c r="F199" s="36"/>
      <c r="G199" s="12"/>
      <c r="H199" s="38"/>
      <c r="I199" s="72"/>
    </row>
    <row r="200" spans="1:10" ht="33" customHeight="1" x14ac:dyDescent="0.6">
      <c r="A200" s="568" t="s">
        <v>7</v>
      </c>
      <c r="B200" s="569"/>
      <c r="C200" s="20">
        <f>SUM(C4:C199)</f>
        <v>31677260</v>
      </c>
      <c r="D200" s="570" t="s">
        <v>7</v>
      </c>
      <c r="E200" s="571"/>
      <c r="F200" s="20">
        <f>SUM(F4:F199)</f>
        <v>12809140</v>
      </c>
      <c r="G200" s="68" t="s">
        <v>7</v>
      </c>
      <c r="H200" s="74"/>
      <c r="I200" s="30">
        <f>SUM(I4:I199)</f>
        <v>17831104</v>
      </c>
    </row>
    <row r="201" spans="1:10" ht="45.6" x14ac:dyDescent="0.6">
      <c r="A201" s="554" t="s">
        <v>13</v>
      </c>
      <c r="B201" s="555"/>
      <c r="C201" s="18">
        <f>+C200</f>
        <v>31677260</v>
      </c>
      <c r="D201" s="28"/>
      <c r="E201" s="29"/>
      <c r="F201" s="29"/>
      <c r="G201" s="69"/>
      <c r="H201" s="70" t="s">
        <v>20</v>
      </c>
      <c r="I201" s="19">
        <f>+F200+I200</f>
        <v>30640244</v>
      </c>
    </row>
    <row r="202" spans="1:10" ht="45.6" x14ac:dyDescent="0.6">
      <c r="D202" s="7"/>
      <c r="E202" s="7"/>
      <c r="G202" s="66"/>
      <c r="H202" s="67" t="s">
        <v>10</v>
      </c>
      <c r="I202" s="25">
        <f>+C200-F200-I200</f>
        <v>1037016</v>
      </c>
    </row>
    <row r="203" spans="1:10" x14ac:dyDescent="0.6">
      <c r="I203" s="40">
        <f>+C201-I201</f>
        <v>1037016</v>
      </c>
    </row>
    <row r="204" spans="1:10" x14ac:dyDescent="0.6">
      <c r="H204" s="46"/>
      <c r="I204" s="40">
        <f>+I202-I203</f>
        <v>0</v>
      </c>
    </row>
    <row r="205" spans="1:10" s="39" customFormat="1" x14ac:dyDescent="0.6">
      <c r="A205" s="7"/>
      <c r="B205" s="1"/>
      <c r="C205" s="7"/>
      <c r="D205" s="6"/>
      <c r="E205" s="1"/>
      <c r="F205" s="7"/>
      <c r="G205" s="1"/>
      <c r="H205" s="1"/>
      <c r="I205" s="56"/>
      <c r="J205" s="50"/>
    </row>
    <row r="206" spans="1:10" ht="36.6" x14ac:dyDescent="0.6">
      <c r="E206" s="8"/>
    </row>
    <row r="207" spans="1:10" s="8" customFormat="1" ht="49.2" customHeight="1" x14ac:dyDescent="0.6">
      <c r="A207" s="57"/>
      <c r="B207" s="58"/>
      <c r="C207" s="57"/>
      <c r="D207" s="59"/>
      <c r="E207" s="17"/>
      <c r="F207" s="57"/>
      <c r="G207" s="58"/>
      <c r="H207" s="65" t="s">
        <v>22</v>
      </c>
      <c r="I207" s="65"/>
      <c r="J207" s="50"/>
    </row>
    <row r="208" spans="1:10" s="8" customFormat="1" ht="51" customHeight="1" x14ac:dyDescent="1.05">
      <c r="A208" s="7"/>
      <c r="B208" s="1"/>
      <c r="C208" s="7"/>
      <c r="D208" s="6"/>
      <c r="E208" s="1"/>
      <c r="F208" s="7"/>
      <c r="G208" s="1"/>
      <c r="H208" s="52" t="s">
        <v>3</v>
      </c>
      <c r="I208" s="55">
        <f>+C201</f>
        <v>31677260</v>
      </c>
      <c r="J208" s="50"/>
    </row>
    <row r="209" spans="1:10" s="17" customFormat="1" ht="74.400000000000006" customHeight="1" x14ac:dyDescent="0.6">
      <c r="A209" s="7"/>
      <c r="B209" s="1"/>
      <c r="C209" s="7"/>
      <c r="D209" s="6"/>
      <c r="E209" s="1"/>
      <c r="F209" s="7"/>
      <c r="G209" s="1"/>
      <c r="H209" s="84" t="s">
        <v>23</v>
      </c>
      <c r="I209" s="85">
        <f>+F200</f>
        <v>12809140</v>
      </c>
      <c r="J209" s="50"/>
    </row>
    <row r="210" spans="1:10" s="50" customFormat="1" ht="61.2" x14ac:dyDescent="1.05">
      <c r="A210" s="7"/>
      <c r="B210" s="1"/>
      <c r="C210" s="7"/>
      <c r="D210" s="6"/>
      <c r="E210" s="1"/>
      <c r="F210" s="7"/>
      <c r="G210" s="1"/>
      <c r="H210" s="52" t="s">
        <v>24</v>
      </c>
      <c r="I210" s="53">
        <f>+I200</f>
        <v>17831104</v>
      </c>
    </row>
    <row r="211" spans="1:10" s="50" customFormat="1" ht="61.2" x14ac:dyDescent="1.05">
      <c r="A211" s="7"/>
      <c r="B211" s="1"/>
      <c r="C211" s="7"/>
      <c r="D211" s="6"/>
      <c r="E211" s="1"/>
      <c r="F211" s="7"/>
      <c r="G211" s="1"/>
      <c r="H211" s="52" t="s">
        <v>69</v>
      </c>
      <c r="I211" s="53"/>
    </row>
    <row r="212" spans="1:10" s="50" customFormat="1" ht="61.2" x14ac:dyDescent="1.05">
      <c r="A212" s="7"/>
      <c r="B212" s="1"/>
      <c r="C212" s="7"/>
      <c r="D212" s="6"/>
      <c r="E212" s="1"/>
      <c r="F212" s="7"/>
      <c r="G212" s="1"/>
      <c r="H212" s="52" t="s">
        <v>25</v>
      </c>
      <c r="I212" s="54">
        <f>+I208-I209-I210-I211</f>
        <v>1037016</v>
      </c>
    </row>
    <row r="213" spans="1:10" s="50" customFormat="1" x14ac:dyDescent="0.6">
      <c r="A213" s="7"/>
      <c r="B213" s="1"/>
      <c r="C213" s="7"/>
      <c r="D213" s="6"/>
      <c r="E213" s="1"/>
      <c r="F213" s="7"/>
      <c r="G213" s="1"/>
      <c r="H213" s="1"/>
      <c r="I213" s="1"/>
    </row>
    <row r="214" spans="1:10" s="50" customFormat="1" x14ac:dyDescent="0.6">
      <c r="A214" s="7"/>
      <c r="B214" s="1"/>
      <c r="C214" s="7"/>
      <c r="D214" s="6"/>
      <c r="E214" s="1"/>
      <c r="F214" s="7"/>
      <c r="G214" s="1"/>
      <c r="H214" s="1"/>
      <c r="I214" s="1"/>
    </row>
    <row r="215" spans="1:10" s="50" customFormat="1" x14ac:dyDescent="0.6">
      <c r="A215" s="7"/>
      <c r="B215" s="1"/>
      <c r="C215" s="7"/>
      <c r="D215" s="6"/>
      <c r="E215" s="1"/>
      <c r="F215" s="7"/>
      <c r="G215" s="1"/>
      <c r="H215" s="1"/>
      <c r="I215" s="1"/>
    </row>
    <row r="216" spans="1:10" s="50" customFormat="1" x14ac:dyDescent="0.6">
      <c r="A216" s="7"/>
      <c r="B216" s="1"/>
      <c r="C216" s="7"/>
      <c r="D216" s="6"/>
      <c r="E216" s="1"/>
      <c r="F216" s="7"/>
      <c r="G216" s="1"/>
      <c r="H216" s="1"/>
      <c r="I216" s="1"/>
    </row>
    <row r="217" spans="1:10" s="50" customFormat="1" x14ac:dyDescent="0.6">
      <c r="A217" s="7"/>
      <c r="B217" s="1"/>
      <c r="C217" s="7"/>
      <c r="D217" s="6"/>
      <c r="E217" s="1"/>
      <c r="F217" s="7"/>
      <c r="G217" s="1"/>
      <c r="H217" s="1"/>
      <c r="I217" s="7"/>
    </row>
    <row r="218" spans="1:10" s="50" customFormat="1" x14ac:dyDescent="0.6">
      <c r="A218" s="7"/>
      <c r="B218" s="1"/>
      <c r="C218" s="7"/>
      <c r="D218" s="6"/>
      <c r="E218" s="1"/>
      <c r="F218" s="7"/>
      <c r="G218" s="1"/>
      <c r="H218" s="1"/>
      <c r="I218" s="7"/>
    </row>
  </sheetData>
  <autoFilter ref="A3:J150" xr:uid="{C27F9055-AF1A-4DFB-ADB2-58AB89720241}">
    <sortState xmlns:xlrd2="http://schemas.microsoft.com/office/spreadsheetml/2017/richdata2" ref="A4:J150">
      <sortCondition sortBy="cellColor" ref="I3:I150" dxfId="82"/>
    </sortState>
  </autoFilter>
  <mergeCells count="6">
    <mergeCell ref="A201:B201"/>
    <mergeCell ref="A1:I1"/>
    <mergeCell ref="A2:C2"/>
    <mergeCell ref="D2:I2"/>
    <mergeCell ref="A200:B200"/>
    <mergeCell ref="D200:E200"/>
  </mergeCells>
  <pageMargins left="0.7" right="0.7" top="0.75" bottom="0.75" header="0.3" footer="0.3"/>
  <pageSetup paperSize="9" scale="47" orientation="landscape" horizontalDpi="4294967293" r:id="rId1"/>
  <rowBreaks count="1" manualBreakCount="1">
    <brk id="23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D375-689A-4142-BB79-4696A82F4235}">
  <sheetPr>
    <tabColor theme="9" tint="0.39997558519241921"/>
  </sheetPr>
  <dimension ref="A1:I244"/>
  <sheetViews>
    <sheetView zoomScale="40" zoomScaleNormal="40" zoomScaleSheetLayoutView="20" workbookViewId="0">
      <selection sqref="A1:I230"/>
    </sheetView>
  </sheetViews>
  <sheetFormatPr baseColWidth="10" defaultColWidth="11.5546875" defaultRowHeight="31.2" x14ac:dyDescent="0.6"/>
  <cols>
    <col min="1" max="1" width="33.33203125" style="7" customWidth="1"/>
    <col min="2" max="2" width="151.33203125" style="1" customWidth="1"/>
    <col min="3" max="3" width="36.33203125" style="7" customWidth="1"/>
    <col min="4" max="4" width="32.109375" style="6" customWidth="1"/>
    <col min="5" max="5" width="219.21875" style="1" customWidth="1"/>
    <col min="6" max="6" width="35.88671875" style="7" customWidth="1"/>
    <col min="7" max="7" width="31.5546875" style="93" customWidth="1"/>
    <col min="8" max="8" width="255.6640625" style="1" customWidth="1"/>
    <col min="9" max="9" width="50" style="7" customWidth="1"/>
    <col min="10" max="16384" width="11.5546875" style="1"/>
  </cols>
  <sheetData>
    <row r="1" spans="1:9" s="17" customFormat="1" ht="61.95" customHeight="1" thickBot="1" x14ac:dyDescent="0.35">
      <c r="A1" s="559" t="s">
        <v>407</v>
      </c>
      <c r="B1" s="560"/>
      <c r="C1" s="560"/>
      <c r="D1" s="560"/>
      <c r="E1" s="560"/>
      <c r="F1" s="560"/>
      <c r="G1" s="560"/>
      <c r="H1" s="560"/>
      <c r="I1" s="561"/>
    </row>
    <row r="2" spans="1:9" s="8" customFormat="1" ht="51.6" customHeight="1" thickBot="1" x14ac:dyDescent="0.35">
      <c r="A2" s="562" t="s">
        <v>4</v>
      </c>
      <c r="B2" s="563"/>
      <c r="C2" s="564"/>
      <c r="D2" s="562" t="s">
        <v>5</v>
      </c>
      <c r="E2" s="563"/>
      <c r="F2" s="563"/>
      <c r="G2" s="563"/>
      <c r="H2" s="563"/>
      <c r="I2" s="564"/>
    </row>
    <row r="3" spans="1:9" s="33" customForma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71" t="s">
        <v>0</v>
      </c>
      <c r="H3" s="32" t="s">
        <v>9</v>
      </c>
      <c r="I3" s="45" t="s">
        <v>2</v>
      </c>
    </row>
    <row r="4" spans="1:9" ht="33" customHeight="1" x14ac:dyDescent="0.6">
      <c r="A4" s="5"/>
      <c r="B4" s="62" t="s">
        <v>406</v>
      </c>
      <c r="C4" s="61">
        <v>1037016</v>
      </c>
      <c r="D4" s="86">
        <v>45722</v>
      </c>
      <c r="E4" s="27" t="s">
        <v>459</v>
      </c>
      <c r="F4" s="16">
        <v>404000</v>
      </c>
      <c r="G4" s="91">
        <v>45717</v>
      </c>
      <c r="H4" s="10" t="s">
        <v>415</v>
      </c>
      <c r="I4" s="14">
        <v>20000</v>
      </c>
    </row>
    <row r="5" spans="1:9" ht="33" customHeight="1" x14ac:dyDescent="0.6">
      <c r="A5" s="86">
        <v>45719</v>
      </c>
      <c r="B5" s="26" t="s">
        <v>18</v>
      </c>
      <c r="C5" s="14">
        <v>1000000</v>
      </c>
      <c r="D5" s="86">
        <v>45722</v>
      </c>
      <c r="E5" s="27" t="s">
        <v>460</v>
      </c>
      <c r="F5" s="16">
        <v>700000</v>
      </c>
      <c r="G5" s="91">
        <v>45717</v>
      </c>
      <c r="H5" s="10" t="s">
        <v>416</v>
      </c>
      <c r="I5" s="14">
        <v>2000</v>
      </c>
    </row>
    <row r="6" spans="1:9" ht="33" customHeight="1" x14ac:dyDescent="0.6">
      <c r="A6" s="86">
        <v>45720</v>
      </c>
      <c r="B6" s="26" t="s">
        <v>418</v>
      </c>
      <c r="C6" s="4">
        <v>20200</v>
      </c>
      <c r="D6" s="86">
        <v>45723</v>
      </c>
      <c r="E6" s="24" t="s">
        <v>475</v>
      </c>
      <c r="F6" s="4">
        <v>100000</v>
      </c>
      <c r="G6" s="91">
        <v>45717</v>
      </c>
      <c r="H6" s="10" t="s">
        <v>410</v>
      </c>
      <c r="I6" s="14">
        <v>484800</v>
      </c>
    </row>
    <row r="7" spans="1:9" ht="33" customHeight="1" x14ac:dyDescent="0.6">
      <c r="A7" s="2">
        <v>45721</v>
      </c>
      <c r="B7" s="26" t="s">
        <v>453</v>
      </c>
      <c r="C7" s="4">
        <v>5082700</v>
      </c>
      <c r="D7" s="86">
        <v>45723</v>
      </c>
      <c r="E7" s="24" t="s">
        <v>472</v>
      </c>
      <c r="F7" s="4">
        <v>550000</v>
      </c>
      <c r="G7" s="91">
        <v>45717</v>
      </c>
      <c r="H7" s="63" t="s">
        <v>194</v>
      </c>
      <c r="I7" s="72">
        <v>7000</v>
      </c>
    </row>
    <row r="8" spans="1:9" ht="33" customHeight="1" x14ac:dyDescent="0.6">
      <c r="A8" s="2">
        <v>45722</v>
      </c>
      <c r="B8" s="26" t="s">
        <v>466</v>
      </c>
      <c r="C8" s="4">
        <v>1000000</v>
      </c>
      <c r="D8" s="86">
        <v>45724</v>
      </c>
      <c r="E8" s="24" t="s">
        <v>474</v>
      </c>
      <c r="F8" s="4">
        <v>151500</v>
      </c>
      <c r="G8" s="91">
        <v>45718</v>
      </c>
      <c r="H8" s="63" t="s">
        <v>412</v>
      </c>
      <c r="I8" s="72">
        <v>30300</v>
      </c>
    </row>
    <row r="9" spans="1:9" ht="33" customHeight="1" x14ac:dyDescent="0.6">
      <c r="A9" s="2">
        <v>45723</v>
      </c>
      <c r="B9" s="26" t="s">
        <v>466</v>
      </c>
      <c r="C9" s="4">
        <v>1600000</v>
      </c>
      <c r="D9" s="86">
        <v>45724</v>
      </c>
      <c r="E9" s="24" t="s">
        <v>476</v>
      </c>
      <c r="F9" s="4">
        <v>151500</v>
      </c>
      <c r="G9" s="91">
        <v>45719</v>
      </c>
      <c r="H9" s="63" t="s">
        <v>14</v>
      </c>
      <c r="I9" s="72">
        <v>2000</v>
      </c>
    </row>
    <row r="10" spans="1:9" ht="33" customHeight="1" x14ac:dyDescent="0.6">
      <c r="A10" s="2">
        <v>45724</v>
      </c>
      <c r="B10" s="26" t="s">
        <v>18</v>
      </c>
      <c r="C10" s="4">
        <v>1000000</v>
      </c>
      <c r="D10" s="2">
        <v>45726</v>
      </c>
      <c r="E10" s="24" t="s">
        <v>488</v>
      </c>
      <c r="F10" s="4">
        <v>90900</v>
      </c>
      <c r="G10" s="91">
        <v>45719</v>
      </c>
      <c r="H10" s="63" t="s">
        <v>414</v>
      </c>
      <c r="I10" s="72">
        <v>220000</v>
      </c>
    </row>
    <row r="11" spans="1:9" ht="33" customHeight="1" x14ac:dyDescent="0.6">
      <c r="A11" s="2">
        <v>45726</v>
      </c>
      <c r="B11" s="26" t="s">
        <v>483</v>
      </c>
      <c r="C11" s="4">
        <v>2000000</v>
      </c>
      <c r="D11" s="2">
        <v>45726</v>
      </c>
      <c r="E11" s="24" t="s">
        <v>774</v>
      </c>
      <c r="F11" s="4">
        <v>202000</v>
      </c>
      <c r="G11" s="91">
        <v>45719</v>
      </c>
      <c r="H11" s="63" t="s">
        <v>426</v>
      </c>
      <c r="I11" s="72">
        <v>20200</v>
      </c>
    </row>
    <row r="12" spans="1:9" ht="33" customHeight="1" x14ac:dyDescent="0.6">
      <c r="A12" s="2">
        <v>45727</v>
      </c>
      <c r="B12" s="26" t="s">
        <v>18</v>
      </c>
      <c r="C12" s="4">
        <v>1000000</v>
      </c>
      <c r="D12" s="2">
        <v>45735</v>
      </c>
      <c r="E12" s="24" t="s">
        <v>565</v>
      </c>
      <c r="F12" s="4">
        <v>252500</v>
      </c>
      <c r="G12" s="91">
        <v>45719</v>
      </c>
      <c r="H12" s="63" t="s">
        <v>417</v>
      </c>
      <c r="I12" s="72">
        <v>161600</v>
      </c>
    </row>
    <row r="13" spans="1:9" ht="33" customHeight="1" x14ac:dyDescent="0.6">
      <c r="A13" s="2">
        <v>45728</v>
      </c>
      <c r="B13" s="26" t="s">
        <v>522</v>
      </c>
      <c r="C13" s="4">
        <v>1500000</v>
      </c>
      <c r="D13" s="2">
        <v>45736</v>
      </c>
      <c r="E13" s="24" t="s">
        <v>569</v>
      </c>
      <c r="F13" s="4">
        <v>1450000</v>
      </c>
      <c r="G13" s="91">
        <v>45720</v>
      </c>
      <c r="H13" s="63" t="s">
        <v>12</v>
      </c>
      <c r="I13" s="72">
        <v>20000</v>
      </c>
    </row>
    <row r="14" spans="1:9" ht="33" customHeight="1" x14ac:dyDescent="0.6">
      <c r="A14" s="2">
        <v>45730</v>
      </c>
      <c r="B14" s="26" t="s">
        <v>531</v>
      </c>
      <c r="C14" s="4">
        <v>2000000</v>
      </c>
      <c r="D14" s="2">
        <v>45736</v>
      </c>
      <c r="E14" s="24" t="s">
        <v>572</v>
      </c>
      <c r="F14" s="4">
        <v>1900000</v>
      </c>
      <c r="G14" s="91">
        <v>45720</v>
      </c>
      <c r="H14" s="63" t="s">
        <v>419</v>
      </c>
      <c r="I14" s="72">
        <v>35000</v>
      </c>
    </row>
    <row r="15" spans="1:9" ht="33" customHeight="1" x14ac:dyDescent="0.6">
      <c r="A15" s="2">
        <v>45733</v>
      </c>
      <c r="B15" s="26" t="s">
        <v>549</v>
      </c>
      <c r="C15" s="4">
        <v>3000000</v>
      </c>
      <c r="D15" s="2">
        <v>45736</v>
      </c>
      <c r="E15" s="24" t="s">
        <v>575</v>
      </c>
      <c r="F15" s="4">
        <v>505000</v>
      </c>
      <c r="G15" s="91">
        <v>45720</v>
      </c>
      <c r="H15" s="63" t="s">
        <v>420</v>
      </c>
      <c r="I15" s="72">
        <v>200000</v>
      </c>
    </row>
    <row r="16" spans="1:9" ht="33" customHeight="1" x14ac:dyDescent="0.6">
      <c r="A16" s="2">
        <v>45736</v>
      </c>
      <c r="B16" s="26" t="s">
        <v>18</v>
      </c>
      <c r="C16" s="4">
        <v>10000000</v>
      </c>
      <c r="D16" s="2">
        <v>45737</v>
      </c>
      <c r="E16" s="24" t="s">
        <v>581</v>
      </c>
      <c r="F16" s="4">
        <v>616000</v>
      </c>
      <c r="G16" s="91">
        <v>45720</v>
      </c>
      <c r="H16" s="63" t="s">
        <v>421</v>
      </c>
      <c r="I16" s="72">
        <v>30000</v>
      </c>
    </row>
    <row r="17" spans="1:9" ht="33" customHeight="1" x14ac:dyDescent="0.6">
      <c r="A17" s="2">
        <v>45737</v>
      </c>
      <c r="B17" s="26" t="s">
        <v>18</v>
      </c>
      <c r="C17" s="4">
        <v>4000000</v>
      </c>
      <c r="D17" s="2">
        <v>45737</v>
      </c>
      <c r="E17" s="24" t="s">
        <v>577</v>
      </c>
      <c r="F17" s="4">
        <v>2400000</v>
      </c>
      <c r="G17" s="91">
        <v>45720</v>
      </c>
      <c r="H17" s="63" t="s">
        <v>422</v>
      </c>
      <c r="I17" s="72">
        <v>13130</v>
      </c>
    </row>
    <row r="18" spans="1:9" ht="33" customHeight="1" x14ac:dyDescent="0.6">
      <c r="A18" s="2">
        <v>45738</v>
      </c>
      <c r="B18" s="26" t="s">
        <v>18</v>
      </c>
      <c r="C18" s="4">
        <v>600000</v>
      </c>
      <c r="D18" s="2">
        <v>45737</v>
      </c>
      <c r="E18" s="24" t="s">
        <v>580</v>
      </c>
      <c r="F18" s="4">
        <v>693000</v>
      </c>
      <c r="G18" s="91">
        <v>45721</v>
      </c>
      <c r="H18" s="63" t="s">
        <v>423</v>
      </c>
      <c r="I18" s="72">
        <v>3000</v>
      </c>
    </row>
    <row r="19" spans="1:9" ht="33" customHeight="1" x14ac:dyDescent="0.6">
      <c r="A19" s="2">
        <v>45740</v>
      </c>
      <c r="B19" s="26" t="s">
        <v>597</v>
      </c>
      <c r="C19" s="4">
        <v>2000000</v>
      </c>
      <c r="D19" s="2">
        <v>45737</v>
      </c>
      <c r="E19" s="24" t="s">
        <v>582</v>
      </c>
      <c r="F19" s="4">
        <v>750000</v>
      </c>
      <c r="G19" s="91">
        <v>45721</v>
      </c>
      <c r="H19" s="63" t="s">
        <v>424</v>
      </c>
      <c r="I19" s="72">
        <v>20200</v>
      </c>
    </row>
    <row r="20" spans="1:9" ht="33" customHeight="1" x14ac:dyDescent="0.6">
      <c r="A20" s="2">
        <v>45741</v>
      </c>
      <c r="B20" s="26" t="s">
        <v>602</v>
      </c>
      <c r="C20" s="4">
        <v>4000000</v>
      </c>
      <c r="D20" s="86">
        <v>45737</v>
      </c>
      <c r="E20" s="27" t="s">
        <v>585</v>
      </c>
      <c r="F20" s="16">
        <v>138875</v>
      </c>
      <c r="G20" s="91">
        <v>45721</v>
      </c>
      <c r="H20" s="63" t="s">
        <v>425</v>
      </c>
      <c r="I20" s="72">
        <v>50500</v>
      </c>
    </row>
    <row r="21" spans="1:9" ht="33" customHeight="1" x14ac:dyDescent="0.6">
      <c r="A21" s="2">
        <v>45742</v>
      </c>
      <c r="B21" s="26" t="s">
        <v>617</v>
      </c>
      <c r="C21" s="4">
        <v>1000000</v>
      </c>
      <c r="D21" s="2">
        <v>45737</v>
      </c>
      <c r="E21" s="24" t="s">
        <v>586</v>
      </c>
      <c r="F21" s="4">
        <v>848400</v>
      </c>
      <c r="G21" s="91">
        <v>45721</v>
      </c>
      <c r="H21" s="63" t="s">
        <v>427</v>
      </c>
      <c r="I21" s="72">
        <v>25250</v>
      </c>
    </row>
    <row r="22" spans="1:9" ht="33" customHeight="1" x14ac:dyDescent="0.6">
      <c r="A22" s="2">
        <v>45743</v>
      </c>
      <c r="B22" s="26" t="s">
        <v>627</v>
      </c>
      <c r="C22" s="4">
        <v>3000000</v>
      </c>
      <c r="D22" s="2">
        <v>45737</v>
      </c>
      <c r="E22" s="24" t="s">
        <v>588</v>
      </c>
      <c r="F22" s="4">
        <v>140000</v>
      </c>
      <c r="G22" s="91">
        <v>45721</v>
      </c>
      <c r="H22" s="63" t="s">
        <v>454</v>
      </c>
      <c r="I22" s="72">
        <v>101000</v>
      </c>
    </row>
    <row r="23" spans="1:9" ht="33" customHeight="1" x14ac:dyDescent="0.6">
      <c r="A23" s="2">
        <v>45744</v>
      </c>
      <c r="B23" s="26" t="s">
        <v>632</v>
      </c>
      <c r="C23" s="4">
        <v>1800000</v>
      </c>
      <c r="D23" s="2">
        <v>45740</v>
      </c>
      <c r="E23" s="24" t="s">
        <v>598</v>
      </c>
      <c r="F23" s="4">
        <v>353500</v>
      </c>
      <c r="G23" s="91">
        <v>45721</v>
      </c>
      <c r="H23" s="63" t="s">
        <v>428</v>
      </c>
      <c r="I23" s="72">
        <v>3800</v>
      </c>
    </row>
    <row r="24" spans="1:9" ht="33" customHeight="1" x14ac:dyDescent="0.6">
      <c r="A24" s="3"/>
      <c r="B24" s="26"/>
      <c r="C24" s="4"/>
      <c r="D24" s="2">
        <v>45741</v>
      </c>
      <c r="E24" s="27" t="s">
        <v>605</v>
      </c>
      <c r="F24" s="4">
        <v>100000</v>
      </c>
      <c r="G24" s="91">
        <v>45721</v>
      </c>
      <c r="H24" s="63" t="s">
        <v>429</v>
      </c>
      <c r="I24" s="72">
        <v>72215</v>
      </c>
    </row>
    <row r="25" spans="1:9" ht="33" customHeight="1" x14ac:dyDescent="0.6">
      <c r="A25" s="3"/>
      <c r="B25" s="26"/>
      <c r="C25" s="4"/>
      <c r="D25" s="2">
        <v>45741</v>
      </c>
      <c r="E25" s="24" t="s">
        <v>606</v>
      </c>
      <c r="F25" s="4">
        <v>700000</v>
      </c>
      <c r="G25" s="91">
        <v>45721</v>
      </c>
      <c r="H25" s="63" t="s">
        <v>430</v>
      </c>
      <c r="I25" s="72">
        <v>72215</v>
      </c>
    </row>
    <row r="26" spans="1:9" ht="33" customHeight="1" x14ac:dyDescent="0.6">
      <c r="A26" s="114"/>
      <c r="B26" s="321"/>
      <c r="C26" s="20"/>
      <c r="D26" s="2">
        <v>45741</v>
      </c>
      <c r="E26" s="27" t="s">
        <v>609</v>
      </c>
      <c r="F26" s="4">
        <v>400000</v>
      </c>
      <c r="G26" s="91">
        <v>45721</v>
      </c>
      <c r="H26" s="63" t="s">
        <v>432</v>
      </c>
      <c r="I26" s="72">
        <v>1000</v>
      </c>
    </row>
    <row r="27" spans="1:9" ht="33" customHeight="1" x14ac:dyDescent="0.6">
      <c r="A27" s="3"/>
      <c r="B27" s="26"/>
      <c r="C27" s="4"/>
      <c r="D27" s="2" t="s">
        <v>631</v>
      </c>
      <c r="E27" s="24" t="s">
        <v>633</v>
      </c>
      <c r="F27" s="4">
        <v>400000</v>
      </c>
      <c r="G27" s="91">
        <v>45721</v>
      </c>
      <c r="H27" s="63" t="s">
        <v>448</v>
      </c>
      <c r="I27" s="72">
        <v>151500</v>
      </c>
    </row>
    <row r="28" spans="1:9" ht="33" customHeight="1" x14ac:dyDescent="0.6">
      <c r="A28" s="3"/>
      <c r="B28" s="26"/>
      <c r="C28" s="4"/>
      <c r="D28" s="3"/>
      <c r="E28" s="3"/>
      <c r="F28" s="3"/>
      <c r="G28" s="91">
        <v>45721</v>
      </c>
      <c r="H28" s="63" t="s">
        <v>431</v>
      </c>
      <c r="I28" s="72">
        <v>202000</v>
      </c>
    </row>
    <row r="29" spans="1:9" ht="33" customHeight="1" x14ac:dyDescent="0.6">
      <c r="A29" s="3"/>
      <c r="B29" s="26"/>
      <c r="C29" s="4"/>
      <c r="D29" s="3"/>
      <c r="E29" s="24"/>
      <c r="F29" s="4"/>
      <c r="G29" s="91">
        <v>45721</v>
      </c>
      <c r="H29" s="63" t="s">
        <v>433</v>
      </c>
      <c r="I29" s="72">
        <v>202000</v>
      </c>
    </row>
    <row r="30" spans="1:9" ht="34.200000000000003" customHeight="1" x14ac:dyDescent="0.6">
      <c r="A30" s="3"/>
      <c r="B30" s="26"/>
      <c r="C30" s="4"/>
      <c r="D30" s="570" t="s">
        <v>7</v>
      </c>
      <c r="E30" s="571"/>
      <c r="F30" s="20">
        <f>SUM(F4:F27)</f>
        <v>13997175</v>
      </c>
      <c r="G30" s="91">
        <v>45721</v>
      </c>
      <c r="H30" s="63" t="s">
        <v>435</v>
      </c>
      <c r="I30" s="72">
        <v>181800</v>
      </c>
    </row>
    <row r="31" spans="1:9" ht="33" customHeight="1" x14ac:dyDescent="0.6">
      <c r="A31" s="3"/>
      <c r="B31" s="26"/>
      <c r="C31" s="4"/>
      <c r="D31" s="3"/>
      <c r="E31" s="24"/>
      <c r="F31" s="4"/>
      <c r="G31" s="91">
        <v>45721</v>
      </c>
      <c r="H31" s="63" t="s">
        <v>436</v>
      </c>
      <c r="I31" s="72">
        <v>252500</v>
      </c>
    </row>
    <row r="32" spans="1:9" ht="33" customHeight="1" x14ac:dyDescent="0.6">
      <c r="A32" s="3"/>
      <c r="B32" s="26"/>
      <c r="C32" s="4"/>
      <c r="D32" s="3"/>
      <c r="E32" s="24"/>
      <c r="F32" s="4"/>
      <c r="G32" s="91">
        <v>45721</v>
      </c>
      <c r="H32" s="63" t="s">
        <v>437</v>
      </c>
      <c r="I32" s="72">
        <v>252500</v>
      </c>
    </row>
    <row r="33" spans="1:9" ht="33" customHeight="1" x14ac:dyDescent="0.6">
      <c r="A33" s="3"/>
      <c r="B33" s="26"/>
      <c r="C33" s="4"/>
      <c r="D33" s="3"/>
      <c r="E33" s="24"/>
      <c r="F33" s="4"/>
      <c r="G33" s="91">
        <v>45721</v>
      </c>
      <c r="H33" s="63" t="s">
        <v>438</v>
      </c>
      <c r="I33" s="72">
        <v>151500</v>
      </c>
    </row>
    <row r="34" spans="1:9" ht="33" customHeight="1" x14ac:dyDescent="0.6">
      <c r="A34" s="3"/>
      <c r="B34" s="26"/>
      <c r="C34" s="4"/>
      <c r="D34" s="3"/>
      <c r="E34" s="24"/>
      <c r="F34" s="4"/>
      <c r="G34" s="91">
        <v>45721</v>
      </c>
      <c r="H34" s="63" t="s">
        <v>439</v>
      </c>
      <c r="I34" s="72">
        <v>202000</v>
      </c>
    </row>
    <row r="35" spans="1:9" ht="33" customHeight="1" x14ac:dyDescent="0.6">
      <c r="A35" s="3"/>
      <c r="B35" s="26"/>
      <c r="C35" s="4"/>
      <c r="D35" s="3"/>
      <c r="E35" s="24"/>
      <c r="F35" s="4"/>
      <c r="G35" s="91">
        <v>45721</v>
      </c>
      <c r="H35" s="63" t="s">
        <v>440</v>
      </c>
      <c r="I35" s="72">
        <v>80800</v>
      </c>
    </row>
    <row r="36" spans="1:9" ht="33" customHeight="1" x14ac:dyDescent="0.6">
      <c r="A36" s="3"/>
      <c r="B36" s="26"/>
      <c r="C36" s="4"/>
      <c r="D36" s="3"/>
      <c r="E36" s="24"/>
      <c r="F36" s="4"/>
      <c r="G36" s="91">
        <v>45721</v>
      </c>
      <c r="H36" s="63" t="s">
        <v>441</v>
      </c>
      <c r="I36" s="72">
        <v>151500</v>
      </c>
    </row>
    <row r="37" spans="1:9" ht="33" customHeight="1" x14ac:dyDescent="0.6">
      <c r="A37" s="3"/>
      <c r="B37" s="26"/>
      <c r="C37" s="4"/>
      <c r="D37" s="3"/>
      <c r="E37" s="24"/>
      <c r="F37" s="4"/>
      <c r="G37" s="91">
        <v>45721</v>
      </c>
      <c r="H37" s="63" t="s">
        <v>442</v>
      </c>
      <c r="I37" s="72">
        <v>121200</v>
      </c>
    </row>
    <row r="38" spans="1:9" ht="33" customHeight="1" x14ac:dyDescent="0.6">
      <c r="A38" s="3"/>
      <c r="B38" s="26"/>
      <c r="C38" s="4"/>
      <c r="D38" s="3"/>
      <c r="E38" s="24"/>
      <c r="F38" s="4"/>
      <c r="G38" s="91">
        <v>45721</v>
      </c>
      <c r="H38" s="63" t="s">
        <v>443</v>
      </c>
      <c r="I38" s="72">
        <v>151500</v>
      </c>
    </row>
    <row r="39" spans="1:9" ht="33" customHeight="1" x14ac:dyDescent="0.6">
      <c r="A39" s="3"/>
      <c r="B39" s="26"/>
      <c r="C39" s="4"/>
      <c r="D39" s="3"/>
      <c r="E39" s="24"/>
      <c r="F39" s="4"/>
      <c r="G39" s="91">
        <v>45721</v>
      </c>
      <c r="H39" s="63" t="s">
        <v>444</v>
      </c>
      <c r="I39" s="72">
        <v>151500</v>
      </c>
    </row>
    <row r="40" spans="1:9" ht="33" customHeight="1" x14ac:dyDescent="0.6">
      <c r="A40" s="3"/>
      <c r="B40" s="26"/>
      <c r="C40" s="4"/>
      <c r="D40" s="3"/>
      <c r="E40" s="24"/>
      <c r="F40" s="4"/>
      <c r="G40" s="91">
        <v>45721</v>
      </c>
      <c r="H40" s="63" t="s">
        <v>445</v>
      </c>
      <c r="I40" s="72">
        <v>202000</v>
      </c>
    </row>
    <row r="41" spans="1:9" ht="33" customHeight="1" x14ac:dyDescent="0.6">
      <c r="A41" s="3"/>
      <c r="B41" s="26"/>
      <c r="C41" s="4"/>
      <c r="D41" s="3"/>
      <c r="E41" s="24"/>
      <c r="F41" s="4"/>
      <c r="G41" s="91">
        <v>45721</v>
      </c>
      <c r="H41" s="63" t="s">
        <v>446</v>
      </c>
      <c r="I41" s="72">
        <v>151500</v>
      </c>
    </row>
    <row r="42" spans="1:9" ht="33" customHeight="1" x14ac:dyDescent="0.6">
      <c r="A42" s="3"/>
      <c r="B42" s="26"/>
      <c r="C42" s="4"/>
      <c r="D42" s="3"/>
      <c r="E42" s="24"/>
      <c r="F42" s="4"/>
      <c r="G42" s="91">
        <v>45721</v>
      </c>
      <c r="H42" s="63" t="s">
        <v>447</v>
      </c>
      <c r="I42" s="72">
        <v>151500</v>
      </c>
    </row>
    <row r="43" spans="1:9" ht="33" customHeight="1" x14ac:dyDescent="0.6">
      <c r="A43" s="3"/>
      <c r="B43" s="26"/>
      <c r="C43" s="4"/>
      <c r="D43" s="3"/>
      <c r="E43" s="24"/>
      <c r="F43" s="4"/>
      <c r="G43" s="91">
        <v>45721</v>
      </c>
      <c r="H43" s="63" t="s">
        <v>37</v>
      </c>
      <c r="I43" s="72">
        <v>10000</v>
      </c>
    </row>
    <row r="44" spans="1:9" ht="33" customHeight="1" x14ac:dyDescent="0.6">
      <c r="A44" s="3"/>
      <c r="B44" s="26"/>
      <c r="C44" s="4"/>
      <c r="D44" s="3"/>
      <c r="E44" s="24"/>
      <c r="F44" s="4"/>
      <c r="G44" s="91">
        <v>45721</v>
      </c>
      <c r="H44" s="63" t="s">
        <v>434</v>
      </c>
      <c r="I44" s="72">
        <v>2800</v>
      </c>
    </row>
    <row r="45" spans="1:9" ht="33" customHeight="1" x14ac:dyDescent="0.6">
      <c r="A45" s="3"/>
      <c r="B45" s="26"/>
      <c r="C45" s="4"/>
      <c r="D45" s="3"/>
      <c r="E45" s="24"/>
      <c r="F45" s="4"/>
      <c r="G45" s="91">
        <v>45721</v>
      </c>
      <c r="H45" s="63" t="s">
        <v>449</v>
      </c>
      <c r="I45" s="72">
        <v>252500</v>
      </c>
    </row>
    <row r="46" spans="1:9" ht="33" customHeight="1" x14ac:dyDescent="0.6">
      <c r="A46" s="3"/>
      <c r="B46" s="26"/>
      <c r="C46" s="4"/>
      <c r="D46" s="3"/>
      <c r="E46" s="24"/>
      <c r="F46" s="4"/>
      <c r="G46" s="91">
        <v>45721</v>
      </c>
      <c r="H46" s="63" t="s">
        <v>450</v>
      </c>
      <c r="I46" s="72">
        <v>202000</v>
      </c>
    </row>
    <row r="47" spans="1:9" ht="33" customHeight="1" x14ac:dyDescent="0.6">
      <c r="A47" s="3"/>
      <c r="B47" s="26"/>
      <c r="C47" s="4"/>
      <c r="D47" s="3"/>
      <c r="E47" s="24"/>
      <c r="F47" s="4"/>
      <c r="G47" s="91">
        <v>45721</v>
      </c>
      <c r="H47" s="63" t="s">
        <v>451</v>
      </c>
      <c r="I47" s="72">
        <v>500</v>
      </c>
    </row>
    <row r="48" spans="1:9" ht="33" customHeight="1" x14ac:dyDescent="0.6">
      <c r="A48" s="3"/>
      <c r="B48" s="26"/>
      <c r="C48" s="4"/>
      <c r="D48" s="3"/>
      <c r="E48" s="24"/>
      <c r="F48" s="4"/>
      <c r="G48" s="91">
        <v>45721</v>
      </c>
      <c r="H48" s="63" t="s">
        <v>452</v>
      </c>
      <c r="I48" s="72">
        <v>75000</v>
      </c>
    </row>
    <row r="49" spans="1:9" ht="33" customHeight="1" x14ac:dyDescent="0.6">
      <c r="A49" s="3"/>
      <c r="B49" s="26"/>
      <c r="C49" s="4"/>
      <c r="D49" s="3"/>
      <c r="E49" s="24"/>
      <c r="F49" s="4"/>
      <c r="G49" s="91">
        <v>45722</v>
      </c>
      <c r="H49" s="63" t="s">
        <v>12</v>
      </c>
      <c r="I49" s="72">
        <v>20000</v>
      </c>
    </row>
    <row r="50" spans="1:9" s="87" customFormat="1" ht="33" customHeight="1" x14ac:dyDescent="0.6">
      <c r="A50" s="9"/>
      <c r="B50" s="63"/>
      <c r="C50" s="14"/>
      <c r="D50" s="9"/>
      <c r="E50" s="64"/>
      <c r="F50" s="14"/>
      <c r="G50" s="91">
        <v>45722</v>
      </c>
      <c r="H50" s="63" t="s">
        <v>550</v>
      </c>
      <c r="I50" s="72">
        <v>1240530</v>
      </c>
    </row>
    <row r="51" spans="1:9" ht="33" customHeight="1" x14ac:dyDescent="0.6">
      <c r="A51" s="3"/>
      <c r="B51" s="26"/>
      <c r="C51" s="4"/>
      <c r="D51" s="3"/>
      <c r="E51" s="24"/>
      <c r="F51" s="4"/>
      <c r="G51" s="91">
        <v>45722</v>
      </c>
      <c r="H51" s="63" t="s">
        <v>455</v>
      </c>
      <c r="I51" s="72">
        <v>170000</v>
      </c>
    </row>
    <row r="52" spans="1:9" ht="33" customHeight="1" x14ac:dyDescent="0.6">
      <c r="A52" s="3"/>
      <c r="B52" s="26"/>
      <c r="C52" s="4"/>
      <c r="D52" s="3"/>
      <c r="E52" s="24"/>
      <c r="F52" s="4"/>
      <c r="G52" s="91">
        <v>45722</v>
      </c>
      <c r="H52" s="63" t="s">
        <v>456</v>
      </c>
      <c r="I52" s="72">
        <v>3535</v>
      </c>
    </row>
    <row r="53" spans="1:9" ht="33" customHeight="1" x14ac:dyDescent="0.6">
      <c r="A53" s="3"/>
      <c r="B53" s="26"/>
      <c r="C53" s="4"/>
      <c r="D53" s="3"/>
      <c r="E53" s="24"/>
      <c r="F53" s="4"/>
      <c r="G53" s="91">
        <v>45722</v>
      </c>
      <c r="H53" s="63" t="s">
        <v>457</v>
      </c>
      <c r="I53" s="72">
        <v>5050</v>
      </c>
    </row>
    <row r="54" spans="1:9" ht="33" customHeight="1" x14ac:dyDescent="0.6">
      <c r="A54" s="3"/>
      <c r="B54" s="26"/>
      <c r="C54" s="4"/>
      <c r="D54" s="3"/>
      <c r="E54" s="24"/>
      <c r="F54" s="4"/>
      <c r="G54" s="91">
        <v>45722</v>
      </c>
      <c r="H54" s="63" t="s">
        <v>458</v>
      </c>
      <c r="I54" s="72">
        <v>151500</v>
      </c>
    </row>
    <row r="55" spans="1:9" ht="33" customHeight="1" x14ac:dyDescent="0.6">
      <c r="A55" s="3"/>
      <c r="B55" s="26"/>
      <c r="C55" s="4"/>
      <c r="D55" s="3"/>
      <c r="E55" s="24"/>
      <c r="F55" s="4" t="s">
        <v>567</v>
      </c>
      <c r="G55" s="90">
        <v>45722</v>
      </c>
      <c r="H55" s="22" t="s">
        <v>462</v>
      </c>
      <c r="I55" s="83">
        <v>151500</v>
      </c>
    </row>
    <row r="56" spans="1:9" ht="33" customHeight="1" x14ac:dyDescent="0.6">
      <c r="A56" s="3"/>
      <c r="B56" s="26"/>
      <c r="C56" s="4"/>
      <c r="D56" s="3"/>
      <c r="E56" s="24"/>
      <c r="F56" s="4"/>
      <c r="G56" s="91">
        <v>45723</v>
      </c>
      <c r="H56" s="63" t="s">
        <v>461</v>
      </c>
      <c r="I56" s="72">
        <v>55000</v>
      </c>
    </row>
    <row r="57" spans="1:9" ht="33" customHeight="1" x14ac:dyDescent="0.6">
      <c r="A57" s="3"/>
      <c r="B57" s="26"/>
      <c r="C57" s="4"/>
      <c r="D57" s="3"/>
      <c r="E57" s="24"/>
      <c r="F57" s="4"/>
      <c r="G57" s="91">
        <v>45723</v>
      </c>
      <c r="H57" s="63" t="s">
        <v>14</v>
      </c>
      <c r="I57" s="72">
        <v>2000</v>
      </c>
    </row>
    <row r="58" spans="1:9" ht="33" customHeight="1" x14ac:dyDescent="0.6">
      <c r="A58" s="3"/>
      <c r="B58" s="26"/>
      <c r="C58" s="4"/>
      <c r="D58" s="3"/>
      <c r="E58" s="24"/>
      <c r="F58" s="4"/>
      <c r="G58" s="91">
        <v>45723</v>
      </c>
      <c r="H58" s="63" t="s">
        <v>11</v>
      </c>
      <c r="I58" s="72">
        <v>500</v>
      </c>
    </row>
    <row r="59" spans="1:9" ht="33" customHeight="1" x14ac:dyDescent="0.6">
      <c r="A59" s="3"/>
      <c r="B59" s="26"/>
      <c r="C59" s="4"/>
      <c r="D59" s="3"/>
      <c r="E59" s="24"/>
      <c r="F59" s="4"/>
      <c r="G59" s="91">
        <v>45723</v>
      </c>
      <c r="H59" s="63" t="s">
        <v>463</v>
      </c>
      <c r="I59" s="72">
        <v>42250</v>
      </c>
    </row>
    <row r="60" spans="1:9" ht="33" customHeight="1" x14ac:dyDescent="0.6">
      <c r="A60" s="3"/>
      <c r="B60" s="26"/>
      <c r="C60" s="4"/>
      <c r="D60" s="3"/>
      <c r="E60" s="24"/>
      <c r="F60" s="4"/>
      <c r="G60" s="91">
        <v>45723</v>
      </c>
      <c r="H60" s="63" t="s">
        <v>464</v>
      </c>
      <c r="I60" s="72">
        <v>22000</v>
      </c>
    </row>
    <row r="61" spans="1:9" ht="33" customHeight="1" x14ac:dyDescent="0.6">
      <c r="A61" s="3"/>
      <c r="B61" s="26"/>
      <c r="C61" s="4"/>
      <c r="D61" s="3"/>
      <c r="E61" s="24"/>
      <c r="F61" s="4"/>
      <c r="G61" s="91">
        <v>45723</v>
      </c>
      <c r="H61" s="63" t="s">
        <v>468</v>
      </c>
      <c r="I61" s="72">
        <v>6000</v>
      </c>
    </row>
    <row r="62" spans="1:9" ht="33" customHeight="1" x14ac:dyDescent="0.6">
      <c r="A62" s="3"/>
      <c r="B62" s="26"/>
      <c r="C62" s="4"/>
      <c r="D62" s="3"/>
      <c r="E62" s="24"/>
      <c r="F62" s="4"/>
      <c r="G62" s="91">
        <v>45723</v>
      </c>
      <c r="H62" s="63" t="s">
        <v>465</v>
      </c>
      <c r="I62" s="72">
        <v>100000</v>
      </c>
    </row>
    <row r="63" spans="1:9" ht="33" customHeight="1" x14ac:dyDescent="0.6">
      <c r="A63" s="3"/>
      <c r="B63" s="26"/>
      <c r="C63" s="4"/>
      <c r="D63" s="3"/>
      <c r="E63" s="24"/>
      <c r="F63" s="4"/>
      <c r="G63" s="91">
        <v>45723</v>
      </c>
      <c r="H63" s="63" t="s">
        <v>467</v>
      </c>
      <c r="I63" s="72">
        <v>1000000</v>
      </c>
    </row>
    <row r="64" spans="1:9" ht="33" customHeight="1" x14ac:dyDescent="0.6">
      <c r="A64" s="3"/>
      <c r="B64" s="26"/>
      <c r="C64" s="4"/>
      <c r="D64" s="3"/>
      <c r="E64" s="24"/>
      <c r="F64" s="4"/>
      <c r="G64" s="91">
        <v>45723</v>
      </c>
      <c r="H64" s="63" t="s">
        <v>469</v>
      </c>
      <c r="I64" s="72">
        <v>3800</v>
      </c>
    </row>
    <row r="65" spans="1:9" ht="33" customHeight="1" x14ac:dyDescent="0.6">
      <c r="A65" s="3"/>
      <c r="B65" s="26"/>
      <c r="C65" s="4"/>
      <c r="D65" s="3"/>
      <c r="E65" s="24"/>
      <c r="F65" s="4"/>
      <c r="G65" s="91">
        <v>45723</v>
      </c>
      <c r="H65" s="63" t="s">
        <v>470</v>
      </c>
      <c r="I65" s="72">
        <v>30300</v>
      </c>
    </row>
    <row r="66" spans="1:9" ht="33" customHeight="1" x14ac:dyDescent="0.6">
      <c r="A66" s="3"/>
      <c r="B66" s="26"/>
      <c r="C66" s="4"/>
      <c r="D66" s="3"/>
      <c r="E66" s="24"/>
      <c r="F66" s="4"/>
      <c r="G66" s="91">
        <v>45723</v>
      </c>
      <c r="H66" s="63" t="s">
        <v>471</v>
      </c>
      <c r="I66" s="72">
        <v>5000</v>
      </c>
    </row>
    <row r="67" spans="1:9" ht="33" customHeight="1" x14ac:dyDescent="0.6">
      <c r="A67" s="3"/>
      <c r="B67" s="26"/>
      <c r="C67" s="4"/>
      <c r="D67" s="3"/>
      <c r="E67" s="24"/>
      <c r="F67" s="4"/>
      <c r="G67" s="91">
        <v>45723</v>
      </c>
      <c r="H67" s="63" t="s">
        <v>473</v>
      </c>
      <c r="I67" s="72">
        <v>303000</v>
      </c>
    </row>
    <row r="68" spans="1:9" ht="33" customHeight="1" x14ac:dyDescent="0.6">
      <c r="A68" s="3"/>
      <c r="B68" s="26"/>
      <c r="C68" s="4"/>
      <c r="D68" s="3"/>
      <c r="E68" s="24"/>
      <c r="F68" s="4"/>
      <c r="G68" s="91">
        <v>45724</v>
      </c>
      <c r="H68" s="63" t="s">
        <v>12</v>
      </c>
      <c r="I68" s="72">
        <v>20000</v>
      </c>
    </row>
    <row r="69" spans="1:9" ht="33" customHeight="1" x14ac:dyDescent="0.6">
      <c r="A69" s="3"/>
      <c r="B69" s="26"/>
      <c r="C69" s="4"/>
      <c r="D69" s="3"/>
      <c r="E69" s="24"/>
      <c r="F69" s="4"/>
      <c r="G69" s="91">
        <v>45724</v>
      </c>
      <c r="H69" s="63" t="s">
        <v>477</v>
      </c>
      <c r="I69" s="72">
        <v>37370</v>
      </c>
    </row>
    <row r="70" spans="1:9" ht="33" customHeight="1" x14ac:dyDescent="0.6">
      <c r="A70" s="3"/>
      <c r="B70" s="26"/>
      <c r="C70" s="4"/>
      <c r="D70" s="3"/>
      <c r="E70" s="24"/>
      <c r="F70" s="4"/>
      <c r="G70" s="91">
        <v>45724</v>
      </c>
      <c r="H70" s="63" t="s">
        <v>478</v>
      </c>
      <c r="I70" s="72">
        <v>1600</v>
      </c>
    </row>
    <row r="71" spans="1:9" ht="33" customHeight="1" x14ac:dyDescent="0.6">
      <c r="A71" s="3"/>
      <c r="B71" s="26"/>
      <c r="C71" s="4"/>
      <c r="D71" s="3"/>
      <c r="E71" s="24"/>
      <c r="F71" s="4"/>
      <c r="G71" s="91">
        <v>45724</v>
      </c>
      <c r="H71" s="63" t="s">
        <v>479</v>
      </c>
      <c r="I71" s="72">
        <v>85850</v>
      </c>
    </row>
    <row r="72" spans="1:9" ht="33" customHeight="1" x14ac:dyDescent="0.6">
      <c r="A72" s="3"/>
      <c r="B72" s="26"/>
      <c r="C72" s="4"/>
      <c r="D72" s="3"/>
      <c r="E72" s="24"/>
      <c r="F72" s="4"/>
      <c r="G72" s="91">
        <v>45724</v>
      </c>
      <c r="H72" s="63" t="s">
        <v>480</v>
      </c>
      <c r="I72" s="72">
        <v>5050</v>
      </c>
    </row>
    <row r="73" spans="1:9" ht="33" customHeight="1" x14ac:dyDescent="0.6">
      <c r="A73" s="3"/>
      <c r="B73" s="26"/>
      <c r="C73" s="4"/>
      <c r="D73" s="3"/>
      <c r="E73" s="24"/>
      <c r="F73" s="4"/>
      <c r="G73" s="91">
        <v>45724</v>
      </c>
      <c r="H73" s="63" t="s">
        <v>481</v>
      </c>
      <c r="I73" s="72">
        <v>3030</v>
      </c>
    </row>
    <row r="74" spans="1:9" ht="33" customHeight="1" x14ac:dyDescent="0.6">
      <c r="A74" s="3"/>
      <c r="B74" s="26"/>
      <c r="C74" s="4"/>
      <c r="D74" s="3"/>
      <c r="E74" s="24"/>
      <c r="F74" s="4"/>
      <c r="G74" s="91">
        <v>45726</v>
      </c>
      <c r="H74" s="63" t="s">
        <v>482</v>
      </c>
      <c r="I74" s="72">
        <v>2000</v>
      </c>
    </row>
    <row r="75" spans="1:9" ht="33" customHeight="1" x14ac:dyDescent="0.6">
      <c r="A75" s="3"/>
      <c r="B75" s="26"/>
      <c r="C75" s="4"/>
      <c r="D75" s="3"/>
      <c r="E75" s="24"/>
      <c r="F75" s="4"/>
      <c r="G75" s="91">
        <v>45726</v>
      </c>
      <c r="H75" s="63" t="s">
        <v>380</v>
      </c>
      <c r="I75" s="72">
        <v>98000</v>
      </c>
    </row>
    <row r="76" spans="1:9" ht="33" customHeight="1" x14ac:dyDescent="0.6">
      <c r="A76" s="3"/>
      <c r="B76" s="26"/>
      <c r="C76" s="4"/>
      <c r="D76" s="3"/>
      <c r="E76" s="24"/>
      <c r="F76" s="4"/>
      <c r="G76" s="91">
        <v>45726</v>
      </c>
      <c r="H76" s="63" t="s">
        <v>486</v>
      </c>
      <c r="I76" s="72">
        <v>25250</v>
      </c>
    </row>
    <row r="77" spans="1:9" ht="33" customHeight="1" x14ac:dyDescent="0.6">
      <c r="A77" s="3"/>
      <c r="B77" s="26"/>
      <c r="C77" s="4"/>
      <c r="D77" s="3"/>
      <c r="E77" s="24"/>
      <c r="F77" s="4"/>
      <c r="G77" s="91">
        <v>45726</v>
      </c>
      <c r="H77" s="63" t="s">
        <v>484</v>
      </c>
      <c r="I77" s="72">
        <v>30300</v>
      </c>
    </row>
    <row r="78" spans="1:9" ht="33" customHeight="1" x14ac:dyDescent="0.6">
      <c r="A78" s="3"/>
      <c r="B78" s="26"/>
      <c r="C78" s="4"/>
      <c r="D78" s="3"/>
      <c r="E78" s="24"/>
      <c r="F78" s="4"/>
      <c r="G78" s="91">
        <v>45726</v>
      </c>
      <c r="H78" s="63" t="s">
        <v>485</v>
      </c>
      <c r="I78" s="72">
        <v>141400</v>
      </c>
    </row>
    <row r="79" spans="1:9" ht="33" customHeight="1" x14ac:dyDescent="0.6">
      <c r="A79" s="3"/>
      <c r="B79" s="26"/>
      <c r="C79" s="4"/>
      <c r="D79" s="3"/>
      <c r="E79" s="24"/>
      <c r="F79" s="4"/>
      <c r="G79" s="91">
        <v>45726</v>
      </c>
      <c r="H79" s="63" t="s">
        <v>487</v>
      </c>
      <c r="I79" s="72">
        <v>101000</v>
      </c>
    </row>
    <row r="80" spans="1:9" ht="33" customHeight="1" x14ac:dyDescent="0.6">
      <c r="A80" s="3"/>
      <c r="B80" s="26"/>
      <c r="C80" s="4"/>
      <c r="D80" s="3"/>
      <c r="E80" s="24"/>
      <c r="F80" s="4"/>
      <c r="G80" s="91">
        <v>45726</v>
      </c>
      <c r="H80" s="63" t="s">
        <v>489</v>
      </c>
      <c r="I80" s="72">
        <v>50500</v>
      </c>
    </row>
    <row r="81" spans="1:9" ht="33" customHeight="1" x14ac:dyDescent="0.6">
      <c r="A81" s="3"/>
      <c r="B81" s="26"/>
      <c r="C81" s="4"/>
      <c r="D81" s="3"/>
      <c r="E81" s="24"/>
      <c r="F81" s="4"/>
      <c r="G81" s="91">
        <v>45726</v>
      </c>
      <c r="H81" s="63" t="s">
        <v>490</v>
      </c>
      <c r="I81" s="72">
        <v>60600</v>
      </c>
    </row>
    <row r="82" spans="1:9" ht="33" customHeight="1" x14ac:dyDescent="0.6">
      <c r="A82" s="3"/>
      <c r="B82" s="26"/>
      <c r="C82" s="4"/>
      <c r="D82" s="3"/>
      <c r="E82" s="24"/>
      <c r="F82" s="4"/>
      <c r="G82" s="91">
        <v>45726</v>
      </c>
      <c r="H82" s="63" t="s">
        <v>491</v>
      </c>
      <c r="I82" s="72">
        <v>60600</v>
      </c>
    </row>
    <row r="83" spans="1:9" ht="33" customHeight="1" x14ac:dyDescent="0.6">
      <c r="A83" s="3"/>
      <c r="B83" s="26"/>
      <c r="C83" s="4"/>
      <c r="D83" s="3"/>
      <c r="E83" s="24"/>
      <c r="F83" s="4"/>
      <c r="G83" s="91">
        <v>45726</v>
      </c>
      <c r="H83" s="63" t="s">
        <v>492</v>
      </c>
      <c r="I83" s="72">
        <v>455000</v>
      </c>
    </row>
    <row r="84" spans="1:9" ht="33" customHeight="1" x14ac:dyDescent="0.6">
      <c r="A84" s="3"/>
      <c r="B84" s="26"/>
      <c r="C84" s="4"/>
      <c r="D84" s="3"/>
      <c r="E84" s="24"/>
      <c r="F84" s="4"/>
      <c r="G84" s="91">
        <v>45726</v>
      </c>
      <c r="H84" s="63" t="s">
        <v>493</v>
      </c>
      <c r="I84" s="72">
        <v>45450</v>
      </c>
    </row>
    <row r="85" spans="1:9" ht="33" customHeight="1" x14ac:dyDescent="0.6">
      <c r="A85" s="3"/>
      <c r="B85" s="26"/>
      <c r="C85" s="4"/>
      <c r="D85" s="3"/>
      <c r="E85" s="24"/>
      <c r="F85" s="4"/>
      <c r="G85" s="91">
        <v>45726</v>
      </c>
      <c r="H85" s="63" t="s">
        <v>494</v>
      </c>
      <c r="I85" s="72">
        <v>121200</v>
      </c>
    </row>
    <row r="86" spans="1:9" ht="33" customHeight="1" x14ac:dyDescent="0.6">
      <c r="A86" s="3"/>
      <c r="B86" s="26"/>
      <c r="C86" s="4"/>
      <c r="D86" s="3"/>
      <c r="E86" s="24"/>
      <c r="F86" s="4"/>
      <c r="G86" s="91">
        <v>45726</v>
      </c>
      <c r="H86" s="63" t="s">
        <v>495</v>
      </c>
      <c r="I86" s="72">
        <v>113623</v>
      </c>
    </row>
    <row r="87" spans="1:9" ht="33" customHeight="1" x14ac:dyDescent="0.6">
      <c r="A87" s="3"/>
      <c r="B87" s="26"/>
      <c r="C87" s="4"/>
      <c r="D87" s="3"/>
      <c r="E87" s="24"/>
      <c r="F87" s="4"/>
      <c r="G87" s="91">
        <v>45726</v>
      </c>
      <c r="H87" s="63" t="s">
        <v>496</v>
      </c>
      <c r="I87" s="72">
        <v>227250</v>
      </c>
    </row>
    <row r="88" spans="1:9" ht="33" customHeight="1" x14ac:dyDescent="0.6">
      <c r="A88" s="3"/>
      <c r="B88" s="26"/>
      <c r="C88" s="4"/>
      <c r="D88" s="3"/>
      <c r="E88" s="24"/>
      <c r="F88" s="4"/>
      <c r="G88" s="91">
        <v>45726</v>
      </c>
      <c r="H88" s="63" t="s">
        <v>497</v>
      </c>
      <c r="I88" s="72">
        <v>2000</v>
      </c>
    </row>
    <row r="89" spans="1:9" ht="33" customHeight="1" x14ac:dyDescent="0.6">
      <c r="A89" s="3"/>
      <c r="B89" s="26"/>
      <c r="C89" s="4"/>
      <c r="D89" s="3"/>
      <c r="E89" s="24"/>
      <c r="F89" s="4"/>
      <c r="G89" s="91">
        <v>45726</v>
      </c>
      <c r="H89" s="63" t="s">
        <v>498</v>
      </c>
      <c r="I89" s="72">
        <f>101000+35350</f>
        <v>136350</v>
      </c>
    </row>
    <row r="90" spans="1:9" ht="33" customHeight="1" x14ac:dyDescent="0.6">
      <c r="A90" s="3"/>
      <c r="B90" s="26"/>
      <c r="C90" s="4"/>
      <c r="D90" s="3"/>
      <c r="E90" s="24"/>
      <c r="F90" s="4"/>
      <c r="G90" s="91">
        <v>45726</v>
      </c>
      <c r="H90" s="63" t="s">
        <v>500</v>
      </c>
      <c r="I90" s="72">
        <v>1200</v>
      </c>
    </row>
    <row r="91" spans="1:9" ht="33" customHeight="1" x14ac:dyDescent="0.6">
      <c r="A91" s="3"/>
      <c r="B91" s="26"/>
      <c r="C91" s="4"/>
      <c r="D91" s="3"/>
      <c r="E91" s="24"/>
      <c r="F91" s="4"/>
      <c r="G91" s="91">
        <v>45727</v>
      </c>
      <c r="H91" s="63" t="s">
        <v>499</v>
      </c>
      <c r="I91" s="72">
        <v>24000</v>
      </c>
    </row>
    <row r="92" spans="1:9" ht="33" customHeight="1" x14ac:dyDescent="0.6">
      <c r="A92" s="3"/>
      <c r="B92" s="26"/>
      <c r="C92" s="4"/>
      <c r="D92" s="3"/>
      <c r="E92" s="24"/>
      <c r="F92" s="4"/>
      <c r="G92" s="91">
        <v>45727</v>
      </c>
      <c r="H92" s="63" t="s">
        <v>501</v>
      </c>
      <c r="I92" s="72">
        <v>100000</v>
      </c>
    </row>
    <row r="93" spans="1:9" s="23" customFormat="1" ht="33" customHeight="1" x14ac:dyDescent="0.6">
      <c r="A93" s="5"/>
      <c r="B93" s="22"/>
      <c r="C93" s="16"/>
      <c r="D93" s="5"/>
      <c r="E93" s="27"/>
      <c r="F93" s="16"/>
      <c r="G93" s="91">
        <v>45727</v>
      </c>
      <c r="H93" s="63" t="s">
        <v>502</v>
      </c>
      <c r="I93" s="72">
        <v>150000</v>
      </c>
    </row>
    <row r="94" spans="1:9" ht="33" customHeight="1" x14ac:dyDescent="0.6">
      <c r="A94" s="3"/>
      <c r="B94" s="26"/>
      <c r="C94" s="4"/>
      <c r="D94" s="3"/>
      <c r="E94" s="24"/>
      <c r="F94" s="4"/>
      <c r="G94" s="91">
        <v>45727</v>
      </c>
      <c r="H94" s="63" t="s">
        <v>503</v>
      </c>
      <c r="I94" s="72">
        <v>180000</v>
      </c>
    </row>
    <row r="95" spans="1:9" ht="33" customHeight="1" x14ac:dyDescent="0.6">
      <c r="A95" s="3"/>
      <c r="B95" s="26"/>
      <c r="C95" s="4"/>
      <c r="D95" s="3"/>
      <c r="E95" s="24"/>
      <c r="F95" s="4"/>
      <c r="G95" s="91">
        <v>45727</v>
      </c>
      <c r="H95" s="63" t="s">
        <v>504</v>
      </c>
      <c r="I95" s="72">
        <v>150000</v>
      </c>
    </row>
    <row r="96" spans="1:9" ht="33" customHeight="1" x14ac:dyDescent="0.6">
      <c r="A96" s="3"/>
      <c r="B96" s="26"/>
      <c r="C96" s="4"/>
      <c r="D96" s="3"/>
      <c r="E96" s="24"/>
      <c r="F96" s="4"/>
      <c r="G96" s="91">
        <v>45727</v>
      </c>
      <c r="H96" s="63" t="s">
        <v>512</v>
      </c>
      <c r="I96" s="72">
        <v>6000</v>
      </c>
    </row>
    <row r="97" spans="1:9" ht="31.2" customHeight="1" x14ac:dyDescent="0.6">
      <c r="A97" s="3"/>
      <c r="B97" s="26"/>
      <c r="C97" s="4"/>
      <c r="D97" s="3"/>
      <c r="E97" s="24"/>
      <c r="F97" s="4"/>
      <c r="G97" s="91">
        <v>45727</v>
      </c>
      <c r="H97" s="63" t="s">
        <v>505</v>
      </c>
      <c r="I97" s="72">
        <v>101000</v>
      </c>
    </row>
    <row r="98" spans="1:9" ht="33" customHeight="1" x14ac:dyDescent="0.6">
      <c r="A98" s="3"/>
      <c r="B98" s="26"/>
      <c r="C98" s="4"/>
      <c r="D98" s="3"/>
      <c r="E98" s="24"/>
      <c r="F98" s="4"/>
      <c r="G98" s="91">
        <v>45727</v>
      </c>
      <c r="H98" s="63" t="s">
        <v>506</v>
      </c>
      <c r="I98" s="72">
        <v>200000</v>
      </c>
    </row>
    <row r="99" spans="1:9" ht="33" customHeight="1" x14ac:dyDescent="0.6">
      <c r="A99" s="3"/>
      <c r="B99" s="26"/>
      <c r="C99" s="4"/>
      <c r="D99" s="3"/>
      <c r="E99" s="24"/>
      <c r="F99" s="4"/>
      <c r="G99" s="91">
        <v>45727</v>
      </c>
      <c r="H99" s="63" t="s">
        <v>507</v>
      </c>
      <c r="I99" s="72">
        <v>4500</v>
      </c>
    </row>
    <row r="100" spans="1:9" ht="33" customHeight="1" x14ac:dyDescent="0.6">
      <c r="A100" s="3"/>
      <c r="B100" s="26"/>
      <c r="C100" s="4"/>
      <c r="D100" s="3"/>
      <c r="E100" s="24"/>
      <c r="F100" s="4"/>
      <c r="G100" s="91">
        <v>45727</v>
      </c>
      <c r="H100" s="63" t="s">
        <v>508</v>
      </c>
      <c r="I100" s="72">
        <v>55550</v>
      </c>
    </row>
    <row r="101" spans="1:9" ht="33" customHeight="1" x14ac:dyDescent="0.6">
      <c r="A101" s="3"/>
      <c r="B101" s="26"/>
      <c r="C101" s="4"/>
      <c r="D101" s="3"/>
      <c r="E101" s="24"/>
      <c r="F101" s="4" t="s">
        <v>6</v>
      </c>
      <c r="G101" s="91">
        <v>45728</v>
      </c>
      <c r="H101" s="63" t="s">
        <v>510</v>
      </c>
      <c r="I101" s="72">
        <v>3000</v>
      </c>
    </row>
    <row r="102" spans="1:9" ht="33" customHeight="1" x14ac:dyDescent="0.6">
      <c r="A102" s="3"/>
      <c r="B102" s="26"/>
      <c r="C102" s="4"/>
      <c r="D102" s="3"/>
      <c r="E102" s="24"/>
      <c r="F102" s="4"/>
      <c r="G102" s="91">
        <v>45728</v>
      </c>
      <c r="H102" s="63" t="s">
        <v>511</v>
      </c>
      <c r="I102" s="72">
        <v>10100</v>
      </c>
    </row>
    <row r="103" spans="1:9" ht="33" customHeight="1" x14ac:dyDescent="0.6">
      <c r="A103" s="3"/>
      <c r="B103" s="26"/>
      <c r="C103" s="4"/>
      <c r="D103" s="3"/>
      <c r="E103" s="24"/>
      <c r="F103" s="4"/>
      <c r="G103" s="91">
        <v>45728</v>
      </c>
      <c r="H103" s="63" t="s">
        <v>513</v>
      </c>
      <c r="I103" s="72">
        <v>2000</v>
      </c>
    </row>
    <row r="104" spans="1:9" ht="33" customHeight="1" x14ac:dyDescent="0.6">
      <c r="A104" s="3"/>
      <c r="B104" s="26"/>
      <c r="C104" s="4"/>
      <c r="D104" s="3"/>
      <c r="E104" s="24"/>
      <c r="F104" s="4"/>
      <c r="G104" s="91">
        <v>45728</v>
      </c>
      <c r="H104" s="63" t="s">
        <v>514</v>
      </c>
      <c r="I104" s="72">
        <v>3000</v>
      </c>
    </row>
    <row r="105" spans="1:9" ht="33" customHeight="1" x14ac:dyDescent="0.6">
      <c r="A105" s="3"/>
      <c r="B105" s="26"/>
      <c r="C105" s="4"/>
      <c r="D105" s="3"/>
      <c r="E105" s="24"/>
      <c r="F105" s="4"/>
      <c r="G105" s="91">
        <v>45728</v>
      </c>
      <c r="H105" s="63" t="s">
        <v>515</v>
      </c>
      <c r="I105" s="72">
        <v>600</v>
      </c>
    </row>
    <row r="106" spans="1:9" ht="33" customHeight="1" x14ac:dyDescent="0.6">
      <c r="A106" s="3"/>
      <c r="B106" s="26"/>
      <c r="C106" s="4"/>
      <c r="D106" s="3"/>
      <c r="E106" s="24"/>
      <c r="F106" s="4"/>
      <c r="G106" s="91">
        <v>45728</v>
      </c>
      <c r="H106" s="63" t="s">
        <v>516</v>
      </c>
      <c r="I106" s="72">
        <v>121200</v>
      </c>
    </row>
    <row r="107" spans="1:9" ht="33" customHeight="1" x14ac:dyDescent="0.6">
      <c r="A107" s="3"/>
      <c r="B107" s="26"/>
      <c r="C107" s="4"/>
      <c r="D107" s="3"/>
      <c r="E107" s="24"/>
      <c r="F107" s="4"/>
      <c r="G107" s="91">
        <v>45728</v>
      </c>
      <c r="H107" s="63" t="s">
        <v>517</v>
      </c>
      <c r="I107" s="72">
        <v>111100</v>
      </c>
    </row>
    <row r="108" spans="1:9" ht="33" customHeight="1" x14ac:dyDescent="0.6">
      <c r="A108" s="3"/>
      <c r="B108" s="26"/>
      <c r="C108" s="4"/>
      <c r="D108" s="3"/>
      <c r="E108" s="24"/>
      <c r="F108" s="4"/>
      <c r="G108" s="91">
        <v>45728</v>
      </c>
      <c r="H108" s="63" t="s">
        <v>518</v>
      </c>
      <c r="I108" s="72">
        <v>1000</v>
      </c>
    </row>
    <row r="109" spans="1:9" ht="33" customHeight="1" x14ac:dyDescent="0.6">
      <c r="A109" s="3"/>
      <c r="B109" s="26"/>
      <c r="C109" s="4"/>
      <c r="D109" s="3"/>
      <c r="E109" s="24"/>
      <c r="F109" s="4"/>
      <c r="G109" s="90">
        <v>45728</v>
      </c>
      <c r="H109" s="22" t="s">
        <v>519</v>
      </c>
      <c r="I109" s="83">
        <v>800</v>
      </c>
    </row>
    <row r="110" spans="1:9" ht="33" customHeight="1" x14ac:dyDescent="0.6">
      <c r="A110" s="3"/>
      <c r="B110" s="26"/>
      <c r="C110" s="4"/>
      <c r="D110" s="3"/>
      <c r="E110" s="24"/>
      <c r="F110" s="4"/>
      <c r="G110" s="91">
        <v>45729</v>
      </c>
      <c r="H110" s="63" t="s">
        <v>520</v>
      </c>
      <c r="I110" s="72">
        <v>252500</v>
      </c>
    </row>
    <row r="111" spans="1:9" ht="33" customHeight="1" x14ac:dyDescent="0.6">
      <c r="A111" s="3"/>
      <c r="B111" s="26"/>
      <c r="C111" s="4"/>
      <c r="D111" s="3"/>
      <c r="E111" s="24"/>
      <c r="F111" s="4"/>
      <c r="G111" s="91">
        <v>45729</v>
      </c>
      <c r="H111" s="63" t="s">
        <v>521</v>
      </c>
      <c r="I111" s="72">
        <v>131300</v>
      </c>
    </row>
    <row r="112" spans="1:9" ht="33" customHeight="1" x14ac:dyDescent="0.6">
      <c r="A112" s="3"/>
      <c r="B112" s="26"/>
      <c r="C112" s="4"/>
      <c r="D112" s="3"/>
      <c r="E112" s="24"/>
      <c r="F112" s="4"/>
      <c r="G112" s="91">
        <v>45729</v>
      </c>
      <c r="H112" s="63" t="s">
        <v>336</v>
      </c>
      <c r="I112" s="72">
        <v>339100</v>
      </c>
    </row>
    <row r="113" spans="1:9" ht="33" customHeight="1" x14ac:dyDescent="0.6">
      <c r="A113" s="3"/>
      <c r="B113" s="26"/>
      <c r="C113" s="4"/>
      <c r="D113" s="3"/>
      <c r="E113" s="24"/>
      <c r="F113" s="4"/>
      <c r="G113" s="91">
        <v>45729</v>
      </c>
      <c r="H113" s="63" t="s">
        <v>12</v>
      </c>
      <c r="I113" s="72">
        <v>20000</v>
      </c>
    </row>
    <row r="114" spans="1:9" ht="33" customHeight="1" x14ac:dyDescent="0.6">
      <c r="A114" s="3"/>
      <c r="B114" s="26"/>
      <c r="C114" s="4"/>
      <c r="D114" s="3"/>
      <c r="E114" s="24"/>
      <c r="F114" s="4"/>
      <c r="G114" s="91">
        <v>45729</v>
      </c>
      <c r="H114" s="63" t="s">
        <v>523</v>
      </c>
      <c r="I114" s="72">
        <v>10100</v>
      </c>
    </row>
    <row r="115" spans="1:9" ht="33" customHeight="1" x14ac:dyDescent="0.6">
      <c r="A115" s="3"/>
      <c r="B115" s="26"/>
      <c r="C115" s="4"/>
      <c r="D115" s="3"/>
      <c r="E115" s="24"/>
      <c r="F115" s="4"/>
      <c r="G115" s="91">
        <v>45729</v>
      </c>
      <c r="H115" s="63" t="s">
        <v>524</v>
      </c>
      <c r="I115" s="72">
        <v>101000</v>
      </c>
    </row>
    <row r="116" spans="1:9" ht="33" customHeight="1" x14ac:dyDescent="0.6">
      <c r="A116" s="3"/>
      <c r="B116" s="26"/>
      <c r="C116" s="4"/>
      <c r="D116" s="3"/>
      <c r="E116" s="24"/>
      <c r="F116" s="4"/>
      <c r="G116" s="90">
        <v>45729</v>
      </c>
      <c r="H116" s="22" t="s">
        <v>525</v>
      </c>
      <c r="I116" s="83">
        <v>15000</v>
      </c>
    </row>
    <row r="117" spans="1:9" ht="33" customHeight="1" x14ac:dyDescent="0.6">
      <c r="A117" s="3"/>
      <c r="B117" s="26"/>
      <c r="C117" s="4"/>
      <c r="D117" s="3"/>
      <c r="E117" s="24"/>
      <c r="F117" s="4"/>
      <c r="G117" s="91">
        <v>45729</v>
      </c>
      <c r="H117" s="63" t="s">
        <v>526</v>
      </c>
      <c r="I117" s="72">
        <v>257045</v>
      </c>
    </row>
    <row r="118" spans="1:9" ht="33" customHeight="1" x14ac:dyDescent="0.6">
      <c r="A118" s="3"/>
      <c r="B118" s="26"/>
      <c r="C118" s="4"/>
      <c r="D118" s="3"/>
      <c r="E118" s="24"/>
      <c r="F118" s="4"/>
      <c r="G118" s="91">
        <v>45729</v>
      </c>
      <c r="H118" s="63" t="s">
        <v>527</v>
      </c>
      <c r="I118" s="72">
        <v>30300</v>
      </c>
    </row>
    <row r="119" spans="1:9" ht="33" customHeight="1" x14ac:dyDescent="0.6">
      <c r="A119" s="3"/>
      <c r="B119" s="26"/>
      <c r="C119" s="4"/>
      <c r="D119" s="3"/>
      <c r="E119" s="24"/>
      <c r="F119" s="4"/>
      <c r="G119" s="91">
        <v>45729</v>
      </c>
      <c r="H119" s="63" t="s">
        <v>528</v>
      </c>
      <c r="I119" s="72">
        <v>45450</v>
      </c>
    </row>
    <row r="120" spans="1:9" ht="33" customHeight="1" x14ac:dyDescent="0.6">
      <c r="A120" s="3"/>
      <c r="B120" s="26"/>
      <c r="C120" s="4"/>
      <c r="D120" s="3"/>
      <c r="E120" s="24"/>
      <c r="F120" s="4"/>
      <c r="G120" s="91">
        <v>45729</v>
      </c>
      <c r="H120" s="63" t="s">
        <v>529</v>
      </c>
      <c r="I120" s="72">
        <v>3030</v>
      </c>
    </row>
    <row r="121" spans="1:9" ht="33" customHeight="1" x14ac:dyDescent="0.6">
      <c r="A121" s="3"/>
      <c r="B121" s="26"/>
      <c r="C121" s="4"/>
      <c r="D121" s="3"/>
      <c r="E121" s="24"/>
      <c r="F121" s="4"/>
      <c r="G121" s="91">
        <v>45729</v>
      </c>
      <c r="H121" s="63" t="s">
        <v>530</v>
      </c>
      <c r="I121" s="72">
        <v>3030</v>
      </c>
    </row>
    <row r="122" spans="1:9" ht="33" customHeight="1" x14ac:dyDescent="0.6">
      <c r="A122" s="3"/>
      <c r="B122" s="26"/>
      <c r="C122" s="4"/>
      <c r="D122" s="3"/>
      <c r="E122" s="24"/>
      <c r="F122" s="4"/>
      <c r="G122" s="91">
        <v>45730</v>
      </c>
      <c r="H122" s="63" t="s">
        <v>532</v>
      </c>
      <c r="I122" s="72">
        <v>700</v>
      </c>
    </row>
    <row r="123" spans="1:9" ht="33" customHeight="1" x14ac:dyDescent="0.6">
      <c r="A123" s="3"/>
      <c r="B123" s="26"/>
      <c r="C123" s="4"/>
      <c r="D123" s="3"/>
      <c r="E123" s="24"/>
      <c r="F123" s="4"/>
      <c r="G123" s="91">
        <v>45730</v>
      </c>
      <c r="H123" s="63" t="s">
        <v>533</v>
      </c>
      <c r="I123" s="72">
        <v>797000</v>
      </c>
    </row>
    <row r="124" spans="1:9" ht="33" customHeight="1" x14ac:dyDescent="0.6">
      <c r="A124" s="3"/>
      <c r="B124" s="26"/>
      <c r="C124" s="4"/>
      <c r="D124" s="3"/>
      <c r="E124" s="24"/>
      <c r="F124" s="4"/>
      <c r="G124" s="91">
        <v>45730</v>
      </c>
      <c r="H124" s="63" t="s">
        <v>536</v>
      </c>
      <c r="I124" s="72">
        <v>138220</v>
      </c>
    </row>
    <row r="125" spans="1:9" ht="33" customHeight="1" x14ac:dyDescent="0.6">
      <c r="A125" s="3"/>
      <c r="B125" s="26"/>
      <c r="C125" s="4"/>
      <c r="D125" s="3"/>
      <c r="E125" s="24"/>
      <c r="F125" s="4"/>
      <c r="G125" s="91">
        <v>45730</v>
      </c>
      <c r="H125" s="63" t="s">
        <v>559</v>
      </c>
      <c r="I125" s="72">
        <v>108000</v>
      </c>
    </row>
    <row r="126" spans="1:9" ht="33" customHeight="1" x14ac:dyDescent="0.6">
      <c r="A126" s="3"/>
      <c r="B126" s="26"/>
      <c r="C126" s="4"/>
      <c r="D126" s="3"/>
      <c r="E126" s="24"/>
      <c r="F126" s="4"/>
      <c r="G126" s="91">
        <v>45730</v>
      </c>
      <c r="H126" s="63" t="s">
        <v>534</v>
      </c>
      <c r="I126" s="72">
        <v>20200</v>
      </c>
    </row>
    <row r="127" spans="1:9" ht="33" customHeight="1" x14ac:dyDescent="0.6">
      <c r="A127" s="3"/>
      <c r="B127" s="26"/>
      <c r="C127" s="4"/>
      <c r="D127" s="3"/>
      <c r="E127" s="24"/>
      <c r="F127" s="4"/>
      <c r="G127" s="91">
        <v>45730</v>
      </c>
      <c r="H127" s="63" t="s">
        <v>535</v>
      </c>
      <c r="I127" s="72">
        <v>51510</v>
      </c>
    </row>
    <row r="128" spans="1:9" ht="33" customHeight="1" x14ac:dyDescent="0.6">
      <c r="A128" s="3"/>
      <c r="B128" s="26"/>
      <c r="C128" s="4"/>
      <c r="D128" s="3"/>
      <c r="E128" s="24"/>
      <c r="F128" s="4"/>
      <c r="G128" s="91">
        <v>45730</v>
      </c>
      <c r="H128" s="63" t="s">
        <v>545</v>
      </c>
      <c r="I128" s="72">
        <v>1000</v>
      </c>
    </row>
    <row r="129" spans="1:9" ht="33" customHeight="1" x14ac:dyDescent="0.6">
      <c r="A129" s="3"/>
      <c r="B129" s="26"/>
      <c r="C129" s="4"/>
      <c r="D129" s="3"/>
      <c r="E129" s="24"/>
      <c r="F129" s="4"/>
      <c r="G129" s="91">
        <v>45731</v>
      </c>
      <c r="H129" s="63" t="s">
        <v>537</v>
      </c>
      <c r="I129" s="72">
        <v>454500</v>
      </c>
    </row>
    <row r="130" spans="1:9" ht="33" customHeight="1" x14ac:dyDescent="0.6">
      <c r="A130" s="3"/>
      <c r="B130" s="26"/>
      <c r="C130" s="4"/>
      <c r="D130" s="3"/>
      <c r="E130" s="24"/>
      <c r="F130" s="4"/>
      <c r="G130" s="91">
        <v>45731</v>
      </c>
      <c r="H130" s="63" t="s">
        <v>538</v>
      </c>
      <c r="I130" s="72">
        <v>5050</v>
      </c>
    </row>
    <row r="131" spans="1:9" ht="33" customHeight="1" x14ac:dyDescent="0.6">
      <c r="A131" s="3"/>
      <c r="B131" s="26"/>
      <c r="C131" s="4"/>
      <c r="D131" s="3"/>
      <c r="E131" s="24"/>
      <c r="F131" s="4"/>
      <c r="G131" s="91">
        <v>45731</v>
      </c>
      <c r="H131" s="63" t="s">
        <v>539</v>
      </c>
      <c r="I131" s="72">
        <v>216645</v>
      </c>
    </row>
    <row r="132" spans="1:9" ht="33" customHeight="1" x14ac:dyDescent="0.6">
      <c r="A132" s="3"/>
      <c r="B132" s="26"/>
      <c r="C132" s="4"/>
      <c r="D132" s="3"/>
      <c r="E132" s="24"/>
      <c r="F132" s="4"/>
      <c r="G132" s="91">
        <v>45731</v>
      </c>
      <c r="H132" s="63" t="s">
        <v>542</v>
      </c>
      <c r="I132" s="72">
        <v>90900</v>
      </c>
    </row>
    <row r="133" spans="1:9" ht="33" customHeight="1" x14ac:dyDescent="0.6">
      <c r="A133" s="3"/>
      <c r="B133" s="26"/>
      <c r="C133" s="4"/>
      <c r="D133" s="3"/>
      <c r="E133" s="24"/>
      <c r="F133" s="4"/>
      <c r="G133" s="91">
        <v>45731</v>
      </c>
      <c r="H133" s="63" t="s">
        <v>543</v>
      </c>
      <c r="I133" s="72">
        <v>25000</v>
      </c>
    </row>
    <row r="134" spans="1:9" ht="33" customHeight="1" x14ac:dyDescent="0.6">
      <c r="A134" s="3"/>
      <c r="B134" s="26"/>
      <c r="C134" s="4"/>
      <c r="D134" s="3"/>
      <c r="E134" s="24"/>
      <c r="F134" s="4"/>
      <c r="G134" s="91">
        <v>45732</v>
      </c>
      <c r="H134" s="63" t="s">
        <v>540</v>
      </c>
      <c r="I134" s="72">
        <v>90900</v>
      </c>
    </row>
    <row r="135" spans="1:9" ht="33" customHeight="1" x14ac:dyDescent="0.6">
      <c r="A135" s="3"/>
      <c r="B135" s="26"/>
      <c r="C135" s="4"/>
      <c r="D135" s="3"/>
      <c r="E135" s="24"/>
      <c r="F135" s="4"/>
      <c r="G135" s="91">
        <v>45732</v>
      </c>
      <c r="H135" s="63" t="s">
        <v>12</v>
      </c>
      <c r="I135" s="72">
        <v>20200</v>
      </c>
    </row>
    <row r="136" spans="1:9" ht="33" customHeight="1" x14ac:dyDescent="0.6">
      <c r="A136" s="3"/>
      <c r="B136" s="26"/>
      <c r="C136" s="4"/>
      <c r="D136" s="3"/>
      <c r="E136" s="24"/>
      <c r="F136" s="4"/>
      <c r="G136" s="91">
        <v>45732</v>
      </c>
      <c r="H136" s="63" t="s">
        <v>541</v>
      </c>
      <c r="I136" s="72">
        <v>50500</v>
      </c>
    </row>
    <row r="137" spans="1:9" ht="33" customHeight="1" x14ac:dyDescent="0.6">
      <c r="A137" s="3"/>
      <c r="B137" s="26"/>
      <c r="C137" s="4"/>
      <c r="D137" s="3"/>
      <c r="E137" s="24"/>
      <c r="F137" s="4"/>
      <c r="G137" s="91">
        <v>45733</v>
      </c>
      <c r="H137" s="63" t="s">
        <v>544</v>
      </c>
      <c r="I137" s="72">
        <v>121200</v>
      </c>
    </row>
    <row r="138" spans="1:9" ht="33" customHeight="1" x14ac:dyDescent="0.6">
      <c r="A138" s="3"/>
      <c r="B138" s="26"/>
      <c r="C138" s="4"/>
      <c r="D138" s="3"/>
      <c r="E138" s="24"/>
      <c r="F138" s="4"/>
      <c r="G138" s="91">
        <v>45733</v>
      </c>
      <c r="H138" s="63" t="s">
        <v>14</v>
      </c>
      <c r="I138" s="72">
        <v>2000</v>
      </c>
    </row>
    <row r="139" spans="1:9" ht="33" customHeight="1" x14ac:dyDescent="0.6">
      <c r="A139" s="3"/>
      <c r="B139" s="26"/>
      <c r="C139" s="4"/>
      <c r="D139" s="3"/>
      <c r="E139" s="24"/>
      <c r="F139" s="4"/>
      <c r="G139" s="91">
        <v>45733</v>
      </c>
      <c r="H139" s="63" t="s">
        <v>546</v>
      </c>
      <c r="I139" s="72">
        <v>10000</v>
      </c>
    </row>
    <row r="140" spans="1:9" ht="33" customHeight="1" x14ac:dyDescent="0.6">
      <c r="A140" s="3"/>
      <c r="B140" s="26"/>
      <c r="C140" s="4"/>
      <c r="D140" s="3"/>
      <c r="E140" s="24"/>
      <c r="F140" s="4"/>
      <c r="G140" s="91">
        <v>45733</v>
      </c>
      <c r="H140" s="63" t="s">
        <v>547</v>
      </c>
      <c r="I140" s="72">
        <v>52000</v>
      </c>
    </row>
    <row r="141" spans="1:9" ht="33" customHeight="1" x14ac:dyDescent="0.6">
      <c r="A141" s="3"/>
      <c r="B141" s="26"/>
      <c r="C141" s="4"/>
      <c r="D141" s="3"/>
      <c r="E141" s="24"/>
      <c r="F141" s="4"/>
      <c r="G141" s="90">
        <v>45733</v>
      </c>
      <c r="H141" s="22" t="s">
        <v>548</v>
      </c>
      <c r="I141" s="83">
        <v>4000</v>
      </c>
    </row>
    <row r="142" spans="1:9" ht="33" customHeight="1" x14ac:dyDescent="0.6">
      <c r="A142" s="3"/>
      <c r="B142" s="26"/>
      <c r="C142" s="4"/>
      <c r="D142" s="3"/>
      <c r="E142" s="24"/>
      <c r="F142" s="4"/>
      <c r="G142" s="91">
        <v>45733</v>
      </c>
      <c r="H142" s="63" t="s">
        <v>265</v>
      </c>
      <c r="I142" s="72">
        <v>521000</v>
      </c>
    </row>
    <row r="143" spans="1:9" ht="33" customHeight="1" x14ac:dyDescent="0.6">
      <c r="A143" s="3"/>
      <c r="B143" s="26"/>
      <c r="C143" s="4"/>
      <c r="D143" s="3"/>
      <c r="E143" s="24"/>
      <c r="F143" s="4"/>
      <c r="G143" s="91">
        <v>45733</v>
      </c>
      <c r="H143" s="63" t="s">
        <v>673</v>
      </c>
      <c r="I143" s="72">
        <f>134330+86660</f>
        <v>220990</v>
      </c>
    </row>
    <row r="144" spans="1:9" ht="33" customHeight="1" x14ac:dyDescent="0.6">
      <c r="A144" s="3"/>
      <c r="B144" s="26"/>
      <c r="C144" s="4"/>
      <c r="D144" s="3"/>
      <c r="E144" s="24"/>
      <c r="F144" s="4"/>
      <c r="G144" s="91">
        <v>45733</v>
      </c>
      <c r="H144" s="63" t="s">
        <v>551</v>
      </c>
      <c r="I144" s="72">
        <v>1667000</v>
      </c>
    </row>
    <row r="145" spans="1:9" ht="33" customHeight="1" x14ac:dyDescent="0.6">
      <c r="A145" s="3"/>
      <c r="B145" s="26"/>
      <c r="C145" s="4"/>
      <c r="D145" s="3"/>
      <c r="E145" s="24"/>
      <c r="F145" s="4"/>
      <c r="G145" s="91">
        <v>45733</v>
      </c>
      <c r="H145" s="63" t="s">
        <v>552</v>
      </c>
      <c r="I145" s="72">
        <v>10100</v>
      </c>
    </row>
    <row r="146" spans="1:9" ht="33" customHeight="1" x14ac:dyDescent="0.6">
      <c r="A146" s="3"/>
      <c r="B146" s="26"/>
      <c r="C146" s="4"/>
      <c r="D146" s="3"/>
      <c r="E146" s="24"/>
      <c r="F146" s="4"/>
      <c r="G146" s="91">
        <v>45734</v>
      </c>
      <c r="H146" s="63" t="s">
        <v>553</v>
      </c>
      <c r="I146" s="72">
        <v>196950</v>
      </c>
    </row>
    <row r="147" spans="1:9" ht="33" customHeight="1" x14ac:dyDescent="0.6">
      <c r="A147" s="3"/>
      <c r="B147" s="26"/>
      <c r="C147" s="4"/>
      <c r="D147" s="3"/>
      <c r="E147" s="24"/>
      <c r="F147" s="4"/>
      <c r="G147" s="91">
        <v>45734</v>
      </c>
      <c r="H147" s="63" t="s">
        <v>554</v>
      </c>
      <c r="I147" s="72">
        <v>250000</v>
      </c>
    </row>
    <row r="148" spans="1:9" ht="33" customHeight="1" x14ac:dyDescent="0.6">
      <c r="A148" s="3"/>
      <c r="B148" s="26"/>
      <c r="C148" s="4"/>
      <c r="D148" s="3"/>
      <c r="E148" s="24"/>
      <c r="F148" s="4"/>
      <c r="G148" s="91">
        <v>45734</v>
      </c>
      <c r="H148" s="63" t="s">
        <v>555</v>
      </c>
      <c r="I148" s="72">
        <v>13000</v>
      </c>
    </row>
    <row r="149" spans="1:9" ht="33" customHeight="1" x14ac:dyDescent="0.6">
      <c r="A149" s="3"/>
      <c r="B149" s="26"/>
      <c r="C149" s="4"/>
      <c r="D149" s="3"/>
      <c r="E149" s="24"/>
      <c r="F149" s="4"/>
      <c r="G149" s="91">
        <v>45734</v>
      </c>
      <c r="H149" s="63" t="s">
        <v>556</v>
      </c>
      <c r="I149" s="72">
        <v>10100</v>
      </c>
    </row>
    <row r="150" spans="1:9" ht="33" customHeight="1" x14ac:dyDescent="0.6">
      <c r="A150" s="3"/>
      <c r="B150" s="26"/>
      <c r="C150" s="4"/>
      <c r="D150" s="3"/>
      <c r="E150" s="24"/>
      <c r="F150" s="4"/>
      <c r="G150" s="91">
        <v>45734</v>
      </c>
      <c r="H150" s="63" t="s">
        <v>557</v>
      </c>
      <c r="I150" s="72">
        <v>2800</v>
      </c>
    </row>
    <row r="151" spans="1:9" ht="33" customHeight="1" x14ac:dyDescent="0.6">
      <c r="A151" s="3"/>
      <c r="B151" s="26"/>
      <c r="C151" s="4"/>
      <c r="D151" s="3"/>
      <c r="E151" s="24"/>
      <c r="F151" s="4"/>
      <c r="G151" s="91">
        <v>45734</v>
      </c>
      <c r="H151" s="63" t="s">
        <v>558</v>
      </c>
      <c r="I151" s="72">
        <v>200000</v>
      </c>
    </row>
    <row r="152" spans="1:9" ht="33" customHeight="1" x14ac:dyDescent="0.6">
      <c r="A152" s="3"/>
      <c r="B152" s="26"/>
      <c r="C152" s="4"/>
      <c r="D152" s="3"/>
      <c r="E152" s="24"/>
      <c r="F152" s="4"/>
      <c r="G152" s="91">
        <v>45735</v>
      </c>
      <c r="H152" s="63" t="s">
        <v>560</v>
      </c>
      <c r="I152" s="72">
        <v>500</v>
      </c>
    </row>
    <row r="153" spans="1:9" ht="33" customHeight="1" x14ac:dyDescent="0.6">
      <c r="A153" s="3"/>
      <c r="B153" s="26"/>
      <c r="C153" s="4"/>
      <c r="D153" s="3"/>
      <c r="E153" s="24"/>
      <c r="F153" s="4"/>
      <c r="G153" s="91">
        <v>45735</v>
      </c>
      <c r="H153" s="63" t="s">
        <v>561</v>
      </c>
      <c r="I153" s="72">
        <v>20500</v>
      </c>
    </row>
    <row r="154" spans="1:9" ht="33" customHeight="1" x14ac:dyDescent="0.6">
      <c r="A154" s="3"/>
      <c r="B154" s="26"/>
      <c r="C154" s="4"/>
      <c r="D154" s="3"/>
      <c r="E154" s="24"/>
      <c r="F154" s="4"/>
      <c r="G154" s="91">
        <v>45735</v>
      </c>
      <c r="H154" s="63" t="s">
        <v>562</v>
      </c>
      <c r="I154" s="72">
        <v>2000</v>
      </c>
    </row>
    <row r="155" spans="1:9" ht="33" customHeight="1" x14ac:dyDescent="0.6">
      <c r="A155" s="3"/>
      <c r="B155" s="26"/>
      <c r="C155" s="4"/>
      <c r="D155" s="3"/>
      <c r="E155" s="24"/>
      <c r="F155" s="4"/>
      <c r="G155" s="91">
        <v>45735</v>
      </c>
      <c r="H155" s="63" t="s">
        <v>563</v>
      </c>
      <c r="I155" s="72">
        <v>30300</v>
      </c>
    </row>
    <row r="156" spans="1:9" ht="33" customHeight="1" x14ac:dyDescent="0.6">
      <c r="A156" s="3"/>
      <c r="B156" s="26"/>
      <c r="C156" s="4"/>
      <c r="D156" s="3"/>
      <c r="E156" s="24"/>
      <c r="F156" s="4"/>
      <c r="G156" s="91">
        <v>45735</v>
      </c>
      <c r="H156" s="63" t="s">
        <v>564</v>
      </c>
      <c r="I156" s="72">
        <v>35350</v>
      </c>
    </row>
    <row r="157" spans="1:9" ht="33" customHeight="1" x14ac:dyDescent="0.6">
      <c r="A157" s="3"/>
      <c r="B157" s="26"/>
      <c r="C157" s="4"/>
      <c r="D157" s="3"/>
      <c r="E157" s="24"/>
      <c r="F157" s="4"/>
      <c r="G157" s="91">
        <v>45735</v>
      </c>
      <c r="H157" s="63" t="s">
        <v>566</v>
      </c>
      <c r="I157" s="72">
        <v>1000</v>
      </c>
    </row>
    <row r="158" spans="1:9" ht="33" customHeight="1" x14ac:dyDescent="0.6">
      <c r="A158" s="3"/>
      <c r="B158" s="26"/>
      <c r="C158" s="4"/>
      <c r="D158" s="3"/>
      <c r="E158" s="24"/>
      <c r="F158" s="4"/>
      <c r="G158" s="91">
        <v>45735</v>
      </c>
      <c r="H158" s="63" t="s">
        <v>568</v>
      </c>
      <c r="I158" s="72">
        <v>28280</v>
      </c>
    </row>
    <row r="159" spans="1:9" ht="33" customHeight="1" x14ac:dyDescent="0.6">
      <c r="A159" s="3"/>
      <c r="B159" s="26"/>
      <c r="C159" s="4"/>
      <c r="D159" s="3"/>
      <c r="E159" s="24"/>
      <c r="F159" s="4"/>
      <c r="G159" s="91">
        <v>45736</v>
      </c>
      <c r="H159" s="63" t="s">
        <v>570</v>
      </c>
      <c r="I159" s="72">
        <v>2500</v>
      </c>
    </row>
    <row r="160" spans="1:9" ht="33" customHeight="1" x14ac:dyDescent="0.6">
      <c r="A160" s="3"/>
      <c r="B160" s="26"/>
      <c r="C160" s="4"/>
      <c r="D160" s="3"/>
      <c r="E160" s="24"/>
      <c r="F160" s="4"/>
      <c r="G160" s="91">
        <v>45736</v>
      </c>
      <c r="H160" s="63" t="s">
        <v>571</v>
      </c>
      <c r="I160" s="72">
        <v>2830000</v>
      </c>
    </row>
    <row r="161" spans="1:9" ht="33" customHeight="1" x14ac:dyDescent="0.6">
      <c r="A161" s="3"/>
      <c r="B161" s="26"/>
      <c r="C161" s="4"/>
      <c r="D161" s="3"/>
      <c r="E161" s="24"/>
      <c r="F161" s="4"/>
      <c r="G161" s="91">
        <v>45736</v>
      </c>
      <c r="H161" s="63" t="s">
        <v>573</v>
      </c>
      <c r="I161" s="72">
        <v>18525</v>
      </c>
    </row>
    <row r="162" spans="1:9" ht="33" customHeight="1" x14ac:dyDescent="0.6">
      <c r="A162" s="3"/>
      <c r="B162" s="26"/>
      <c r="C162" s="4"/>
      <c r="D162" s="3"/>
      <c r="E162" s="24"/>
      <c r="F162" s="4"/>
      <c r="G162" s="91">
        <v>45736</v>
      </c>
      <c r="H162" s="63" t="s">
        <v>574</v>
      </c>
      <c r="I162" s="72">
        <v>15150</v>
      </c>
    </row>
    <row r="163" spans="1:9" s="23" customFormat="1" ht="33" customHeight="1" x14ac:dyDescent="0.6">
      <c r="A163" s="5"/>
      <c r="B163" s="22"/>
      <c r="C163" s="16"/>
      <c r="D163" s="5"/>
      <c r="E163" s="27"/>
      <c r="F163" s="16"/>
      <c r="G163" s="91">
        <v>45737</v>
      </c>
      <c r="H163" s="63" t="s">
        <v>15</v>
      </c>
      <c r="I163" s="72">
        <v>18000</v>
      </c>
    </row>
    <row r="164" spans="1:9" ht="33" customHeight="1" x14ac:dyDescent="0.6">
      <c r="A164" s="3"/>
      <c r="B164" s="26"/>
      <c r="C164" s="4"/>
      <c r="D164" s="3"/>
      <c r="E164" s="24"/>
      <c r="F164" s="4"/>
      <c r="G164" s="91">
        <v>45737</v>
      </c>
      <c r="H164" s="63" t="s">
        <v>576</v>
      </c>
      <c r="I164" s="72">
        <v>1000</v>
      </c>
    </row>
    <row r="165" spans="1:9" ht="33" customHeight="1" x14ac:dyDescent="0.6">
      <c r="A165" s="3"/>
      <c r="B165" s="26"/>
      <c r="C165" s="4"/>
      <c r="D165" s="3"/>
      <c r="E165" s="24"/>
      <c r="F165" s="4"/>
      <c r="G165" s="91">
        <v>45737</v>
      </c>
      <c r="H165" s="63" t="s">
        <v>578</v>
      </c>
      <c r="I165" s="72">
        <v>27270</v>
      </c>
    </row>
    <row r="166" spans="1:9" ht="33" customHeight="1" x14ac:dyDescent="0.6">
      <c r="A166" s="3"/>
      <c r="B166" s="26"/>
      <c r="C166" s="4"/>
      <c r="D166" s="3"/>
      <c r="E166" s="24"/>
      <c r="F166" s="4"/>
      <c r="G166" s="91">
        <v>45737</v>
      </c>
      <c r="H166" s="63" t="s">
        <v>579</v>
      </c>
      <c r="I166" s="72">
        <v>90900</v>
      </c>
    </row>
    <row r="167" spans="1:9" s="82" customFormat="1" ht="33" customHeight="1" x14ac:dyDescent="0.6">
      <c r="A167" s="12"/>
      <c r="B167" s="80"/>
      <c r="C167" s="11"/>
      <c r="D167" s="12"/>
      <c r="E167" s="81"/>
      <c r="F167" s="11"/>
      <c r="G167" s="91">
        <v>45737</v>
      </c>
      <c r="H167" s="63" t="s">
        <v>583</v>
      </c>
      <c r="I167" s="72">
        <v>381275</v>
      </c>
    </row>
    <row r="168" spans="1:9" s="82" customFormat="1" ht="33" customHeight="1" x14ac:dyDescent="0.6">
      <c r="A168" s="12"/>
      <c r="B168" s="80"/>
      <c r="C168" s="11"/>
      <c r="D168" s="12"/>
      <c r="E168" s="81"/>
      <c r="F168" s="11"/>
      <c r="G168" s="91">
        <v>45737</v>
      </c>
      <c r="H168" s="63" t="s">
        <v>584</v>
      </c>
      <c r="I168" s="72">
        <v>21210</v>
      </c>
    </row>
    <row r="169" spans="1:9" ht="33" customHeight="1" x14ac:dyDescent="0.6">
      <c r="A169" s="3"/>
      <c r="B169" s="26"/>
      <c r="C169" s="4"/>
      <c r="D169" s="3"/>
      <c r="E169" s="24"/>
      <c r="F169" s="4"/>
      <c r="G169" s="91">
        <v>45737</v>
      </c>
      <c r="H169" s="63" t="s">
        <v>587</v>
      </c>
      <c r="I169" s="72">
        <v>20000</v>
      </c>
    </row>
    <row r="170" spans="1:9" ht="33" customHeight="1" x14ac:dyDescent="0.6">
      <c r="A170" s="3"/>
      <c r="B170" s="26"/>
      <c r="C170" s="4"/>
      <c r="D170" s="3"/>
      <c r="E170" s="24"/>
      <c r="F170" s="4"/>
      <c r="G170" s="91">
        <v>45737</v>
      </c>
      <c r="H170" s="63" t="s">
        <v>589</v>
      </c>
      <c r="I170" s="72">
        <v>4000</v>
      </c>
    </row>
    <row r="171" spans="1:9" ht="33" customHeight="1" x14ac:dyDescent="0.6">
      <c r="A171" s="3"/>
      <c r="B171" s="26"/>
      <c r="C171" s="4"/>
      <c r="D171" s="3"/>
      <c r="E171" s="24"/>
      <c r="F171" s="4"/>
      <c r="G171" s="91">
        <v>45737</v>
      </c>
      <c r="H171" s="63" t="s">
        <v>590</v>
      </c>
      <c r="I171" s="72">
        <v>196850</v>
      </c>
    </row>
    <row r="172" spans="1:9" ht="33" customHeight="1" x14ac:dyDescent="0.6">
      <c r="A172" s="3"/>
      <c r="B172" s="26"/>
      <c r="C172" s="4"/>
      <c r="D172" s="3"/>
      <c r="E172" s="24"/>
      <c r="F172" s="4"/>
      <c r="G172" s="91">
        <v>45737</v>
      </c>
      <c r="H172" s="63" t="s">
        <v>599</v>
      </c>
      <c r="I172" s="72">
        <v>2000</v>
      </c>
    </row>
    <row r="173" spans="1:9" ht="33" customHeight="1" x14ac:dyDescent="0.6">
      <c r="A173" s="3"/>
      <c r="B173" s="26"/>
      <c r="C173" s="4"/>
      <c r="D173" s="3"/>
      <c r="E173" s="24"/>
      <c r="F173" s="4"/>
      <c r="G173" s="91">
        <v>45737</v>
      </c>
      <c r="H173" s="63" t="s">
        <v>591</v>
      </c>
      <c r="I173" s="72">
        <v>10100</v>
      </c>
    </row>
    <row r="174" spans="1:9" ht="33" customHeight="1" x14ac:dyDescent="0.6">
      <c r="A174" s="3"/>
      <c r="B174" s="26"/>
      <c r="C174" s="4"/>
      <c r="D174" s="3"/>
      <c r="E174" s="24"/>
      <c r="F174" s="4"/>
      <c r="G174" s="91">
        <v>45738</v>
      </c>
      <c r="H174" s="63" t="s">
        <v>593</v>
      </c>
      <c r="I174" s="72">
        <v>500</v>
      </c>
    </row>
    <row r="175" spans="1:9" ht="33" customHeight="1" x14ac:dyDescent="0.6">
      <c r="A175" s="3"/>
      <c r="B175" s="26"/>
      <c r="C175" s="4"/>
      <c r="D175" s="3"/>
      <c r="E175" s="24"/>
      <c r="F175" s="4"/>
      <c r="G175" s="91">
        <v>45738</v>
      </c>
      <c r="H175" s="63" t="s">
        <v>592</v>
      </c>
      <c r="I175" s="72">
        <v>2000</v>
      </c>
    </row>
    <row r="176" spans="1:9" ht="33" customHeight="1" x14ac:dyDescent="0.6">
      <c r="A176" s="3"/>
      <c r="B176" s="26"/>
      <c r="C176" s="4"/>
      <c r="D176" s="3"/>
      <c r="E176" s="24"/>
      <c r="F176" s="4"/>
      <c r="G176" s="91">
        <v>45738</v>
      </c>
      <c r="H176" s="63" t="s">
        <v>594</v>
      </c>
      <c r="I176" s="72">
        <v>200000</v>
      </c>
    </row>
    <row r="177" spans="1:9" ht="33" customHeight="1" x14ac:dyDescent="0.6">
      <c r="A177" s="3"/>
      <c r="B177" s="26"/>
      <c r="C177" s="4"/>
      <c r="D177" s="3"/>
      <c r="E177" s="24"/>
      <c r="F177" s="4"/>
      <c r="G177" s="91">
        <v>45738</v>
      </c>
      <c r="H177" s="63" t="s">
        <v>595</v>
      </c>
      <c r="I177" s="72">
        <v>1015000</v>
      </c>
    </row>
    <row r="178" spans="1:9" s="23" customFormat="1" ht="33" customHeight="1" x14ac:dyDescent="0.6">
      <c r="A178" s="5"/>
      <c r="B178" s="22"/>
      <c r="C178" s="16"/>
      <c r="D178" s="5"/>
      <c r="E178" s="27"/>
      <c r="F178" s="16"/>
      <c r="G178" s="91">
        <v>45738</v>
      </c>
      <c r="H178" s="63" t="s">
        <v>674</v>
      </c>
      <c r="I178" s="72">
        <v>101000</v>
      </c>
    </row>
    <row r="179" spans="1:9" s="23" customFormat="1" ht="33" customHeight="1" x14ac:dyDescent="0.6">
      <c r="A179" s="5"/>
      <c r="B179" s="22"/>
      <c r="C179" s="16"/>
      <c r="D179" s="5"/>
      <c r="E179" s="27"/>
      <c r="F179" s="16"/>
      <c r="G179" s="91">
        <v>45738</v>
      </c>
      <c r="H179" s="63" t="s">
        <v>593</v>
      </c>
      <c r="I179" s="72">
        <v>2000</v>
      </c>
    </row>
    <row r="180" spans="1:9" ht="33" customHeight="1" x14ac:dyDescent="0.6">
      <c r="A180" s="3"/>
      <c r="B180" s="26"/>
      <c r="C180" s="4"/>
      <c r="D180" s="3"/>
      <c r="E180" s="24"/>
      <c r="F180" s="4"/>
      <c r="G180" s="91">
        <v>45740</v>
      </c>
      <c r="H180" s="63" t="s">
        <v>596</v>
      </c>
      <c r="I180" s="72">
        <v>4000</v>
      </c>
    </row>
    <row r="181" spans="1:9" ht="33" customHeight="1" x14ac:dyDescent="0.6">
      <c r="A181" s="3"/>
      <c r="B181" s="26"/>
      <c r="C181" s="4"/>
      <c r="D181" s="3"/>
      <c r="E181" s="24"/>
      <c r="F181" s="4"/>
      <c r="G181" s="91">
        <v>45740</v>
      </c>
      <c r="H181" s="63" t="s">
        <v>415</v>
      </c>
      <c r="I181" s="72">
        <v>20000</v>
      </c>
    </row>
    <row r="182" spans="1:9" ht="33" customHeight="1" x14ac:dyDescent="0.6">
      <c r="A182" s="3"/>
      <c r="B182" s="26"/>
      <c r="C182" s="4"/>
      <c r="D182" s="3"/>
      <c r="E182" s="24"/>
      <c r="F182" s="4"/>
      <c r="G182" s="91">
        <v>45740</v>
      </c>
      <c r="H182" s="63" t="s">
        <v>19</v>
      </c>
      <c r="I182" s="72">
        <v>500</v>
      </c>
    </row>
    <row r="183" spans="1:9" ht="33" customHeight="1" x14ac:dyDescent="0.6">
      <c r="A183" s="3"/>
      <c r="B183" s="26"/>
      <c r="C183" s="4"/>
      <c r="D183" s="3"/>
      <c r="E183" s="24"/>
      <c r="F183" s="4"/>
      <c r="G183" s="91">
        <v>45740</v>
      </c>
      <c r="H183" s="63" t="s">
        <v>17</v>
      </c>
      <c r="I183" s="72">
        <v>219000</v>
      </c>
    </row>
    <row r="184" spans="1:9" s="50" customFormat="1" ht="33" customHeight="1" x14ac:dyDescent="0.6">
      <c r="A184" s="3"/>
      <c r="B184" s="26"/>
      <c r="C184" s="4"/>
      <c r="D184" s="3"/>
      <c r="E184" s="24"/>
      <c r="F184" s="4"/>
      <c r="G184" s="91">
        <v>45740</v>
      </c>
      <c r="H184" s="63" t="s">
        <v>624</v>
      </c>
      <c r="I184" s="72">
        <v>272000</v>
      </c>
    </row>
    <row r="185" spans="1:9" ht="33" customHeight="1" x14ac:dyDescent="0.6">
      <c r="A185" s="3"/>
      <c r="B185" s="26"/>
      <c r="C185" s="4"/>
      <c r="D185" s="3"/>
      <c r="E185" s="24"/>
      <c r="F185" s="4"/>
      <c r="G185" s="91">
        <v>45741</v>
      </c>
      <c r="H185" s="63" t="s">
        <v>600</v>
      </c>
      <c r="I185" s="72">
        <v>1000</v>
      </c>
    </row>
    <row r="186" spans="1:9" ht="33" customHeight="1" x14ac:dyDescent="0.6">
      <c r="A186" s="3"/>
      <c r="B186" s="26"/>
      <c r="C186" s="4"/>
      <c r="D186" s="3"/>
      <c r="E186" s="24"/>
      <c r="F186" s="4"/>
      <c r="G186" s="91">
        <v>45741</v>
      </c>
      <c r="H186" s="63" t="s">
        <v>601</v>
      </c>
      <c r="I186" s="72">
        <v>1000000</v>
      </c>
    </row>
    <row r="187" spans="1:9" ht="33" customHeight="1" x14ac:dyDescent="0.6">
      <c r="A187" s="3"/>
      <c r="B187" s="26"/>
      <c r="C187" s="4"/>
      <c r="D187" s="3"/>
      <c r="E187" s="24"/>
      <c r="F187" s="4"/>
      <c r="G187" s="91">
        <v>45741</v>
      </c>
      <c r="H187" s="63" t="s">
        <v>603</v>
      </c>
      <c r="I187" s="72">
        <v>250000</v>
      </c>
    </row>
    <row r="188" spans="1:9" ht="33" customHeight="1" x14ac:dyDescent="0.6">
      <c r="A188" s="3"/>
      <c r="B188" s="26"/>
      <c r="C188" s="4"/>
      <c r="D188" s="3"/>
      <c r="E188" s="24"/>
      <c r="F188" s="4"/>
      <c r="G188" s="91">
        <v>45741</v>
      </c>
      <c r="H188" s="63" t="s">
        <v>722</v>
      </c>
      <c r="I188" s="72">
        <v>1500000</v>
      </c>
    </row>
    <row r="189" spans="1:9" s="23" customFormat="1" ht="33" customHeight="1" x14ac:dyDescent="0.6">
      <c r="A189" s="5"/>
      <c r="B189" s="22"/>
      <c r="C189" s="16"/>
      <c r="D189" s="5"/>
      <c r="E189" s="27"/>
      <c r="F189" s="16"/>
      <c r="G189" s="91">
        <v>45741</v>
      </c>
      <c r="H189" s="63" t="s">
        <v>604</v>
      </c>
      <c r="I189" s="72">
        <v>2000</v>
      </c>
    </row>
    <row r="190" spans="1:9" ht="33" customHeight="1" x14ac:dyDescent="0.6">
      <c r="A190" s="3"/>
      <c r="B190" s="26"/>
      <c r="C190" s="4"/>
      <c r="D190" s="3"/>
      <c r="E190" s="24"/>
      <c r="F190" s="4"/>
      <c r="G190" s="91">
        <v>45741</v>
      </c>
      <c r="H190" s="63" t="s">
        <v>607</v>
      </c>
      <c r="I190" s="72">
        <v>2000</v>
      </c>
    </row>
    <row r="191" spans="1:9" ht="33" customHeight="1" x14ac:dyDescent="0.6">
      <c r="A191" s="3"/>
      <c r="B191" s="26"/>
      <c r="C191" s="4"/>
      <c r="D191" s="3"/>
      <c r="E191" s="24"/>
      <c r="F191" s="4"/>
      <c r="G191" s="91">
        <v>45741</v>
      </c>
      <c r="H191" s="63" t="s">
        <v>608</v>
      </c>
      <c r="I191" s="72">
        <v>10000</v>
      </c>
    </row>
    <row r="192" spans="1:9" ht="33" customHeight="1" x14ac:dyDescent="0.6">
      <c r="A192" s="3"/>
      <c r="B192" s="26"/>
      <c r="C192" s="4"/>
      <c r="D192" s="3"/>
      <c r="E192" s="24"/>
      <c r="F192" s="4"/>
      <c r="G192" s="91">
        <v>45741</v>
      </c>
      <c r="H192" s="63" t="s">
        <v>612</v>
      </c>
      <c r="I192" s="72">
        <v>181800</v>
      </c>
    </row>
    <row r="193" spans="1:9" ht="33" customHeight="1" x14ac:dyDescent="0.6">
      <c r="A193" s="3"/>
      <c r="B193" s="26"/>
      <c r="C193" s="4"/>
      <c r="D193" s="3"/>
      <c r="E193" s="24"/>
      <c r="F193" s="4"/>
      <c r="G193" s="91">
        <v>45741</v>
      </c>
      <c r="H193" s="63" t="s">
        <v>611</v>
      </c>
      <c r="I193" s="72">
        <v>65650</v>
      </c>
    </row>
    <row r="194" spans="1:9" ht="33" customHeight="1" x14ac:dyDescent="0.6">
      <c r="A194" s="3"/>
      <c r="B194" s="26"/>
      <c r="C194" s="4"/>
      <c r="D194" s="3"/>
      <c r="E194" s="24"/>
      <c r="F194" s="4"/>
      <c r="G194" s="91">
        <v>45741</v>
      </c>
      <c r="H194" s="63" t="s">
        <v>613</v>
      </c>
      <c r="I194" s="72">
        <v>393500</v>
      </c>
    </row>
    <row r="195" spans="1:9" ht="33" customHeight="1" x14ac:dyDescent="0.6">
      <c r="A195" s="3"/>
      <c r="B195" s="26"/>
      <c r="C195" s="4"/>
      <c r="D195" s="3"/>
      <c r="E195" s="24"/>
      <c r="F195" s="4"/>
      <c r="G195" s="91">
        <v>45741</v>
      </c>
      <c r="H195" s="63" t="s">
        <v>610</v>
      </c>
      <c r="I195" s="72">
        <v>100000</v>
      </c>
    </row>
    <row r="196" spans="1:9" s="23" customFormat="1" ht="33" customHeight="1" x14ac:dyDescent="0.6">
      <c r="A196" s="5"/>
      <c r="B196" s="22"/>
      <c r="C196" s="16"/>
      <c r="D196" s="5"/>
      <c r="E196" s="27"/>
      <c r="F196" s="16"/>
      <c r="G196" s="91">
        <v>45741</v>
      </c>
      <c r="H196" s="63" t="s">
        <v>614</v>
      </c>
      <c r="I196" s="72">
        <v>30300</v>
      </c>
    </row>
    <row r="197" spans="1:9" ht="33" customHeight="1" x14ac:dyDescent="0.6">
      <c r="A197" s="3"/>
      <c r="B197" s="26"/>
      <c r="C197" s="4"/>
      <c r="D197" s="3"/>
      <c r="E197" s="24"/>
      <c r="F197" s="4"/>
      <c r="G197" s="91">
        <v>45741</v>
      </c>
      <c r="H197" s="63" t="s">
        <v>615</v>
      </c>
      <c r="I197" s="72">
        <v>200000</v>
      </c>
    </row>
    <row r="198" spans="1:9" ht="33" customHeight="1" x14ac:dyDescent="0.6">
      <c r="A198" s="3"/>
      <c r="B198" s="26"/>
      <c r="C198" s="4"/>
      <c r="D198" s="3"/>
      <c r="E198" s="24"/>
      <c r="F198" s="4"/>
      <c r="G198" s="91">
        <v>45742</v>
      </c>
      <c r="H198" s="63" t="s">
        <v>616</v>
      </c>
      <c r="I198" s="72">
        <v>5050</v>
      </c>
    </row>
    <row r="199" spans="1:9" ht="33" customHeight="1" x14ac:dyDescent="0.6">
      <c r="A199" s="3"/>
      <c r="B199" s="26"/>
      <c r="C199" s="4"/>
      <c r="D199" s="3"/>
      <c r="E199" s="24"/>
      <c r="F199" s="4"/>
      <c r="G199" s="91">
        <v>45742</v>
      </c>
      <c r="H199" s="63" t="s">
        <v>618</v>
      </c>
      <c r="I199" s="72">
        <v>500</v>
      </c>
    </row>
    <row r="200" spans="1:9" ht="33" customHeight="1" x14ac:dyDescent="0.6">
      <c r="A200" s="3"/>
      <c r="B200" s="26"/>
      <c r="C200" s="4"/>
      <c r="D200" s="3"/>
      <c r="E200" s="24"/>
      <c r="F200" s="4"/>
      <c r="G200" s="91">
        <v>45742</v>
      </c>
      <c r="H200" s="63" t="s">
        <v>619</v>
      </c>
      <c r="I200" s="72">
        <v>151500</v>
      </c>
    </row>
    <row r="201" spans="1:9" ht="33" customHeight="1" x14ac:dyDescent="0.6">
      <c r="A201" s="3"/>
      <c r="B201" s="26"/>
      <c r="C201" s="4"/>
      <c r="D201" s="3"/>
      <c r="E201" s="24"/>
      <c r="F201" s="4"/>
      <c r="G201" s="91">
        <v>45742</v>
      </c>
      <c r="H201" s="63" t="s">
        <v>620</v>
      </c>
      <c r="I201" s="72">
        <v>3000</v>
      </c>
    </row>
    <row r="202" spans="1:9" s="23" customFormat="1" ht="33" customHeight="1" x14ac:dyDescent="0.6">
      <c r="A202" s="5"/>
      <c r="B202" s="22"/>
      <c r="C202" s="16"/>
      <c r="D202" s="5"/>
      <c r="E202" s="27"/>
      <c r="F202" s="16"/>
      <c r="G202" s="91">
        <v>45742</v>
      </c>
      <c r="H202" s="63" t="s">
        <v>388</v>
      </c>
      <c r="I202" s="72">
        <v>20000</v>
      </c>
    </row>
    <row r="203" spans="1:9" ht="33" customHeight="1" x14ac:dyDescent="0.6">
      <c r="A203" s="3"/>
      <c r="B203" s="26"/>
      <c r="C203" s="4"/>
      <c r="D203" s="3"/>
      <c r="E203" s="24"/>
      <c r="F203" s="4"/>
      <c r="G203" s="91">
        <v>45742</v>
      </c>
      <c r="H203" s="63" t="s">
        <v>621</v>
      </c>
      <c r="I203" s="72">
        <v>10100</v>
      </c>
    </row>
    <row r="204" spans="1:9" ht="33" customHeight="1" x14ac:dyDescent="0.6">
      <c r="A204" s="3"/>
      <c r="B204" s="26"/>
      <c r="C204" s="4"/>
      <c r="D204" s="3"/>
      <c r="E204" s="24"/>
      <c r="F204" s="4"/>
      <c r="G204" s="91">
        <v>45742</v>
      </c>
      <c r="H204" s="63" t="s">
        <v>623</v>
      </c>
      <c r="I204" s="72">
        <v>1515</v>
      </c>
    </row>
    <row r="205" spans="1:9" s="50" customFormat="1" ht="33" customHeight="1" x14ac:dyDescent="0.6">
      <c r="A205" s="3"/>
      <c r="B205" s="26"/>
      <c r="C205" s="4"/>
      <c r="D205" s="3"/>
      <c r="E205" s="24"/>
      <c r="F205" s="4"/>
      <c r="G205" s="91">
        <v>45742</v>
      </c>
      <c r="H205" s="63" t="s">
        <v>622</v>
      </c>
      <c r="I205" s="72">
        <v>5050</v>
      </c>
    </row>
    <row r="206" spans="1:9" s="50" customFormat="1" ht="33" customHeight="1" x14ac:dyDescent="0.6">
      <c r="A206" s="3"/>
      <c r="B206" s="26"/>
      <c r="C206" s="4"/>
      <c r="D206" s="3"/>
      <c r="E206" s="24"/>
      <c r="F206" s="4"/>
      <c r="G206" s="91">
        <v>45742</v>
      </c>
      <c r="H206" s="63" t="s">
        <v>625</v>
      </c>
      <c r="I206" s="72">
        <v>45450</v>
      </c>
    </row>
    <row r="207" spans="1:9" s="50" customFormat="1" ht="33" customHeight="1" x14ac:dyDescent="0.6">
      <c r="A207" s="3"/>
      <c r="B207" s="26"/>
      <c r="C207" s="4"/>
      <c r="D207" s="3"/>
      <c r="E207" s="24"/>
      <c r="F207" s="4"/>
      <c r="G207" s="91">
        <v>45744</v>
      </c>
      <c r="H207" s="63" t="s">
        <v>626</v>
      </c>
      <c r="I207" s="72">
        <v>10000</v>
      </c>
    </row>
    <row r="208" spans="1:9" s="50" customFormat="1" ht="33" customHeight="1" x14ac:dyDescent="0.6">
      <c r="A208" s="3"/>
      <c r="B208" s="26"/>
      <c r="C208" s="4"/>
      <c r="D208" s="3"/>
      <c r="E208" s="24"/>
      <c r="F208" s="4"/>
      <c r="G208" s="91">
        <v>45744</v>
      </c>
      <c r="H208" s="63" t="s">
        <v>628</v>
      </c>
      <c r="I208" s="72">
        <v>1000</v>
      </c>
    </row>
    <row r="209" spans="1:9" s="50" customFormat="1" ht="33" customHeight="1" x14ac:dyDescent="0.6">
      <c r="A209" s="3"/>
      <c r="B209" s="26"/>
      <c r="C209" s="4"/>
      <c r="D209" s="3"/>
      <c r="E209" s="24"/>
      <c r="F209" s="4"/>
      <c r="G209" s="91">
        <v>45744</v>
      </c>
      <c r="H209" s="63" t="s">
        <v>635</v>
      </c>
      <c r="I209" s="72">
        <v>202000</v>
      </c>
    </row>
    <row r="210" spans="1:9" s="50" customFormat="1" ht="33" customHeight="1" x14ac:dyDescent="0.6">
      <c r="A210" s="3"/>
      <c r="B210" s="26"/>
      <c r="C210" s="4"/>
      <c r="D210" s="3"/>
      <c r="E210" s="24"/>
      <c r="F210" s="4"/>
      <c r="G210" s="91">
        <v>45744</v>
      </c>
      <c r="H210" s="63" t="s">
        <v>630</v>
      </c>
      <c r="I210" s="72">
        <v>543500</v>
      </c>
    </row>
    <row r="211" spans="1:9" s="50" customFormat="1" ht="33" customHeight="1" x14ac:dyDescent="0.6">
      <c r="A211" s="3"/>
      <c r="B211" s="26"/>
      <c r="C211" s="4"/>
      <c r="D211" s="3"/>
      <c r="E211" s="24"/>
      <c r="F211" s="4"/>
      <c r="G211" s="91">
        <v>45744</v>
      </c>
      <c r="H211" s="63" t="s">
        <v>629</v>
      </c>
      <c r="I211" s="72">
        <v>50000</v>
      </c>
    </row>
    <row r="212" spans="1:9" s="50" customFormat="1" ht="33" customHeight="1" x14ac:dyDescent="0.6">
      <c r="A212" s="3"/>
      <c r="B212" s="26"/>
      <c r="C212" s="4"/>
      <c r="D212" s="3"/>
      <c r="E212" s="24"/>
      <c r="F212" s="4"/>
      <c r="G212" s="91">
        <v>45744</v>
      </c>
      <c r="H212" s="63" t="s">
        <v>634</v>
      </c>
      <c r="I212" s="72">
        <v>10100</v>
      </c>
    </row>
    <row r="213" spans="1:9" s="50" customFormat="1" ht="33" customHeight="1" x14ac:dyDescent="0.6">
      <c r="A213" s="3"/>
      <c r="B213" s="26"/>
      <c r="C213" s="4"/>
      <c r="D213" s="3"/>
      <c r="E213" s="24"/>
      <c r="F213" s="4"/>
      <c r="G213" s="91">
        <v>45744</v>
      </c>
      <c r="H213" s="63" t="s">
        <v>19</v>
      </c>
      <c r="I213" s="72">
        <v>1000</v>
      </c>
    </row>
    <row r="214" spans="1:9" s="50" customFormat="1" ht="33" customHeight="1" x14ac:dyDescent="0.6">
      <c r="A214" s="3"/>
      <c r="B214" s="26"/>
      <c r="C214" s="4"/>
      <c r="D214" s="3"/>
      <c r="E214" s="24"/>
      <c r="F214" s="4"/>
      <c r="G214" s="91">
        <v>45744</v>
      </c>
      <c r="H214" s="63" t="s">
        <v>643</v>
      </c>
      <c r="I214" s="72">
        <v>502000</v>
      </c>
    </row>
    <row r="215" spans="1:9" s="50" customFormat="1" ht="33" customHeight="1" x14ac:dyDescent="0.6">
      <c r="A215" s="3"/>
      <c r="B215" s="26"/>
      <c r="C215" s="4"/>
      <c r="D215" s="3"/>
      <c r="E215" s="24"/>
      <c r="F215" s="4"/>
      <c r="G215" s="91">
        <v>45744</v>
      </c>
      <c r="H215" s="63" t="s">
        <v>636</v>
      </c>
      <c r="I215" s="72">
        <v>3000</v>
      </c>
    </row>
    <row r="216" spans="1:9" s="50" customFormat="1" ht="33" customHeight="1" x14ac:dyDescent="0.6">
      <c r="A216" s="3"/>
      <c r="B216" s="26"/>
      <c r="C216" s="4"/>
      <c r="D216" s="3"/>
      <c r="E216" s="24"/>
      <c r="F216" s="4"/>
      <c r="G216" s="91">
        <v>45744</v>
      </c>
      <c r="H216" s="63" t="s">
        <v>653</v>
      </c>
      <c r="I216" s="72">
        <v>1600</v>
      </c>
    </row>
    <row r="217" spans="1:9" s="23" customFormat="1" ht="33" customHeight="1" x14ac:dyDescent="0.6">
      <c r="A217" s="5"/>
      <c r="B217" s="22"/>
      <c r="C217" s="16"/>
      <c r="D217" s="5"/>
      <c r="E217" s="27"/>
      <c r="F217" s="16"/>
      <c r="G217" s="91">
        <v>45744</v>
      </c>
      <c r="H217" s="63" t="s">
        <v>637</v>
      </c>
      <c r="I217" s="72">
        <v>429000</v>
      </c>
    </row>
    <row r="218" spans="1:9" ht="33" customHeight="1" x14ac:dyDescent="0.6">
      <c r="A218" s="3"/>
      <c r="B218" s="26"/>
      <c r="C218" s="4"/>
      <c r="D218" s="3"/>
      <c r="E218" s="24"/>
      <c r="F218" s="4"/>
      <c r="G218" s="91">
        <v>45745</v>
      </c>
      <c r="H218" s="63" t="s">
        <v>415</v>
      </c>
      <c r="I218" s="72">
        <v>20000</v>
      </c>
    </row>
    <row r="219" spans="1:9" ht="33" customHeight="1" x14ac:dyDescent="0.6">
      <c r="A219" s="3"/>
      <c r="B219" s="26"/>
      <c r="C219" s="4"/>
      <c r="D219" s="3"/>
      <c r="E219" s="24"/>
      <c r="F219" s="4"/>
      <c r="G219" s="91">
        <v>45745</v>
      </c>
      <c r="H219" s="63" t="s">
        <v>638</v>
      </c>
      <c r="I219" s="72">
        <v>62000</v>
      </c>
    </row>
    <row r="220" spans="1:9" ht="33" customHeight="1" x14ac:dyDescent="0.6">
      <c r="A220" s="3"/>
      <c r="B220" s="26"/>
      <c r="C220" s="4"/>
      <c r="D220" s="3"/>
      <c r="E220" s="24"/>
      <c r="F220" s="4"/>
      <c r="G220" s="91">
        <v>45745</v>
      </c>
      <c r="H220" s="63" t="s">
        <v>639</v>
      </c>
      <c r="I220" s="72">
        <v>50000</v>
      </c>
    </row>
    <row r="221" spans="1:9" ht="33" customHeight="1" x14ac:dyDescent="0.6">
      <c r="A221" s="3"/>
      <c r="B221" s="26"/>
      <c r="C221" s="4"/>
      <c r="D221" s="3"/>
      <c r="E221" s="24"/>
      <c r="F221" s="4"/>
      <c r="G221" s="91">
        <v>45745</v>
      </c>
      <c r="H221" s="63" t="s">
        <v>642</v>
      </c>
      <c r="I221" s="72">
        <v>471000</v>
      </c>
    </row>
    <row r="222" spans="1:9" ht="33" customHeight="1" x14ac:dyDescent="0.6">
      <c r="A222" s="3"/>
      <c r="B222" s="26"/>
      <c r="C222" s="4"/>
      <c r="D222" s="3"/>
      <c r="E222" s="24"/>
      <c r="F222" s="4"/>
      <c r="G222" s="91">
        <v>45745</v>
      </c>
      <c r="H222" s="63" t="s">
        <v>641</v>
      </c>
      <c r="I222" s="72">
        <v>50500</v>
      </c>
    </row>
    <row r="223" spans="1:9" ht="33" customHeight="1" x14ac:dyDescent="0.6">
      <c r="A223" s="3"/>
      <c r="B223" s="26"/>
      <c r="C223" s="4"/>
      <c r="D223" s="3"/>
      <c r="E223" s="24"/>
      <c r="F223" s="4"/>
      <c r="G223" s="91">
        <v>45745</v>
      </c>
      <c r="H223" s="63" t="s">
        <v>640</v>
      </c>
      <c r="I223" s="72">
        <v>150000</v>
      </c>
    </row>
    <row r="224" spans="1:9" ht="33" customHeight="1" x14ac:dyDescent="0.6">
      <c r="A224" s="3"/>
      <c r="B224" s="26"/>
      <c r="C224" s="4"/>
      <c r="D224" s="3"/>
      <c r="E224" s="24"/>
      <c r="F224" s="4"/>
      <c r="G224" s="91">
        <v>45745</v>
      </c>
      <c r="H224" s="63" t="s">
        <v>644</v>
      </c>
      <c r="I224" s="72">
        <v>26000</v>
      </c>
    </row>
    <row r="225" spans="1:9" ht="33" customHeight="1" x14ac:dyDescent="0.6">
      <c r="A225" s="3"/>
      <c r="B225" s="26"/>
      <c r="C225" s="4"/>
      <c r="D225" s="3"/>
      <c r="E225" s="24"/>
      <c r="F225" s="4"/>
      <c r="G225" s="91">
        <v>45745</v>
      </c>
      <c r="H225" s="63" t="s">
        <v>645</v>
      </c>
      <c r="I225" s="72">
        <v>2500</v>
      </c>
    </row>
    <row r="226" spans="1:9" ht="33" customHeight="1" x14ac:dyDescent="0.6">
      <c r="A226" s="3"/>
      <c r="B226" s="26"/>
      <c r="C226" s="4"/>
      <c r="D226" s="3"/>
      <c r="E226" s="24"/>
      <c r="F226" s="4"/>
      <c r="G226" s="91">
        <v>45746</v>
      </c>
      <c r="H226" s="63" t="s">
        <v>646</v>
      </c>
      <c r="I226" s="72">
        <v>17170</v>
      </c>
    </row>
    <row r="227" spans="1:9" x14ac:dyDescent="0.6">
      <c r="A227" s="3"/>
      <c r="B227" s="26"/>
      <c r="C227" s="4"/>
      <c r="D227" s="34"/>
      <c r="E227" s="35"/>
      <c r="F227" s="36"/>
      <c r="G227" s="92"/>
      <c r="H227" s="38"/>
      <c r="I227" s="72"/>
    </row>
    <row r="228" spans="1:9" ht="34.799999999999997" x14ac:dyDescent="0.6">
      <c r="A228" s="568" t="s">
        <v>7</v>
      </c>
      <c r="B228" s="569"/>
      <c r="C228" s="20">
        <f>SUM(C4:C227)</f>
        <v>46639916</v>
      </c>
      <c r="D228" s="570" t="s">
        <v>7</v>
      </c>
      <c r="E228" s="571"/>
      <c r="F228" s="20">
        <f>SUM(F4:F227)-F30</f>
        <v>13997175</v>
      </c>
      <c r="G228" s="68" t="s">
        <v>7</v>
      </c>
      <c r="H228" s="74"/>
      <c r="I228" s="30">
        <f>SUM(I4:I227)</f>
        <v>29988563</v>
      </c>
    </row>
    <row r="229" spans="1:9" ht="45.6" x14ac:dyDescent="0.6">
      <c r="A229" s="554" t="s">
        <v>13</v>
      </c>
      <c r="B229" s="555"/>
      <c r="C229" s="18">
        <f>+C228</f>
        <v>46639916</v>
      </c>
      <c r="D229" s="28"/>
      <c r="E229" s="29"/>
      <c r="F229" s="29"/>
      <c r="G229" s="69"/>
      <c r="H229" s="70" t="s">
        <v>20</v>
      </c>
      <c r="I229" s="19">
        <f>+F228+I228</f>
        <v>43985738</v>
      </c>
    </row>
    <row r="230" spans="1:9" ht="45.6" x14ac:dyDescent="0.6">
      <c r="D230" s="7"/>
      <c r="E230" s="7"/>
      <c r="G230" s="66"/>
      <c r="H230" s="67" t="s">
        <v>10</v>
      </c>
      <c r="I230" s="25">
        <f>+C228-F228-I228</f>
        <v>2654178</v>
      </c>
    </row>
    <row r="231" spans="1:9" s="39" customFormat="1" x14ac:dyDescent="0.6">
      <c r="A231" s="7"/>
      <c r="B231" s="1"/>
      <c r="C231" s="7"/>
      <c r="D231" s="6"/>
      <c r="E231" s="1"/>
      <c r="F231" s="7"/>
      <c r="G231" s="93"/>
      <c r="H231" s="1"/>
      <c r="I231" s="40">
        <f>+C229-I229</f>
        <v>2654178</v>
      </c>
    </row>
    <row r="232" spans="1:9" x14ac:dyDescent="0.6">
      <c r="H232" s="46"/>
      <c r="I232" s="40">
        <f>+I230-I231</f>
        <v>0</v>
      </c>
    </row>
    <row r="233" spans="1:9" s="8" customFormat="1" ht="49.2" customHeight="1" x14ac:dyDescent="0.6">
      <c r="A233" s="7"/>
      <c r="B233" s="1"/>
      <c r="C233" s="7"/>
      <c r="D233" s="6"/>
      <c r="E233" s="1"/>
      <c r="F233" s="7"/>
      <c r="G233" s="93"/>
      <c r="H233" s="1"/>
      <c r="I233" s="56"/>
    </row>
    <row r="234" spans="1:9" s="8" customFormat="1" ht="99.6" customHeight="1" x14ac:dyDescent="0.6">
      <c r="A234" s="7"/>
      <c r="B234" s="1"/>
      <c r="C234" s="7"/>
      <c r="D234" s="6"/>
      <c r="F234" s="7"/>
      <c r="G234" s="93"/>
      <c r="H234" s="1"/>
      <c r="I234" s="7"/>
    </row>
    <row r="235" spans="1:9" s="17" customFormat="1" ht="65.400000000000006" customHeight="1" x14ac:dyDescent="0.3">
      <c r="A235" s="57"/>
      <c r="B235" s="58"/>
      <c r="C235" s="57"/>
      <c r="D235" s="59"/>
      <c r="F235" s="57"/>
      <c r="G235" s="33"/>
      <c r="H235" s="65" t="s">
        <v>22</v>
      </c>
      <c r="I235" s="65"/>
    </row>
    <row r="236" spans="1:9" s="50" customFormat="1" ht="61.2" x14ac:dyDescent="1.05">
      <c r="A236" s="7"/>
      <c r="B236" s="1"/>
      <c r="C236" s="7"/>
      <c r="D236" s="6"/>
      <c r="E236" s="1"/>
      <c r="F236" s="7"/>
      <c r="G236" s="93"/>
      <c r="H236" s="52" t="s">
        <v>3</v>
      </c>
      <c r="I236" s="55">
        <f>+C229</f>
        <v>46639916</v>
      </c>
    </row>
    <row r="237" spans="1:9" s="50" customFormat="1" ht="61.2" x14ac:dyDescent="1.05">
      <c r="A237" s="7"/>
      <c r="B237" s="1"/>
      <c r="C237" s="7"/>
      <c r="D237" s="6"/>
      <c r="E237" s="1"/>
      <c r="F237" s="7"/>
      <c r="G237" s="93"/>
      <c r="H237" s="52" t="s">
        <v>23</v>
      </c>
      <c r="I237" s="55">
        <f>+F228</f>
        <v>13997175</v>
      </c>
    </row>
    <row r="238" spans="1:9" s="50" customFormat="1" ht="61.2" x14ac:dyDescent="1.05">
      <c r="A238" s="7"/>
      <c r="B238" s="1"/>
      <c r="C238" s="7"/>
      <c r="D238" s="6"/>
      <c r="E238" s="1"/>
      <c r="F238" s="7"/>
      <c r="G238" s="93"/>
      <c r="H238" s="52" t="s">
        <v>24</v>
      </c>
      <c r="I238" s="53">
        <f>+I228-I239</f>
        <v>29788563</v>
      </c>
    </row>
    <row r="239" spans="1:9" s="50" customFormat="1" ht="61.2" x14ac:dyDescent="1.05">
      <c r="A239" s="7"/>
      <c r="B239" s="1"/>
      <c r="C239" s="7"/>
      <c r="D239" s="6"/>
      <c r="E239" s="1"/>
      <c r="F239" s="7"/>
      <c r="G239" s="93"/>
      <c r="H239" s="52" t="s">
        <v>69</v>
      </c>
      <c r="I239" s="53">
        <f>+I176</f>
        <v>200000</v>
      </c>
    </row>
    <row r="240" spans="1:9" s="50" customFormat="1" ht="61.2" x14ac:dyDescent="1.05">
      <c r="A240" s="7"/>
      <c r="B240" s="1"/>
      <c r="C240" s="7"/>
      <c r="D240" s="6"/>
      <c r="E240" s="1"/>
      <c r="F240" s="7"/>
      <c r="G240" s="93"/>
      <c r="H240" s="52" t="s">
        <v>25</v>
      </c>
      <c r="I240" s="54">
        <f>+I236-I237-I238-I239</f>
        <v>2654178</v>
      </c>
    </row>
    <row r="241" spans="1:9" s="50" customFormat="1" x14ac:dyDescent="0.6">
      <c r="A241" s="7"/>
      <c r="B241" s="1"/>
      <c r="C241" s="7"/>
      <c r="D241" s="6"/>
      <c r="E241" s="1"/>
      <c r="F241" s="7"/>
      <c r="G241" s="93"/>
      <c r="H241" s="1"/>
      <c r="I241" s="1"/>
    </row>
    <row r="242" spans="1:9" s="50" customFormat="1" x14ac:dyDescent="0.6">
      <c r="A242" s="7"/>
      <c r="B242" s="1"/>
      <c r="C242" s="7"/>
      <c r="D242" s="6"/>
      <c r="E242" s="1"/>
      <c r="F242" s="7"/>
      <c r="G242" s="93"/>
      <c r="H242" s="1"/>
      <c r="I242" s="1"/>
    </row>
    <row r="243" spans="1:9" s="50" customFormat="1" x14ac:dyDescent="0.6">
      <c r="A243" s="7"/>
      <c r="B243" s="1"/>
      <c r="C243" s="7"/>
      <c r="D243" s="6"/>
      <c r="E243" s="1"/>
      <c r="F243" s="7"/>
      <c r="G243" s="93"/>
      <c r="H243" s="1"/>
      <c r="I243" s="1"/>
    </row>
    <row r="244" spans="1:9" s="50" customFormat="1" x14ac:dyDescent="0.6">
      <c r="A244" s="7"/>
      <c r="B244" s="1"/>
      <c r="C244" s="7"/>
      <c r="D244" s="6"/>
      <c r="E244" s="1"/>
      <c r="F244" s="7"/>
      <c r="G244" s="93"/>
      <c r="H244" s="1"/>
      <c r="I244" s="1"/>
    </row>
  </sheetData>
  <autoFilter ref="A3:I52" xr:uid="{C27F9055-AF1A-4DFB-ADB2-58AB89720241}">
    <sortState xmlns:xlrd2="http://schemas.microsoft.com/office/spreadsheetml/2017/richdata2" ref="A4:I6">
      <sortCondition sortBy="cellColor" ref="I3:I6" dxfId="81"/>
    </sortState>
  </autoFilter>
  <mergeCells count="7">
    <mergeCell ref="A229:B229"/>
    <mergeCell ref="A1:I1"/>
    <mergeCell ref="A2:C2"/>
    <mergeCell ref="D2:I2"/>
    <mergeCell ref="A228:B228"/>
    <mergeCell ref="D228:E228"/>
    <mergeCell ref="D30:E30"/>
  </mergeCells>
  <pageMargins left="0.7" right="0.7" top="0.75" bottom="0.75" header="0.3" footer="0.3"/>
  <pageSetup paperSize="9" scale="38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874F-FBCF-4F45-A0F8-23E10B7088ED}">
  <sheetPr>
    <tabColor rgb="FFFFFF00"/>
  </sheetPr>
  <dimension ref="A1:I337"/>
  <sheetViews>
    <sheetView topLeftCell="E305" zoomScale="30" zoomScaleNormal="30" zoomScaleSheetLayoutView="10" workbookViewId="0">
      <selection activeCell="F329" sqref="F329"/>
    </sheetView>
  </sheetViews>
  <sheetFormatPr baseColWidth="10" defaultColWidth="11.5546875" defaultRowHeight="31.2" x14ac:dyDescent="0.6"/>
  <cols>
    <col min="1" max="1" width="40.21875" style="7" customWidth="1"/>
    <col min="2" max="2" width="209.109375" style="1" customWidth="1"/>
    <col min="3" max="3" width="63" style="7" customWidth="1"/>
    <col min="4" max="4" width="47.6640625" style="96" customWidth="1"/>
    <col min="5" max="5" width="222.21875" style="1" customWidth="1"/>
    <col min="6" max="6" width="83.6640625" style="7" customWidth="1"/>
    <col min="7" max="7" width="71.5546875" style="93" customWidth="1"/>
    <col min="8" max="8" width="256" style="1" customWidth="1"/>
    <col min="9" max="9" width="96.6640625" style="7" customWidth="1"/>
    <col min="10" max="10" width="10.88671875" style="1" customWidth="1"/>
    <col min="11" max="11" width="11.5546875" style="1"/>
    <col min="12" max="12" width="26.6640625" style="1" customWidth="1"/>
    <col min="13" max="16384" width="11.5546875" style="1"/>
  </cols>
  <sheetData>
    <row r="1" spans="1:9" s="17" customFormat="1" ht="61.95" customHeight="1" thickBot="1" x14ac:dyDescent="0.35">
      <c r="A1" s="559" t="s">
        <v>1301</v>
      </c>
      <c r="B1" s="560"/>
      <c r="C1" s="560"/>
      <c r="D1" s="560"/>
      <c r="E1" s="560"/>
      <c r="F1" s="560"/>
      <c r="G1" s="560"/>
      <c r="H1" s="560"/>
      <c r="I1" s="561"/>
    </row>
    <row r="2" spans="1:9" s="8" customFormat="1" ht="51.6" customHeight="1" thickBot="1" x14ac:dyDescent="0.35">
      <c r="A2" s="562" t="s">
        <v>4</v>
      </c>
      <c r="B2" s="563"/>
      <c r="C2" s="564"/>
      <c r="D2" s="562" t="s">
        <v>5</v>
      </c>
      <c r="E2" s="563"/>
      <c r="F2" s="563"/>
      <c r="G2" s="563"/>
      <c r="H2" s="563"/>
      <c r="I2" s="564"/>
    </row>
    <row r="3" spans="1:9" s="33" customForma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71" t="s">
        <v>0</v>
      </c>
      <c r="H3" s="32" t="s">
        <v>9</v>
      </c>
      <c r="I3" s="45" t="s">
        <v>2</v>
      </c>
    </row>
    <row r="4" spans="1:9" ht="33" customHeight="1" x14ac:dyDescent="0.6">
      <c r="A4" s="5"/>
      <c r="B4" s="62" t="s">
        <v>957</v>
      </c>
      <c r="C4" s="61">
        <v>2654178</v>
      </c>
      <c r="D4" s="90">
        <v>45748</v>
      </c>
      <c r="E4" s="86" t="s">
        <v>655</v>
      </c>
      <c r="F4" s="88">
        <v>400000</v>
      </c>
      <c r="G4" s="90">
        <v>45748</v>
      </c>
      <c r="H4" s="63" t="s">
        <v>668</v>
      </c>
      <c r="I4" s="88">
        <v>288860</v>
      </c>
    </row>
    <row r="5" spans="1:9" ht="33" customHeight="1" x14ac:dyDescent="0.6">
      <c r="A5" s="3">
        <v>45748</v>
      </c>
      <c r="B5" s="26" t="s">
        <v>647</v>
      </c>
      <c r="C5" s="4">
        <v>1990000</v>
      </c>
      <c r="D5" s="90">
        <v>45749</v>
      </c>
      <c r="E5" s="24" t="s">
        <v>656</v>
      </c>
      <c r="F5" s="89">
        <v>326900</v>
      </c>
      <c r="G5" s="90">
        <v>45748</v>
      </c>
      <c r="H5" s="63" t="s">
        <v>649</v>
      </c>
      <c r="I5" s="72">
        <v>660000</v>
      </c>
    </row>
    <row r="6" spans="1:9" ht="33" customHeight="1" x14ac:dyDescent="0.6">
      <c r="A6" s="3">
        <v>45750</v>
      </c>
      <c r="B6" s="26" t="s">
        <v>659</v>
      </c>
      <c r="C6" s="4">
        <v>2188000</v>
      </c>
      <c r="D6" s="94">
        <v>45751</v>
      </c>
      <c r="E6" s="24" t="s">
        <v>669</v>
      </c>
      <c r="F6" s="89">
        <v>550000</v>
      </c>
      <c r="G6" s="90">
        <v>45748</v>
      </c>
      <c r="H6" s="63" t="s">
        <v>648</v>
      </c>
      <c r="I6" s="72">
        <v>1000000</v>
      </c>
    </row>
    <row r="7" spans="1:9" ht="33" customHeight="1" x14ac:dyDescent="0.6">
      <c r="A7" s="3">
        <v>45751</v>
      </c>
      <c r="B7" s="26" t="s">
        <v>680</v>
      </c>
      <c r="C7" s="4">
        <v>3000000</v>
      </c>
      <c r="D7" s="94">
        <v>45752</v>
      </c>
      <c r="E7" s="24" t="s">
        <v>688</v>
      </c>
      <c r="F7" s="89">
        <v>847000</v>
      </c>
      <c r="G7" s="90">
        <v>45748</v>
      </c>
      <c r="H7" s="63" t="s">
        <v>650</v>
      </c>
      <c r="I7" s="72">
        <v>427000</v>
      </c>
    </row>
    <row r="8" spans="1:9" ht="33" customHeight="1" x14ac:dyDescent="0.6">
      <c r="A8" s="3">
        <v>45752</v>
      </c>
      <c r="B8" s="26" t="s">
        <v>686</v>
      </c>
      <c r="C8" s="4">
        <f>1866200+3250000</f>
        <v>5116200</v>
      </c>
      <c r="D8" s="94">
        <v>45752</v>
      </c>
      <c r="E8" s="24" t="s">
        <v>691</v>
      </c>
      <c r="F8" s="89">
        <v>400000</v>
      </c>
      <c r="G8" s="90">
        <v>45748</v>
      </c>
      <c r="H8" s="63" t="s">
        <v>651</v>
      </c>
      <c r="I8" s="72">
        <v>2000</v>
      </c>
    </row>
    <row r="9" spans="1:9" ht="33" customHeight="1" x14ac:dyDescent="0.6">
      <c r="A9" s="3">
        <v>45754</v>
      </c>
      <c r="B9" s="26" t="s">
        <v>725</v>
      </c>
      <c r="C9" s="4">
        <v>2000000</v>
      </c>
      <c r="D9" s="94">
        <v>45757</v>
      </c>
      <c r="E9" s="24" t="s">
        <v>780</v>
      </c>
      <c r="F9" s="89">
        <v>126250</v>
      </c>
      <c r="G9" s="90">
        <v>45748</v>
      </c>
      <c r="H9" s="63" t="s">
        <v>652</v>
      </c>
      <c r="I9" s="72">
        <v>25000</v>
      </c>
    </row>
    <row r="10" spans="1:9" ht="33" customHeight="1" x14ac:dyDescent="0.6">
      <c r="A10" s="3">
        <v>45755</v>
      </c>
      <c r="B10" s="26" t="s">
        <v>739</v>
      </c>
      <c r="C10" s="4">
        <v>3000000</v>
      </c>
      <c r="D10" s="94">
        <v>45759</v>
      </c>
      <c r="E10" s="24" t="s">
        <v>806</v>
      </c>
      <c r="F10" s="89">
        <v>1350000</v>
      </c>
      <c r="G10" s="90">
        <v>45748</v>
      </c>
      <c r="H10" s="63" t="s">
        <v>1055</v>
      </c>
      <c r="I10" s="72">
        <v>130000</v>
      </c>
    </row>
    <row r="11" spans="1:9" ht="33" customHeight="1" x14ac:dyDescent="0.6">
      <c r="A11" s="3">
        <v>45756</v>
      </c>
      <c r="B11" s="26" t="s">
        <v>790</v>
      </c>
      <c r="C11" s="4">
        <v>2000000</v>
      </c>
      <c r="D11" s="94">
        <v>45761</v>
      </c>
      <c r="E11" s="24" t="s">
        <v>820</v>
      </c>
      <c r="F11" s="89">
        <v>1400000</v>
      </c>
      <c r="G11" s="90">
        <v>45748</v>
      </c>
      <c r="H11" s="63" t="s">
        <v>654</v>
      </c>
      <c r="I11" s="72">
        <v>1000</v>
      </c>
    </row>
    <row r="12" spans="1:9" ht="33" customHeight="1" x14ac:dyDescent="0.6">
      <c r="A12" s="3">
        <v>45757</v>
      </c>
      <c r="B12" s="26" t="s">
        <v>790</v>
      </c>
      <c r="C12" s="4">
        <v>2000000</v>
      </c>
      <c r="D12" s="94">
        <v>45761</v>
      </c>
      <c r="E12" s="24" t="s">
        <v>819</v>
      </c>
      <c r="F12" s="89">
        <v>777770</v>
      </c>
      <c r="G12" s="91">
        <v>45749</v>
      </c>
      <c r="H12" s="63" t="s">
        <v>1065</v>
      </c>
      <c r="I12" s="72">
        <v>20200</v>
      </c>
    </row>
    <row r="13" spans="1:9" ht="33" customHeight="1" x14ac:dyDescent="0.6">
      <c r="A13" s="3">
        <v>45758</v>
      </c>
      <c r="B13" s="26" t="s">
        <v>795</v>
      </c>
      <c r="C13" s="4">
        <v>990000</v>
      </c>
      <c r="D13" s="90">
        <v>45765</v>
      </c>
      <c r="E13" s="27" t="s">
        <v>860</v>
      </c>
      <c r="F13" s="83">
        <v>202000</v>
      </c>
      <c r="G13" s="91">
        <v>45749</v>
      </c>
      <c r="H13" s="63" t="s">
        <v>1066</v>
      </c>
      <c r="I13" s="72">
        <v>260000</v>
      </c>
    </row>
    <row r="14" spans="1:9" ht="34.200000000000003" customHeight="1" x14ac:dyDescent="0.6">
      <c r="A14" s="3">
        <v>45758</v>
      </c>
      <c r="B14" s="26" t="s">
        <v>790</v>
      </c>
      <c r="C14" s="4">
        <v>2000000</v>
      </c>
      <c r="D14" s="90">
        <v>45766</v>
      </c>
      <c r="E14" s="27" t="s">
        <v>867</v>
      </c>
      <c r="F14" s="83">
        <v>200000</v>
      </c>
      <c r="G14" s="91">
        <v>45749</v>
      </c>
      <c r="H14" s="63" t="s">
        <v>657</v>
      </c>
      <c r="I14" s="72">
        <v>306000</v>
      </c>
    </row>
    <row r="15" spans="1:9" ht="33" customHeight="1" x14ac:dyDescent="0.6">
      <c r="A15" s="3">
        <v>45759</v>
      </c>
      <c r="B15" s="26" t="s">
        <v>805</v>
      </c>
      <c r="C15" s="4">
        <v>1000000</v>
      </c>
      <c r="D15" s="90">
        <v>45769</v>
      </c>
      <c r="E15" s="27" t="s">
        <v>883</v>
      </c>
      <c r="F15" s="83">
        <v>400000</v>
      </c>
      <c r="G15" s="91">
        <v>45749</v>
      </c>
      <c r="H15" s="63" t="s">
        <v>658</v>
      </c>
      <c r="I15" s="72">
        <v>217150</v>
      </c>
    </row>
    <row r="16" spans="1:9" ht="33" customHeight="1" x14ac:dyDescent="0.6">
      <c r="A16" s="3">
        <v>45761</v>
      </c>
      <c r="B16" s="26" t="s">
        <v>813</v>
      </c>
      <c r="C16" s="4">
        <v>2500000</v>
      </c>
      <c r="D16" s="90">
        <v>45771</v>
      </c>
      <c r="E16" s="27" t="s">
        <v>1056</v>
      </c>
      <c r="F16" s="83">
        <v>141400</v>
      </c>
      <c r="G16" s="91">
        <v>45750</v>
      </c>
      <c r="H16" s="63" t="s">
        <v>415</v>
      </c>
      <c r="I16" s="72">
        <v>20000</v>
      </c>
    </row>
    <row r="17" spans="1:9" ht="33" customHeight="1" x14ac:dyDescent="0.6">
      <c r="A17" s="3">
        <v>45762</v>
      </c>
      <c r="B17" s="26" t="s">
        <v>836</v>
      </c>
      <c r="C17" s="4">
        <v>2000000</v>
      </c>
      <c r="D17" s="90">
        <v>45772</v>
      </c>
      <c r="E17" s="27" t="s">
        <v>916</v>
      </c>
      <c r="F17" s="83">
        <v>507600</v>
      </c>
      <c r="G17" s="91">
        <v>45750</v>
      </c>
      <c r="H17" s="63" t="s">
        <v>663</v>
      </c>
      <c r="I17" s="72">
        <v>40400</v>
      </c>
    </row>
    <row r="18" spans="1:9" ht="33" customHeight="1" x14ac:dyDescent="0.6">
      <c r="A18" s="3">
        <v>45763</v>
      </c>
      <c r="B18" s="26" t="s">
        <v>739</v>
      </c>
      <c r="C18" s="4">
        <v>1000000</v>
      </c>
      <c r="D18" s="90">
        <v>45772</v>
      </c>
      <c r="E18" s="27" t="s">
        <v>917</v>
      </c>
      <c r="F18" s="83">
        <v>200000</v>
      </c>
      <c r="G18" s="91">
        <v>45750</v>
      </c>
      <c r="H18" s="63" t="s">
        <v>660</v>
      </c>
      <c r="I18" s="72">
        <v>500</v>
      </c>
    </row>
    <row r="19" spans="1:9" ht="33" customHeight="1" x14ac:dyDescent="0.6">
      <c r="A19" s="3">
        <v>45766</v>
      </c>
      <c r="B19" s="26" t="s">
        <v>866</v>
      </c>
      <c r="C19" s="4">
        <v>2000000</v>
      </c>
      <c r="D19" s="90">
        <v>45773</v>
      </c>
      <c r="E19" s="27" t="s">
        <v>927</v>
      </c>
      <c r="F19" s="83">
        <v>841800</v>
      </c>
      <c r="G19" s="91">
        <v>45750</v>
      </c>
      <c r="H19" s="63" t="s">
        <v>662</v>
      </c>
      <c r="I19" s="72">
        <v>50500</v>
      </c>
    </row>
    <row r="20" spans="1:9" ht="33" customHeight="1" x14ac:dyDescent="0.6">
      <c r="A20" s="3">
        <v>45769</v>
      </c>
      <c r="B20" s="26" t="s">
        <v>889</v>
      </c>
      <c r="C20" s="4">
        <v>30000</v>
      </c>
      <c r="D20" s="90">
        <v>45773</v>
      </c>
      <c r="E20" s="27" t="s">
        <v>928</v>
      </c>
      <c r="F20" s="83">
        <v>770000</v>
      </c>
      <c r="G20" s="91">
        <v>45750</v>
      </c>
      <c r="H20" s="63" t="s">
        <v>661</v>
      </c>
      <c r="I20" s="72">
        <v>26260</v>
      </c>
    </row>
    <row r="21" spans="1:9" ht="33" customHeight="1" x14ac:dyDescent="0.6">
      <c r="A21" s="3">
        <v>45769</v>
      </c>
      <c r="B21" s="26" t="s">
        <v>890</v>
      </c>
      <c r="C21" s="4">
        <v>2000000</v>
      </c>
      <c r="D21" s="90">
        <v>45777</v>
      </c>
      <c r="E21" s="27" t="s">
        <v>956</v>
      </c>
      <c r="F21" s="83">
        <v>2300000</v>
      </c>
      <c r="G21" s="91">
        <v>45750</v>
      </c>
      <c r="H21" s="63" t="s">
        <v>664</v>
      </c>
      <c r="I21" s="72">
        <v>4000</v>
      </c>
    </row>
    <row r="22" spans="1:9" ht="33" customHeight="1" x14ac:dyDescent="0.6">
      <c r="A22" s="3">
        <v>45770</v>
      </c>
      <c r="B22" s="26" t="s">
        <v>897</v>
      </c>
      <c r="C22" s="4">
        <v>3000000</v>
      </c>
      <c r="D22" s="94"/>
      <c r="E22" s="24"/>
      <c r="F22" s="89"/>
      <c r="G22" s="91">
        <v>45750</v>
      </c>
      <c r="H22" s="63" t="s">
        <v>665</v>
      </c>
      <c r="I22" s="72">
        <v>10000</v>
      </c>
    </row>
    <row r="23" spans="1:9" ht="33" customHeight="1" x14ac:dyDescent="0.6">
      <c r="A23" s="3">
        <v>45772</v>
      </c>
      <c r="B23" s="26" t="s">
        <v>915</v>
      </c>
      <c r="C23" s="4">
        <v>3000000</v>
      </c>
      <c r="D23" s="115"/>
      <c r="E23" s="116"/>
      <c r="F23" s="20"/>
      <c r="G23" s="91">
        <v>45750</v>
      </c>
      <c r="H23" s="63" t="s">
        <v>666</v>
      </c>
      <c r="I23" s="72">
        <v>1000</v>
      </c>
    </row>
    <row r="24" spans="1:9" ht="33" customHeight="1" x14ac:dyDescent="0.6">
      <c r="A24" s="3">
        <v>45773</v>
      </c>
      <c r="B24" s="26" t="s">
        <v>954</v>
      </c>
      <c r="C24" s="4">
        <v>990100</v>
      </c>
      <c r="D24" s="94"/>
      <c r="E24" s="24"/>
      <c r="F24" s="89"/>
      <c r="G24" s="91">
        <v>45751</v>
      </c>
      <c r="H24" s="63" t="s">
        <v>679</v>
      </c>
      <c r="I24" s="72">
        <v>800</v>
      </c>
    </row>
    <row r="25" spans="1:9" ht="33" customHeight="1" x14ac:dyDescent="0.6">
      <c r="A25" s="3">
        <v>45775</v>
      </c>
      <c r="B25" s="26" t="s">
        <v>939</v>
      </c>
      <c r="C25" s="4">
        <v>4000000</v>
      </c>
      <c r="D25" s="94"/>
      <c r="E25" s="24"/>
      <c r="F25" s="89"/>
      <c r="G25" s="91">
        <v>45751</v>
      </c>
      <c r="H25" s="63" t="s">
        <v>667</v>
      </c>
      <c r="I25" s="72">
        <v>23230</v>
      </c>
    </row>
    <row r="26" spans="1:9" ht="33" customHeight="1" x14ac:dyDescent="0.6">
      <c r="A26" s="3">
        <v>45777</v>
      </c>
      <c r="B26" s="26" t="s">
        <v>955</v>
      </c>
      <c r="C26" s="4">
        <v>3950000</v>
      </c>
      <c r="D26" s="94"/>
      <c r="E26" s="24"/>
      <c r="F26" s="89"/>
      <c r="G26" s="91">
        <v>45751</v>
      </c>
      <c r="H26" s="63" t="s">
        <v>1054</v>
      </c>
      <c r="I26" s="72">
        <v>1000</v>
      </c>
    </row>
    <row r="27" spans="1:9" ht="33" customHeight="1" x14ac:dyDescent="0.6">
      <c r="A27" s="3"/>
      <c r="B27" s="26"/>
      <c r="C27" s="4"/>
      <c r="D27" s="94"/>
      <c r="E27" s="24"/>
      <c r="F27" s="89"/>
      <c r="G27" s="91">
        <v>45751</v>
      </c>
      <c r="H27" s="63" t="s">
        <v>672</v>
      </c>
      <c r="I27" s="72">
        <f>5050+50500</f>
        <v>55550</v>
      </c>
    </row>
    <row r="28" spans="1:9" s="23" customFormat="1" ht="33" customHeight="1" x14ac:dyDescent="0.6">
      <c r="A28" s="322"/>
      <c r="B28" s="322"/>
      <c r="C28" s="20"/>
      <c r="D28" s="90"/>
      <c r="E28" s="27"/>
      <c r="F28" s="83"/>
      <c r="G28" s="91">
        <v>45751</v>
      </c>
      <c r="H28" s="63" t="s">
        <v>670</v>
      </c>
      <c r="I28" s="72">
        <v>5000</v>
      </c>
    </row>
    <row r="29" spans="1:9" ht="33" customHeight="1" x14ac:dyDescent="0.6">
      <c r="A29" s="3"/>
      <c r="B29" s="26"/>
      <c r="C29" s="4"/>
      <c r="D29" s="94"/>
      <c r="E29" s="24"/>
      <c r="F29" s="89"/>
      <c r="G29" s="91">
        <v>45751</v>
      </c>
      <c r="H29" s="63" t="s">
        <v>1053</v>
      </c>
      <c r="I29" s="72">
        <v>25000</v>
      </c>
    </row>
    <row r="30" spans="1:9" ht="33" customHeight="1" x14ac:dyDescent="0.6">
      <c r="A30" s="3"/>
      <c r="B30" s="26"/>
      <c r="C30" s="4"/>
      <c r="D30" s="94"/>
      <c r="E30" s="24"/>
      <c r="F30" s="89"/>
      <c r="G30" s="91">
        <v>45751</v>
      </c>
      <c r="H30" s="63" t="s">
        <v>671</v>
      </c>
      <c r="I30" s="72">
        <v>2000</v>
      </c>
    </row>
    <row r="31" spans="1:9" ht="33" customHeight="1" x14ac:dyDescent="0.6">
      <c r="A31" s="3"/>
      <c r="B31" s="26"/>
      <c r="C31" s="4"/>
      <c r="D31" s="94"/>
      <c r="E31" s="24"/>
      <c r="F31" s="89"/>
      <c r="G31" s="91">
        <v>45751</v>
      </c>
      <c r="H31" s="63" t="s">
        <v>134</v>
      </c>
      <c r="I31" s="72">
        <v>750000</v>
      </c>
    </row>
    <row r="32" spans="1:9" s="82" customFormat="1" ht="33" customHeight="1" x14ac:dyDescent="0.6">
      <c r="A32" s="3"/>
      <c r="B32" s="26"/>
      <c r="C32" s="4"/>
      <c r="D32" s="92"/>
      <c r="E32" s="81"/>
      <c r="F32" s="13"/>
      <c r="G32" s="91">
        <v>45751</v>
      </c>
      <c r="H32" s="63" t="s">
        <v>677</v>
      </c>
      <c r="I32" s="72">
        <v>13000</v>
      </c>
    </row>
    <row r="33" spans="1:9" ht="33" customHeight="1" x14ac:dyDescent="0.6">
      <c r="A33" s="12"/>
      <c r="B33" s="80"/>
      <c r="C33" s="11"/>
      <c r="D33" s="94"/>
      <c r="E33" s="24"/>
      <c r="F33" s="89"/>
      <c r="G33" s="91">
        <v>45751</v>
      </c>
      <c r="H33" s="63" t="s">
        <v>675</v>
      </c>
      <c r="I33" s="72">
        <v>2000</v>
      </c>
    </row>
    <row r="34" spans="1:9" ht="33" customHeight="1" x14ac:dyDescent="0.6">
      <c r="A34" s="3"/>
      <c r="B34" s="26"/>
      <c r="C34" s="4"/>
      <c r="D34" s="94"/>
      <c r="E34" s="24"/>
      <c r="F34" s="89"/>
      <c r="G34" s="91">
        <v>45751</v>
      </c>
      <c r="H34" s="63" t="s">
        <v>676</v>
      </c>
      <c r="I34" s="72">
        <v>20905</v>
      </c>
    </row>
    <row r="35" spans="1:9" ht="33" customHeight="1" x14ac:dyDescent="0.6">
      <c r="A35" s="3"/>
      <c r="B35" s="26"/>
      <c r="C35" s="4"/>
      <c r="D35" s="94"/>
      <c r="E35" s="24"/>
      <c r="F35" s="89"/>
      <c r="G35" s="91">
        <v>45751</v>
      </c>
      <c r="H35" s="63" t="s">
        <v>690</v>
      </c>
      <c r="I35" s="72">
        <v>202000</v>
      </c>
    </row>
    <row r="36" spans="1:9" ht="33" customHeight="1" x14ac:dyDescent="0.6">
      <c r="A36" s="3"/>
      <c r="B36" s="26"/>
      <c r="C36" s="4"/>
      <c r="D36" s="94"/>
      <c r="E36" s="24"/>
      <c r="F36" s="89"/>
      <c r="G36" s="91">
        <v>45751</v>
      </c>
      <c r="H36" s="63" t="s">
        <v>678</v>
      </c>
      <c r="I36" s="72">
        <v>200000</v>
      </c>
    </row>
    <row r="37" spans="1:9" ht="33" customHeight="1" x14ac:dyDescent="0.6">
      <c r="A37" s="3"/>
      <c r="B37" s="26"/>
      <c r="C37" s="4"/>
      <c r="D37" s="94"/>
      <c r="E37" s="24"/>
      <c r="F37" s="89"/>
      <c r="G37" s="91">
        <v>45751</v>
      </c>
      <c r="H37" s="63" t="s">
        <v>19</v>
      </c>
      <c r="I37" s="72">
        <v>500</v>
      </c>
    </row>
    <row r="38" spans="1:9" ht="33" customHeight="1" x14ac:dyDescent="0.6">
      <c r="A38" s="3"/>
      <c r="B38" s="26"/>
      <c r="C38" s="4"/>
      <c r="D38" s="94"/>
      <c r="E38" s="24"/>
      <c r="F38" s="89"/>
      <c r="G38" s="91">
        <v>45751</v>
      </c>
      <c r="H38" s="63" t="s">
        <v>1067</v>
      </c>
      <c r="I38" s="72">
        <v>3500</v>
      </c>
    </row>
    <row r="39" spans="1:9" ht="33" customHeight="1" x14ac:dyDescent="0.6">
      <c r="A39" s="3"/>
      <c r="B39" s="26"/>
      <c r="C39" s="4"/>
      <c r="D39" s="94"/>
      <c r="E39" s="24"/>
      <c r="F39" s="89"/>
      <c r="G39" s="91">
        <v>45751</v>
      </c>
      <c r="H39" s="63" t="s">
        <v>682</v>
      </c>
      <c r="I39" s="72">
        <v>404000</v>
      </c>
    </row>
    <row r="40" spans="1:9" s="23" customFormat="1" ht="33" customHeight="1" x14ac:dyDescent="0.6">
      <c r="A40" s="5"/>
      <c r="B40" s="22"/>
      <c r="C40" s="16"/>
      <c r="D40" s="90"/>
      <c r="E40" s="27"/>
      <c r="F40" s="83"/>
      <c r="G40" s="91">
        <v>45751</v>
      </c>
      <c r="H40" s="63" t="s">
        <v>683</v>
      </c>
      <c r="I40" s="72">
        <v>38000</v>
      </c>
    </row>
    <row r="41" spans="1:9" ht="33" customHeight="1" x14ac:dyDescent="0.6">
      <c r="A41" s="3"/>
      <c r="B41" s="26"/>
      <c r="C41" s="4"/>
      <c r="D41" s="94"/>
      <c r="E41" s="24"/>
      <c r="F41" s="89"/>
      <c r="G41" s="91">
        <v>45751</v>
      </c>
      <c r="H41" s="63" t="s">
        <v>684</v>
      </c>
      <c r="I41" s="72">
        <v>101000</v>
      </c>
    </row>
    <row r="42" spans="1:9" ht="33" customHeight="1" x14ac:dyDescent="0.6">
      <c r="A42" s="3"/>
      <c r="B42" s="26"/>
      <c r="C42" s="4"/>
      <c r="D42" s="94"/>
      <c r="E42" s="24"/>
      <c r="F42" s="89"/>
      <c r="G42" s="91">
        <v>45751</v>
      </c>
      <c r="H42" s="63" t="s">
        <v>685</v>
      </c>
      <c r="I42" s="72">
        <v>509040</v>
      </c>
    </row>
    <row r="43" spans="1:9" ht="33" customHeight="1" x14ac:dyDescent="0.6">
      <c r="A43" s="3"/>
      <c r="B43" s="26"/>
      <c r="C43" s="4"/>
      <c r="D43" s="94"/>
      <c r="E43" s="24"/>
      <c r="F43" s="89"/>
      <c r="G43" s="91">
        <v>45751</v>
      </c>
      <c r="H43" s="63" t="s">
        <v>687</v>
      </c>
      <c r="I43" s="72">
        <v>120000</v>
      </c>
    </row>
    <row r="44" spans="1:9" ht="33" customHeight="1" x14ac:dyDescent="0.6">
      <c r="A44" s="3"/>
      <c r="B44" s="26"/>
      <c r="C44" s="4"/>
      <c r="D44" s="94"/>
      <c r="E44" s="24"/>
      <c r="F44" s="89"/>
      <c r="G44" s="91" t="s">
        <v>689</v>
      </c>
      <c r="H44" s="63" t="s">
        <v>681</v>
      </c>
      <c r="I44" s="72">
        <v>1000000</v>
      </c>
    </row>
    <row r="45" spans="1:9" ht="33" customHeight="1" x14ac:dyDescent="0.6">
      <c r="A45" s="3"/>
      <c r="B45" s="26"/>
      <c r="C45" s="4"/>
      <c r="D45" s="94"/>
      <c r="E45" s="24"/>
      <c r="F45" s="89"/>
      <c r="G45" s="91" t="s">
        <v>689</v>
      </c>
      <c r="H45" s="63" t="s">
        <v>1069</v>
      </c>
      <c r="I45" s="72">
        <v>39140</v>
      </c>
    </row>
    <row r="46" spans="1:9" s="23" customFormat="1" ht="33" customHeight="1" x14ac:dyDescent="0.6">
      <c r="A46" s="3"/>
      <c r="B46" s="26"/>
      <c r="C46" s="4"/>
      <c r="D46" s="90"/>
      <c r="E46" s="27"/>
      <c r="F46" s="83"/>
      <c r="G46" s="91" t="s">
        <v>689</v>
      </c>
      <c r="H46" s="63" t="s">
        <v>692</v>
      </c>
      <c r="I46" s="72">
        <v>1000</v>
      </c>
    </row>
    <row r="47" spans="1:9" s="82" customFormat="1" ht="33" customHeight="1" x14ac:dyDescent="0.6">
      <c r="A47" s="5"/>
      <c r="B47" s="22"/>
      <c r="C47" s="16"/>
      <c r="D47" s="92"/>
      <c r="E47" s="81"/>
      <c r="F47" s="13"/>
      <c r="G47" s="91" t="s">
        <v>689</v>
      </c>
      <c r="H47" s="63" t="s">
        <v>693</v>
      </c>
      <c r="I47" s="72">
        <v>40500</v>
      </c>
    </row>
    <row r="48" spans="1:9" ht="33" customHeight="1" x14ac:dyDescent="0.6">
      <c r="A48" s="12"/>
      <c r="B48" s="80"/>
      <c r="C48" s="11"/>
      <c r="D48" s="94"/>
      <c r="E48" s="24"/>
      <c r="F48" s="89"/>
      <c r="G48" s="91" t="s">
        <v>689</v>
      </c>
      <c r="H48" s="63" t="s">
        <v>694</v>
      </c>
      <c r="I48" s="72">
        <v>365000</v>
      </c>
    </row>
    <row r="49" spans="1:9" ht="33" customHeight="1" x14ac:dyDescent="0.6">
      <c r="A49" s="3"/>
      <c r="B49" s="26"/>
      <c r="C49" s="4"/>
      <c r="D49" s="94"/>
      <c r="E49" s="24"/>
      <c r="F49" s="89"/>
      <c r="G49" s="91" t="s">
        <v>689</v>
      </c>
      <c r="H49" s="63" t="s">
        <v>600</v>
      </c>
      <c r="I49" s="72">
        <v>500</v>
      </c>
    </row>
    <row r="50" spans="1:9" ht="33" customHeight="1" x14ac:dyDescent="0.6">
      <c r="A50" s="3"/>
      <c r="B50" s="26"/>
      <c r="C50" s="4"/>
      <c r="D50" s="94"/>
      <c r="E50" s="24"/>
      <c r="F50" s="89"/>
      <c r="G50" s="91" t="s">
        <v>689</v>
      </c>
      <c r="H50" s="63" t="s">
        <v>695</v>
      </c>
      <c r="I50" s="72">
        <v>2120</v>
      </c>
    </row>
    <row r="51" spans="1:9" ht="33" customHeight="1" x14ac:dyDescent="0.6">
      <c r="A51" s="3"/>
      <c r="B51" s="26"/>
      <c r="C51" s="4"/>
      <c r="D51" s="94"/>
      <c r="E51" s="24"/>
      <c r="F51" s="89"/>
      <c r="G51" s="91" t="s">
        <v>689</v>
      </c>
      <c r="H51" s="63" t="s">
        <v>713</v>
      </c>
      <c r="I51" s="72">
        <v>565600</v>
      </c>
    </row>
    <row r="52" spans="1:9" ht="33" customHeight="1" x14ac:dyDescent="0.6">
      <c r="A52" s="3"/>
      <c r="B52" s="26"/>
      <c r="C52" s="4"/>
      <c r="D52" s="94"/>
      <c r="E52" s="24"/>
      <c r="F52" s="99"/>
      <c r="G52" s="92" t="s">
        <v>689</v>
      </c>
      <c r="H52" s="80" t="s">
        <v>696</v>
      </c>
      <c r="I52" s="41">
        <v>150000</v>
      </c>
    </row>
    <row r="53" spans="1:9" ht="33" customHeight="1" x14ac:dyDescent="0.6">
      <c r="A53" s="3"/>
      <c r="B53" s="26"/>
      <c r="C53" s="4"/>
      <c r="D53" s="94"/>
      <c r="E53" s="24"/>
      <c r="F53" s="99"/>
      <c r="G53" s="92" t="s">
        <v>689</v>
      </c>
      <c r="H53" s="80" t="s">
        <v>697</v>
      </c>
      <c r="I53" s="41">
        <v>75000</v>
      </c>
    </row>
    <row r="54" spans="1:9" ht="33" customHeight="1" x14ac:dyDescent="0.6">
      <c r="A54" s="3"/>
      <c r="B54" s="26"/>
      <c r="C54" s="4"/>
      <c r="D54" s="94"/>
      <c r="E54" s="24"/>
      <c r="F54" s="99"/>
      <c r="G54" s="92" t="s">
        <v>689</v>
      </c>
      <c r="H54" s="80" t="s">
        <v>698</v>
      </c>
      <c r="I54" s="41">
        <v>151500</v>
      </c>
    </row>
    <row r="55" spans="1:9" ht="33" customHeight="1" x14ac:dyDescent="0.6">
      <c r="A55" s="3"/>
      <c r="B55" s="26"/>
      <c r="C55" s="4"/>
      <c r="D55" s="94"/>
      <c r="E55" s="24"/>
      <c r="F55" s="99"/>
      <c r="G55" s="92" t="s">
        <v>689</v>
      </c>
      <c r="H55" s="80" t="s">
        <v>699</v>
      </c>
      <c r="I55" s="41">
        <v>202000</v>
      </c>
    </row>
    <row r="56" spans="1:9" ht="33" customHeight="1" x14ac:dyDescent="0.6">
      <c r="A56" s="3"/>
      <c r="B56" s="26"/>
      <c r="C56" s="4"/>
      <c r="D56" s="94"/>
      <c r="E56" s="24"/>
      <c r="F56" s="99"/>
      <c r="G56" s="92" t="s">
        <v>689</v>
      </c>
      <c r="H56" s="80" t="s">
        <v>700</v>
      </c>
      <c r="I56" s="41">
        <v>151500</v>
      </c>
    </row>
    <row r="57" spans="1:9" ht="33" customHeight="1" x14ac:dyDescent="0.6">
      <c r="A57" s="3"/>
      <c r="B57" s="26"/>
      <c r="C57" s="4"/>
      <c r="D57" s="94"/>
      <c r="E57" s="24"/>
      <c r="F57" s="99"/>
      <c r="G57" s="92" t="s">
        <v>689</v>
      </c>
      <c r="H57" s="80" t="s">
        <v>701</v>
      </c>
      <c r="I57" s="41">
        <v>151500</v>
      </c>
    </row>
    <row r="58" spans="1:9" ht="33" customHeight="1" x14ac:dyDescent="0.6">
      <c r="A58" s="3"/>
      <c r="B58" s="26"/>
      <c r="C58" s="4"/>
      <c r="D58" s="94"/>
      <c r="E58" s="24"/>
      <c r="F58" s="99"/>
      <c r="G58" s="92" t="s">
        <v>689</v>
      </c>
      <c r="H58" s="80" t="s">
        <v>702</v>
      </c>
      <c r="I58" s="41">
        <v>131300</v>
      </c>
    </row>
    <row r="59" spans="1:9" ht="33" customHeight="1" x14ac:dyDescent="0.6">
      <c r="A59" s="3"/>
      <c r="B59" s="26"/>
      <c r="C59" s="4"/>
      <c r="D59" s="94"/>
      <c r="E59" s="24"/>
      <c r="F59" s="99"/>
      <c r="G59" s="92" t="s">
        <v>689</v>
      </c>
      <c r="H59" s="80" t="s">
        <v>703</v>
      </c>
      <c r="I59" s="41">
        <v>151500</v>
      </c>
    </row>
    <row r="60" spans="1:9" ht="33" customHeight="1" x14ac:dyDescent="0.6">
      <c r="A60" s="3"/>
      <c r="B60" s="26"/>
      <c r="C60" s="4"/>
      <c r="D60" s="94"/>
      <c r="E60" s="24"/>
      <c r="F60" s="99"/>
      <c r="G60" s="92" t="s">
        <v>689</v>
      </c>
      <c r="H60" s="80" t="s">
        <v>704</v>
      </c>
      <c r="I60" s="41">
        <v>121200</v>
      </c>
    </row>
    <row r="61" spans="1:9" ht="33" customHeight="1" x14ac:dyDescent="0.6">
      <c r="A61" s="3"/>
      <c r="B61" s="26"/>
      <c r="C61" s="4"/>
      <c r="D61" s="94"/>
      <c r="E61" s="24"/>
      <c r="F61" s="99"/>
      <c r="G61" s="92" t="s">
        <v>689</v>
      </c>
      <c r="H61" s="80" t="s">
        <v>729</v>
      </c>
      <c r="I61" s="41">
        <v>101000</v>
      </c>
    </row>
    <row r="62" spans="1:9" ht="33" customHeight="1" x14ac:dyDescent="0.6">
      <c r="A62" s="3"/>
      <c r="B62" s="26"/>
      <c r="C62" s="4"/>
      <c r="D62" s="94"/>
      <c r="E62" s="24"/>
      <c r="F62" s="99"/>
      <c r="G62" s="92" t="s">
        <v>689</v>
      </c>
      <c r="H62" s="80" t="s">
        <v>705</v>
      </c>
      <c r="I62" s="41">
        <v>202000</v>
      </c>
    </row>
    <row r="63" spans="1:9" ht="33" customHeight="1" x14ac:dyDescent="0.6">
      <c r="A63" s="3"/>
      <c r="B63" s="26"/>
      <c r="C63" s="4"/>
      <c r="D63" s="94"/>
      <c r="E63" s="24"/>
      <c r="F63" s="99"/>
      <c r="G63" s="92" t="s">
        <v>689</v>
      </c>
      <c r="H63" s="80" t="s">
        <v>706</v>
      </c>
      <c r="I63" s="41">
        <v>151200</v>
      </c>
    </row>
    <row r="64" spans="1:9" ht="33" customHeight="1" x14ac:dyDescent="0.6">
      <c r="A64" s="3"/>
      <c r="B64" s="26"/>
      <c r="C64" s="4"/>
      <c r="D64" s="94"/>
      <c r="E64" s="24"/>
      <c r="F64" s="99"/>
      <c r="G64" s="92" t="s">
        <v>689</v>
      </c>
      <c r="H64" s="80" t="s">
        <v>707</v>
      </c>
      <c r="I64" s="41">
        <v>181800</v>
      </c>
    </row>
    <row r="65" spans="1:9" ht="33" customHeight="1" x14ac:dyDescent="0.6">
      <c r="A65" s="3"/>
      <c r="B65" s="26"/>
      <c r="C65" s="4"/>
      <c r="D65" s="94"/>
      <c r="E65" s="24"/>
      <c r="F65" s="99"/>
      <c r="G65" s="92" t="s">
        <v>689</v>
      </c>
      <c r="H65" s="80" t="s">
        <v>708</v>
      </c>
      <c r="I65" s="41">
        <v>252500</v>
      </c>
    </row>
    <row r="66" spans="1:9" ht="33" customHeight="1" x14ac:dyDescent="0.6">
      <c r="A66" s="3"/>
      <c r="B66" s="26"/>
      <c r="C66" s="4"/>
      <c r="D66" s="94"/>
      <c r="E66" s="24"/>
      <c r="F66" s="99"/>
      <c r="G66" s="92" t="s">
        <v>689</v>
      </c>
      <c r="H66" s="80" t="s">
        <v>709</v>
      </c>
      <c r="I66" s="41">
        <v>151500</v>
      </c>
    </row>
    <row r="67" spans="1:9" ht="33" customHeight="1" x14ac:dyDescent="0.6">
      <c r="A67" s="3"/>
      <c r="B67" s="26"/>
      <c r="C67" s="4"/>
      <c r="D67" s="94"/>
      <c r="E67" s="24"/>
      <c r="F67" s="99"/>
      <c r="G67" s="92" t="s">
        <v>689</v>
      </c>
      <c r="H67" s="80" t="s">
        <v>710</v>
      </c>
      <c r="I67" s="41">
        <v>80800</v>
      </c>
    </row>
    <row r="68" spans="1:9" ht="33" customHeight="1" x14ac:dyDescent="0.6">
      <c r="A68" s="3"/>
      <c r="B68" s="26"/>
      <c r="C68" s="4"/>
      <c r="D68" s="94"/>
      <c r="E68" s="24"/>
      <c r="F68" s="99"/>
      <c r="G68" s="92" t="s">
        <v>689</v>
      </c>
      <c r="H68" s="80" t="s">
        <v>711</v>
      </c>
      <c r="I68" s="41">
        <v>181800</v>
      </c>
    </row>
    <row r="69" spans="1:9" ht="33" customHeight="1" x14ac:dyDescent="0.6">
      <c r="A69" s="3"/>
      <c r="B69" s="26"/>
      <c r="C69" s="4"/>
      <c r="D69" s="94"/>
      <c r="E69" s="24"/>
      <c r="F69" s="99"/>
      <c r="G69" s="92" t="s">
        <v>689</v>
      </c>
      <c r="H69" s="80" t="s">
        <v>712</v>
      </c>
      <c r="I69" s="41">
        <v>252500</v>
      </c>
    </row>
    <row r="70" spans="1:9" ht="33" customHeight="1" x14ac:dyDescent="0.6">
      <c r="A70" s="3"/>
      <c r="B70" s="26"/>
      <c r="C70" s="4"/>
      <c r="D70" s="94"/>
      <c r="E70" s="24"/>
      <c r="F70" s="99"/>
      <c r="G70" s="92" t="s">
        <v>689</v>
      </c>
      <c r="H70" s="80" t="s">
        <v>715</v>
      </c>
      <c r="I70" s="41">
        <v>151500</v>
      </c>
    </row>
    <row r="71" spans="1:9" ht="33" customHeight="1" x14ac:dyDescent="0.6">
      <c r="A71" s="3"/>
      <c r="B71" s="26"/>
      <c r="C71" s="4"/>
      <c r="D71" s="94"/>
      <c r="E71" s="24"/>
      <c r="F71" s="99"/>
      <c r="G71" s="92" t="s">
        <v>689</v>
      </c>
      <c r="H71" s="80" t="s">
        <v>728</v>
      </c>
      <c r="I71" s="41">
        <v>171700</v>
      </c>
    </row>
    <row r="72" spans="1:9" ht="33" customHeight="1" x14ac:dyDescent="0.6">
      <c r="A72" s="3"/>
      <c r="B72" s="26"/>
      <c r="C72" s="4"/>
      <c r="D72" s="94"/>
      <c r="E72" s="24"/>
      <c r="F72" s="99"/>
      <c r="G72" s="92" t="s">
        <v>689</v>
      </c>
      <c r="H72" s="80" t="s">
        <v>719</v>
      </c>
      <c r="I72" s="41">
        <v>75750</v>
      </c>
    </row>
    <row r="73" spans="1:9" s="23" customFormat="1" ht="33" customHeight="1" x14ac:dyDescent="0.6">
      <c r="A73" s="5"/>
      <c r="B73" s="22"/>
      <c r="C73" s="16"/>
      <c r="D73" s="90"/>
      <c r="E73" s="27"/>
      <c r="F73" s="83"/>
      <c r="G73" s="91">
        <v>45752</v>
      </c>
      <c r="H73" s="63" t="s">
        <v>730</v>
      </c>
      <c r="I73" s="72">
        <v>151500</v>
      </c>
    </row>
    <row r="74" spans="1:9" s="23" customFormat="1" ht="33" customHeight="1" x14ac:dyDescent="0.6">
      <c r="A74" s="5"/>
      <c r="B74" s="22"/>
      <c r="C74" s="16"/>
      <c r="D74" s="90"/>
      <c r="E74" s="27"/>
      <c r="F74" s="83"/>
      <c r="G74" s="91" t="s">
        <v>689</v>
      </c>
      <c r="H74" s="63" t="s">
        <v>714</v>
      </c>
      <c r="I74" s="72">
        <v>550000</v>
      </c>
    </row>
    <row r="75" spans="1:9" ht="33" customHeight="1" x14ac:dyDescent="0.6">
      <c r="A75" s="3"/>
      <c r="B75" s="26"/>
      <c r="C75" s="4"/>
      <c r="D75" s="94"/>
      <c r="E75" s="24"/>
      <c r="F75" s="99"/>
      <c r="G75" s="92" t="s">
        <v>689</v>
      </c>
      <c r="H75" s="80" t="s">
        <v>716</v>
      </c>
      <c r="I75" s="41">
        <v>4040</v>
      </c>
    </row>
    <row r="76" spans="1:9" ht="33" customHeight="1" x14ac:dyDescent="0.6">
      <c r="A76" s="3"/>
      <c r="B76" s="26"/>
      <c r="C76" s="4"/>
      <c r="D76" s="94"/>
      <c r="E76" s="24"/>
      <c r="F76" s="99"/>
      <c r="G76" s="92" t="s">
        <v>689</v>
      </c>
      <c r="H76" s="80" t="s">
        <v>415</v>
      </c>
      <c r="I76" s="41">
        <v>20200</v>
      </c>
    </row>
    <row r="77" spans="1:9" ht="33" customHeight="1" x14ac:dyDescent="0.6">
      <c r="A77" s="3"/>
      <c r="B77" s="26"/>
      <c r="C77" s="4"/>
      <c r="D77" s="94"/>
      <c r="E77" s="24"/>
      <c r="F77" s="99"/>
      <c r="G77" s="92">
        <v>45753</v>
      </c>
      <c r="H77" s="80" t="s">
        <v>717</v>
      </c>
      <c r="I77" s="41">
        <v>10100</v>
      </c>
    </row>
    <row r="78" spans="1:9" ht="33" customHeight="1" x14ac:dyDescent="0.6">
      <c r="A78" s="3"/>
      <c r="B78" s="26"/>
      <c r="C78" s="4"/>
      <c r="D78" s="94"/>
      <c r="E78" s="24"/>
      <c r="F78" s="99"/>
      <c r="G78" s="92">
        <v>45753</v>
      </c>
      <c r="H78" s="80" t="s">
        <v>718</v>
      </c>
      <c r="I78" s="41">
        <v>171700</v>
      </c>
    </row>
    <row r="79" spans="1:9" ht="33" customHeight="1" x14ac:dyDescent="0.6">
      <c r="A79" s="3"/>
      <c r="B79" s="26"/>
      <c r="C79" s="4"/>
      <c r="D79" s="94"/>
      <c r="E79" s="24"/>
      <c r="F79" s="99"/>
      <c r="G79" s="92">
        <v>45753</v>
      </c>
      <c r="H79" s="80" t="s">
        <v>720</v>
      </c>
      <c r="I79" s="41">
        <v>101505</v>
      </c>
    </row>
    <row r="80" spans="1:9" ht="33" customHeight="1" x14ac:dyDescent="0.6">
      <c r="A80" s="3"/>
      <c r="B80" s="26"/>
      <c r="C80" s="4"/>
      <c r="D80" s="94"/>
      <c r="E80" s="24"/>
      <c r="F80" s="99"/>
      <c r="G80" s="92">
        <v>45754</v>
      </c>
      <c r="H80" s="21" t="s">
        <v>39</v>
      </c>
      <c r="I80" s="41">
        <v>2000</v>
      </c>
    </row>
    <row r="81" spans="1:9" ht="33" customHeight="1" x14ac:dyDescent="0.6">
      <c r="A81" s="3"/>
      <c r="B81" s="26"/>
      <c r="C81" s="4"/>
      <c r="D81" s="94"/>
      <c r="E81" s="24"/>
      <c r="F81" s="99"/>
      <c r="G81" s="92">
        <v>45754</v>
      </c>
      <c r="H81" s="80" t="s">
        <v>721</v>
      </c>
      <c r="I81" s="41">
        <v>20200</v>
      </c>
    </row>
    <row r="82" spans="1:9" s="82" customFormat="1" ht="33" customHeight="1" x14ac:dyDescent="0.6">
      <c r="A82" s="3"/>
      <c r="B82" s="26"/>
      <c r="C82" s="4"/>
      <c r="D82" s="92"/>
      <c r="E82" s="81"/>
      <c r="F82" s="41"/>
      <c r="G82" s="92">
        <v>45754</v>
      </c>
      <c r="H82" s="80" t="s">
        <v>723</v>
      </c>
      <c r="I82" s="41">
        <v>200000</v>
      </c>
    </row>
    <row r="83" spans="1:9" ht="33" customHeight="1" x14ac:dyDescent="0.6">
      <c r="A83" s="12"/>
      <c r="B83" s="80"/>
      <c r="C83" s="11"/>
      <c r="D83" s="94"/>
      <c r="E83" s="24"/>
      <c r="F83" s="99"/>
      <c r="G83" s="92">
        <v>45754</v>
      </c>
      <c r="H83" s="80" t="s">
        <v>724</v>
      </c>
      <c r="I83" s="41">
        <v>500</v>
      </c>
    </row>
    <row r="84" spans="1:9" ht="33" customHeight="1" x14ac:dyDescent="0.6">
      <c r="A84" s="3"/>
      <c r="B84" s="26"/>
      <c r="C84" s="4"/>
      <c r="D84" s="94"/>
      <c r="E84" s="24"/>
      <c r="F84" s="99"/>
      <c r="G84" s="92">
        <v>45754</v>
      </c>
      <c r="H84" s="80" t="s">
        <v>796</v>
      </c>
      <c r="I84" s="41">
        <v>505000</v>
      </c>
    </row>
    <row r="85" spans="1:9" ht="33" customHeight="1" x14ac:dyDescent="0.6">
      <c r="A85" s="3"/>
      <c r="B85" s="26"/>
      <c r="C85" s="4"/>
      <c r="D85" s="94"/>
      <c r="E85" s="24"/>
      <c r="F85" s="99"/>
      <c r="G85" s="92">
        <v>45754</v>
      </c>
      <c r="H85" s="80" t="s">
        <v>726</v>
      </c>
      <c r="I85" s="41">
        <v>700</v>
      </c>
    </row>
    <row r="86" spans="1:9" ht="33" customHeight="1" x14ac:dyDescent="0.6">
      <c r="A86" s="3"/>
      <c r="B86" s="26"/>
      <c r="C86" s="4"/>
      <c r="D86" s="94"/>
      <c r="E86" s="24"/>
      <c r="F86" s="99"/>
      <c r="G86" s="92">
        <v>45754</v>
      </c>
      <c r="H86" s="80" t="s">
        <v>727</v>
      </c>
      <c r="I86" s="41">
        <v>155550</v>
      </c>
    </row>
    <row r="87" spans="1:9" ht="33" customHeight="1" x14ac:dyDescent="0.6">
      <c r="A87" s="3"/>
      <c r="B87" s="26"/>
      <c r="C87" s="4"/>
      <c r="D87" s="94"/>
      <c r="E87" s="24"/>
      <c r="F87" s="99"/>
      <c r="G87" s="92">
        <v>45754</v>
      </c>
      <c r="H87" s="80" t="s">
        <v>731</v>
      </c>
      <c r="I87" s="41">
        <v>1920</v>
      </c>
    </row>
    <row r="88" spans="1:9" ht="33" customHeight="1" x14ac:dyDescent="0.6">
      <c r="A88" s="3"/>
      <c r="B88" s="26"/>
      <c r="C88" s="4"/>
      <c r="D88" s="94"/>
      <c r="E88" s="24"/>
      <c r="F88" s="99"/>
      <c r="G88" s="92">
        <v>45754</v>
      </c>
      <c r="H88" s="80" t="s">
        <v>732</v>
      </c>
      <c r="I88" s="41">
        <v>3000</v>
      </c>
    </row>
    <row r="89" spans="1:9" ht="33" customHeight="1" x14ac:dyDescent="0.6">
      <c r="A89" s="3"/>
      <c r="B89" s="26"/>
      <c r="C89" s="4"/>
      <c r="D89" s="94"/>
      <c r="E89" s="24"/>
      <c r="F89" s="99"/>
      <c r="G89" s="92">
        <v>45754</v>
      </c>
      <c r="H89" s="80" t="s">
        <v>733</v>
      </c>
      <c r="I89" s="41">
        <v>30300</v>
      </c>
    </row>
    <row r="90" spans="1:9" ht="33" customHeight="1" x14ac:dyDescent="0.6">
      <c r="A90" s="3"/>
      <c r="B90" s="26"/>
      <c r="C90" s="4"/>
      <c r="D90" s="94"/>
      <c r="E90" s="24"/>
      <c r="F90" s="99"/>
      <c r="G90" s="92">
        <v>45754</v>
      </c>
      <c r="H90" s="80" t="s">
        <v>336</v>
      </c>
      <c r="I90" s="41">
        <v>718000</v>
      </c>
    </row>
    <row r="91" spans="1:9" ht="33" customHeight="1" x14ac:dyDescent="0.6">
      <c r="A91" s="3"/>
      <c r="B91" s="26"/>
      <c r="C91" s="4"/>
      <c r="D91" s="94"/>
      <c r="E91" s="24"/>
      <c r="F91" s="99"/>
      <c r="G91" s="92">
        <v>45754</v>
      </c>
      <c r="H91" s="80" t="s">
        <v>735</v>
      </c>
      <c r="I91" s="41">
        <v>10100</v>
      </c>
    </row>
    <row r="92" spans="1:9" ht="33" customHeight="1" x14ac:dyDescent="0.6">
      <c r="A92" s="3"/>
      <c r="B92" s="26"/>
      <c r="C92" s="4"/>
      <c r="D92" s="94"/>
      <c r="E92" s="24"/>
      <c r="F92" s="99"/>
      <c r="G92" s="92">
        <v>45755</v>
      </c>
      <c r="H92" s="80" t="s">
        <v>734</v>
      </c>
      <c r="I92" s="41">
        <v>111110</v>
      </c>
    </row>
    <row r="93" spans="1:9" ht="33" customHeight="1" x14ac:dyDescent="0.6">
      <c r="A93" s="3"/>
      <c r="B93" s="26"/>
      <c r="C93" s="4"/>
      <c r="D93" s="94"/>
      <c r="E93" s="24"/>
      <c r="F93" s="99"/>
      <c r="G93" s="92">
        <v>45755</v>
      </c>
      <c r="H93" s="80" t="s">
        <v>736</v>
      </c>
      <c r="I93" s="41">
        <v>24000</v>
      </c>
    </row>
    <row r="94" spans="1:9" ht="33" customHeight="1" x14ac:dyDescent="0.6">
      <c r="A94" s="3"/>
      <c r="B94" s="26"/>
      <c r="C94" s="4"/>
      <c r="D94" s="94"/>
      <c r="E94" s="24"/>
      <c r="F94" s="89"/>
      <c r="G94" s="92">
        <v>45755</v>
      </c>
      <c r="H94" s="63" t="s">
        <v>737</v>
      </c>
      <c r="I94" s="72">
        <v>3000</v>
      </c>
    </row>
    <row r="95" spans="1:9" ht="33" customHeight="1" x14ac:dyDescent="0.6">
      <c r="A95" s="3"/>
      <c r="B95" s="26"/>
      <c r="C95" s="4"/>
      <c r="D95" s="94"/>
      <c r="E95" s="24"/>
      <c r="F95" s="89"/>
      <c r="G95" s="92">
        <v>45755</v>
      </c>
      <c r="H95" s="63" t="s">
        <v>738</v>
      </c>
      <c r="I95" s="72">
        <v>500</v>
      </c>
    </row>
    <row r="96" spans="1:9" ht="33" customHeight="1" x14ac:dyDescent="0.6">
      <c r="A96" s="3"/>
      <c r="B96" s="26"/>
      <c r="C96" s="4"/>
      <c r="D96" s="94"/>
      <c r="E96" s="24"/>
      <c r="F96" s="89"/>
      <c r="G96" s="92">
        <v>45755</v>
      </c>
      <c r="H96" s="63" t="s">
        <v>740</v>
      </c>
      <c r="I96" s="72">
        <v>464600</v>
      </c>
    </row>
    <row r="97" spans="1:9" ht="33" customHeight="1" x14ac:dyDescent="0.6">
      <c r="A97" s="3"/>
      <c r="B97" s="26"/>
      <c r="C97" s="4"/>
      <c r="D97" s="94"/>
      <c r="E97" s="24"/>
      <c r="F97" s="89"/>
      <c r="G97" s="92">
        <v>45755</v>
      </c>
      <c r="H97" s="63" t="s">
        <v>741</v>
      </c>
      <c r="I97" s="72">
        <v>2000</v>
      </c>
    </row>
    <row r="98" spans="1:9" ht="33" customHeight="1" x14ac:dyDescent="0.6">
      <c r="A98" s="3"/>
      <c r="B98" s="26"/>
      <c r="C98" s="4"/>
      <c r="D98" s="94"/>
      <c r="E98" s="24"/>
      <c r="F98" s="89"/>
      <c r="G98" s="92">
        <v>45755</v>
      </c>
      <c r="H98" s="63" t="s">
        <v>753</v>
      </c>
      <c r="I98" s="72">
        <v>10500</v>
      </c>
    </row>
    <row r="99" spans="1:9" ht="33" customHeight="1" x14ac:dyDescent="0.6">
      <c r="A99" s="3"/>
      <c r="B99" s="26"/>
      <c r="C99" s="4"/>
      <c r="D99" s="94"/>
      <c r="E99" s="24"/>
      <c r="F99" s="89"/>
      <c r="G99" s="92">
        <v>45755</v>
      </c>
      <c r="H99" s="63" t="s">
        <v>742</v>
      </c>
      <c r="I99" s="72">
        <v>2200</v>
      </c>
    </row>
    <row r="100" spans="1:9" ht="33" customHeight="1" x14ac:dyDescent="0.6">
      <c r="A100" s="3"/>
      <c r="B100" s="26"/>
      <c r="C100" s="4"/>
      <c r="D100" s="94"/>
      <c r="E100" s="24"/>
      <c r="F100" s="89"/>
      <c r="G100" s="91">
        <v>45756</v>
      </c>
      <c r="H100" s="63" t="s">
        <v>752</v>
      </c>
      <c r="I100" s="72">
        <v>29700</v>
      </c>
    </row>
    <row r="101" spans="1:9" ht="33" customHeight="1" x14ac:dyDescent="0.6">
      <c r="A101" s="3"/>
      <c r="B101" s="26"/>
      <c r="C101" s="4"/>
      <c r="D101" s="94"/>
      <c r="E101" s="24"/>
      <c r="F101" s="89"/>
      <c r="G101" s="91">
        <v>45756</v>
      </c>
      <c r="H101" s="63" t="s">
        <v>1052</v>
      </c>
      <c r="I101" s="72">
        <v>10000</v>
      </c>
    </row>
    <row r="102" spans="1:9" ht="33" customHeight="1" x14ac:dyDescent="0.6">
      <c r="A102" s="3"/>
      <c r="B102" s="26"/>
      <c r="C102" s="4"/>
      <c r="D102" s="94"/>
      <c r="E102" s="24"/>
      <c r="F102" s="89"/>
      <c r="G102" s="91">
        <v>45756</v>
      </c>
      <c r="H102" s="63" t="s">
        <v>746</v>
      </c>
      <c r="I102" s="72">
        <v>40000</v>
      </c>
    </row>
    <row r="103" spans="1:9" ht="33" customHeight="1" x14ac:dyDescent="0.6">
      <c r="A103" s="3"/>
      <c r="B103" s="26"/>
      <c r="C103" s="4"/>
      <c r="D103" s="94"/>
      <c r="E103" s="24"/>
      <c r="F103" s="89"/>
      <c r="G103" s="91">
        <v>45756</v>
      </c>
      <c r="H103" s="63" t="s">
        <v>745</v>
      </c>
      <c r="I103" s="72">
        <v>22000</v>
      </c>
    </row>
    <row r="104" spans="1:9" ht="33" customHeight="1" x14ac:dyDescent="0.6">
      <c r="A104" s="3"/>
      <c r="B104" s="26"/>
      <c r="C104" s="4"/>
      <c r="D104" s="94"/>
      <c r="E104" s="24"/>
      <c r="F104" s="89"/>
      <c r="G104" s="91">
        <v>45756</v>
      </c>
      <c r="H104" s="63" t="s">
        <v>743</v>
      </c>
      <c r="I104" s="72">
        <v>1178200</v>
      </c>
    </row>
    <row r="105" spans="1:9" ht="33" customHeight="1" x14ac:dyDescent="0.6">
      <c r="A105" s="3"/>
      <c r="B105" s="26"/>
      <c r="C105" s="4"/>
      <c r="D105" s="94"/>
      <c r="E105" s="24"/>
      <c r="F105" s="89"/>
      <c r="G105" s="91">
        <v>45756</v>
      </c>
      <c r="H105" s="63" t="s">
        <v>744</v>
      </c>
      <c r="I105" s="72">
        <v>1400</v>
      </c>
    </row>
    <row r="106" spans="1:9" ht="33" customHeight="1" x14ac:dyDescent="0.6">
      <c r="A106" s="3"/>
      <c r="B106" s="26"/>
      <c r="C106" s="4"/>
      <c r="D106" s="94"/>
      <c r="E106" s="24"/>
      <c r="F106" s="89"/>
      <c r="G106" s="91">
        <v>45756</v>
      </c>
      <c r="H106" s="63" t="s">
        <v>747</v>
      </c>
      <c r="I106" s="72">
        <v>101000</v>
      </c>
    </row>
    <row r="107" spans="1:9" ht="33" customHeight="1" x14ac:dyDescent="0.6">
      <c r="A107" s="3"/>
      <c r="B107" s="26"/>
      <c r="C107" s="4"/>
      <c r="D107" s="94"/>
      <c r="E107" s="24"/>
      <c r="F107" s="89"/>
      <c r="G107" s="91">
        <v>45756</v>
      </c>
      <c r="H107" s="63" t="s">
        <v>748</v>
      </c>
      <c r="I107" s="72">
        <v>101000</v>
      </c>
    </row>
    <row r="108" spans="1:9" ht="33" customHeight="1" x14ac:dyDescent="0.6">
      <c r="A108" s="3"/>
      <c r="B108" s="26"/>
      <c r="C108" s="4"/>
      <c r="D108" s="94"/>
      <c r="E108" s="24"/>
      <c r="F108" s="89"/>
      <c r="G108" s="91">
        <v>45756</v>
      </c>
      <c r="H108" s="63" t="s">
        <v>749</v>
      </c>
      <c r="I108" s="72">
        <v>45450</v>
      </c>
    </row>
    <row r="109" spans="1:9" ht="33" customHeight="1" x14ac:dyDescent="0.6">
      <c r="A109" s="3"/>
      <c r="B109" s="26"/>
      <c r="C109" s="4"/>
      <c r="D109" s="94"/>
      <c r="E109" s="24"/>
      <c r="F109" s="89"/>
      <c r="G109" s="91">
        <v>45756</v>
      </c>
      <c r="H109" s="63" t="s">
        <v>750</v>
      </c>
      <c r="I109" s="72">
        <v>50500</v>
      </c>
    </row>
    <row r="110" spans="1:9" ht="33" customHeight="1" x14ac:dyDescent="0.6">
      <c r="A110" s="3"/>
      <c r="B110" s="26"/>
      <c r="C110" s="4"/>
      <c r="D110" s="94"/>
      <c r="E110" s="24"/>
      <c r="F110" s="89"/>
      <c r="G110" s="91">
        <v>45756</v>
      </c>
      <c r="H110" s="63" t="s">
        <v>751</v>
      </c>
      <c r="I110" s="72">
        <v>402000</v>
      </c>
    </row>
    <row r="111" spans="1:9" ht="33" customHeight="1" x14ac:dyDescent="0.6">
      <c r="A111" s="3"/>
      <c r="B111" s="26"/>
      <c r="C111" s="4"/>
      <c r="D111" s="94"/>
      <c r="E111" s="24"/>
      <c r="F111" s="89"/>
      <c r="G111" s="91">
        <v>45756</v>
      </c>
      <c r="H111" s="63" t="s">
        <v>513</v>
      </c>
      <c r="I111" s="72">
        <v>4000</v>
      </c>
    </row>
    <row r="112" spans="1:9" ht="33" customHeight="1" x14ac:dyDescent="0.6">
      <c r="A112" s="3"/>
      <c r="B112" s="26"/>
      <c r="C112" s="4"/>
      <c r="D112" s="94"/>
      <c r="E112" s="24"/>
      <c r="F112" s="89"/>
      <c r="G112" s="91">
        <v>45756</v>
      </c>
      <c r="H112" s="63" t="s">
        <v>846</v>
      </c>
      <c r="I112" s="72">
        <v>126800</v>
      </c>
    </row>
    <row r="113" spans="1:9" ht="33" customHeight="1" x14ac:dyDescent="0.6">
      <c r="A113" s="3"/>
      <c r="B113" s="26"/>
      <c r="C113" s="4"/>
      <c r="D113" s="94"/>
      <c r="E113" s="24"/>
      <c r="F113" s="89"/>
      <c r="G113" s="91">
        <v>45756</v>
      </c>
      <c r="H113" s="63" t="s">
        <v>755</v>
      </c>
      <c r="I113" s="72">
        <v>40400</v>
      </c>
    </row>
    <row r="114" spans="1:9" s="23" customFormat="1" ht="33" customHeight="1" x14ac:dyDescent="0.6">
      <c r="A114" s="5"/>
      <c r="B114" s="22"/>
      <c r="C114" s="16"/>
      <c r="D114" s="90"/>
      <c r="E114" s="27"/>
      <c r="F114" s="83"/>
      <c r="G114" s="91">
        <v>45756</v>
      </c>
      <c r="H114" s="63" t="s">
        <v>754</v>
      </c>
      <c r="I114" s="72">
        <v>20200</v>
      </c>
    </row>
    <row r="115" spans="1:9" ht="33" customHeight="1" x14ac:dyDescent="0.6">
      <c r="A115" s="3"/>
      <c r="B115" s="26"/>
      <c r="C115" s="4"/>
      <c r="D115" s="94"/>
      <c r="E115" s="24"/>
      <c r="F115" s="89"/>
      <c r="G115" s="91">
        <v>45756</v>
      </c>
      <c r="H115" s="63" t="s">
        <v>756</v>
      </c>
      <c r="I115" s="72">
        <v>30300</v>
      </c>
    </row>
    <row r="116" spans="1:9" ht="33" customHeight="1" x14ac:dyDescent="0.6">
      <c r="A116" s="3"/>
      <c r="B116" s="26"/>
      <c r="C116" s="4"/>
      <c r="D116" s="94"/>
      <c r="E116" s="24"/>
      <c r="F116" s="89"/>
      <c r="G116" s="91">
        <v>45756</v>
      </c>
      <c r="H116" s="63" t="s">
        <v>757</v>
      </c>
      <c r="I116" s="72">
        <v>25250</v>
      </c>
    </row>
    <row r="117" spans="1:9" ht="33" customHeight="1" x14ac:dyDescent="0.6">
      <c r="A117" s="3"/>
      <c r="B117" s="26"/>
      <c r="C117" s="4"/>
      <c r="D117" s="94"/>
      <c r="E117" s="24"/>
      <c r="F117" s="89"/>
      <c r="G117" s="91">
        <v>45756</v>
      </c>
      <c r="H117" s="63" t="s">
        <v>758</v>
      </c>
      <c r="I117" s="72">
        <v>9000</v>
      </c>
    </row>
    <row r="118" spans="1:9" ht="33" customHeight="1" x14ac:dyDescent="0.6">
      <c r="A118" s="3"/>
      <c r="B118" s="26"/>
      <c r="C118" s="4"/>
      <c r="D118" s="94"/>
      <c r="E118" s="24"/>
      <c r="F118" s="89"/>
      <c r="G118" s="91">
        <v>45756</v>
      </c>
      <c r="H118" s="63" t="s">
        <v>761</v>
      </c>
      <c r="I118" s="72">
        <v>171700</v>
      </c>
    </row>
    <row r="119" spans="1:9" ht="33" customHeight="1" x14ac:dyDescent="0.6">
      <c r="A119" s="3"/>
      <c r="B119" s="26"/>
      <c r="C119" s="4"/>
      <c r="D119" s="94"/>
      <c r="E119" s="24"/>
      <c r="F119" s="89"/>
      <c r="G119" s="91">
        <v>45756</v>
      </c>
      <c r="H119" s="63" t="s">
        <v>759</v>
      </c>
      <c r="I119" s="72">
        <v>202000</v>
      </c>
    </row>
    <row r="120" spans="1:9" ht="33" customHeight="1" x14ac:dyDescent="0.6">
      <c r="A120" s="3"/>
      <c r="B120" s="26"/>
      <c r="C120" s="4"/>
      <c r="D120" s="94"/>
      <c r="E120" s="24"/>
      <c r="F120" s="89"/>
      <c r="G120" s="91">
        <v>45756</v>
      </c>
      <c r="H120" s="63" t="s">
        <v>760</v>
      </c>
      <c r="I120" s="72">
        <v>140000</v>
      </c>
    </row>
    <row r="121" spans="1:9" ht="33" customHeight="1" x14ac:dyDescent="0.6">
      <c r="A121" s="3"/>
      <c r="B121" s="26"/>
      <c r="C121" s="4"/>
      <c r="D121" s="94"/>
      <c r="E121" s="24"/>
      <c r="F121" s="89"/>
      <c r="G121" s="91">
        <v>45756</v>
      </c>
      <c r="H121" s="63" t="s">
        <v>762</v>
      </c>
      <c r="I121" s="72">
        <v>139380</v>
      </c>
    </row>
    <row r="122" spans="1:9" ht="33" customHeight="1" x14ac:dyDescent="0.6">
      <c r="A122" s="3"/>
      <c r="B122" s="26"/>
      <c r="C122" s="4"/>
      <c r="D122" s="94"/>
      <c r="E122" s="24"/>
      <c r="F122" s="89"/>
      <c r="G122" s="91">
        <v>45756</v>
      </c>
      <c r="H122" s="63" t="s">
        <v>763</v>
      </c>
      <c r="I122" s="72">
        <v>139380</v>
      </c>
    </row>
    <row r="123" spans="1:9" ht="33" customHeight="1" x14ac:dyDescent="0.6">
      <c r="A123" s="3"/>
      <c r="B123" s="26"/>
      <c r="C123" s="4"/>
      <c r="D123" s="94"/>
      <c r="E123" s="24"/>
      <c r="F123" s="89"/>
      <c r="G123" s="91">
        <v>45756</v>
      </c>
      <c r="H123" s="63" t="s">
        <v>764</v>
      </c>
      <c r="I123" s="72">
        <v>2200</v>
      </c>
    </row>
    <row r="124" spans="1:9" ht="33" customHeight="1" x14ac:dyDescent="0.6">
      <c r="A124" s="3"/>
      <c r="B124" s="26"/>
      <c r="C124" s="4"/>
      <c r="D124" s="94"/>
      <c r="E124" s="24"/>
      <c r="F124" s="89"/>
      <c r="G124" s="91">
        <v>45756</v>
      </c>
      <c r="H124" s="63" t="s">
        <v>765</v>
      </c>
      <c r="I124" s="72">
        <v>406000</v>
      </c>
    </row>
    <row r="125" spans="1:9" ht="33" customHeight="1" x14ac:dyDescent="0.6">
      <c r="A125" s="3"/>
      <c r="B125" s="26"/>
      <c r="C125" s="4"/>
      <c r="D125" s="94"/>
      <c r="E125" s="24"/>
      <c r="F125" s="89"/>
      <c r="G125" s="91">
        <v>45756</v>
      </c>
      <c r="H125" s="63" t="s">
        <v>380</v>
      </c>
      <c r="I125" s="72">
        <v>54000</v>
      </c>
    </row>
    <row r="126" spans="1:9" ht="33" customHeight="1" x14ac:dyDescent="0.6">
      <c r="A126" s="3"/>
      <c r="B126" s="26"/>
      <c r="C126" s="4"/>
      <c r="D126" s="94"/>
      <c r="E126" s="24"/>
      <c r="F126" s="89"/>
      <c r="G126" s="91">
        <v>45756</v>
      </c>
      <c r="H126" s="63" t="s">
        <v>766</v>
      </c>
      <c r="I126" s="72">
        <v>305020</v>
      </c>
    </row>
    <row r="127" spans="1:9" ht="33" customHeight="1" x14ac:dyDescent="0.6">
      <c r="A127" s="3"/>
      <c r="B127" s="26"/>
      <c r="C127" s="4"/>
      <c r="D127" s="94"/>
      <c r="E127" s="24"/>
      <c r="F127" s="89"/>
      <c r="G127" s="91">
        <v>45756</v>
      </c>
      <c r="H127" s="63" t="s">
        <v>767</v>
      </c>
      <c r="I127" s="72">
        <v>101000</v>
      </c>
    </row>
    <row r="128" spans="1:9" ht="33" customHeight="1" x14ac:dyDescent="0.6">
      <c r="A128" s="3"/>
      <c r="B128" s="26"/>
      <c r="C128" s="4"/>
      <c r="D128" s="94"/>
      <c r="E128" s="24"/>
      <c r="F128" s="89"/>
      <c r="G128" s="91">
        <v>45756</v>
      </c>
      <c r="H128" s="63" t="s">
        <v>769</v>
      </c>
      <c r="I128" s="72">
        <v>70700</v>
      </c>
    </row>
    <row r="129" spans="1:9" ht="33" customHeight="1" x14ac:dyDescent="0.6">
      <c r="A129" s="3"/>
      <c r="B129" s="26"/>
      <c r="C129" s="4"/>
      <c r="D129" s="94"/>
      <c r="E129" s="24"/>
      <c r="F129" s="89"/>
      <c r="G129" s="91">
        <v>45756</v>
      </c>
      <c r="H129" s="63" t="s">
        <v>770</v>
      </c>
      <c r="I129" s="72">
        <v>18685</v>
      </c>
    </row>
    <row r="130" spans="1:9" ht="33" customHeight="1" x14ac:dyDescent="0.6">
      <c r="A130" s="3"/>
      <c r="B130" s="26"/>
      <c r="C130" s="4"/>
      <c r="D130" s="94"/>
      <c r="E130" s="24"/>
      <c r="F130" s="89"/>
      <c r="G130" s="91">
        <v>45757</v>
      </c>
      <c r="H130" s="63" t="s">
        <v>768</v>
      </c>
      <c r="I130" s="72">
        <v>80800</v>
      </c>
    </row>
    <row r="131" spans="1:9" ht="33" customHeight="1" x14ac:dyDescent="0.6">
      <c r="A131" s="3"/>
      <c r="B131" s="26"/>
      <c r="C131" s="4"/>
      <c r="D131" s="94"/>
      <c r="E131" s="24"/>
      <c r="F131" s="89"/>
      <c r="G131" s="91">
        <v>45757</v>
      </c>
      <c r="H131" s="63" t="s">
        <v>771</v>
      </c>
      <c r="I131" s="72">
        <v>101000</v>
      </c>
    </row>
    <row r="132" spans="1:9" ht="33" customHeight="1" x14ac:dyDescent="0.6">
      <c r="A132" s="3"/>
      <c r="B132" s="26"/>
      <c r="C132" s="4"/>
      <c r="D132" s="94"/>
      <c r="E132" s="24"/>
      <c r="F132" s="89"/>
      <c r="G132" s="91">
        <v>45757</v>
      </c>
      <c r="H132" s="63" t="s">
        <v>772</v>
      </c>
      <c r="I132" s="72">
        <v>15150</v>
      </c>
    </row>
    <row r="133" spans="1:9" ht="33" customHeight="1" x14ac:dyDescent="0.6">
      <c r="A133" s="3"/>
      <c r="B133" s="26"/>
      <c r="C133" s="4"/>
      <c r="D133" s="94"/>
      <c r="E133" s="24"/>
      <c r="F133" s="89"/>
      <c r="G133" s="91">
        <v>45757</v>
      </c>
      <c r="H133" s="63" t="s">
        <v>773</v>
      </c>
      <c r="I133" s="72">
        <v>3000</v>
      </c>
    </row>
    <row r="134" spans="1:9" ht="33" customHeight="1" x14ac:dyDescent="0.6">
      <c r="A134" s="3"/>
      <c r="B134" s="26"/>
      <c r="C134" s="4"/>
      <c r="D134" s="94"/>
      <c r="E134" s="24"/>
      <c r="F134" s="89"/>
      <c r="G134" s="91">
        <v>45757</v>
      </c>
      <c r="H134" s="63" t="s">
        <v>775</v>
      </c>
      <c r="I134" s="72">
        <v>40400</v>
      </c>
    </row>
    <row r="135" spans="1:9" ht="33" customHeight="1" x14ac:dyDescent="0.6">
      <c r="A135" s="3"/>
      <c r="B135" s="26"/>
      <c r="C135" s="4"/>
      <c r="D135" s="94"/>
      <c r="E135" s="24"/>
      <c r="F135" s="89"/>
      <c r="G135" s="91">
        <v>45757</v>
      </c>
      <c r="H135" s="63" t="s">
        <v>776</v>
      </c>
      <c r="I135" s="72">
        <v>18685</v>
      </c>
    </row>
    <row r="136" spans="1:9" ht="33" customHeight="1" x14ac:dyDescent="0.6">
      <c r="A136" s="3"/>
      <c r="B136" s="26"/>
      <c r="C136" s="4"/>
      <c r="D136" s="94"/>
      <c r="E136" s="24"/>
      <c r="F136" s="89"/>
      <c r="G136" s="91">
        <v>45757</v>
      </c>
      <c r="H136" s="63" t="s">
        <v>777</v>
      </c>
      <c r="I136" s="72">
        <v>15150</v>
      </c>
    </row>
    <row r="137" spans="1:9" ht="33" customHeight="1" x14ac:dyDescent="0.6">
      <c r="A137" s="3"/>
      <c r="B137" s="26"/>
      <c r="C137" s="4"/>
      <c r="D137" s="94"/>
      <c r="E137" s="24"/>
      <c r="F137" s="89"/>
      <c r="G137" s="91">
        <v>45757</v>
      </c>
      <c r="H137" s="63" t="s">
        <v>779</v>
      </c>
      <c r="I137" s="72">
        <v>2000</v>
      </c>
    </row>
    <row r="138" spans="1:9" ht="33" customHeight="1" x14ac:dyDescent="0.6">
      <c r="A138" s="3"/>
      <c r="B138" s="26"/>
      <c r="C138" s="4"/>
      <c r="D138" s="94"/>
      <c r="E138" s="24"/>
      <c r="F138" s="89"/>
      <c r="G138" s="91">
        <v>45757</v>
      </c>
      <c r="H138" s="63" t="s">
        <v>778</v>
      </c>
      <c r="I138" s="72">
        <v>300</v>
      </c>
    </row>
    <row r="139" spans="1:9" ht="33" customHeight="1" x14ac:dyDescent="0.6">
      <c r="A139" s="3"/>
      <c r="B139" s="26"/>
      <c r="C139" s="4"/>
      <c r="D139" s="94"/>
      <c r="E139" s="24"/>
      <c r="F139" s="89"/>
      <c r="G139" s="91">
        <v>45757</v>
      </c>
      <c r="H139" s="22" t="s">
        <v>830</v>
      </c>
      <c r="I139" s="83">
        <v>12400</v>
      </c>
    </row>
    <row r="140" spans="1:9" ht="33" customHeight="1" x14ac:dyDescent="0.6">
      <c r="A140" s="3"/>
      <c r="B140" s="26"/>
      <c r="C140" s="4"/>
      <c r="D140" s="94"/>
      <c r="E140" s="24"/>
      <c r="F140" s="89"/>
      <c r="G140" s="91">
        <v>45757</v>
      </c>
      <c r="H140" s="63" t="s">
        <v>781</v>
      </c>
      <c r="I140" s="72">
        <v>20200</v>
      </c>
    </row>
    <row r="141" spans="1:9" ht="33" customHeight="1" x14ac:dyDescent="0.6">
      <c r="A141" s="3"/>
      <c r="B141" s="26"/>
      <c r="C141" s="4"/>
      <c r="D141" s="94"/>
      <c r="E141" s="24"/>
      <c r="F141" s="89"/>
      <c r="G141" s="91">
        <v>45757</v>
      </c>
      <c r="H141" s="63" t="s">
        <v>782</v>
      </c>
      <c r="I141" s="72">
        <v>10100</v>
      </c>
    </row>
    <row r="142" spans="1:9" ht="33" customHeight="1" x14ac:dyDescent="0.6">
      <c r="A142" s="3"/>
      <c r="B142" s="26"/>
      <c r="C142" s="4"/>
      <c r="D142" s="94"/>
      <c r="E142" s="24"/>
      <c r="F142" s="89"/>
      <c r="G142" s="91">
        <v>45758</v>
      </c>
      <c r="H142" s="63" t="s">
        <v>783</v>
      </c>
      <c r="I142" s="72">
        <v>2800</v>
      </c>
    </row>
    <row r="143" spans="1:9" ht="33" customHeight="1" x14ac:dyDescent="0.6">
      <c r="A143" s="3"/>
      <c r="B143" s="26"/>
      <c r="C143" s="4"/>
      <c r="D143" s="94"/>
      <c r="E143" s="24"/>
      <c r="F143" s="89"/>
      <c r="G143" s="91">
        <v>45758</v>
      </c>
      <c r="H143" s="63" t="s">
        <v>784</v>
      </c>
      <c r="I143" s="72">
        <v>1000</v>
      </c>
    </row>
    <row r="144" spans="1:9" ht="33" customHeight="1" x14ac:dyDescent="0.6">
      <c r="A144" s="3"/>
      <c r="B144" s="26"/>
      <c r="C144" s="4"/>
      <c r="D144" s="94"/>
      <c r="E144" s="24"/>
      <c r="F144" s="89"/>
      <c r="G144" s="91">
        <v>45758</v>
      </c>
      <c r="H144" s="63" t="s">
        <v>785</v>
      </c>
      <c r="I144" s="72">
        <v>10000</v>
      </c>
    </row>
    <row r="145" spans="1:9" ht="33" customHeight="1" x14ac:dyDescent="0.6">
      <c r="A145" s="3"/>
      <c r="B145" s="26"/>
      <c r="C145" s="4"/>
      <c r="D145" s="94"/>
      <c r="E145" s="24"/>
      <c r="F145" s="89"/>
      <c r="G145" s="91">
        <v>45758</v>
      </c>
      <c r="H145" s="63" t="s">
        <v>786</v>
      </c>
      <c r="I145" s="72">
        <v>10100</v>
      </c>
    </row>
    <row r="146" spans="1:9" ht="33" customHeight="1" x14ac:dyDescent="0.6">
      <c r="A146" s="3"/>
      <c r="B146" s="26"/>
      <c r="C146" s="4"/>
      <c r="D146" s="94"/>
      <c r="E146" s="24"/>
      <c r="F146" s="89"/>
      <c r="G146" s="91">
        <v>45758</v>
      </c>
      <c r="H146" s="63" t="s">
        <v>787</v>
      </c>
      <c r="I146" s="72">
        <v>20200</v>
      </c>
    </row>
    <row r="147" spans="1:9" ht="33" customHeight="1" x14ac:dyDescent="0.6">
      <c r="A147" s="3"/>
      <c r="B147" s="26"/>
      <c r="C147" s="4"/>
      <c r="D147" s="94"/>
      <c r="E147" s="24"/>
      <c r="F147" s="89"/>
      <c r="G147" s="91">
        <v>45758</v>
      </c>
      <c r="H147" s="63" t="s">
        <v>788</v>
      </c>
      <c r="I147" s="72">
        <v>35350</v>
      </c>
    </row>
    <row r="148" spans="1:9" ht="33" customHeight="1" x14ac:dyDescent="0.6">
      <c r="A148" s="3"/>
      <c r="B148" s="26"/>
      <c r="C148" s="4"/>
      <c r="D148" s="94"/>
      <c r="E148" s="24"/>
      <c r="F148" s="89"/>
      <c r="G148" s="91">
        <v>45758</v>
      </c>
      <c r="H148" s="63" t="s">
        <v>789</v>
      </c>
      <c r="I148" s="72">
        <v>3000</v>
      </c>
    </row>
    <row r="149" spans="1:9" ht="33" customHeight="1" x14ac:dyDescent="0.6">
      <c r="A149" s="3"/>
      <c r="B149" s="26"/>
      <c r="C149" s="4"/>
      <c r="D149" s="94"/>
      <c r="E149" s="24"/>
      <c r="F149" s="89"/>
      <c r="G149" s="91">
        <v>45758</v>
      </c>
      <c r="H149" s="63" t="s">
        <v>791</v>
      </c>
      <c r="I149" s="72">
        <v>20200</v>
      </c>
    </row>
    <row r="150" spans="1:9" ht="33" customHeight="1" x14ac:dyDescent="0.6">
      <c r="A150" s="3"/>
      <c r="B150" s="26"/>
      <c r="C150" s="4"/>
      <c r="D150" s="94"/>
      <c r="E150" s="24"/>
      <c r="F150" s="89"/>
      <c r="G150" s="91">
        <v>45758</v>
      </c>
      <c r="H150" s="63" t="s">
        <v>811</v>
      </c>
      <c r="I150" s="72">
        <f>260000+239200+690000+10100+10100+10100+500</f>
        <v>1220000</v>
      </c>
    </row>
    <row r="151" spans="1:9" ht="33" customHeight="1" x14ac:dyDescent="0.6">
      <c r="A151" s="3"/>
      <c r="B151" s="26"/>
      <c r="C151" s="4"/>
      <c r="D151" s="94"/>
      <c r="E151" s="24"/>
      <c r="F151" s="89"/>
      <c r="G151" s="91">
        <v>45758</v>
      </c>
      <c r="H151" s="63" t="s">
        <v>792</v>
      </c>
      <c r="I151" s="72">
        <v>1700</v>
      </c>
    </row>
    <row r="152" spans="1:9" ht="33" customHeight="1" x14ac:dyDescent="0.6">
      <c r="A152" s="3"/>
      <c r="B152" s="26"/>
      <c r="C152" s="4"/>
      <c r="D152" s="94"/>
      <c r="E152" s="24"/>
      <c r="F152" s="89"/>
      <c r="G152" s="91">
        <v>45758</v>
      </c>
      <c r="H152" s="63" t="s">
        <v>793</v>
      </c>
      <c r="I152" s="72">
        <v>1800</v>
      </c>
    </row>
    <row r="153" spans="1:9" ht="33" customHeight="1" x14ac:dyDescent="0.6">
      <c r="A153" s="3"/>
      <c r="B153" s="26"/>
      <c r="C153" s="4"/>
      <c r="D153" s="94"/>
      <c r="E153" s="24"/>
      <c r="F153" s="89"/>
      <c r="G153" s="91">
        <v>45758</v>
      </c>
      <c r="H153" s="63" t="s">
        <v>794</v>
      </c>
      <c r="I153" s="72">
        <v>8000</v>
      </c>
    </row>
    <row r="154" spans="1:9" ht="33" customHeight="1" x14ac:dyDescent="0.6">
      <c r="A154" s="3"/>
      <c r="B154" s="26"/>
      <c r="C154" s="4"/>
      <c r="D154" s="94"/>
      <c r="E154" s="24"/>
      <c r="F154" s="89"/>
      <c r="G154" s="91">
        <v>45758</v>
      </c>
      <c r="H154" s="63" t="s">
        <v>799</v>
      </c>
      <c r="I154" s="72">
        <v>1000000</v>
      </c>
    </row>
    <row r="155" spans="1:9" ht="33" customHeight="1" x14ac:dyDescent="0.6">
      <c r="A155" s="3"/>
      <c r="B155" s="26"/>
      <c r="C155" s="4"/>
      <c r="D155" s="94"/>
      <c r="E155" s="24"/>
      <c r="F155" s="89"/>
      <c r="G155" s="91">
        <v>45758</v>
      </c>
      <c r="H155" s="63" t="s">
        <v>797</v>
      </c>
      <c r="I155" s="72">
        <v>5050</v>
      </c>
    </row>
    <row r="156" spans="1:9" ht="33" customHeight="1" x14ac:dyDescent="0.6">
      <c r="A156" s="3"/>
      <c r="B156" s="26"/>
      <c r="C156" s="4"/>
      <c r="D156" s="94"/>
      <c r="E156" s="24"/>
      <c r="F156" s="89"/>
      <c r="G156" s="91">
        <v>45758</v>
      </c>
      <c r="H156" s="63" t="s">
        <v>798</v>
      </c>
      <c r="I156" s="72">
        <v>60600</v>
      </c>
    </row>
    <row r="157" spans="1:9" ht="33" customHeight="1" x14ac:dyDescent="0.6">
      <c r="A157" s="3"/>
      <c r="B157" s="26"/>
      <c r="C157" s="4"/>
      <c r="D157" s="94"/>
      <c r="E157" s="24"/>
      <c r="F157" s="89"/>
      <c r="G157" s="91">
        <v>45759</v>
      </c>
      <c r="H157" s="63" t="s">
        <v>800</v>
      </c>
      <c r="I157" s="72">
        <v>830000</v>
      </c>
    </row>
    <row r="158" spans="1:9" ht="33" customHeight="1" x14ac:dyDescent="0.6">
      <c r="A158" s="3"/>
      <c r="B158" s="26"/>
      <c r="C158" s="4"/>
      <c r="D158" s="94"/>
      <c r="E158" s="24"/>
      <c r="F158" s="89"/>
      <c r="G158" s="91">
        <v>45759</v>
      </c>
      <c r="H158" s="63" t="s">
        <v>812</v>
      </c>
      <c r="I158" s="72">
        <f>15000+705+30300+77770</f>
        <v>123775</v>
      </c>
    </row>
    <row r="159" spans="1:9" ht="33" customHeight="1" x14ac:dyDescent="0.6">
      <c r="A159" s="3"/>
      <c r="B159" s="26"/>
      <c r="C159" s="4"/>
      <c r="D159" s="94"/>
      <c r="E159" s="24"/>
      <c r="F159" s="89"/>
      <c r="G159" s="91">
        <v>45759</v>
      </c>
      <c r="H159" s="63" t="s">
        <v>801</v>
      </c>
      <c r="I159" s="72">
        <v>2000</v>
      </c>
    </row>
    <row r="160" spans="1:9" ht="33" customHeight="1" x14ac:dyDescent="0.6">
      <c r="A160" s="3"/>
      <c r="B160" s="26"/>
      <c r="C160" s="4"/>
      <c r="D160" s="94"/>
      <c r="E160" s="24"/>
      <c r="F160" s="89"/>
      <c r="G160" s="91">
        <v>45759</v>
      </c>
      <c r="H160" s="63" t="s">
        <v>802</v>
      </c>
      <c r="I160" s="72">
        <v>1500</v>
      </c>
    </row>
    <row r="161" spans="1:9" ht="33" customHeight="1" x14ac:dyDescent="0.6">
      <c r="A161" s="3"/>
      <c r="B161" s="26"/>
      <c r="C161" s="4"/>
      <c r="D161" s="94"/>
      <c r="E161" s="24"/>
      <c r="F161" s="89"/>
      <c r="G161" s="91">
        <v>45759</v>
      </c>
      <c r="H161" s="63" t="s">
        <v>804</v>
      </c>
      <c r="I161" s="72">
        <v>40400</v>
      </c>
    </row>
    <row r="162" spans="1:9" ht="33" customHeight="1" x14ac:dyDescent="0.6">
      <c r="A162" s="3"/>
      <c r="B162" s="26"/>
      <c r="C162" s="4"/>
      <c r="D162" s="94"/>
      <c r="E162" s="24"/>
      <c r="F162" s="89"/>
      <c r="G162" s="91">
        <v>45759</v>
      </c>
      <c r="H162" s="63" t="s">
        <v>803</v>
      </c>
      <c r="I162" s="72">
        <v>20200</v>
      </c>
    </row>
    <row r="163" spans="1:9" ht="33" customHeight="1" x14ac:dyDescent="0.6">
      <c r="A163" s="3"/>
      <c r="B163" s="26"/>
      <c r="C163" s="4"/>
      <c r="D163" s="94"/>
      <c r="E163" s="24"/>
      <c r="F163" s="89"/>
      <c r="G163" s="91">
        <v>45759</v>
      </c>
      <c r="H163" s="63" t="s">
        <v>809</v>
      </c>
      <c r="I163" s="72">
        <v>50500</v>
      </c>
    </row>
    <row r="164" spans="1:9" ht="33" customHeight="1" x14ac:dyDescent="0.6">
      <c r="A164" s="3"/>
      <c r="B164" s="26"/>
      <c r="C164" s="4"/>
      <c r="D164" s="94"/>
      <c r="E164" s="24"/>
      <c r="F164" s="89"/>
      <c r="G164" s="91">
        <v>45759</v>
      </c>
      <c r="H164" s="63" t="s">
        <v>807</v>
      </c>
      <c r="I164" s="72">
        <v>10000</v>
      </c>
    </row>
    <row r="165" spans="1:9" ht="33" customHeight="1" x14ac:dyDescent="0.6">
      <c r="A165" s="3"/>
      <c r="B165" s="26"/>
      <c r="C165" s="4"/>
      <c r="D165" s="94"/>
      <c r="E165" s="24"/>
      <c r="F165" s="89"/>
      <c r="G165" s="91">
        <v>45759</v>
      </c>
      <c r="H165" s="63" t="s">
        <v>821</v>
      </c>
      <c r="I165" s="72">
        <v>6700</v>
      </c>
    </row>
    <row r="166" spans="1:9" ht="33" customHeight="1" x14ac:dyDescent="0.6">
      <c r="A166" s="3"/>
      <c r="B166" s="26"/>
      <c r="C166" s="4"/>
      <c r="D166" s="94"/>
      <c r="E166" s="24"/>
      <c r="F166" s="89"/>
      <c r="G166" s="91">
        <v>45760</v>
      </c>
      <c r="H166" s="63" t="s">
        <v>831</v>
      </c>
      <c r="I166" s="72">
        <v>1000</v>
      </c>
    </row>
    <row r="167" spans="1:9" ht="33" customHeight="1" x14ac:dyDescent="0.6">
      <c r="A167" s="3"/>
      <c r="B167" s="26"/>
      <c r="C167" s="4"/>
      <c r="D167" s="94"/>
      <c r="E167" s="24"/>
      <c r="F167" s="89"/>
      <c r="G167" s="91">
        <v>45760</v>
      </c>
      <c r="H167" s="63" t="s">
        <v>832</v>
      </c>
      <c r="I167" s="72">
        <v>4500</v>
      </c>
    </row>
    <row r="168" spans="1:9" ht="33" customHeight="1" x14ac:dyDescent="0.6">
      <c r="A168" s="3"/>
      <c r="B168" s="26"/>
      <c r="C168" s="4"/>
      <c r="D168" s="94"/>
      <c r="E168" s="24"/>
      <c r="F168" s="89"/>
      <c r="G168" s="91">
        <v>45761</v>
      </c>
      <c r="H168" s="63" t="s">
        <v>808</v>
      </c>
      <c r="I168" s="72">
        <v>3000</v>
      </c>
    </row>
    <row r="169" spans="1:9" ht="33" customHeight="1" x14ac:dyDescent="0.6">
      <c r="A169" s="3"/>
      <c r="B169" s="26"/>
      <c r="C169" s="4"/>
      <c r="D169" s="94"/>
      <c r="E169" s="24"/>
      <c r="F169" s="89"/>
      <c r="G169" s="91">
        <v>45761</v>
      </c>
      <c r="H169" s="63" t="s">
        <v>810</v>
      </c>
      <c r="I169" s="72">
        <v>15150</v>
      </c>
    </row>
    <row r="170" spans="1:9" ht="33" customHeight="1" x14ac:dyDescent="0.6">
      <c r="A170" s="3"/>
      <c r="B170" s="26"/>
      <c r="C170" s="4"/>
      <c r="D170" s="94"/>
      <c r="E170" s="24"/>
      <c r="F170" s="89"/>
      <c r="G170" s="91">
        <v>45761</v>
      </c>
      <c r="H170" s="63" t="s">
        <v>814</v>
      </c>
      <c r="I170" s="72">
        <v>8500</v>
      </c>
    </row>
    <row r="171" spans="1:9" ht="33" customHeight="1" x14ac:dyDescent="0.6">
      <c r="A171" s="3"/>
      <c r="B171" s="26"/>
      <c r="C171" s="4"/>
      <c r="D171" s="94"/>
      <c r="E171" s="24"/>
      <c r="F171" s="89"/>
      <c r="G171" s="91">
        <v>45761</v>
      </c>
      <c r="H171" s="63" t="s">
        <v>815</v>
      </c>
      <c r="I171" s="72">
        <v>50500</v>
      </c>
    </row>
    <row r="172" spans="1:9" ht="33" customHeight="1" x14ac:dyDescent="0.6">
      <c r="A172" s="3"/>
      <c r="B172" s="26"/>
      <c r="C172" s="4"/>
      <c r="D172" s="94"/>
      <c r="E172" s="24"/>
      <c r="F172" s="89"/>
      <c r="G172" s="91">
        <v>45761</v>
      </c>
      <c r="H172" s="63" t="s">
        <v>816</v>
      </c>
      <c r="I172" s="72">
        <v>151500</v>
      </c>
    </row>
    <row r="173" spans="1:9" ht="33" customHeight="1" x14ac:dyDescent="0.6">
      <c r="A173" s="3"/>
      <c r="B173" s="26"/>
      <c r="C173" s="4"/>
      <c r="D173" s="94"/>
      <c r="E173" s="24"/>
      <c r="F173" s="89"/>
      <c r="G173" s="91">
        <v>45761</v>
      </c>
      <c r="H173" s="63" t="s">
        <v>817</v>
      </c>
      <c r="I173" s="72">
        <v>20200</v>
      </c>
    </row>
    <row r="174" spans="1:9" ht="33" customHeight="1" x14ac:dyDescent="0.6">
      <c r="A174" s="3"/>
      <c r="B174" s="26"/>
      <c r="C174" s="4"/>
      <c r="D174" s="94"/>
      <c r="E174" s="24"/>
      <c r="F174" s="89"/>
      <c r="G174" s="91">
        <v>45761</v>
      </c>
      <c r="H174" s="63" t="s">
        <v>818</v>
      </c>
      <c r="I174" s="72">
        <v>20200</v>
      </c>
    </row>
    <row r="175" spans="1:9" ht="33" customHeight="1" x14ac:dyDescent="0.6">
      <c r="A175" s="3"/>
      <c r="B175" s="26"/>
      <c r="C175" s="4"/>
      <c r="D175" s="94"/>
      <c r="E175" s="24"/>
      <c r="F175" s="89"/>
      <c r="G175" s="91">
        <v>45761</v>
      </c>
      <c r="H175" s="63" t="s">
        <v>823</v>
      </c>
      <c r="I175" s="72">
        <v>10100</v>
      </c>
    </row>
    <row r="176" spans="1:9" ht="33" customHeight="1" x14ac:dyDescent="0.6">
      <c r="A176" s="3"/>
      <c r="B176" s="26"/>
      <c r="C176" s="4"/>
      <c r="D176" s="94"/>
      <c r="E176" s="24"/>
      <c r="F176" s="89"/>
      <c r="G176" s="91">
        <v>45761</v>
      </c>
      <c r="H176" s="63" t="s">
        <v>824</v>
      </c>
      <c r="I176" s="72">
        <v>40400</v>
      </c>
    </row>
    <row r="177" spans="1:9" s="23" customFormat="1" ht="33" customHeight="1" x14ac:dyDescent="0.6">
      <c r="A177" s="5"/>
      <c r="B177" s="22"/>
      <c r="C177" s="16"/>
      <c r="D177" s="90"/>
      <c r="E177" s="27"/>
      <c r="F177" s="83"/>
      <c r="G177" s="91">
        <v>45761</v>
      </c>
      <c r="H177" s="63" t="s">
        <v>829</v>
      </c>
      <c r="I177" s="72">
        <v>404000</v>
      </c>
    </row>
    <row r="178" spans="1:9" ht="33" customHeight="1" x14ac:dyDescent="0.6">
      <c r="A178" s="3"/>
      <c r="B178" s="26"/>
      <c r="C178" s="4"/>
      <c r="D178" s="94"/>
      <c r="E178" s="24"/>
      <c r="F178" s="89"/>
      <c r="G178" s="91">
        <v>45762</v>
      </c>
      <c r="H178" s="63" t="s">
        <v>822</v>
      </c>
      <c r="I178" s="72">
        <v>30300</v>
      </c>
    </row>
    <row r="179" spans="1:9" ht="33" customHeight="1" x14ac:dyDescent="0.6">
      <c r="A179" s="3"/>
      <c r="B179" s="26"/>
      <c r="C179" s="4"/>
      <c r="D179" s="94"/>
      <c r="E179" s="24"/>
      <c r="F179" s="89"/>
      <c r="G179" s="91">
        <v>45762</v>
      </c>
      <c r="H179" s="63" t="s">
        <v>825</v>
      </c>
      <c r="I179" s="72">
        <v>2800</v>
      </c>
    </row>
    <row r="180" spans="1:9" ht="33" customHeight="1" x14ac:dyDescent="0.6">
      <c r="A180" s="3"/>
      <c r="B180" s="26"/>
      <c r="C180" s="4"/>
      <c r="D180" s="94"/>
      <c r="E180" s="24"/>
      <c r="F180" s="89"/>
      <c r="G180" s="91">
        <v>45762</v>
      </c>
      <c r="H180" s="63" t="s">
        <v>826</v>
      </c>
      <c r="I180" s="72">
        <v>20000</v>
      </c>
    </row>
    <row r="181" spans="1:9" ht="33" customHeight="1" x14ac:dyDescent="0.6">
      <c r="A181" s="3"/>
      <c r="B181" s="26"/>
      <c r="C181" s="4"/>
      <c r="D181" s="94"/>
      <c r="E181" s="24"/>
      <c r="F181" s="89"/>
      <c r="G181" s="91">
        <v>45762</v>
      </c>
      <c r="H181" s="63" t="s">
        <v>827</v>
      </c>
      <c r="I181" s="72">
        <v>40400</v>
      </c>
    </row>
    <row r="182" spans="1:9" ht="33" customHeight="1" x14ac:dyDescent="0.6">
      <c r="A182" s="3"/>
      <c r="B182" s="26"/>
      <c r="C182" s="4"/>
      <c r="D182" s="94"/>
      <c r="E182" s="24"/>
      <c r="F182" s="89"/>
      <c r="G182" s="91">
        <v>45762</v>
      </c>
      <c r="H182" s="63" t="s">
        <v>828</v>
      </c>
      <c r="I182" s="72">
        <v>25500</v>
      </c>
    </row>
    <row r="183" spans="1:9" ht="33" customHeight="1" x14ac:dyDescent="0.6">
      <c r="A183" s="3"/>
      <c r="B183" s="26"/>
      <c r="C183" s="4"/>
      <c r="D183" s="94"/>
      <c r="E183" s="24"/>
      <c r="F183" s="89"/>
      <c r="G183" s="91">
        <v>45762</v>
      </c>
      <c r="H183" s="63" t="s">
        <v>1049</v>
      </c>
      <c r="I183" s="72">
        <v>167660</v>
      </c>
    </row>
    <row r="184" spans="1:9" ht="33" customHeight="1" x14ac:dyDescent="0.6">
      <c r="A184" s="3"/>
      <c r="B184" s="26"/>
      <c r="C184" s="4"/>
      <c r="D184" s="94"/>
      <c r="E184" s="24"/>
      <c r="F184" s="89"/>
      <c r="G184" s="91">
        <v>45762</v>
      </c>
      <c r="H184" s="63" t="s">
        <v>833</v>
      </c>
      <c r="I184" s="72">
        <v>150000</v>
      </c>
    </row>
    <row r="185" spans="1:9" ht="33" customHeight="1" x14ac:dyDescent="0.6">
      <c r="A185" s="3"/>
      <c r="B185" s="26"/>
      <c r="C185" s="4"/>
      <c r="D185" s="94"/>
      <c r="E185" s="24"/>
      <c r="F185" s="89"/>
      <c r="G185" s="91">
        <v>45762</v>
      </c>
      <c r="H185" s="63" t="s">
        <v>834</v>
      </c>
      <c r="I185" s="72">
        <v>15000</v>
      </c>
    </row>
    <row r="186" spans="1:9" ht="33" customHeight="1" x14ac:dyDescent="0.6">
      <c r="A186" s="3"/>
      <c r="B186" s="26"/>
      <c r="C186" s="4"/>
      <c r="D186" s="94"/>
      <c r="E186" s="24"/>
      <c r="F186" s="89"/>
      <c r="G186" s="91">
        <v>45762</v>
      </c>
      <c r="H186" s="63" t="s">
        <v>835</v>
      </c>
      <c r="I186" s="72">
        <v>297950</v>
      </c>
    </row>
    <row r="187" spans="1:9" ht="33" customHeight="1" x14ac:dyDescent="0.6">
      <c r="A187" s="3"/>
      <c r="B187" s="26"/>
      <c r="C187" s="4"/>
      <c r="D187" s="94"/>
      <c r="E187" s="24"/>
      <c r="F187" s="89"/>
      <c r="G187" s="91">
        <v>45762</v>
      </c>
      <c r="H187" s="63" t="s">
        <v>840</v>
      </c>
      <c r="I187" s="72">
        <v>20200</v>
      </c>
    </row>
    <row r="188" spans="1:9" ht="33" customHeight="1" x14ac:dyDescent="0.6">
      <c r="A188" s="3"/>
      <c r="B188" s="26"/>
      <c r="C188" s="4"/>
      <c r="D188" s="94"/>
      <c r="E188" s="24"/>
      <c r="F188" s="89"/>
      <c r="G188" s="91">
        <v>45762</v>
      </c>
      <c r="H188" s="63" t="s">
        <v>837</v>
      </c>
      <c r="I188" s="72">
        <v>200000</v>
      </c>
    </row>
    <row r="189" spans="1:9" s="23" customFormat="1" ht="33" customHeight="1" x14ac:dyDescent="0.6">
      <c r="A189" s="5"/>
      <c r="B189" s="22"/>
      <c r="C189" s="16"/>
      <c r="D189" s="90"/>
      <c r="E189" s="27"/>
      <c r="F189" s="83"/>
      <c r="G189" s="91">
        <v>45762</v>
      </c>
      <c r="H189" s="63" t="s">
        <v>838</v>
      </c>
      <c r="I189" s="72">
        <v>30605</v>
      </c>
    </row>
    <row r="190" spans="1:9" ht="33" customHeight="1" x14ac:dyDescent="0.6">
      <c r="A190" s="3"/>
      <c r="B190" s="26"/>
      <c r="C190" s="4"/>
      <c r="D190" s="94"/>
      <c r="E190" s="24"/>
      <c r="F190" s="89"/>
      <c r="G190" s="91">
        <v>45762</v>
      </c>
      <c r="H190" s="63" t="s">
        <v>839</v>
      </c>
      <c r="I190" s="72">
        <v>431500</v>
      </c>
    </row>
    <row r="191" spans="1:9" s="82" customFormat="1" ht="33" customHeight="1" x14ac:dyDescent="0.6">
      <c r="A191" s="12"/>
      <c r="B191" s="80"/>
      <c r="C191" s="11"/>
      <c r="D191" s="92"/>
      <c r="E191" s="81"/>
      <c r="F191" s="13"/>
      <c r="G191" s="91">
        <v>45762</v>
      </c>
      <c r="H191" s="63" t="s">
        <v>841</v>
      </c>
      <c r="I191" s="72">
        <v>35350</v>
      </c>
    </row>
    <row r="192" spans="1:9" ht="33" customHeight="1" x14ac:dyDescent="0.6">
      <c r="A192" s="3"/>
      <c r="B192" s="26"/>
      <c r="C192" s="4"/>
      <c r="D192" s="94"/>
      <c r="E192" s="24"/>
      <c r="F192" s="89"/>
      <c r="G192" s="91">
        <v>45762</v>
      </c>
      <c r="H192" s="63" t="s">
        <v>842</v>
      </c>
      <c r="I192" s="72">
        <v>5050</v>
      </c>
    </row>
    <row r="193" spans="1:9" ht="33" customHeight="1" x14ac:dyDescent="0.6">
      <c r="A193" s="3"/>
      <c r="B193" s="26"/>
      <c r="C193" s="4"/>
      <c r="D193" s="94"/>
      <c r="E193" s="24"/>
      <c r="F193" s="89"/>
      <c r="G193" s="91">
        <v>45762</v>
      </c>
      <c r="H193" s="63" t="s">
        <v>843</v>
      </c>
      <c r="I193" s="72">
        <v>400000</v>
      </c>
    </row>
    <row r="194" spans="1:9" ht="33" customHeight="1" x14ac:dyDescent="0.6">
      <c r="A194" s="3"/>
      <c r="B194" s="26"/>
      <c r="C194" s="4"/>
      <c r="D194" s="94"/>
      <c r="E194" s="24"/>
      <c r="F194" s="89"/>
      <c r="G194" s="91">
        <v>45762</v>
      </c>
      <c r="H194" s="63" t="s">
        <v>844</v>
      </c>
      <c r="I194" s="72">
        <v>90000</v>
      </c>
    </row>
    <row r="195" spans="1:9" ht="33" customHeight="1" x14ac:dyDescent="0.6">
      <c r="A195" s="3"/>
      <c r="B195" s="26"/>
      <c r="C195" s="4"/>
      <c r="D195" s="94"/>
      <c r="E195" s="24"/>
      <c r="F195" s="89"/>
      <c r="G195" s="91">
        <v>45762</v>
      </c>
      <c r="H195" s="63" t="s">
        <v>845</v>
      </c>
      <c r="I195" s="72">
        <v>279570</v>
      </c>
    </row>
    <row r="196" spans="1:9" ht="33" customHeight="1" x14ac:dyDescent="0.6">
      <c r="A196" s="3"/>
      <c r="B196" s="26"/>
      <c r="C196" s="4"/>
      <c r="D196" s="94"/>
      <c r="E196" s="24"/>
      <c r="F196" s="89"/>
      <c r="G196" s="91">
        <v>45763</v>
      </c>
      <c r="H196" s="63" t="s">
        <v>847</v>
      </c>
      <c r="I196" s="72">
        <v>500</v>
      </c>
    </row>
    <row r="197" spans="1:9" ht="33" customHeight="1" x14ac:dyDescent="0.6">
      <c r="A197" s="3"/>
      <c r="B197" s="26"/>
      <c r="C197" s="4"/>
      <c r="D197" s="94"/>
      <c r="E197" s="24"/>
      <c r="F197" s="89"/>
      <c r="G197" s="91">
        <v>45763</v>
      </c>
      <c r="H197" s="63" t="s">
        <v>839</v>
      </c>
      <c r="I197" s="72">
        <v>102100</v>
      </c>
    </row>
    <row r="198" spans="1:9" ht="33" customHeight="1" x14ac:dyDescent="0.6">
      <c r="A198" s="3"/>
      <c r="B198" s="26"/>
      <c r="C198" s="4"/>
      <c r="D198" s="94"/>
      <c r="E198" s="24"/>
      <c r="F198" s="89"/>
      <c r="G198" s="91">
        <v>45763</v>
      </c>
      <c r="H198" s="63" t="s">
        <v>848</v>
      </c>
      <c r="I198" s="72">
        <v>8585</v>
      </c>
    </row>
    <row r="199" spans="1:9" ht="33" customHeight="1" x14ac:dyDescent="0.6">
      <c r="A199" s="3"/>
      <c r="B199" s="26"/>
      <c r="C199" s="4"/>
      <c r="D199" s="94"/>
      <c r="E199" s="24"/>
      <c r="F199" s="89"/>
      <c r="G199" s="91">
        <v>45763</v>
      </c>
      <c r="H199" s="63" t="s">
        <v>849</v>
      </c>
      <c r="I199" s="72">
        <v>20200</v>
      </c>
    </row>
    <row r="200" spans="1:9" ht="33" customHeight="1" x14ac:dyDescent="0.6">
      <c r="A200" s="3"/>
      <c r="B200" s="26"/>
      <c r="C200" s="4"/>
      <c r="D200" s="94"/>
      <c r="E200" s="24"/>
      <c r="F200" s="89"/>
      <c r="G200" s="91">
        <v>45763</v>
      </c>
      <c r="H200" s="63" t="s">
        <v>1038</v>
      </c>
      <c r="I200" s="72">
        <v>131300</v>
      </c>
    </row>
    <row r="201" spans="1:9" ht="33" customHeight="1" x14ac:dyDescent="0.6">
      <c r="A201" s="3"/>
      <c r="B201" s="26"/>
      <c r="C201" s="4"/>
      <c r="D201" s="94"/>
      <c r="E201" s="24"/>
      <c r="F201" s="89"/>
      <c r="G201" s="91">
        <v>45763</v>
      </c>
      <c r="H201" s="63" t="s">
        <v>850</v>
      </c>
      <c r="I201" s="72">
        <v>20200</v>
      </c>
    </row>
    <row r="202" spans="1:9" ht="33" customHeight="1" x14ac:dyDescent="0.6">
      <c r="A202" s="3"/>
      <c r="B202" s="26"/>
      <c r="C202" s="4"/>
      <c r="D202" s="94"/>
      <c r="E202" s="24"/>
      <c r="F202" s="89"/>
      <c r="G202" s="91">
        <v>45763</v>
      </c>
      <c r="H202" s="63" t="s">
        <v>855</v>
      </c>
      <c r="I202" s="72">
        <v>2300</v>
      </c>
    </row>
    <row r="203" spans="1:9" ht="33" customHeight="1" x14ac:dyDescent="0.6">
      <c r="A203" s="3"/>
      <c r="B203" s="26"/>
      <c r="C203" s="4"/>
      <c r="D203" s="94"/>
      <c r="E203" s="24"/>
      <c r="F203" s="89"/>
      <c r="G203" s="91">
        <v>45763</v>
      </c>
      <c r="H203" s="63" t="s">
        <v>856</v>
      </c>
      <c r="I203" s="72">
        <v>19000</v>
      </c>
    </row>
    <row r="204" spans="1:9" ht="33" customHeight="1" x14ac:dyDescent="0.6">
      <c r="A204" s="3"/>
      <c r="B204" s="26"/>
      <c r="C204" s="4"/>
      <c r="D204" s="94"/>
      <c r="E204" s="24"/>
      <c r="F204" s="89"/>
      <c r="G204" s="91">
        <v>45763</v>
      </c>
      <c r="H204" s="63" t="s">
        <v>857</v>
      </c>
      <c r="I204" s="72">
        <v>2000</v>
      </c>
    </row>
    <row r="205" spans="1:9" ht="33" customHeight="1" x14ac:dyDescent="0.6">
      <c r="A205" s="3"/>
      <c r="B205" s="26"/>
      <c r="C205" s="4"/>
      <c r="D205" s="94"/>
      <c r="E205" s="24"/>
      <c r="F205" s="89"/>
      <c r="G205" s="91">
        <v>45763</v>
      </c>
      <c r="H205" s="63" t="s">
        <v>858</v>
      </c>
      <c r="I205" s="72">
        <v>30300</v>
      </c>
    </row>
    <row r="206" spans="1:9" ht="33" customHeight="1" x14ac:dyDescent="0.6">
      <c r="A206" s="3"/>
      <c r="B206" s="26"/>
      <c r="C206" s="4"/>
      <c r="D206" s="94"/>
      <c r="E206" s="24"/>
      <c r="F206" s="89"/>
      <c r="G206" s="91">
        <v>45763</v>
      </c>
      <c r="H206" s="63" t="s">
        <v>854</v>
      </c>
      <c r="I206" s="72">
        <v>50500</v>
      </c>
    </row>
    <row r="207" spans="1:9" ht="33" customHeight="1" x14ac:dyDescent="0.6">
      <c r="A207" s="3"/>
      <c r="B207" s="26"/>
      <c r="C207" s="4"/>
      <c r="D207" s="94"/>
      <c r="E207" s="24"/>
      <c r="F207" s="89"/>
      <c r="G207" s="91">
        <v>45763</v>
      </c>
      <c r="H207" s="63" t="s">
        <v>1057</v>
      </c>
      <c r="I207" s="72">
        <v>7070</v>
      </c>
    </row>
    <row r="208" spans="1:9" ht="33" customHeight="1" x14ac:dyDescent="0.6">
      <c r="A208" s="3"/>
      <c r="B208" s="26"/>
      <c r="C208" s="4"/>
      <c r="D208" s="94"/>
      <c r="E208" s="24"/>
      <c r="F208" s="89"/>
      <c r="G208" s="91">
        <v>45764</v>
      </c>
      <c r="H208" s="63" t="s">
        <v>853</v>
      </c>
      <c r="I208" s="72">
        <v>20200</v>
      </c>
    </row>
    <row r="209" spans="1:9" ht="33" customHeight="1" x14ac:dyDescent="0.6">
      <c r="A209" s="3"/>
      <c r="B209" s="26"/>
      <c r="C209" s="4"/>
      <c r="D209" s="94"/>
      <c r="E209" s="24"/>
      <c r="F209" s="89"/>
      <c r="G209" s="91">
        <v>45764</v>
      </c>
      <c r="H209" s="63" t="s">
        <v>852</v>
      </c>
      <c r="I209" s="72">
        <v>1000</v>
      </c>
    </row>
    <row r="210" spans="1:9" ht="33" customHeight="1" x14ac:dyDescent="0.6">
      <c r="A210" s="3"/>
      <c r="B210" s="26"/>
      <c r="C210" s="4"/>
      <c r="D210" s="94"/>
      <c r="E210" s="24"/>
      <c r="F210" s="89"/>
      <c r="G210" s="91">
        <v>45764</v>
      </c>
      <c r="H210" s="63" t="s">
        <v>851</v>
      </c>
      <c r="I210" s="72">
        <v>150000</v>
      </c>
    </row>
    <row r="211" spans="1:9" ht="33" customHeight="1" x14ac:dyDescent="0.6">
      <c r="A211" s="3"/>
      <c r="B211" s="26"/>
      <c r="C211" s="4"/>
      <c r="D211" s="94"/>
      <c r="E211" s="24"/>
      <c r="F211" s="89"/>
      <c r="G211" s="91">
        <v>45764</v>
      </c>
      <c r="H211" s="63" t="s">
        <v>859</v>
      </c>
      <c r="I211" s="72">
        <v>862500</v>
      </c>
    </row>
    <row r="212" spans="1:9" ht="33" customHeight="1" x14ac:dyDescent="0.6">
      <c r="A212" s="3"/>
      <c r="B212" s="26"/>
      <c r="C212" s="4"/>
      <c r="D212" s="94"/>
      <c r="E212" s="24"/>
      <c r="F212" s="89"/>
      <c r="G212" s="91">
        <v>45764</v>
      </c>
      <c r="H212" s="63" t="s">
        <v>864</v>
      </c>
      <c r="I212" s="72">
        <v>6565</v>
      </c>
    </row>
    <row r="213" spans="1:9" ht="33" customHeight="1" x14ac:dyDescent="0.6">
      <c r="A213" s="3"/>
      <c r="B213" s="26"/>
      <c r="C213" s="4"/>
      <c r="D213" s="94"/>
      <c r="E213" s="24"/>
      <c r="F213" s="89"/>
      <c r="G213" s="91">
        <v>45764</v>
      </c>
      <c r="H213" s="63" t="s">
        <v>1039</v>
      </c>
      <c r="I213" s="72">
        <v>3000</v>
      </c>
    </row>
    <row r="214" spans="1:9" ht="34.200000000000003" customHeight="1" x14ac:dyDescent="0.6">
      <c r="A214" s="3"/>
      <c r="B214" s="26"/>
      <c r="C214" s="4"/>
      <c r="D214" s="94"/>
      <c r="E214" s="24"/>
      <c r="F214" s="89"/>
      <c r="G214" s="91">
        <v>45765</v>
      </c>
      <c r="H214" s="63" t="s">
        <v>861</v>
      </c>
      <c r="I214" s="72">
        <v>57570</v>
      </c>
    </row>
    <row r="215" spans="1:9" ht="33" customHeight="1" x14ac:dyDescent="0.6">
      <c r="A215" s="3"/>
      <c r="B215" s="26"/>
      <c r="C215" s="4"/>
      <c r="D215" s="94"/>
      <c r="E215" s="24"/>
      <c r="F215" s="89"/>
      <c r="G215" s="91">
        <v>45765</v>
      </c>
      <c r="H215" s="63" t="s">
        <v>862</v>
      </c>
      <c r="I215" s="72">
        <v>23230</v>
      </c>
    </row>
    <row r="216" spans="1:9" ht="33" customHeight="1" x14ac:dyDescent="0.6">
      <c r="A216" s="3"/>
      <c r="B216" s="26"/>
      <c r="C216" s="4"/>
      <c r="D216" s="94"/>
      <c r="E216" s="24"/>
      <c r="F216" s="89"/>
      <c r="G216" s="91">
        <v>45765</v>
      </c>
      <c r="H216" s="63" t="s">
        <v>863</v>
      </c>
      <c r="I216" s="72">
        <v>50500</v>
      </c>
    </row>
    <row r="217" spans="1:9" ht="33" customHeight="1" x14ac:dyDescent="0.6">
      <c r="A217" s="3"/>
      <c r="B217" s="26"/>
      <c r="C217" s="4"/>
      <c r="D217" s="94"/>
      <c r="E217" s="24"/>
      <c r="F217" s="89"/>
      <c r="G217" s="91">
        <v>45765</v>
      </c>
      <c r="H217" s="63" t="s">
        <v>826</v>
      </c>
      <c r="I217" s="72">
        <v>20000</v>
      </c>
    </row>
    <row r="218" spans="1:9" s="23" customFormat="1" ht="33" customHeight="1" x14ac:dyDescent="0.6">
      <c r="A218" s="5"/>
      <c r="B218" s="22"/>
      <c r="C218" s="16"/>
      <c r="D218" s="90"/>
      <c r="E218" s="27"/>
      <c r="F218" s="83"/>
      <c r="G218" s="91">
        <v>45765</v>
      </c>
      <c r="H218" s="63" t="s">
        <v>869</v>
      </c>
      <c r="I218" s="72">
        <v>3000</v>
      </c>
    </row>
    <row r="219" spans="1:9" ht="33" customHeight="1" x14ac:dyDescent="0.6">
      <c r="A219" s="3"/>
      <c r="B219" s="26"/>
      <c r="C219" s="4"/>
      <c r="D219" s="94"/>
      <c r="E219" s="24"/>
      <c r="F219" s="89"/>
      <c r="G219" s="91">
        <v>45766</v>
      </c>
      <c r="H219" s="63" t="s">
        <v>865</v>
      </c>
      <c r="I219" s="72">
        <v>11000</v>
      </c>
    </row>
    <row r="220" spans="1:9" ht="33" customHeight="1" x14ac:dyDescent="0.6">
      <c r="A220" s="3"/>
      <c r="B220" s="26"/>
      <c r="C220" s="4"/>
      <c r="D220" s="94"/>
      <c r="E220" s="24"/>
      <c r="F220" s="89"/>
      <c r="G220" s="91">
        <v>45766</v>
      </c>
      <c r="H220" s="63" t="s">
        <v>868</v>
      </c>
      <c r="I220" s="72">
        <v>450000</v>
      </c>
    </row>
    <row r="221" spans="1:9" ht="33" customHeight="1" x14ac:dyDescent="0.6">
      <c r="A221" s="3"/>
      <c r="B221" s="26"/>
      <c r="C221" s="4"/>
      <c r="D221" s="94"/>
      <c r="E221" s="24"/>
      <c r="F221" s="89"/>
      <c r="G221" s="91">
        <v>45766</v>
      </c>
      <c r="H221" s="63" t="s">
        <v>870</v>
      </c>
      <c r="I221" s="72">
        <v>50000</v>
      </c>
    </row>
    <row r="222" spans="1:9" ht="33" customHeight="1" x14ac:dyDescent="0.6">
      <c r="A222" s="3"/>
      <c r="B222" s="26"/>
      <c r="C222" s="4"/>
      <c r="D222" s="94"/>
      <c r="E222" s="24"/>
      <c r="F222" s="89"/>
      <c r="G222" s="91">
        <v>45766</v>
      </c>
      <c r="H222" s="63" t="s">
        <v>1037</v>
      </c>
      <c r="I222" s="72">
        <v>180000</v>
      </c>
    </row>
    <row r="223" spans="1:9" ht="33" customHeight="1" x14ac:dyDescent="0.6">
      <c r="A223" s="3"/>
      <c r="B223" s="26"/>
      <c r="C223" s="4"/>
      <c r="D223" s="94"/>
      <c r="E223" s="24"/>
      <c r="F223" s="89"/>
      <c r="G223" s="91">
        <v>45766</v>
      </c>
      <c r="H223" s="63" t="s">
        <v>871</v>
      </c>
      <c r="I223" s="72">
        <v>111100</v>
      </c>
    </row>
    <row r="224" spans="1:9" ht="33" customHeight="1" x14ac:dyDescent="0.6">
      <c r="A224" s="3"/>
      <c r="B224" s="26"/>
      <c r="C224" s="4"/>
      <c r="D224" s="94"/>
      <c r="E224" s="24"/>
      <c r="F224" s="89"/>
      <c r="G224" s="91">
        <v>45766</v>
      </c>
      <c r="H224" s="63" t="s">
        <v>872</v>
      </c>
      <c r="I224" s="72">
        <v>116150</v>
      </c>
    </row>
    <row r="225" spans="1:9" ht="33" customHeight="1" x14ac:dyDescent="0.6">
      <c r="A225" s="3"/>
      <c r="B225" s="26"/>
      <c r="C225" s="4"/>
      <c r="D225" s="94"/>
      <c r="E225" s="24"/>
      <c r="F225" s="89"/>
      <c r="G225" s="91">
        <v>45766</v>
      </c>
      <c r="H225" s="63" t="s">
        <v>873</v>
      </c>
      <c r="I225" s="72">
        <v>287850</v>
      </c>
    </row>
    <row r="226" spans="1:9" ht="33" customHeight="1" x14ac:dyDescent="0.6">
      <c r="A226" s="3"/>
      <c r="B226" s="26"/>
      <c r="C226" s="4"/>
      <c r="D226" s="94"/>
      <c r="E226" s="24"/>
      <c r="F226" s="89"/>
      <c r="G226" s="91">
        <v>45766</v>
      </c>
      <c r="H226" s="63" t="s">
        <v>874</v>
      </c>
      <c r="I226" s="72">
        <v>208310</v>
      </c>
    </row>
    <row r="227" spans="1:9" s="23" customFormat="1" ht="33" customHeight="1" x14ac:dyDescent="0.6">
      <c r="A227" s="5"/>
      <c r="B227" s="22"/>
      <c r="C227" s="16"/>
      <c r="D227" s="90"/>
      <c r="E227" s="27"/>
      <c r="F227" s="83"/>
      <c r="G227" s="91">
        <v>45766</v>
      </c>
      <c r="H227" s="63" t="s">
        <v>875</v>
      </c>
      <c r="I227" s="72">
        <v>30300</v>
      </c>
    </row>
    <row r="228" spans="1:9" s="23" customFormat="1" ht="33" customHeight="1" x14ac:dyDescent="0.6">
      <c r="A228" s="5"/>
      <c r="B228" s="22"/>
      <c r="C228" s="16"/>
      <c r="D228" s="90"/>
      <c r="E228" s="27"/>
      <c r="F228" s="83"/>
      <c r="G228" s="91">
        <v>45766</v>
      </c>
      <c r="H228" s="63" t="s">
        <v>1071</v>
      </c>
      <c r="I228" s="72">
        <v>49400</v>
      </c>
    </row>
    <row r="229" spans="1:9" s="23" customFormat="1" ht="33" customHeight="1" x14ac:dyDescent="0.6">
      <c r="A229" s="5"/>
      <c r="B229" s="22"/>
      <c r="C229" s="16"/>
      <c r="D229" s="90"/>
      <c r="E229" s="27"/>
      <c r="F229" s="83"/>
      <c r="G229" s="91">
        <v>45766</v>
      </c>
      <c r="H229" s="63" t="s">
        <v>1070</v>
      </c>
      <c r="I229" s="72">
        <v>10200</v>
      </c>
    </row>
    <row r="230" spans="1:9" ht="33" customHeight="1" x14ac:dyDescent="0.6">
      <c r="A230" s="3"/>
      <c r="B230" s="26"/>
      <c r="C230" s="4"/>
      <c r="D230" s="94"/>
      <c r="E230" s="24"/>
      <c r="F230" s="89"/>
      <c r="G230" s="91">
        <v>45766</v>
      </c>
      <c r="H230" s="63" t="s">
        <v>879</v>
      </c>
      <c r="I230" s="72">
        <v>53530</v>
      </c>
    </row>
    <row r="231" spans="1:9" ht="33" customHeight="1" x14ac:dyDescent="0.6">
      <c r="A231" s="3"/>
      <c r="B231" s="26"/>
      <c r="C231" s="4"/>
      <c r="D231" s="94"/>
      <c r="E231" s="24"/>
      <c r="F231" s="89"/>
      <c r="G231" s="91">
        <v>45766</v>
      </c>
      <c r="H231" s="63" t="s">
        <v>878</v>
      </c>
      <c r="I231" s="72">
        <v>80800</v>
      </c>
    </row>
    <row r="232" spans="1:9" ht="33" customHeight="1" x14ac:dyDescent="0.6">
      <c r="A232" s="3"/>
      <c r="B232" s="26"/>
      <c r="C232" s="4"/>
      <c r="D232" s="94"/>
      <c r="E232" s="24"/>
      <c r="F232" s="89"/>
      <c r="G232" s="91">
        <v>45767</v>
      </c>
      <c r="H232" s="63" t="s">
        <v>876</v>
      </c>
      <c r="I232" s="72">
        <v>50500</v>
      </c>
    </row>
    <row r="233" spans="1:9" s="23" customFormat="1" ht="33" customHeight="1" x14ac:dyDescent="0.6">
      <c r="A233" s="5"/>
      <c r="B233" s="22"/>
      <c r="C233" s="16"/>
      <c r="D233" s="90"/>
      <c r="E233" s="27"/>
      <c r="F233" s="83"/>
      <c r="G233" s="91">
        <v>45767</v>
      </c>
      <c r="H233" s="63" t="s">
        <v>877</v>
      </c>
      <c r="I233" s="72">
        <v>35350</v>
      </c>
    </row>
    <row r="234" spans="1:9" ht="33" customHeight="1" x14ac:dyDescent="0.6">
      <c r="A234" s="3"/>
      <c r="B234" s="26"/>
      <c r="C234" s="4"/>
      <c r="D234" s="94"/>
      <c r="E234" s="24"/>
      <c r="F234" s="89"/>
      <c r="G234" s="91">
        <v>45768</v>
      </c>
      <c r="H234" s="63" t="s">
        <v>880</v>
      </c>
      <c r="I234" s="72">
        <v>30300</v>
      </c>
    </row>
    <row r="235" spans="1:9" ht="33" customHeight="1" x14ac:dyDescent="0.6">
      <c r="A235" s="3"/>
      <c r="B235" s="26"/>
      <c r="C235" s="4"/>
      <c r="D235" s="94"/>
      <c r="E235" s="24"/>
      <c r="F235" s="89"/>
      <c r="G235" s="91">
        <v>45769</v>
      </c>
      <c r="H235" s="63" t="s">
        <v>946</v>
      </c>
      <c r="I235" s="72">
        <v>20000</v>
      </c>
    </row>
    <row r="236" spans="1:9" ht="33" customHeight="1" x14ac:dyDescent="0.6">
      <c r="A236" s="3"/>
      <c r="B236" s="26"/>
      <c r="C236" s="4"/>
      <c r="D236" s="94"/>
      <c r="E236" s="24"/>
      <c r="F236" s="89"/>
      <c r="G236" s="91">
        <v>45769</v>
      </c>
      <c r="H236" s="63" t="s">
        <v>891</v>
      </c>
      <c r="I236" s="72">
        <v>21000</v>
      </c>
    </row>
    <row r="237" spans="1:9" ht="33" customHeight="1" x14ac:dyDescent="0.6">
      <c r="A237" s="3"/>
      <c r="B237" s="26"/>
      <c r="C237" s="4"/>
      <c r="D237" s="94"/>
      <c r="E237" s="24"/>
      <c r="F237" s="89"/>
      <c r="G237" s="91">
        <v>45769</v>
      </c>
      <c r="H237" s="63" t="s">
        <v>881</v>
      </c>
      <c r="I237" s="72">
        <v>8000</v>
      </c>
    </row>
    <row r="238" spans="1:9" ht="33" customHeight="1" x14ac:dyDescent="0.6">
      <c r="A238" s="3"/>
      <c r="B238" s="26"/>
      <c r="C238" s="4"/>
      <c r="D238" s="94"/>
      <c r="E238" s="24"/>
      <c r="F238" s="89"/>
      <c r="G238" s="91">
        <v>45769</v>
      </c>
      <c r="H238" s="63" t="s">
        <v>888</v>
      </c>
      <c r="I238" s="72">
        <v>20200</v>
      </c>
    </row>
    <row r="239" spans="1:9" ht="33" customHeight="1" x14ac:dyDescent="0.6">
      <c r="A239" s="3"/>
      <c r="B239" s="26"/>
      <c r="C239" s="4"/>
      <c r="D239" s="94"/>
      <c r="E239" s="24"/>
      <c r="F239" s="89"/>
      <c r="G239" s="91">
        <v>45769</v>
      </c>
      <c r="H239" s="63" t="s">
        <v>882</v>
      </c>
      <c r="I239" s="72">
        <v>5000</v>
      </c>
    </row>
    <row r="240" spans="1:9" ht="33" customHeight="1" x14ac:dyDescent="0.6">
      <c r="A240" s="3"/>
      <c r="B240" s="26"/>
      <c r="C240" s="4"/>
      <c r="D240" s="94"/>
      <c r="E240" s="24"/>
      <c r="F240" s="89"/>
      <c r="G240" s="91">
        <v>45769</v>
      </c>
      <c r="H240" s="63" t="s">
        <v>884</v>
      </c>
      <c r="I240" s="72">
        <v>3500</v>
      </c>
    </row>
    <row r="241" spans="1:9" ht="33" customHeight="1" x14ac:dyDescent="0.6">
      <c r="A241" s="3"/>
      <c r="B241" s="26"/>
      <c r="C241" s="4"/>
      <c r="D241" s="94"/>
      <c r="E241" s="24"/>
      <c r="F241" s="89"/>
      <c r="G241" s="91">
        <v>45769</v>
      </c>
      <c r="H241" s="63" t="s">
        <v>885</v>
      </c>
      <c r="I241" s="72">
        <v>160000</v>
      </c>
    </row>
    <row r="242" spans="1:9" ht="33" customHeight="1" x14ac:dyDescent="0.6">
      <c r="A242" s="3"/>
      <c r="B242" s="26"/>
      <c r="C242" s="4"/>
      <c r="D242" s="94"/>
      <c r="E242" s="24"/>
      <c r="F242" s="89"/>
      <c r="G242" s="91">
        <v>45769</v>
      </c>
      <c r="H242" s="63" t="s">
        <v>886</v>
      </c>
      <c r="I242" s="72">
        <v>151500</v>
      </c>
    </row>
    <row r="243" spans="1:9" ht="33" customHeight="1" x14ac:dyDescent="0.6">
      <c r="A243" s="3"/>
      <c r="B243" s="26"/>
      <c r="C243" s="4"/>
      <c r="D243" s="94"/>
      <c r="E243" s="24"/>
      <c r="F243" s="89"/>
      <c r="G243" s="91">
        <v>45769</v>
      </c>
      <c r="H243" s="63" t="s">
        <v>887</v>
      </c>
      <c r="I243" s="72">
        <v>3000</v>
      </c>
    </row>
    <row r="244" spans="1:9" ht="33" customHeight="1" x14ac:dyDescent="0.6">
      <c r="A244" s="3"/>
      <c r="B244" s="26"/>
      <c r="C244" s="4"/>
      <c r="D244" s="94"/>
      <c r="E244" s="24"/>
      <c r="F244" s="89"/>
      <c r="G244" s="91">
        <v>45769</v>
      </c>
      <c r="H244" s="63" t="s">
        <v>893</v>
      </c>
      <c r="I244" s="72">
        <v>2000</v>
      </c>
    </row>
    <row r="245" spans="1:9" s="23" customFormat="1" ht="33" customHeight="1" x14ac:dyDescent="0.6">
      <c r="A245" s="5"/>
      <c r="B245" s="22"/>
      <c r="C245" s="16"/>
      <c r="D245" s="90"/>
      <c r="E245" s="27"/>
      <c r="F245" s="83"/>
      <c r="G245" s="91">
        <v>45769</v>
      </c>
      <c r="H245" s="63" t="s">
        <v>894</v>
      </c>
      <c r="I245" s="72">
        <v>127400</v>
      </c>
    </row>
    <row r="246" spans="1:9" ht="33" customHeight="1" x14ac:dyDescent="0.6">
      <c r="A246" s="3"/>
      <c r="B246" s="26"/>
      <c r="C246" s="4"/>
      <c r="D246" s="94"/>
      <c r="E246" s="24"/>
      <c r="F246" s="89"/>
      <c r="G246" s="91">
        <v>45770</v>
      </c>
      <c r="H246" s="63" t="s">
        <v>892</v>
      </c>
      <c r="I246" s="72">
        <v>455000</v>
      </c>
    </row>
    <row r="247" spans="1:9" ht="33" customHeight="1" x14ac:dyDescent="0.6">
      <c r="A247" s="3"/>
      <c r="B247" s="26"/>
      <c r="C247" s="4"/>
      <c r="D247" s="94"/>
      <c r="E247" s="24"/>
      <c r="F247" s="89"/>
      <c r="G247" s="91">
        <v>45770</v>
      </c>
      <c r="H247" s="63" t="s">
        <v>895</v>
      </c>
      <c r="I247" s="72">
        <v>1500</v>
      </c>
    </row>
    <row r="248" spans="1:9" ht="33" customHeight="1" x14ac:dyDescent="0.6">
      <c r="A248" s="3"/>
      <c r="B248" s="26"/>
      <c r="C248" s="4"/>
      <c r="D248" s="94"/>
      <c r="E248" s="24"/>
      <c r="F248" s="89"/>
      <c r="G248" s="91">
        <v>45770</v>
      </c>
      <c r="H248" s="63" t="s">
        <v>896</v>
      </c>
      <c r="I248" s="72">
        <v>300000</v>
      </c>
    </row>
    <row r="249" spans="1:9" ht="33" customHeight="1" x14ac:dyDescent="0.6">
      <c r="A249" s="3"/>
      <c r="B249" s="26"/>
      <c r="C249" s="4"/>
      <c r="D249" s="94"/>
      <c r="E249" s="24"/>
      <c r="F249" s="89"/>
      <c r="G249" s="91">
        <v>45770</v>
      </c>
      <c r="H249" s="63" t="s">
        <v>1036</v>
      </c>
      <c r="I249" s="72">
        <v>1111000</v>
      </c>
    </row>
    <row r="250" spans="1:9" ht="33" customHeight="1" x14ac:dyDescent="0.6">
      <c r="A250" s="3"/>
      <c r="B250" s="26"/>
      <c r="C250" s="4"/>
      <c r="D250" s="94"/>
      <c r="E250" s="24"/>
      <c r="F250" s="89"/>
      <c r="G250" s="91">
        <v>45770</v>
      </c>
      <c r="H250" s="63" t="s">
        <v>1035</v>
      </c>
      <c r="I250" s="72">
        <v>8000</v>
      </c>
    </row>
    <row r="251" spans="1:9" ht="33" customHeight="1" x14ac:dyDescent="0.6">
      <c r="A251" s="3"/>
      <c r="B251" s="26"/>
      <c r="C251" s="4"/>
      <c r="D251" s="94"/>
      <c r="E251" s="24"/>
      <c r="F251" s="89"/>
      <c r="G251" s="91">
        <v>45770</v>
      </c>
      <c r="H251" s="63" t="s">
        <v>898</v>
      </c>
      <c r="I251" s="72">
        <v>121200</v>
      </c>
    </row>
    <row r="252" spans="1:9" ht="33" customHeight="1" x14ac:dyDescent="0.6">
      <c r="A252" s="3"/>
      <c r="B252" s="26"/>
      <c r="C252" s="4"/>
      <c r="D252" s="94"/>
      <c r="E252" s="24"/>
      <c r="F252" s="89"/>
      <c r="G252" s="91">
        <v>45770</v>
      </c>
      <c r="H252" s="63" t="s">
        <v>899</v>
      </c>
      <c r="I252" s="72">
        <v>40400</v>
      </c>
    </row>
    <row r="253" spans="1:9" ht="33" customHeight="1" x14ac:dyDescent="0.6">
      <c r="A253" s="3"/>
      <c r="B253" s="26"/>
      <c r="C253" s="4"/>
      <c r="D253" s="94"/>
      <c r="E253" s="24"/>
      <c r="F253" s="89"/>
      <c r="G253" s="91">
        <v>45770</v>
      </c>
      <c r="H253" s="63" t="s">
        <v>21</v>
      </c>
      <c r="I253" s="72">
        <v>500</v>
      </c>
    </row>
    <row r="254" spans="1:9" s="23" customFormat="1" ht="33" customHeight="1" x14ac:dyDescent="0.6">
      <c r="A254" s="5"/>
      <c r="B254" s="22"/>
      <c r="C254" s="16"/>
      <c r="D254" s="90"/>
      <c r="E254" s="27"/>
      <c r="F254" s="83"/>
      <c r="G254" s="91">
        <v>45770</v>
      </c>
      <c r="H254" s="63" t="s">
        <v>900</v>
      </c>
      <c r="I254" s="72">
        <v>2020</v>
      </c>
    </row>
    <row r="255" spans="1:9" ht="33" customHeight="1" x14ac:dyDescent="0.6">
      <c r="A255" s="3"/>
      <c r="B255" s="26"/>
      <c r="C255" s="4"/>
      <c r="D255" s="94"/>
      <c r="E255" s="24"/>
      <c r="F255" s="89"/>
      <c r="G255" s="91">
        <v>45770</v>
      </c>
      <c r="H255" s="63" t="s">
        <v>901</v>
      </c>
      <c r="I255" s="72">
        <v>15150</v>
      </c>
    </row>
    <row r="256" spans="1:9" ht="33" customHeight="1" x14ac:dyDescent="0.6">
      <c r="A256" s="3"/>
      <c r="B256" s="26"/>
      <c r="C256" s="4"/>
      <c r="D256" s="94"/>
      <c r="E256" s="24"/>
      <c r="F256" s="89"/>
      <c r="G256" s="91">
        <v>45770</v>
      </c>
      <c r="H256" s="63" t="s">
        <v>902</v>
      </c>
      <c r="I256" s="72">
        <v>2020</v>
      </c>
    </row>
    <row r="257" spans="1:9" ht="33" customHeight="1" x14ac:dyDescent="0.6">
      <c r="A257" s="3"/>
      <c r="B257" s="26"/>
      <c r="C257" s="4"/>
      <c r="D257" s="94"/>
      <c r="E257" s="24"/>
      <c r="F257" s="89"/>
      <c r="G257" s="91">
        <v>45770</v>
      </c>
      <c r="H257" s="63" t="s">
        <v>907</v>
      </c>
      <c r="I257" s="72">
        <v>55550</v>
      </c>
    </row>
    <row r="258" spans="1:9" ht="33" customHeight="1" x14ac:dyDescent="0.6">
      <c r="A258" s="3"/>
      <c r="B258" s="26"/>
      <c r="C258" s="4"/>
      <c r="D258" s="94"/>
      <c r="E258" s="24"/>
      <c r="F258" s="89"/>
      <c r="G258" s="91">
        <v>45771</v>
      </c>
      <c r="H258" s="63" t="s">
        <v>903</v>
      </c>
      <c r="I258" s="72">
        <v>128775</v>
      </c>
    </row>
    <row r="259" spans="1:9" ht="33" customHeight="1" x14ac:dyDescent="0.6">
      <c r="A259" s="3"/>
      <c r="B259" s="26"/>
      <c r="C259" s="4"/>
      <c r="D259" s="94"/>
      <c r="E259" s="24"/>
      <c r="F259" s="89"/>
      <c r="G259" s="91">
        <v>45771</v>
      </c>
      <c r="H259" s="63" t="s">
        <v>904</v>
      </c>
      <c r="I259" s="72">
        <v>700</v>
      </c>
    </row>
    <row r="260" spans="1:9" ht="33" customHeight="1" x14ac:dyDescent="0.6">
      <c r="A260" s="3"/>
      <c r="B260" s="26"/>
      <c r="C260" s="4"/>
      <c r="D260" s="94"/>
      <c r="E260" s="24"/>
      <c r="F260" s="89"/>
      <c r="G260" s="91">
        <v>45771</v>
      </c>
      <c r="H260" s="63" t="s">
        <v>905</v>
      </c>
      <c r="I260" s="72">
        <v>5050</v>
      </c>
    </row>
    <row r="261" spans="1:9" ht="33" customHeight="1" x14ac:dyDescent="0.6">
      <c r="A261" s="3"/>
      <c r="B261" s="26"/>
      <c r="C261" s="4"/>
      <c r="D261" s="94"/>
      <c r="E261" s="24"/>
      <c r="F261" s="89"/>
      <c r="G261" s="91">
        <v>45771</v>
      </c>
      <c r="H261" s="63" t="s">
        <v>906</v>
      </c>
      <c r="I261" s="72">
        <v>2400</v>
      </c>
    </row>
    <row r="262" spans="1:9" s="23" customFormat="1" ht="33" customHeight="1" x14ac:dyDescent="0.6">
      <c r="A262" s="5"/>
      <c r="B262" s="22"/>
      <c r="C262" s="16"/>
      <c r="D262" s="90"/>
      <c r="E262" s="27"/>
      <c r="F262" s="83"/>
      <c r="G262" s="91">
        <v>45771</v>
      </c>
      <c r="H262" s="63" t="s">
        <v>908</v>
      </c>
      <c r="I262" s="72">
        <v>292900</v>
      </c>
    </row>
    <row r="263" spans="1:9" ht="33" customHeight="1" x14ac:dyDescent="0.6">
      <c r="A263" s="3"/>
      <c r="B263" s="26"/>
      <c r="C263" s="4"/>
      <c r="D263" s="94"/>
      <c r="E263" s="24"/>
      <c r="F263" s="89"/>
      <c r="G263" s="91">
        <v>45771</v>
      </c>
      <c r="H263" s="63" t="s">
        <v>909</v>
      </c>
      <c r="I263" s="72">
        <v>4450</v>
      </c>
    </row>
    <row r="264" spans="1:9" ht="33" customHeight="1" x14ac:dyDescent="0.6">
      <c r="A264" s="3"/>
      <c r="B264" s="26"/>
      <c r="C264" s="4"/>
      <c r="D264" s="94"/>
      <c r="E264" s="24"/>
      <c r="F264" s="89"/>
      <c r="G264" s="91">
        <v>45771</v>
      </c>
      <c r="H264" s="63" t="s">
        <v>1034</v>
      </c>
      <c r="I264" s="72">
        <v>12725</v>
      </c>
    </row>
    <row r="265" spans="1:9" ht="33" customHeight="1" x14ac:dyDescent="0.6">
      <c r="A265" s="3"/>
      <c r="B265" s="26"/>
      <c r="C265" s="4"/>
      <c r="D265" s="94"/>
      <c r="E265" s="24"/>
      <c r="F265" s="89"/>
      <c r="G265" s="91">
        <v>45771</v>
      </c>
      <c r="H265" s="63" t="s">
        <v>910</v>
      </c>
      <c r="I265" s="72">
        <v>191900</v>
      </c>
    </row>
    <row r="266" spans="1:9" ht="33" customHeight="1" x14ac:dyDescent="0.6">
      <c r="A266" s="3"/>
      <c r="B266" s="26"/>
      <c r="C266" s="4"/>
      <c r="D266" s="94"/>
      <c r="E266" s="24"/>
      <c r="F266" s="89"/>
      <c r="G266" s="91">
        <v>45771</v>
      </c>
      <c r="H266" s="63" t="s">
        <v>911</v>
      </c>
      <c r="I266" s="72">
        <v>14140</v>
      </c>
    </row>
    <row r="267" spans="1:9" ht="33" customHeight="1" x14ac:dyDescent="0.6">
      <c r="A267" s="3"/>
      <c r="B267" s="26"/>
      <c r="C267" s="4"/>
      <c r="D267" s="94"/>
      <c r="E267" s="24"/>
      <c r="F267" s="89"/>
      <c r="G267" s="91">
        <v>45771</v>
      </c>
      <c r="H267" s="63" t="s">
        <v>912</v>
      </c>
      <c r="I267" s="72">
        <v>70700</v>
      </c>
    </row>
    <row r="268" spans="1:9" ht="33" customHeight="1" x14ac:dyDescent="0.6">
      <c r="A268" s="3"/>
      <c r="B268" s="26"/>
      <c r="C268" s="4"/>
      <c r="D268" s="94"/>
      <c r="E268" s="24"/>
      <c r="F268" s="89"/>
      <c r="G268" s="91">
        <v>45771</v>
      </c>
      <c r="H268" s="63" t="s">
        <v>913</v>
      </c>
      <c r="I268" s="72">
        <v>3000</v>
      </c>
    </row>
    <row r="269" spans="1:9" ht="33" customHeight="1" x14ac:dyDescent="0.6">
      <c r="A269" s="3"/>
      <c r="B269" s="26"/>
      <c r="C269" s="4"/>
      <c r="D269" s="94"/>
      <c r="E269" s="24"/>
      <c r="F269" s="89"/>
      <c r="G269" s="91">
        <v>45771</v>
      </c>
      <c r="H269" s="63" t="s">
        <v>914</v>
      </c>
      <c r="I269" s="72">
        <v>180790</v>
      </c>
    </row>
    <row r="270" spans="1:9" ht="33" customHeight="1" x14ac:dyDescent="0.6">
      <c r="A270" s="3"/>
      <c r="B270" s="26"/>
      <c r="C270" s="4"/>
      <c r="D270" s="94"/>
      <c r="E270" s="24"/>
      <c r="F270" s="89"/>
      <c r="G270" s="91">
        <v>45771</v>
      </c>
      <c r="H270" s="63" t="s">
        <v>920</v>
      </c>
      <c r="I270" s="72">
        <v>291890</v>
      </c>
    </row>
    <row r="271" spans="1:9" ht="33" customHeight="1" x14ac:dyDescent="0.6">
      <c r="A271" s="3"/>
      <c r="B271" s="26"/>
      <c r="C271" s="4"/>
      <c r="D271" s="94"/>
      <c r="E271" s="24"/>
      <c r="F271" s="89"/>
      <c r="G271" s="91">
        <v>45772</v>
      </c>
      <c r="H271" s="63" t="s">
        <v>918</v>
      </c>
      <c r="I271" s="72">
        <v>5000</v>
      </c>
    </row>
    <row r="272" spans="1:9" ht="33" customHeight="1" x14ac:dyDescent="0.6">
      <c r="A272" s="3"/>
      <c r="B272" s="26"/>
      <c r="C272" s="4"/>
      <c r="D272" s="94"/>
      <c r="E272" s="24"/>
      <c r="F272" s="89"/>
      <c r="G272" s="91">
        <v>45772</v>
      </c>
      <c r="H272" s="63" t="s">
        <v>919</v>
      </c>
      <c r="I272" s="72">
        <v>800</v>
      </c>
    </row>
    <row r="273" spans="1:9" ht="33" customHeight="1" x14ac:dyDescent="0.6">
      <c r="A273" s="3"/>
      <c r="B273" s="26"/>
      <c r="C273" s="4"/>
      <c r="D273" s="94"/>
      <c r="E273" s="24"/>
      <c r="F273" s="89"/>
      <c r="G273" s="91">
        <v>45772</v>
      </c>
      <c r="H273" s="63" t="s">
        <v>16</v>
      </c>
      <c r="I273" s="72">
        <v>46000</v>
      </c>
    </row>
    <row r="274" spans="1:9" ht="33" customHeight="1" x14ac:dyDescent="0.6">
      <c r="A274" s="3"/>
      <c r="B274" s="26"/>
      <c r="C274" s="4"/>
      <c r="D274" s="94"/>
      <c r="E274" s="24"/>
      <c r="F274" s="89"/>
      <c r="G274" s="91">
        <v>45772</v>
      </c>
      <c r="H274" s="63" t="s">
        <v>921</v>
      </c>
      <c r="I274" s="72">
        <v>3900</v>
      </c>
    </row>
    <row r="275" spans="1:9" ht="33" customHeight="1" x14ac:dyDescent="0.6">
      <c r="A275" s="3"/>
      <c r="B275" s="26"/>
      <c r="C275" s="4"/>
      <c r="D275" s="94"/>
      <c r="E275" s="24"/>
      <c r="F275" s="89"/>
      <c r="G275" s="91">
        <v>45772</v>
      </c>
      <c r="H275" s="63" t="s">
        <v>922</v>
      </c>
      <c r="I275" s="72">
        <v>202000</v>
      </c>
    </row>
    <row r="276" spans="1:9" ht="33" customHeight="1" x14ac:dyDescent="0.6">
      <c r="A276" s="3"/>
      <c r="B276" s="26"/>
      <c r="C276" s="4"/>
      <c r="D276" s="94"/>
      <c r="E276" s="24"/>
      <c r="F276" s="89"/>
      <c r="G276" s="91">
        <v>45772</v>
      </c>
      <c r="H276" s="63" t="s">
        <v>1033</v>
      </c>
      <c r="I276" s="72">
        <v>8080</v>
      </c>
    </row>
    <row r="277" spans="1:9" ht="33" customHeight="1" x14ac:dyDescent="0.6">
      <c r="A277" s="3"/>
      <c r="B277" s="26"/>
      <c r="C277" s="4"/>
      <c r="D277" s="94"/>
      <c r="E277" s="24"/>
      <c r="F277" s="89"/>
      <c r="G277" s="91">
        <v>45772</v>
      </c>
      <c r="H277" s="63" t="s">
        <v>923</v>
      </c>
      <c r="I277" s="72">
        <v>151500</v>
      </c>
    </row>
    <row r="278" spans="1:9" ht="33" customHeight="1" x14ac:dyDescent="0.6">
      <c r="A278" s="3"/>
      <c r="B278" s="26"/>
      <c r="C278" s="4"/>
      <c r="D278" s="94"/>
      <c r="E278" s="24"/>
      <c r="F278" s="89"/>
      <c r="G278" s="91">
        <v>45772</v>
      </c>
      <c r="H278" s="63" t="s">
        <v>924</v>
      </c>
      <c r="I278" s="72">
        <v>60600</v>
      </c>
    </row>
    <row r="279" spans="1:9" ht="33" customHeight="1" x14ac:dyDescent="0.6">
      <c r="A279" s="3"/>
      <c r="B279" s="26"/>
      <c r="C279" s="4"/>
      <c r="D279" s="94"/>
      <c r="E279" s="24"/>
      <c r="F279" s="89"/>
      <c r="G279" s="91">
        <v>45772</v>
      </c>
      <c r="H279" s="63" t="s">
        <v>925</v>
      </c>
      <c r="I279" s="72">
        <v>40400</v>
      </c>
    </row>
    <row r="280" spans="1:9" ht="33" customHeight="1" x14ac:dyDescent="0.6">
      <c r="A280" s="3"/>
      <c r="B280" s="26"/>
      <c r="C280" s="4"/>
      <c r="D280" s="94"/>
      <c r="E280" s="24"/>
      <c r="F280" s="89"/>
      <c r="G280" s="91">
        <v>45772</v>
      </c>
      <c r="H280" s="63" t="s">
        <v>937</v>
      </c>
      <c r="I280" s="72">
        <v>45350</v>
      </c>
    </row>
    <row r="281" spans="1:9" ht="33" customHeight="1" x14ac:dyDescent="0.6">
      <c r="A281" s="3"/>
      <c r="B281" s="26"/>
      <c r="C281" s="4"/>
      <c r="D281" s="94"/>
      <c r="E281" s="24"/>
      <c r="F281" s="89"/>
      <c r="G281" s="91">
        <v>45773</v>
      </c>
      <c r="H281" s="63" t="s">
        <v>926</v>
      </c>
      <c r="I281" s="72">
        <v>560000</v>
      </c>
    </row>
    <row r="282" spans="1:9" ht="33" customHeight="1" x14ac:dyDescent="0.6">
      <c r="A282" s="3"/>
      <c r="B282" s="26"/>
      <c r="C282" s="4"/>
      <c r="D282" s="94"/>
      <c r="E282" s="24"/>
      <c r="F282" s="89"/>
      <c r="G282" s="91">
        <v>45773</v>
      </c>
      <c r="H282" s="63" t="s">
        <v>930</v>
      </c>
      <c r="I282" s="72">
        <v>18000</v>
      </c>
    </row>
    <row r="283" spans="1:9" ht="33" customHeight="1" x14ac:dyDescent="0.6">
      <c r="A283" s="3"/>
      <c r="B283" s="26"/>
      <c r="C283" s="4"/>
      <c r="D283" s="94"/>
      <c r="E283" s="24"/>
      <c r="F283" s="89"/>
      <c r="G283" s="91">
        <v>45773</v>
      </c>
      <c r="H283" s="63" t="s">
        <v>932</v>
      </c>
      <c r="I283" s="72">
        <v>55550</v>
      </c>
    </row>
    <row r="284" spans="1:9" ht="33" customHeight="1" x14ac:dyDescent="0.6">
      <c r="A284" s="3"/>
      <c r="B284" s="26"/>
      <c r="C284" s="4"/>
      <c r="D284" s="94"/>
      <c r="E284" s="24"/>
      <c r="F284" s="89"/>
      <c r="G284" s="91">
        <v>45773</v>
      </c>
      <c r="H284" s="63" t="s">
        <v>933</v>
      </c>
      <c r="I284" s="72">
        <v>55550</v>
      </c>
    </row>
    <row r="285" spans="1:9" ht="33" customHeight="1" x14ac:dyDescent="0.6">
      <c r="A285" s="3"/>
      <c r="B285" s="26"/>
      <c r="C285" s="4"/>
      <c r="D285" s="94"/>
      <c r="E285" s="24"/>
      <c r="F285" s="89"/>
      <c r="G285" s="91">
        <v>45773</v>
      </c>
      <c r="H285" s="63" t="s">
        <v>934</v>
      </c>
      <c r="I285" s="72">
        <v>40400</v>
      </c>
    </row>
    <row r="286" spans="1:9" ht="33" customHeight="1" x14ac:dyDescent="0.6">
      <c r="A286" s="3"/>
      <c r="B286" s="26"/>
      <c r="C286" s="4"/>
      <c r="D286" s="94"/>
      <c r="E286" s="24"/>
      <c r="F286" s="89"/>
      <c r="G286" s="91">
        <v>45773</v>
      </c>
      <c r="H286" s="63" t="s">
        <v>935</v>
      </c>
      <c r="I286" s="72">
        <v>50500</v>
      </c>
    </row>
    <row r="287" spans="1:9" ht="33" customHeight="1" x14ac:dyDescent="0.6">
      <c r="A287" s="3"/>
      <c r="B287" s="26"/>
      <c r="C287" s="4"/>
      <c r="D287" s="94"/>
      <c r="E287" s="24"/>
      <c r="F287" s="89"/>
      <c r="G287" s="91">
        <v>45773</v>
      </c>
      <c r="H287" s="63" t="s">
        <v>936</v>
      </c>
      <c r="I287" s="72">
        <v>25250</v>
      </c>
    </row>
    <row r="288" spans="1:9" ht="33" customHeight="1" x14ac:dyDescent="0.6">
      <c r="A288" s="3"/>
      <c r="B288" s="26"/>
      <c r="C288" s="4"/>
      <c r="D288" s="94"/>
      <c r="E288" s="24"/>
      <c r="F288" s="89"/>
      <c r="G288" s="91">
        <v>45773</v>
      </c>
      <c r="H288" s="63" t="s">
        <v>938</v>
      </c>
      <c r="I288" s="72">
        <v>91960</v>
      </c>
    </row>
    <row r="289" spans="1:9" ht="33" customHeight="1" x14ac:dyDescent="0.6">
      <c r="A289" s="3"/>
      <c r="B289" s="26"/>
      <c r="C289" s="4"/>
      <c r="D289" s="94"/>
      <c r="E289" s="24"/>
      <c r="F289" s="89"/>
      <c r="G289" s="91">
        <v>45775</v>
      </c>
      <c r="H289" s="63" t="s">
        <v>929</v>
      </c>
      <c r="I289" s="72">
        <v>5000</v>
      </c>
    </row>
    <row r="290" spans="1:9" ht="33" customHeight="1" x14ac:dyDescent="0.6">
      <c r="A290" s="3"/>
      <c r="B290" s="26"/>
      <c r="C290" s="4"/>
      <c r="D290" s="94"/>
      <c r="E290" s="24"/>
      <c r="F290" s="89"/>
      <c r="G290" s="91">
        <v>45775</v>
      </c>
      <c r="H290" s="63" t="s">
        <v>307</v>
      </c>
      <c r="I290" s="72">
        <v>20200</v>
      </c>
    </row>
    <row r="291" spans="1:9" ht="33" customHeight="1" x14ac:dyDescent="0.6">
      <c r="A291" s="3"/>
      <c r="B291" s="26"/>
      <c r="C291" s="4"/>
      <c r="D291" s="94"/>
      <c r="E291" s="24"/>
      <c r="F291" s="89"/>
      <c r="G291" s="91">
        <v>45775</v>
      </c>
      <c r="H291" s="63" t="s">
        <v>931</v>
      </c>
      <c r="I291" s="72">
        <v>111100</v>
      </c>
    </row>
    <row r="292" spans="1:9" ht="33" customHeight="1" x14ac:dyDescent="0.6">
      <c r="A292" s="3"/>
      <c r="B292" s="26"/>
      <c r="C292" s="4"/>
      <c r="D292" s="94"/>
      <c r="E292" s="24"/>
      <c r="F292" s="89"/>
      <c r="G292" s="91">
        <v>45775</v>
      </c>
      <c r="H292" s="63" t="s">
        <v>985</v>
      </c>
      <c r="I292" s="72">
        <v>675000</v>
      </c>
    </row>
    <row r="293" spans="1:9" ht="33" customHeight="1" x14ac:dyDescent="0.6">
      <c r="A293" s="3"/>
      <c r="B293" s="26"/>
      <c r="C293" s="4"/>
      <c r="D293" s="94"/>
      <c r="E293" s="24"/>
      <c r="F293" s="89"/>
      <c r="G293" s="91">
        <v>45775</v>
      </c>
      <c r="H293" s="63" t="s">
        <v>986</v>
      </c>
      <c r="I293" s="72">
        <v>2515000</v>
      </c>
    </row>
    <row r="294" spans="1:9" ht="33" customHeight="1" x14ac:dyDescent="0.6">
      <c r="A294" s="3"/>
      <c r="B294" s="26"/>
      <c r="C294" s="4"/>
      <c r="D294" s="94"/>
      <c r="E294" s="24"/>
      <c r="F294" s="89"/>
      <c r="G294" s="91">
        <v>45775</v>
      </c>
      <c r="H294" s="63" t="s">
        <v>940</v>
      </c>
      <c r="I294" s="72">
        <v>1000</v>
      </c>
    </row>
    <row r="295" spans="1:9" ht="33" customHeight="1" x14ac:dyDescent="0.6">
      <c r="A295" s="3"/>
      <c r="B295" s="26"/>
      <c r="C295" s="4"/>
      <c r="D295" s="94"/>
      <c r="E295" s="24"/>
      <c r="F295" s="89"/>
      <c r="G295" s="91">
        <v>45775</v>
      </c>
      <c r="H295" s="63" t="s">
        <v>941</v>
      </c>
      <c r="I295" s="72">
        <v>2000</v>
      </c>
    </row>
    <row r="296" spans="1:9" ht="33" customHeight="1" x14ac:dyDescent="0.6">
      <c r="A296" s="3"/>
      <c r="B296" s="26"/>
      <c r="C296" s="4"/>
      <c r="D296" s="94"/>
      <c r="E296" s="24"/>
      <c r="F296" s="89"/>
      <c r="G296" s="91">
        <v>45775</v>
      </c>
      <c r="H296" s="73" t="s">
        <v>950</v>
      </c>
      <c r="I296" s="100">
        <v>777950</v>
      </c>
    </row>
    <row r="297" spans="1:9" ht="33" customHeight="1" x14ac:dyDescent="0.6">
      <c r="A297" s="3"/>
      <c r="B297" s="26"/>
      <c r="C297" s="4"/>
      <c r="D297" s="94"/>
      <c r="E297" s="24"/>
      <c r="F297" s="89"/>
      <c r="G297" s="91">
        <v>45775</v>
      </c>
      <c r="H297" s="73" t="s">
        <v>951</v>
      </c>
      <c r="I297" s="100">
        <v>194780</v>
      </c>
    </row>
    <row r="298" spans="1:9" ht="33" customHeight="1" x14ac:dyDescent="0.6">
      <c r="A298" s="3"/>
      <c r="B298" s="26"/>
      <c r="C298" s="4"/>
      <c r="D298" s="94"/>
      <c r="E298" s="24"/>
      <c r="F298" s="89"/>
      <c r="G298" s="91">
        <v>45776</v>
      </c>
      <c r="H298" s="63" t="s">
        <v>942</v>
      </c>
      <c r="I298" s="72">
        <v>32000</v>
      </c>
    </row>
    <row r="299" spans="1:9" s="79" customFormat="1" ht="33" customHeight="1" x14ac:dyDescent="0.6">
      <c r="A299" s="42"/>
      <c r="B299" s="77"/>
      <c r="C299" s="43"/>
      <c r="D299" s="104"/>
      <c r="E299" s="78"/>
      <c r="F299" s="105"/>
      <c r="G299" s="91">
        <v>45776</v>
      </c>
      <c r="H299" s="63" t="s">
        <v>943</v>
      </c>
      <c r="I299" s="72">
        <v>6000</v>
      </c>
    </row>
    <row r="300" spans="1:9" ht="33" customHeight="1" x14ac:dyDescent="0.6">
      <c r="A300" s="3"/>
      <c r="B300" s="26"/>
      <c r="C300" s="4"/>
      <c r="D300" s="94"/>
      <c r="E300" s="24"/>
      <c r="F300" s="89"/>
      <c r="G300" s="91">
        <v>45776</v>
      </c>
      <c r="H300" s="63" t="s">
        <v>944</v>
      </c>
      <c r="I300" s="72">
        <v>165000</v>
      </c>
    </row>
    <row r="301" spans="1:9" ht="33" customHeight="1" x14ac:dyDescent="0.6">
      <c r="A301" s="3"/>
      <c r="B301" s="26"/>
      <c r="C301" s="4"/>
      <c r="D301" s="94"/>
      <c r="E301" s="24"/>
      <c r="F301" s="89"/>
      <c r="G301" s="91">
        <v>45776</v>
      </c>
      <c r="H301" s="63" t="s">
        <v>945</v>
      </c>
      <c r="I301" s="72">
        <v>50500</v>
      </c>
    </row>
    <row r="302" spans="1:9" s="79" customFormat="1" ht="33" customHeight="1" x14ac:dyDescent="0.6">
      <c r="A302" s="42"/>
      <c r="B302" s="77"/>
      <c r="C302" s="43"/>
      <c r="D302" s="104"/>
      <c r="E302" s="78"/>
      <c r="F302" s="105"/>
      <c r="G302" s="91">
        <v>45776</v>
      </c>
      <c r="H302" s="63" t="s">
        <v>947</v>
      </c>
      <c r="I302" s="72">
        <v>2000</v>
      </c>
    </row>
    <row r="303" spans="1:9" s="79" customFormat="1" ht="33" customHeight="1" x14ac:dyDescent="0.6">
      <c r="A303" s="42"/>
      <c r="B303" s="77"/>
      <c r="C303" s="43"/>
      <c r="D303" s="104"/>
      <c r="E303" s="78"/>
      <c r="F303" s="105"/>
      <c r="G303" s="91">
        <v>45776</v>
      </c>
      <c r="H303" s="63" t="s">
        <v>948</v>
      </c>
      <c r="I303" s="72">
        <v>2000</v>
      </c>
    </row>
    <row r="304" spans="1:9" s="79" customFormat="1" ht="33" customHeight="1" x14ac:dyDescent="0.6">
      <c r="A304" s="42"/>
      <c r="B304" s="77"/>
      <c r="C304" s="43"/>
      <c r="D304" s="104"/>
      <c r="E304" s="78"/>
      <c r="F304" s="105"/>
      <c r="G304" s="91">
        <v>45776</v>
      </c>
      <c r="H304" s="63" t="s">
        <v>949</v>
      </c>
      <c r="I304" s="72">
        <v>7070</v>
      </c>
    </row>
    <row r="305" spans="1:9" ht="33" customHeight="1" x14ac:dyDescent="0.6">
      <c r="A305" s="3"/>
      <c r="B305" s="26"/>
      <c r="C305" s="4"/>
      <c r="D305" s="94"/>
      <c r="E305" s="24"/>
      <c r="F305" s="89"/>
      <c r="G305" s="91">
        <v>45776</v>
      </c>
      <c r="H305" s="63" t="s">
        <v>962</v>
      </c>
      <c r="I305" s="72">
        <v>2020</v>
      </c>
    </row>
    <row r="306" spans="1:9" ht="33" customHeight="1" x14ac:dyDescent="0.6">
      <c r="A306" s="3"/>
      <c r="B306" s="26"/>
      <c r="C306" s="4"/>
      <c r="D306" s="94"/>
      <c r="E306" s="24"/>
      <c r="F306" s="89"/>
      <c r="G306" s="91">
        <v>45777</v>
      </c>
      <c r="H306" s="63" t="s">
        <v>952</v>
      </c>
      <c r="I306" s="72">
        <v>20000</v>
      </c>
    </row>
    <row r="307" spans="1:9" ht="33" customHeight="1" x14ac:dyDescent="0.6">
      <c r="A307" s="3"/>
      <c r="B307" s="26"/>
      <c r="C307" s="4"/>
      <c r="D307" s="94"/>
      <c r="E307" s="24"/>
      <c r="F307" s="89"/>
      <c r="G307" s="91">
        <v>45777</v>
      </c>
      <c r="H307" s="63" t="s">
        <v>947</v>
      </c>
      <c r="I307" s="72">
        <v>2000</v>
      </c>
    </row>
    <row r="308" spans="1:9" ht="33" customHeight="1" x14ac:dyDescent="0.6">
      <c r="A308" s="3"/>
      <c r="B308" s="26"/>
      <c r="C308" s="4"/>
      <c r="D308" s="94"/>
      <c r="E308" s="24"/>
      <c r="F308" s="89"/>
      <c r="G308" s="91">
        <v>45777</v>
      </c>
      <c r="H308" s="63" t="s">
        <v>984</v>
      </c>
      <c r="I308" s="72">
        <v>5000</v>
      </c>
    </row>
    <row r="309" spans="1:9" ht="33" customHeight="1" x14ac:dyDescent="0.6">
      <c r="A309" s="3"/>
      <c r="B309" s="26"/>
      <c r="C309" s="4"/>
      <c r="D309" s="94"/>
      <c r="E309" s="24"/>
      <c r="F309" s="89"/>
      <c r="G309" s="91">
        <v>45777</v>
      </c>
      <c r="H309" s="63" t="s">
        <v>953</v>
      </c>
      <c r="I309" s="72">
        <v>20000</v>
      </c>
    </row>
    <row r="310" spans="1:9" ht="33" customHeight="1" x14ac:dyDescent="0.6">
      <c r="A310" s="3"/>
      <c r="B310" s="26"/>
      <c r="C310" s="4"/>
      <c r="D310" s="94"/>
      <c r="E310" s="24"/>
      <c r="F310" s="89"/>
      <c r="G310" s="91">
        <v>45777</v>
      </c>
      <c r="H310" s="63" t="s">
        <v>681</v>
      </c>
      <c r="I310" s="72">
        <v>1000000</v>
      </c>
    </row>
    <row r="311" spans="1:9" ht="33" customHeight="1" x14ac:dyDescent="0.6">
      <c r="A311" s="3"/>
      <c r="B311" s="26"/>
      <c r="C311" s="4"/>
      <c r="D311" s="94"/>
      <c r="E311" s="24"/>
      <c r="F311" s="89"/>
      <c r="G311" s="91">
        <v>45777</v>
      </c>
      <c r="H311" s="63" t="s">
        <v>963</v>
      </c>
      <c r="I311" s="72">
        <v>5000</v>
      </c>
    </row>
    <row r="312" spans="1:9" ht="33" customHeight="1" x14ac:dyDescent="0.6">
      <c r="A312" s="3"/>
      <c r="B312" s="26"/>
      <c r="C312" s="4"/>
      <c r="D312" s="94"/>
      <c r="E312" s="24"/>
      <c r="F312" s="89"/>
      <c r="G312" s="91">
        <v>45777</v>
      </c>
      <c r="H312" s="63" t="s">
        <v>964</v>
      </c>
      <c r="I312" s="72">
        <v>20200</v>
      </c>
    </row>
    <row r="313" spans="1:9" ht="33" customHeight="1" x14ac:dyDescent="0.6">
      <c r="A313" s="3"/>
      <c r="B313" s="26"/>
      <c r="C313" s="4"/>
      <c r="D313" s="94"/>
      <c r="E313" s="24"/>
      <c r="F313" s="89"/>
      <c r="G313" s="91">
        <v>45777</v>
      </c>
      <c r="H313" s="63" t="s">
        <v>965</v>
      </c>
      <c r="I313" s="72">
        <v>5050</v>
      </c>
    </row>
    <row r="314" spans="1:9" ht="33" customHeight="1" x14ac:dyDescent="0.6">
      <c r="A314" s="3"/>
      <c r="B314" s="26"/>
      <c r="C314" s="4"/>
      <c r="D314" s="94"/>
      <c r="E314" s="24"/>
      <c r="F314" s="89"/>
      <c r="G314" s="91">
        <v>45777</v>
      </c>
      <c r="H314" s="63" t="s">
        <v>966</v>
      </c>
      <c r="I314" s="72">
        <v>50500</v>
      </c>
    </row>
    <row r="315" spans="1:9" ht="33" customHeight="1" x14ac:dyDescent="0.6">
      <c r="A315" s="3"/>
      <c r="B315" s="26"/>
      <c r="C315" s="4"/>
      <c r="D315" s="94"/>
      <c r="E315" s="24"/>
      <c r="F315" s="89"/>
      <c r="G315" s="91">
        <v>45777</v>
      </c>
      <c r="H315" s="63" t="s">
        <v>967</v>
      </c>
      <c r="I315" s="72">
        <v>10100</v>
      </c>
    </row>
    <row r="316" spans="1:9" ht="33" customHeight="1" x14ac:dyDescent="0.6">
      <c r="A316" s="3"/>
      <c r="B316" s="26"/>
      <c r="C316" s="4"/>
      <c r="D316" s="94"/>
      <c r="E316" s="24"/>
      <c r="F316" s="89"/>
      <c r="G316" s="91">
        <v>45777</v>
      </c>
      <c r="H316" s="63" t="s">
        <v>968</v>
      </c>
      <c r="I316" s="72">
        <v>3030</v>
      </c>
    </row>
    <row r="317" spans="1:9" ht="33" customHeight="1" x14ac:dyDescent="0.6">
      <c r="A317" s="3"/>
      <c r="B317" s="26"/>
      <c r="C317" s="4"/>
      <c r="D317" s="94"/>
      <c r="E317" s="24"/>
      <c r="F317" s="89"/>
      <c r="G317" s="91">
        <v>45777</v>
      </c>
      <c r="H317" s="63" t="s">
        <v>969</v>
      </c>
      <c r="I317" s="72">
        <v>60600</v>
      </c>
    </row>
    <row r="318" spans="1:9" ht="33" customHeight="1" x14ac:dyDescent="0.6">
      <c r="A318" s="3"/>
      <c r="B318" s="26"/>
      <c r="C318" s="4"/>
      <c r="D318" s="94"/>
      <c r="E318" s="24"/>
      <c r="F318" s="89"/>
      <c r="G318" s="91">
        <v>45777</v>
      </c>
      <c r="H318" s="63" t="s">
        <v>1019</v>
      </c>
      <c r="I318" s="72">
        <v>135000</v>
      </c>
    </row>
    <row r="319" spans="1:9" ht="33" customHeight="1" x14ac:dyDescent="0.6">
      <c r="A319" s="3"/>
      <c r="B319" s="26"/>
      <c r="C319" s="4"/>
      <c r="D319" s="94"/>
      <c r="E319" s="24"/>
      <c r="F319" s="89"/>
      <c r="G319" s="89"/>
      <c r="H319" s="63"/>
      <c r="I319" s="72"/>
    </row>
    <row r="320" spans="1:9" ht="33" customHeight="1" x14ac:dyDescent="0.6">
      <c r="A320" s="3"/>
      <c r="B320" s="26"/>
      <c r="C320" s="4"/>
      <c r="D320" s="94"/>
      <c r="E320" s="24"/>
      <c r="F320" s="89"/>
      <c r="G320" s="89"/>
      <c r="H320" s="63"/>
      <c r="I320" s="72"/>
    </row>
    <row r="321" spans="1:9" x14ac:dyDescent="0.6">
      <c r="A321" s="3"/>
      <c r="B321" s="26"/>
      <c r="C321" s="4"/>
      <c r="D321" s="95"/>
      <c r="E321" s="35"/>
      <c r="F321" s="36"/>
      <c r="G321" s="92"/>
      <c r="H321" s="38"/>
      <c r="I321" s="72"/>
    </row>
    <row r="322" spans="1:9" ht="34.799999999999997" x14ac:dyDescent="0.6">
      <c r="A322" s="568" t="s">
        <v>7</v>
      </c>
      <c r="B322" s="569"/>
      <c r="C322" s="20">
        <f>SUM(C4:C321)</f>
        <v>52408478</v>
      </c>
      <c r="D322" s="570" t="s">
        <v>7</v>
      </c>
      <c r="E322" s="571"/>
      <c r="F322" s="20">
        <f>SUM(F4:F321)</f>
        <v>11740720</v>
      </c>
      <c r="G322" s="68" t="s">
        <v>7</v>
      </c>
      <c r="H322" s="74"/>
      <c r="I322" s="30">
        <f>SUM(I4:I321)</f>
        <v>39802000</v>
      </c>
    </row>
    <row r="323" spans="1:9" ht="45.6" x14ac:dyDescent="0.6">
      <c r="A323" s="554" t="s">
        <v>13</v>
      </c>
      <c r="B323" s="555"/>
      <c r="C323" s="18">
        <f>+C322</f>
        <v>52408478</v>
      </c>
      <c r="D323" s="28"/>
      <c r="E323" s="29"/>
      <c r="F323" s="29"/>
      <c r="G323" s="69"/>
      <c r="H323" s="70" t="s">
        <v>20</v>
      </c>
      <c r="I323" s="19">
        <f>+F322+I322</f>
        <v>51542720</v>
      </c>
    </row>
    <row r="324" spans="1:9" s="39" customFormat="1" ht="45.6" x14ac:dyDescent="0.6">
      <c r="A324" s="7"/>
      <c r="B324" s="1"/>
      <c r="C324" s="7"/>
      <c r="D324" s="93"/>
      <c r="E324" s="7"/>
      <c r="F324" s="7"/>
      <c r="G324" s="66"/>
      <c r="H324" s="67" t="s">
        <v>10</v>
      </c>
      <c r="I324" s="25">
        <f>+C322-F322-I322</f>
        <v>865758</v>
      </c>
    </row>
    <row r="325" spans="1:9" x14ac:dyDescent="0.6">
      <c r="I325" s="40">
        <f>+C323-I323</f>
        <v>865758</v>
      </c>
    </row>
    <row r="326" spans="1:9" s="8" customFormat="1" ht="49.2" customHeight="1" x14ac:dyDescent="0.6">
      <c r="A326" s="7"/>
      <c r="B326" s="1"/>
      <c r="C326" s="7"/>
      <c r="D326" s="96"/>
      <c r="E326" s="1"/>
      <c r="F326" s="7"/>
      <c r="G326" s="93"/>
      <c r="H326" s="46"/>
      <c r="I326" s="40">
        <f>+I324-I325</f>
        <v>0</v>
      </c>
    </row>
    <row r="327" spans="1:9" s="17" customFormat="1" ht="65.400000000000006" customHeight="1" x14ac:dyDescent="0.6">
      <c r="A327" s="7"/>
      <c r="B327" s="1"/>
      <c r="C327" s="7"/>
      <c r="D327" s="96"/>
      <c r="E327" s="8"/>
      <c r="F327" s="7"/>
      <c r="G327" s="93"/>
      <c r="H327" s="1"/>
      <c r="I327" s="7"/>
    </row>
    <row r="328" spans="1:9" s="50" customFormat="1" ht="91.8" x14ac:dyDescent="0.6">
      <c r="A328" s="57"/>
      <c r="B328" s="58"/>
      <c r="C328" s="57"/>
      <c r="D328" s="97"/>
      <c r="E328" s="17"/>
      <c r="F328" s="57"/>
      <c r="G328" s="33"/>
      <c r="H328" s="65" t="s">
        <v>22</v>
      </c>
      <c r="I328" s="65"/>
    </row>
    <row r="329" spans="1:9" s="50" customFormat="1" ht="61.2" x14ac:dyDescent="1.05">
      <c r="A329" s="7"/>
      <c r="B329" s="1"/>
      <c r="C329" s="7"/>
      <c r="D329" s="96"/>
      <c r="E329" s="1"/>
      <c r="F329" s="7"/>
      <c r="G329" s="93"/>
      <c r="H329" s="52" t="s">
        <v>3</v>
      </c>
      <c r="I329" s="55">
        <f>+C323</f>
        <v>52408478</v>
      </c>
    </row>
    <row r="330" spans="1:9" s="50" customFormat="1" ht="61.2" x14ac:dyDescent="1.05">
      <c r="A330" s="7"/>
      <c r="B330" s="1"/>
      <c r="C330" s="7"/>
      <c r="D330" s="96"/>
      <c r="E330" s="1"/>
      <c r="F330" s="7"/>
      <c r="G330" s="93"/>
      <c r="H330" s="52" t="s">
        <v>23</v>
      </c>
      <c r="I330" s="55">
        <f>+F322</f>
        <v>11740720</v>
      </c>
    </row>
    <row r="331" spans="1:9" s="50" customFormat="1" ht="61.2" x14ac:dyDescent="1.05">
      <c r="A331" s="7"/>
      <c r="B331" s="1"/>
      <c r="C331" s="7"/>
      <c r="D331" s="96"/>
      <c r="E331" s="1"/>
      <c r="F331" s="7"/>
      <c r="G331" s="93"/>
      <c r="H331" s="52" t="s">
        <v>24</v>
      </c>
      <c r="I331" s="53">
        <f>+I322</f>
        <v>39802000</v>
      </c>
    </row>
    <row r="332" spans="1:9" s="50" customFormat="1" ht="61.2" x14ac:dyDescent="1.05">
      <c r="A332" s="7"/>
      <c r="B332" s="1"/>
      <c r="C332" s="7"/>
      <c r="D332" s="96"/>
      <c r="E332" s="1"/>
      <c r="F332" s="7"/>
      <c r="G332" s="93"/>
      <c r="H332" s="52" t="s">
        <v>69</v>
      </c>
      <c r="I332" s="53">
        <v>0</v>
      </c>
    </row>
    <row r="333" spans="1:9" s="50" customFormat="1" ht="61.2" x14ac:dyDescent="1.05">
      <c r="A333" s="7"/>
      <c r="B333" s="1"/>
      <c r="C333" s="7"/>
      <c r="D333" s="96"/>
      <c r="E333" s="1"/>
      <c r="F333" s="7"/>
      <c r="G333" s="93"/>
      <c r="H333" s="52" t="s">
        <v>25</v>
      </c>
      <c r="I333" s="54">
        <f>+I329-I330-I331-I332</f>
        <v>865758</v>
      </c>
    </row>
    <row r="334" spans="1:9" s="50" customFormat="1" x14ac:dyDescent="0.6">
      <c r="A334" s="7"/>
      <c r="B334" s="1"/>
      <c r="C334" s="7"/>
      <c r="D334" s="96"/>
      <c r="E334" s="1"/>
      <c r="F334" s="7"/>
      <c r="G334" s="93"/>
      <c r="H334" s="1"/>
      <c r="I334" s="1"/>
    </row>
    <row r="335" spans="1:9" s="50" customFormat="1" x14ac:dyDescent="0.6">
      <c r="A335" s="7"/>
      <c r="B335" s="1"/>
      <c r="C335" s="7"/>
      <c r="D335" s="96"/>
      <c r="E335" s="1"/>
      <c r="F335" s="7"/>
      <c r="G335" s="93"/>
      <c r="H335" s="1"/>
      <c r="I335" s="1"/>
    </row>
    <row r="336" spans="1:9" s="50" customFormat="1" x14ac:dyDescent="0.6">
      <c r="A336" s="7"/>
      <c r="B336" s="1"/>
      <c r="C336" s="7"/>
      <c r="D336" s="96"/>
      <c r="E336" s="1"/>
      <c r="F336" s="7"/>
      <c r="G336" s="93"/>
      <c r="H336" s="1"/>
      <c r="I336" s="1"/>
    </row>
    <row r="337" spans="9:9" x14ac:dyDescent="0.6">
      <c r="I337" s="1"/>
    </row>
  </sheetData>
  <autoFilter ref="A3:I305" xr:uid="{C27F9055-AF1A-4DFB-ADB2-58AB89720241}">
    <sortState xmlns:xlrd2="http://schemas.microsoft.com/office/spreadsheetml/2017/richdata2" ref="A4:I4">
      <sortCondition sortBy="cellColor" ref="I3:I4" dxfId="80"/>
    </sortState>
  </autoFilter>
  <mergeCells count="6">
    <mergeCell ref="A323:B323"/>
    <mergeCell ref="A1:I1"/>
    <mergeCell ref="A2:C2"/>
    <mergeCell ref="D2:I2"/>
    <mergeCell ref="A322:B322"/>
    <mergeCell ref="D322:E322"/>
  </mergeCells>
  <phoneticPr fontId="2" type="noConversion"/>
  <pageMargins left="0.7" right="0.7" top="0.75" bottom="0.75" header="0.3" footer="0.3"/>
  <pageSetup paperSize="9" scale="28" orientation="landscape" r:id="rId1"/>
  <rowBreaks count="2" manualBreakCount="2">
    <brk id="256" min="6" max="8" man="1"/>
    <brk id="296" min="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3086-DC7E-4FF1-A093-2288E8D33B55}">
  <sheetPr>
    <tabColor rgb="FFFFFF00"/>
  </sheetPr>
  <dimension ref="A1:L301"/>
  <sheetViews>
    <sheetView topLeftCell="E68" zoomScale="30" zoomScaleNormal="30" zoomScaleSheetLayoutView="30" workbookViewId="0">
      <selection sqref="A1:I288"/>
    </sheetView>
  </sheetViews>
  <sheetFormatPr baseColWidth="10" defaultColWidth="11.5546875" defaultRowHeight="31.2" x14ac:dyDescent="0.6"/>
  <cols>
    <col min="1" max="1" width="44.109375" style="7" customWidth="1"/>
    <col min="2" max="2" width="225.44140625" style="1" customWidth="1"/>
    <col min="3" max="3" width="78.5546875" style="7" customWidth="1"/>
    <col min="4" max="4" width="66.5546875" style="96" customWidth="1"/>
    <col min="5" max="5" width="255.5546875" style="1" customWidth="1"/>
    <col min="6" max="6" width="69.21875" style="7" customWidth="1"/>
    <col min="7" max="7" width="50.44140625" style="93" customWidth="1"/>
    <col min="8" max="8" width="255.5546875" style="1" customWidth="1"/>
    <col min="9" max="9" width="114.88671875" style="7" customWidth="1"/>
    <col min="10" max="10" width="10.88671875" style="1" customWidth="1"/>
    <col min="11" max="11" width="11.5546875" style="1"/>
    <col min="12" max="12" width="24.21875" style="1" customWidth="1"/>
    <col min="13" max="13" width="26.6640625" style="1" customWidth="1"/>
    <col min="14" max="16384" width="11.5546875" style="1"/>
  </cols>
  <sheetData>
    <row r="1" spans="1:9" s="17" customFormat="1" ht="61.95" customHeight="1" thickBot="1" x14ac:dyDescent="0.35">
      <c r="A1" s="559" t="s">
        <v>1300</v>
      </c>
      <c r="B1" s="560"/>
      <c r="C1" s="560"/>
      <c r="D1" s="560"/>
      <c r="E1" s="560"/>
      <c r="F1" s="560"/>
      <c r="G1" s="560"/>
      <c r="H1" s="560"/>
      <c r="I1" s="561"/>
    </row>
    <row r="2" spans="1:9" s="8" customFormat="1" ht="51.6" customHeight="1" thickBot="1" x14ac:dyDescent="0.35">
      <c r="A2" s="562" t="s">
        <v>4</v>
      </c>
      <c r="B2" s="563"/>
      <c r="C2" s="564"/>
      <c r="D2" s="562" t="s">
        <v>5</v>
      </c>
      <c r="E2" s="563"/>
      <c r="F2" s="563"/>
      <c r="G2" s="563"/>
      <c r="H2" s="563"/>
      <c r="I2" s="564"/>
    </row>
    <row r="3" spans="1:9" s="33" customFormat="1" ht="103.2" customHeigh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71" t="s">
        <v>0</v>
      </c>
      <c r="H3" s="32" t="s">
        <v>9</v>
      </c>
      <c r="I3" s="45" t="s">
        <v>2</v>
      </c>
    </row>
    <row r="4" spans="1:9" ht="33" customHeight="1" x14ac:dyDescent="0.6">
      <c r="A4" s="5"/>
      <c r="B4" s="62" t="s">
        <v>958</v>
      </c>
      <c r="C4" s="61">
        <v>865758</v>
      </c>
      <c r="D4" s="90">
        <v>45779</v>
      </c>
      <c r="E4" s="86" t="s">
        <v>1423</v>
      </c>
      <c r="F4" s="101">
        <v>90000</v>
      </c>
      <c r="G4" s="91">
        <v>45778</v>
      </c>
      <c r="H4" s="63" t="s">
        <v>983</v>
      </c>
      <c r="I4" s="157">
        <f>45450+25802</f>
        <v>71252</v>
      </c>
    </row>
    <row r="5" spans="1:9" ht="33" customHeight="1" x14ac:dyDescent="0.6">
      <c r="A5" s="3">
        <v>45779</v>
      </c>
      <c r="B5" s="26" t="s">
        <v>959</v>
      </c>
      <c r="C5" s="4">
        <v>100000</v>
      </c>
      <c r="D5" s="90">
        <v>45779</v>
      </c>
      <c r="E5" s="63" t="s">
        <v>1312</v>
      </c>
      <c r="F5" s="88">
        <v>141400</v>
      </c>
      <c r="G5" s="91">
        <v>45779</v>
      </c>
      <c r="H5" s="63" t="s">
        <v>971</v>
      </c>
      <c r="I5" s="72">
        <v>252500</v>
      </c>
    </row>
    <row r="6" spans="1:9" ht="33" customHeight="1" x14ac:dyDescent="0.6">
      <c r="A6" s="3">
        <v>45779</v>
      </c>
      <c r="B6" s="26" t="s">
        <v>959</v>
      </c>
      <c r="C6" s="4">
        <v>1000000</v>
      </c>
      <c r="D6" s="90">
        <v>45780</v>
      </c>
      <c r="E6" s="75" t="s">
        <v>970</v>
      </c>
      <c r="F6" s="89">
        <v>200000</v>
      </c>
      <c r="G6" s="91">
        <v>45779</v>
      </c>
      <c r="H6" s="63" t="s">
        <v>973</v>
      </c>
      <c r="I6" s="72">
        <v>3030</v>
      </c>
    </row>
    <row r="7" spans="1:9" ht="33" customHeight="1" x14ac:dyDescent="0.6">
      <c r="A7" s="3">
        <v>45780</v>
      </c>
      <c r="B7" s="26" t="s">
        <v>988</v>
      </c>
      <c r="C7" s="4">
        <v>15000</v>
      </c>
      <c r="D7" s="90">
        <v>45782</v>
      </c>
      <c r="E7" s="75" t="s">
        <v>1409</v>
      </c>
      <c r="F7" s="89">
        <v>115000</v>
      </c>
      <c r="G7" s="91">
        <v>45779</v>
      </c>
      <c r="H7" s="63" t="s">
        <v>975</v>
      </c>
      <c r="I7" s="72">
        <v>30300</v>
      </c>
    </row>
    <row r="8" spans="1:9" ht="33" customHeight="1" x14ac:dyDescent="0.6">
      <c r="A8" s="3">
        <v>45782</v>
      </c>
      <c r="B8" s="26" t="s">
        <v>992</v>
      </c>
      <c r="C8" s="4">
        <v>5000000</v>
      </c>
      <c r="D8" s="90">
        <v>45783</v>
      </c>
      <c r="E8" s="75" t="s">
        <v>1045</v>
      </c>
      <c r="F8" s="89">
        <v>500000</v>
      </c>
      <c r="G8" s="91">
        <v>45779</v>
      </c>
      <c r="H8" s="63" t="s">
        <v>976</v>
      </c>
      <c r="I8" s="72">
        <v>11110</v>
      </c>
    </row>
    <row r="9" spans="1:9" ht="33" customHeight="1" x14ac:dyDescent="0.6">
      <c r="A9" s="3">
        <v>45782</v>
      </c>
      <c r="B9" s="26" t="s">
        <v>993</v>
      </c>
      <c r="C9" s="4">
        <v>2220000</v>
      </c>
      <c r="D9" s="90">
        <v>45785</v>
      </c>
      <c r="E9" s="75" t="s">
        <v>1424</v>
      </c>
      <c r="F9" s="89">
        <v>15150</v>
      </c>
      <c r="G9" s="91">
        <v>45779</v>
      </c>
      <c r="H9" s="63" t="s">
        <v>974</v>
      </c>
      <c r="I9" s="72">
        <v>5050</v>
      </c>
    </row>
    <row r="10" spans="1:9" ht="33" customHeight="1" x14ac:dyDescent="0.6">
      <c r="A10" s="3">
        <v>45784</v>
      </c>
      <c r="B10" s="26" t="s">
        <v>1080</v>
      </c>
      <c r="C10" s="4">
        <v>495050</v>
      </c>
      <c r="D10" s="90">
        <v>45786</v>
      </c>
      <c r="E10" s="75" t="s">
        <v>1092</v>
      </c>
      <c r="F10" s="89">
        <v>80800</v>
      </c>
      <c r="G10" s="91">
        <v>45779</v>
      </c>
      <c r="H10" s="63" t="s">
        <v>981</v>
      </c>
      <c r="I10" s="72">
        <v>1515</v>
      </c>
    </row>
    <row r="11" spans="1:9" ht="33" customHeight="1" x14ac:dyDescent="0.6">
      <c r="A11" s="3">
        <v>45786</v>
      </c>
      <c r="B11" s="26" t="s">
        <v>1086</v>
      </c>
      <c r="C11" s="4">
        <v>2000000</v>
      </c>
      <c r="D11" s="90">
        <v>45787</v>
      </c>
      <c r="E11" s="75" t="s">
        <v>1096</v>
      </c>
      <c r="F11" s="89">
        <v>1000000</v>
      </c>
      <c r="G11" s="91">
        <v>45779</v>
      </c>
      <c r="H11" s="63" t="s">
        <v>960</v>
      </c>
      <c r="I11" s="72">
        <v>7600</v>
      </c>
    </row>
    <row r="12" spans="1:9" ht="33" customHeight="1" x14ac:dyDescent="0.6">
      <c r="A12" s="3">
        <v>45787</v>
      </c>
      <c r="B12" s="26" t="s">
        <v>1091</v>
      </c>
      <c r="C12" s="4">
        <v>2000000</v>
      </c>
      <c r="D12" s="90">
        <v>45787</v>
      </c>
      <c r="E12" s="63" t="s">
        <v>1100</v>
      </c>
      <c r="F12" s="72">
        <v>505000</v>
      </c>
      <c r="G12" s="91">
        <v>45779</v>
      </c>
      <c r="H12" s="63" t="s">
        <v>961</v>
      </c>
      <c r="I12" s="72">
        <v>3000</v>
      </c>
    </row>
    <row r="13" spans="1:9" s="23" customFormat="1" ht="33" customHeight="1" x14ac:dyDescent="0.6">
      <c r="A13" s="5">
        <v>45789</v>
      </c>
      <c r="B13" s="26" t="s">
        <v>1106</v>
      </c>
      <c r="C13" s="16">
        <v>1000000</v>
      </c>
      <c r="D13" s="90">
        <v>45787</v>
      </c>
      <c r="E13" s="75" t="s">
        <v>1249</v>
      </c>
      <c r="F13" s="89">
        <v>434300</v>
      </c>
      <c r="G13" s="91">
        <v>45779</v>
      </c>
      <c r="H13" s="63" t="s">
        <v>415</v>
      </c>
      <c r="I13" s="72">
        <v>20200</v>
      </c>
    </row>
    <row r="14" spans="1:9" ht="33" customHeight="1" x14ac:dyDescent="0.6">
      <c r="A14" s="5">
        <v>45790</v>
      </c>
      <c r="B14" s="26" t="s">
        <v>1113</v>
      </c>
      <c r="C14" s="4">
        <v>70000</v>
      </c>
      <c r="D14" s="90">
        <v>45790</v>
      </c>
      <c r="E14" s="103" t="s">
        <v>1132</v>
      </c>
      <c r="F14" s="83">
        <v>404000</v>
      </c>
      <c r="G14" s="91">
        <v>45780</v>
      </c>
      <c r="H14" s="63" t="s">
        <v>972</v>
      </c>
      <c r="I14" s="72">
        <v>12100</v>
      </c>
    </row>
    <row r="15" spans="1:9" ht="33" customHeight="1" x14ac:dyDescent="0.6">
      <c r="A15" s="5">
        <v>45790</v>
      </c>
      <c r="B15" s="26" t="s">
        <v>959</v>
      </c>
      <c r="C15" s="4">
        <v>500000</v>
      </c>
      <c r="D15" s="90">
        <v>45791</v>
      </c>
      <c r="E15" s="75" t="s">
        <v>1471</v>
      </c>
      <c r="F15" s="89">
        <v>785000</v>
      </c>
      <c r="G15" s="91">
        <v>45780</v>
      </c>
      <c r="H15" s="63" t="s">
        <v>977</v>
      </c>
      <c r="I15" s="72">
        <v>34000</v>
      </c>
    </row>
    <row r="16" spans="1:9" ht="33" customHeight="1" x14ac:dyDescent="0.6">
      <c r="A16" s="5">
        <v>45791</v>
      </c>
      <c r="B16" s="26" t="s">
        <v>1121</v>
      </c>
      <c r="C16" s="4">
        <v>2000000</v>
      </c>
      <c r="D16" s="94">
        <v>45793</v>
      </c>
      <c r="E16" s="103" t="s">
        <v>1133</v>
      </c>
      <c r="F16" s="83">
        <v>353500</v>
      </c>
      <c r="G16" s="91">
        <v>45780</v>
      </c>
      <c r="H16" s="63" t="s">
        <v>978</v>
      </c>
      <c r="I16" s="72">
        <v>225000</v>
      </c>
    </row>
    <row r="17" spans="1:9" ht="33" customHeight="1" x14ac:dyDescent="0.6">
      <c r="A17" s="5">
        <v>45793</v>
      </c>
      <c r="B17" s="26" t="s">
        <v>1135</v>
      </c>
      <c r="C17" s="4">
        <v>3500000</v>
      </c>
      <c r="D17" s="94">
        <v>45793</v>
      </c>
      <c r="E17" s="75" t="s">
        <v>1419</v>
      </c>
      <c r="F17" s="89">
        <v>606000</v>
      </c>
      <c r="G17" s="91">
        <v>45780</v>
      </c>
      <c r="H17" s="63" t="s">
        <v>979</v>
      </c>
      <c r="I17" s="72">
        <v>605900</v>
      </c>
    </row>
    <row r="18" spans="1:9" ht="33" customHeight="1" x14ac:dyDescent="0.6">
      <c r="A18" s="5">
        <v>45796</v>
      </c>
      <c r="B18" s="26" t="s">
        <v>1166</v>
      </c>
      <c r="C18" s="4">
        <v>2000000</v>
      </c>
      <c r="D18" s="94">
        <v>45793</v>
      </c>
      <c r="E18" s="75" t="s">
        <v>1425</v>
      </c>
      <c r="F18" s="89">
        <v>93930</v>
      </c>
      <c r="G18" s="91">
        <v>45780</v>
      </c>
      <c r="H18" s="63" t="s">
        <v>980</v>
      </c>
      <c r="I18" s="72">
        <v>10100</v>
      </c>
    </row>
    <row r="19" spans="1:9" ht="33" customHeight="1" x14ac:dyDescent="0.6">
      <c r="A19" s="5">
        <v>45797</v>
      </c>
      <c r="B19" s="26" t="s">
        <v>1080</v>
      </c>
      <c r="C19" s="4">
        <v>990100</v>
      </c>
      <c r="D19" s="94">
        <v>45793</v>
      </c>
      <c r="E19" s="75" t="s">
        <v>1136</v>
      </c>
      <c r="F19" s="89">
        <v>800000</v>
      </c>
      <c r="G19" s="91">
        <v>45780</v>
      </c>
      <c r="H19" s="63" t="s">
        <v>982</v>
      </c>
      <c r="I19" s="72">
        <v>25250</v>
      </c>
    </row>
    <row r="20" spans="1:9" ht="33" customHeight="1" x14ac:dyDescent="0.6">
      <c r="A20" s="5">
        <v>45798</v>
      </c>
      <c r="B20" s="26" t="s">
        <v>1186</v>
      </c>
      <c r="C20" s="4">
        <v>2000000</v>
      </c>
      <c r="D20" s="94">
        <v>45794</v>
      </c>
      <c r="E20" s="75" t="s">
        <v>1150</v>
      </c>
      <c r="F20" s="89">
        <v>757500</v>
      </c>
      <c r="G20" s="91">
        <v>45780</v>
      </c>
      <c r="H20" s="63" t="s">
        <v>991</v>
      </c>
      <c r="I20" s="72">
        <v>50500</v>
      </c>
    </row>
    <row r="21" spans="1:9" ht="33" customHeight="1" x14ac:dyDescent="0.6">
      <c r="A21" s="5">
        <v>45798</v>
      </c>
      <c r="B21" s="26" t="s">
        <v>1194</v>
      </c>
      <c r="C21" s="4">
        <v>1000000</v>
      </c>
      <c r="D21" s="94">
        <v>45795</v>
      </c>
      <c r="E21" s="75" t="s">
        <v>1426</v>
      </c>
      <c r="F21" s="89">
        <v>151500</v>
      </c>
      <c r="G21" s="91">
        <v>45780</v>
      </c>
      <c r="H21" s="63" t="s">
        <v>987</v>
      </c>
      <c r="I21" s="72">
        <v>36360</v>
      </c>
    </row>
    <row r="22" spans="1:9" ht="33" customHeight="1" x14ac:dyDescent="0.6">
      <c r="A22" s="5">
        <v>45800</v>
      </c>
      <c r="B22" s="26" t="s">
        <v>1203</v>
      </c>
      <c r="C22" s="4">
        <v>2000000</v>
      </c>
      <c r="D22" s="94">
        <v>45796</v>
      </c>
      <c r="E22" s="75" t="s">
        <v>1168</v>
      </c>
      <c r="F22" s="89">
        <v>474700</v>
      </c>
      <c r="G22" s="91">
        <v>45780</v>
      </c>
      <c r="H22" s="63" t="s">
        <v>1026</v>
      </c>
      <c r="I22" s="72">
        <v>5050</v>
      </c>
    </row>
    <row r="23" spans="1:9" ht="33" customHeight="1" x14ac:dyDescent="0.6">
      <c r="A23" s="5">
        <v>45801</v>
      </c>
      <c r="B23" s="26" t="s">
        <v>1226</v>
      </c>
      <c r="C23" s="4">
        <v>1500000</v>
      </c>
      <c r="D23" s="94">
        <v>45796</v>
      </c>
      <c r="E23" s="75" t="s">
        <v>1170</v>
      </c>
      <c r="F23" s="89">
        <v>505000</v>
      </c>
      <c r="G23" s="91">
        <v>45782</v>
      </c>
      <c r="H23" s="63" t="s">
        <v>989</v>
      </c>
      <c r="I23" s="72">
        <v>150000</v>
      </c>
    </row>
    <row r="24" spans="1:9" ht="33" customHeight="1" x14ac:dyDescent="0.6">
      <c r="A24" s="5">
        <v>45803</v>
      </c>
      <c r="B24" s="26" t="s">
        <v>18</v>
      </c>
      <c r="C24" s="4">
        <v>6000000</v>
      </c>
      <c r="D24" s="94">
        <v>45797</v>
      </c>
      <c r="E24" s="75" t="s">
        <v>1173</v>
      </c>
      <c r="F24" s="89">
        <v>808000</v>
      </c>
      <c r="G24" s="91">
        <v>45782</v>
      </c>
      <c r="H24" s="63" t="s">
        <v>990</v>
      </c>
      <c r="I24" s="72">
        <v>55000</v>
      </c>
    </row>
    <row r="25" spans="1:9" ht="33" customHeight="1" x14ac:dyDescent="0.6">
      <c r="A25" s="5">
        <v>45804</v>
      </c>
      <c r="B25" s="26" t="s">
        <v>1252</v>
      </c>
      <c r="C25" s="4">
        <v>840000</v>
      </c>
      <c r="D25" s="94">
        <v>45798</v>
      </c>
      <c r="E25" s="63" t="s">
        <v>1185</v>
      </c>
      <c r="F25" s="89">
        <v>800000</v>
      </c>
      <c r="G25" s="91">
        <v>45782</v>
      </c>
      <c r="H25" s="63" t="s">
        <v>994</v>
      </c>
      <c r="I25" s="72">
        <v>75000</v>
      </c>
    </row>
    <row r="26" spans="1:9" ht="33" customHeight="1" x14ac:dyDescent="0.6">
      <c r="A26" s="5">
        <v>45804</v>
      </c>
      <c r="B26" s="26" t="s">
        <v>18</v>
      </c>
      <c r="C26" s="4">
        <v>500000</v>
      </c>
      <c r="D26" s="94">
        <v>45798</v>
      </c>
      <c r="E26" s="75" t="s">
        <v>1188</v>
      </c>
      <c r="F26" s="89">
        <v>404000</v>
      </c>
      <c r="G26" s="91">
        <v>45782</v>
      </c>
      <c r="H26" s="63" t="s">
        <v>995</v>
      </c>
      <c r="I26" s="72">
        <v>324000</v>
      </c>
    </row>
    <row r="27" spans="1:9" ht="33" customHeight="1" x14ac:dyDescent="0.6">
      <c r="A27" s="5">
        <v>45805</v>
      </c>
      <c r="B27" s="75" t="s">
        <v>1420</v>
      </c>
      <c r="C27" s="4">
        <v>554455</v>
      </c>
      <c r="D27" s="94">
        <v>45799</v>
      </c>
      <c r="E27" s="75" t="s">
        <v>1198</v>
      </c>
      <c r="F27" s="89">
        <v>909000</v>
      </c>
      <c r="G27" s="91">
        <v>45782</v>
      </c>
      <c r="H27" s="63" t="s">
        <v>996</v>
      </c>
      <c r="I27" s="72">
        <v>80800</v>
      </c>
    </row>
    <row r="28" spans="1:9" ht="33" customHeight="1" x14ac:dyDescent="0.6">
      <c r="A28" s="5">
        <v>45805</v>
      </c>
      <c r="B28" s="26" t="s">
        <v>1226</v>
      </c>
      <c r="C28" s="4">
        <v>500000</v>
      </c>
      <c r="D28" s="94">
        <v>45800</v>
      </c>
      <c r="E28" s="75" t="s">
        <v>1206</v>
      </c>
      <c r="F28" s="89">
        <v>750000</v>
      </c>
      <c r="G28" s="91">
        <v>45782</v>
      </c>
      <c r="H28" s="63" t="s">
        <v>997</v>
      </c>
      <c r="I28" s="72">
        <v>202000</v>
      </c>
    </row>
    <row r="29" spans="1:9" ht="33" customHeight="1" x14ac:dyDescent="0.6">
      <c r="A29" s="5">
        <v>45807</v>
      </c>
      <c r="B29" s="26" t="s">
        <v>1255</v>
      </c>
      <c r="C29" s="4">
        <v>2000000</v>
      </c>
      <c r="D29" s="94">
        <v>45800</v>
      </c>
      <c r="E29" s="75" t="s">
        <v>1207</v>
      </c>
      <c r="F29" s="89">
        <v>700000</v>
      </c>
      <c r="G29" s="91">
        <v>45782</v>
      </c>
      <c r="H29" s="63" t="s">
        <v>998</v>
      </c>
      <c r="I29" s="72">
        <v>151500</v>
      </c>
    </row>
    <row r="30" spans="1:9" s="23" customFormat="1" ht="33" customHeight="1" x14ac:dyDescent="0.6">
      <c r="A30" s="5">
        <v>45808</v>
      </c>
      <c r="B30" s="22" t="s">
        <v>18</v>
      </c>
      <c r="C30" s="16">
        <v>2000000</v>
      </c>
      <c r="D30" s="91">
        <v>45801</v>
      </c>
      <c r="E30" s="63" t="s">
        <v>1223</v>
      </c>
      <c r="F30" s="72">
        <v>161600</v>
      </c>
      <c r="G30" s="91">
        <v>45782</v>
      </c>
      <c r="H30" s="63" t="s">
        <v>999</v>
      </c>
      <c r="I30" s="72">
        <v>252500</v>
      </c>
    </row>
    <row r="31" spans="1:9" ht="33" customHeight="1" x14ac:dyDescent="0.6">
      <c r="A31" s="3">
        <v>45808</v>
      </c>
      <c r="B31" s="26" t="s">
        <v>18</v>
      </c>
      <c r="C31" s="4">
        <v>1000000</v>
      </c>
      <c r="D31" s="91">
        <v>45801</v>
      </c>
      <c r="E31" s="63" t="s">
        <v>1222</v>
      </c>
      <c r="F31" s="72">
        <v>353500</v>
      </c>
      <c r="G31" s="91">
        <v>45782</v>
      </c>
      <c r="H31" s="63" t="s">
        <v>1062</v>
      </c>
      <c r="I31" s="72">
        <v>151500</v>
      </c>
    </row>
    <row r="32" spans="1:9" ht="33" customHeight="1" x14ac:dyDescent="0.6">
      <c r="A32" s="3"/>
      <c r="B32" s="26"/>
      <c r="C32" s="4"/>
      <c r="D32" s="91">
        <v>45801</v>
      </c>
      <c r="E32" s="63" t="s">
        <v>1224</v>
      </c>
      <c r="F32" s="72">
        <v>393900</v>
      </c>
      <c r="G32" s="91">
        <v>45782</v>
      </c>
      <c r="H32" s="63" t="s">
        <v>1000</v>
      </c>
      <c r="I32" s="72">
        <v>151500</v>
      </c>
    </row>
    <row r="33" spans="1:9" ht="33" customHeight="1" x14ac:dyDescent="0.6">
      <c r="A33" s="3"/>
      <c r="B33" s="26"/>
      <c r="C33" s="4"/>
      <c r="D33" s="90">
        <v>45803</v>
      </c>
      <c r="E33" s="103" t="s">
        <v>1458</v>
      </c>
      <c r="F33" s="83">
        <v>121200</v>
      </c>
      <c r="G33" s="91">
        <v>45782</v>
      </c>
      <c r="H33" s="63" t="s">
        <v>1001</v>
      </c>
      <c r="I33" s="72">
        <v>181800</v>
      </c>
    </row>
    <row r="34" spans="1:9" ht="33" customHeight="1" x14ac:dyDescent="0.6">
      <c r="A34" s="3"/>
      <c r="B34" s="26"/>
      <c r="C34" s="4"/>
      <c r="D34" s="94">
        <v>45803</v>
      </c>
      <c r="E34" s="75" t="s">
        <v>1305</v>
      </c>
      <c r="F34" s="89">
        <f>120000+1200</f>
        <v>121200</v>
      </c>
      <c r="G34" s="91">
        <v>45782</v>
      </c>
      <c r="H34" s="63" t="s">
        <v>1061</v>
      </c>
      <c r="I34" s="72">
        <v>252500</v>
      </c>
    </row>
    <row r="35" spans="1:9" ht="33" customHeight="1" x14ac:dyDescent="0.6">
      <c r="A35" s="68"/>
      <c r="B35" s="26"/>
      <c r="C35" s="20"/>
      <c r="D35" s="94">
        <v>45803</v>
      </c>
      <c r="E35" s="75" t="s">
        <v>1284</v>
      </c>
      <c r="F35" s="89">
        <v>400000</v>
      </c>
      <c r="G35" s="91">
        <v>45782</v>
      </c>
      <c r="H35" s="63" t="s">
        <v>1002</v>
      </c>
      <c r="I35" s="72">
        <v>202000</v>
      </c>
    </row>
    <row r="36" spans="1:9" ht="33" customHeight="1" x14ac:dyDescent="0.6">
      <c r="A36" s="3"/>
      <c r="B36" s="26"/>
      <c r="C36" s="4"/>
      <c r="D36" s="91">
        <v>45803</v>
      </c>
      <c r="E36" s="63" t="s">
        <v>1242</v>
      </c>
      <c r="F36" s="72">
        <v>181800</v>
      </c>
      <c r="G36" s="91">
        <v>45782</v>
      </c>
      <c r="H36" s="63" t="s">
        <v>1003</v>
      </c>
      <c r="I36" s="72">
        <v>151500</v>
      </c>
    </row>
    <row r="37" spans="1:9" ht="33" customHeight="1" x14ac:dyDescent="0.6">
      <c r="A37" s="3"/>
      <c r="B37" s="26"/>
      <c r="C37" s="4"/>
      <c r="D37" s="94">
        <v>45804</v>
      </c>
      <c r="E37" s="75" t="s">
        <v>1250</v>
      </c>
      <c r="F37" s="89">
        <v>800000</v>
      </c>
      <c r="G37" s="91">
        <v>45782</v>
      </c>
      <c r="H37" s="63" t="s">
        <v>1004</v>
      </c>
      <c r="I37" s="72">
        <v>151500</v>
      </c>
    </row>
    <row r="38" spans="1:9" ht="33" customHeight="1" x14ac:dyDescent="0.6">
      <c r="A38" s="3"/>
      <c r="B38" s="26"/>
      <c r="C38" s="4"/>
      <c r="D38" s="94">
        <v>45804</v>
      </c>
      <c r="E38" s="75" t="s">
        <v>1245</v>
      </c>
      <c r="F38" s="89">
        <v>462580</v>
      </c>
      <c r="G38" s="91">
        <v>45782</v>
      </c>
      <c r="H38" s="63" t="s">
        <v>1005</v>
      </c>
      <c r="I38" s="72">
        <v>121200</v>
      </c>
    </row>
    <row r="39" spans="1:9" ht="33" customHeight="1" x14ac:dyDescent="0.6">
      <c r="A39" s="3"/>
      <c r="B39" s="26"/>
      <c r="C39" s="4"/>
      <c r="D39" s="94">
        <v>45805</v>
      </c>
      <c r="E39" s="75" t="s">
        <v>1257</v>
      </c>
      <c r="F39" s="89">
        <v>1000000</v>
      </c>
      <c r="G39" s="91">
        <v>45782</v>
      </c>
      <c r="H39" s="63" t="s">
        <v>1006</v>
      </c>
      <c r="I39" s="72">
        <v>151500</v>
      </c>
    </row>
    <row r="40" spans="1:9" ht="33" customHeight="1" x14ac:dyDescent="0.6">
      <c r="A40" s="3"/>
      <c r="B40" s="26"/>
      <c r="C40" s="4"/>
      <c r="D40" s="94">
        <v>45805</v>
      </c>
      <c r="E40" s="75" t="s">
        <v>1269</v>
      </c>
      <c r="F40" s="89">
        <v>232300</v>
      </c>
      <c r="G40" s="91">
        <v>45782</v>
      </c>
      <c r="H40" s="63" t="s">
        <v>1007</v>
      </c>
      <c r="I40" s="72">
        <v>202000</v>
      </c>
    </row>
    <row r="41" spans="1:9" ht="33" customHeight="1" x14ac:dyDescent="0.6">
      <c r="A41" s="3"/>
      <c r="B41" s="26"/>
      <c r="C41" s="4"/>
      <c r="D41" s="94">
        <v>45807</v>
      </c>
      <c r="E41" s="75" t="s">
        <v>1276</v>
      </c>
      <c r="F41" s="89">
        <v>500000</v>
      </c>
      <c r="G41" s="91">
        <v>45782</v>
      </c>
      <c r="H41" s="63" t="s">
        <v>1063</v>
      </c>
      <c r="I41" s="72">
        <v>252500</v>
      </c>
    </row>
    <row r="42" spans="1:9" ht="33" customHeight="1" x14ac:dyDescent="0.6">
      <c r="A42" s="3"/>
      <c r="B42" s="26"/>
      <c r="C42" s="4"/>
      <c r="D42" s="94">
        <v>45807</v>
      </c>
      <c r="E42" s="75" t="s">
        <v>1285</v>
      </c>
      <c r="F42" s="89">
        <v>500000</v>
      </c>
      <c r="G42" s="91">
        <v>45782</v>
      </c>
      <c r="H42" s="63" t="s">
        <v>1008</v>
      </c>
      <c r="I42" s="72">
        <v>151500</v>
      </c>
    </row>
    <row r="43" spans="1:9" ht="33" customHeight="1" x14ac:dyDescent="0.6">
      <c r="A43" s="3"/>
      <c r="B43" s="26"/>
      <c r="C43" s="4"/>
      <c r="D43" s="94">
        <v>45807</v>
      </c>
      <c r="E43" s="75" t="s">
        <v>1286</v>
      </c>
      <c r="F43" s="89">
        <v>400000</v>
      </c>
      <c r="G43" s="91">
        <v>45782</v>
      </c>
      <c r="H43" s="63" t="s">
        <v>1009</v>
      </c>
      <c r="I43" s="72">
        <v>116150</v>
      </c>
    </row>
    <row r="44" spans="1:9" ht="33" customHeight="1" x14ac:dyDescent="0.6">
      <c r="A44" s="3"/>
      <c r="B44" s="26"/>
      <c r="C44" s="4"/>
      <c r="D44" s="94">
        <v>45808</v>
      </c>
      <c r="E44" s="75" t="s">
        <v>1427</v>
      </c>
      <c r="F44" s="89">
        <v>300000</v>
      </c>
      <c r="G44" s="91">
        <v>45782</v>
      </c>
      <c r="H44" s="63" t="s">
        <v>1010</v>
      </c>
      <c r="I44" s="72">
        <v>202000</v>
      </c>
    </row>
    <row r="45" spans="1:9" ht="33" customHeight="1" x14ac:dyDescent="0.6">
      <c r="A45" s="3"/>
      <c r="B45" s="26"/>
      <c r="C45" s="4"/>
      <c r="D45" s="94">
        <v>45808</v>
      </c>
      <c r="E45" s="75" t="s">
        <v>1297</v>
      </c>
      <c r="F45" s="89">
        <v>400000</v>
      </c>
      <c r="G45" s="91">
        <v>45782</v>
      </c>
      <c r="H45" s="63" t="s">
        <v>1011</v>
      </c>
      <c r="I45" s="72">
        <v>151500</v>
      </c>
    </row>
    <row r="46" spans="1:9" ht="33" customHeight="1" x14ac:dyDescent="0.6">
      <c r="A46" s="3"/>
      <c r="B46" s="26"/>
      <c r="C46" s="4"/>
      <c r="D46" s="94">
        <v>45808</v>
      </c>
      <c r="E46" s="26" t="s">
        <v>1304</v>
      </c>
      <c r="F46" s="4">
        <v>121200</v>
      </c>
      <c r="G46" s="91">
        <v>45782</v>
      </c>
      <c r="H46" s="63" t="s">
        <v>1064</v>
      </c>
      <c r="I46" s="72">
        <v>202000</v>
      </c>
    </row>
    <row r="47" spans="1:9" ht="33" customHeight="1" x14ac:dyDescent="0.6">
      <c r="A47" s="3"/>
      <c r="B47" s="26"/>
      <c r="C47" s="4"/>
      <c r="D47" s="94"/>
      <c r="E47" s="75"/>
      <c r="F47" s="89"/>
      <c r="G47" s="91">
        <v>45782</v>
      </c>
      <c r="H47" s="63" t="s">
        <v>1012</v>
      </c>
      <c r="I47" s="72">
        <v>550000</v>
      </c>
    </row>
    <row r="48" spans="1:9" ht="33" customHeight="1" x14ac:dyDescent="0.6">
      <c r="A48" s="3"/>
      <c r="B48" s="26"/>
      <c r="C48" s="4"/>
      <c r="D48" s="94"/>
      <c r="E48" s="75"/>
      <c r="F48" s="89"/>
      <c r="G48" s="91">
        <v>45782</v>
      </c>
      <c r="H48" s="63" t="s">
        <v>1013</v>
      </c>
      <c r="I48" s="72">
        <v>271600</v>
      </c>
    </row>
    <row r="49" spans="1:9" ht="33" customHeight="1" x14ac:dyDescent="0.6">
      <c r="A49" s="3"/>
      <c r="B49" s="26"/>
      <c r="C49" s="4"/>
      <c r="D49" s="94"/>
      <c r="E49" s="75"/>
      <c r="F49" s="89"/>
      <c r="G49" s="91">
        <v>45782</v>
      </c>
      <c r="H49" s="63" t="s">
        <v>1405</v>
      </c>
      <c r="I49" s="72">
        <v>35350</v>
      </c>
    </row>
    <row r="50" spans="1:9" ht="33" customHeight="1" x14ac:dyDescent="0.6">
      <c r="A50" s="3"/>
      <c r="B50" s="26"/>
      <c r="C50" s="4"/>
      <c r="D50" s="136"/>
      <c r="E50" s="136"/>
      <c r="F50" s="20"/>
      <c r="G50" s="91">
        <v>45782</v>
      </c>
      <c r="H50" s="63" t="s">
        <v>1014</v>
      </c>
      <c r="I50" s="72">
        <v>156550</v>
      </c>
    </row>
    <row r="51" spans="1:9" ht="33" customHeight="1" x14ac:dyDescent="0.6">
      <c r="A51" s="3"/>
      <c r="B51" s="26"/>
      <c r="C51" s="4"/>
      <c r="D51" s="94"/>
      <c r="E51" s="75"/>
      <c r="F51" s="89"/>
      <c r="G51" s="91">
        <v>45782</v>
      </c>
      <c r="H51" s="63" t="s">
        <v>1015</v>
      </c>
      <c r="I51" s="72">
        <v>20200</v>
      </c>
    </row>
    <row r="52" spans="1:9" ht="33" customHeight="1" x14ac:dyDescent="0.6">
      <c r="A52" s="3"/>
      <c r="B52" s="26"/>
      <c r="C52" s="4"/>
      <c r="D52" s="94"/>
      <c r="E52" s="75"/>
      <c r="F52" s="89"/>
      <c r="G52" s="91">
        <v>45782</v>
      </c>
      <c r="H52" s="63" t="s">
        <v>1016</v>
      </c>
      <c r="I52" s="72">
        <v>15150</v>
      </c>
    </row>
    <row r="53" spans="1:9" ht="33" customHeight="1" x14ac:dyDescent="0.6">
      <c r="A53" s="3"/>
      <c r="B53" s="26"/>
      <c r="C53" s="4"/>
      <c r="D53" s="94"/>
      <c r="E53" s="75"/>
      <c r="F53" s="89"/>
      <c r="G53" s="91">
        <v>45782</v>
      </c>
      <c r="H53" s="63" t="s">
        <v>1017</v>
      </c>
      <c r="I53" s="72">
        <v>20000</v>
      </c>
    </row>
    <row r="54" spans="1:9" ht="33" customHeight="1" x14ac:dyDescent="0.6">
      <c r="A54" s="3"/>
      <c r="B54" s="26"/>
      <c r="C54" s="4"/>
      <c r="D54" s="94"/>
      <c r="E54" s="75"/>
      <c r="F54" s="89"/>
      <c r="G54" s="91">
        <v>45782</v>
      </c>
      <c r="H54" s="63" t="s">
        <v>1018</v>
      </c>
      <c r="I54" s="72">
        <f>20200+205</f>
        <v>20405</v>
      </c>
    </row>
    <row r="55" spans="1:9" ht="33" customHeight="1" x14ac:dyDescent="0.6">
      <c r="A55" s="3"/>
      <c r="B55" s="26"/>
      <c r="C55" s="4"/>
      <c r="D55" s="94"/>
      <c r="E55" s="75"/>
      <c r="F55" s="89"/>
      <c r="G55" s="91">
        <v>45782</v>
      </c>
      <c r="H55" s="63" t="s">
        <v>1020</v>
      </c>
      <c r="I55" s="72">
        <v>2000</v>
      </c>
    </row>
    <row r="56" spans="1:9" ht="33" customHeight="1" x14ac:dyDescent="0.6">
      <c r="A56" s="3"/>
      <c r="B56" s="26"/>
      <c r="C56" s="4"/>
      <c r="D56" s="94"/>
      <c r="E56" s="75"/>
      <c r="F56" s="89"/>
      <c r="G56" s="91">
        <v>45782</v>
      </c>
      <c r="H56" s="63" t="s">
        <v>1021</v>
      </c>
      <c r="I56" s="72">
        <v>59000</v>
      </c>
    </row>
    <row r="57" spans="1:9" ht="33" customHeight="1" x14ac:dyDescent="0.6">
      <c r="A57" s="3"/>
      <c r="B57" s="26"/>
      <c r="C57" s="4"/>
      <c r="D57" s="94"/>
      <c r="E57" s="75"/>
      <c r="F57" s="89"/>
      <c r="G57" s="91">
        <v>45782</v>
      </c>
      <c r="H57" s="63" t="s">
        <v>1022</v>
      </c>
      <c r="I57" s="72">
        <v>35000</v>
      </c>
    </row>
    <row r="58" spans="1:9" ht="33" customHeight="1" x14ac:dyDescent="0.6">
      <c r="A58" s="3"/>
      <c r="B58" s="26"/>
      <c r="C58" s="4"/>
      <c r="D58" s="94"/>
      <c r="E58" s="75"/>
      <c r="F58" s="89"/>
      <c r="G58" s="91">
        <v>45782</v>
      </c>
      <c r="H58" s="63" t="s">
        <v>1023</v>
      </c>
      <c r="I58" s="72">
        <v>20000</v>
      </c>
    </row>
    <row r="59" spans="1:9" ht="33" customHeight="1" x14ac:dyDescent="0.6">
      <c r="A59" s="3"/>
      <c r="B59" s="26"/>
      <c r="C59" s="4"/>
      <c r="D59" s="94"/>
      <c r="E59" s="75"/>
      <c r="F59" s="89"/>
      <c r="G59" s="91">
        <v>45782</v>
      </c>
      <c r="H59" s="63" t="s">
        <v>1024</v>
      </c>
      <c r="I59" s="72">
        <v>63000</v>
      </c>
    </row>
    <row r="60" spans="1:9" ht="33" customHeight="1" x14ac:dyDescent="0.6">
      <c r="A60" s="3"/>
      <c r="B60" s="26"/>
      <c r="C60" s="4"/>
      <c r="D60" s="94"/>
      <c r="E60" s="75"/>
      <c r="F60" s="89"/>
      <c r="G60" s="91">
        <v>45782</v>
      </c>
      <c r="H60" s="63" t="s">
        <v>1025</v>
      </c>
      <c r="I60" s="72">
        <v>5050</v>
      </c>
    </row>
    <row r="61" spans="1:9" ht="33" customHeight="1" x14ac:dyDescent="0.6">
      <c r="A61" s="3"/>
      <c r="B61" s="26"/>
      <c r="C61" s="4"/>
      <c r="D61" s="94"/>
      <c r="E61" s="75"/>
      <c r="F61" s="89"/>
      <c r="G61" s="91">
        <v>45782</v>
      </c>
      <c r="H61" s="63" t="s">
        <v>1027</v>
      </c>
      <c r="I61" s="72">
        <v>3000</v>
      </c>
    </row>
    <row r="62" spans="1:9" ht="33" customHeight="1" x14ac:dyDescent="0.6">
      <c r="A62" s="3"/>
      <c r="B62" s="26"/>
      <c r="C62" s="4"/>
      <c r="D62" s="94"/>
      <c r="E62" s="75"/>
      <c r="F62" s="89"/>
      <c r="G62" s="91">
        <v>45783</v>
      </c>
      <c r="H62" s="63" t="s">
        <v>1028</v>
      </c>
      <c r="I62" s="72">
        <v>37000</v>
      </c>
    </row>
    <row r="63" spans="1:9" ht="33" customHeight="1" x14ac:dyDescent="0.6">
      <c r="A63" s="3"/>
      <c r="B63" s="26"/>
      <c r="C63" s="4"/>
      <c r="D63" s="94"/>
      <c r="E63" s="75"/>
      <c r="F63" s="89"/>
      <c r="G63" s="91">
        <v>45783</v>
      </c>
      <c r="H63" s="63" t="s">
        <v>1029</v>
      </c>
      <c r="I63" s="72">
        <v>202000</v>
      </c>
    </row>
    <row r="64" spans="1:9" ht="33" customHeight="1" x14ac:dyDescent="0.6">
      <c r="A64" s="3"/>
      <c r="B64" s="26"/>
      <c r="C64" s="4"/>
      <c r="D64" s="94"/>
      <c r="E64" s="75"/>
      <c r="F64" s="89"/>
      <c r="G64" s="91">
        <v>45783</v>
      </c>
      <c r="H64" s="63" t="s">
        <v>1030</v>
      </c>
      <c r="I64" s="72">
        <v>202000</v>
      </c>
    </row>
    <row r="65" spans="1:9" ht="33" customHeight="1" x14ac:dyDescent="0.6">
      <c r="A65" s="3"/>
      <c r="B65" s="26"/>
      <c r="C65" s="4"/>
      <c r="D65" s="94"/>
      <c r="E65" s="75"/>
      <c r="F65" s="89"/>
      <c r="G65" s="91">
        <v>45783</v>
      </c>
      <c r="H65" s="63" t="s">
        <v>1031</v>
      </c>
      <c r="I65" s="72">
        <v>120000</v>
      </c>
    </row>
    <row r="66" spans="1:9" ht="33" customHeight="1" x14ac:dyDescent="0.6">
      <c r="A66" s="3"/>
      <c r="B66" s="26"/>
      <c r="C66" s="4"/>
      <c r="D66" s="94"/>
      <c r="E66" s="75"/>
      <c r="F66" s="89"/>
      <c r="G66" s="91">
        <v>45783</v>
      </c>
      <c r="H66" s="63" t="s">
        <v>1032</v>
      </c>
      <c r="I66" s="72">
        <v>150000</v>
      </c>
    </row>
    <row r="67" spans="1:9" ht="33" customHeight="1" x14ac:dyDescent="0.6">
      <c r="A67" s="3"/>
      <c r="B67" s="26"/>
      <c r="C67" s="4"/>
      <c r="D67" s="94"/>
      <c r="E67" s="75"/>
      <c r="F67" s="89"/>
      <c r="G67" s="91">
        <v>45783</v>
      </c>
      <c r="H67" s="63" t="s">
        <v>1051</v>
      </c>
      <c r="I67" s="72">
        <v>5000</v>
      </c>
    </row>
    <row r="68" spans="1:9" ht="33" customHeight="1" x14ac:dyDescent="0.6">
      <c r="A68" s="3"/>
      <c r="B68" s="26"/>
      <c r="C68" s="4"/>
      <c r="D68" s="94"/>
      <c r="E68" s="75"/>
      <c r="F68" s="89"/>
      <c r="G68" s="91">
        <v>45783</v>
      </c>
      <c r="H68" s="63" t="s">
        <v>1050</v>
      </c>
      <c r="I68" s="72">
        <v>5000</v>
      </c>
    </row>
    <row r="69" spans="1:9" ht="33" customHeight="1" x14ac:dyDescent="0.6">
      <c r="A69" s="3"/>
      <c r="B69" s="26"/>
      <c r="C69" s="4"/>
      <c r="D69" s="94"/>
      <c r="E69" s="75"/>
      <c r="F69" s="89"/>
      <c r="G69" s="91">
        <v>45783</v>
      </c>
      <c r="H69" s="63" t="s">
        <v>1040</v>
      </c>
      <c r="I69" s="72">
        <v>40400</v>
      </c>
    </row>
    <row r="70" spans="1:9" ht="33" customHeight="1" x14ac:dyDescent="0.6">
      <c r="A70" s="3"/>
      <c r="B70" s="26"/>
      <c r="C70" s="4"/>
      <c r="D70" s="94"/>
      <c r="E70" s="75"/>
      <c r="F70" s="89"/>
      <c r="G70" s="91">
        <v>45783</v>
      </c>
      <c r="H70" s="63" t="s">
        <v>1041</v>
      </c>
      <c r="I70" s="72">
        <v>8000</v>
      </c>
    </row>
    <row r="71" spans="1:9" ht="33" customHeight="1" x14ac:dyDescent="0.6">
      <c r="A71" s="3"/>
      <c r="B71" s="26"/>
      <c r="C71" s="4"/>
      <c r="D71" s="94"/>
      <c r="E71" s="75"/>
      <c r="F71" s="89"/>
      <c r="G71" s="91">
        <v>45783</v>
      </c>
      <c r="H71" s="63" t="s">
        <v>1042</v>
      </c>
      <c r="I71" s="72">
        <v>117970</v>
      </c>
    </row>
    <row r="72" spans="1:9" ht="33" customHeight="1" x14ac:dyDescent="0.6">
      <c r="A72" s="3"/>
      <c r="B72" s="26"/>
      <c r="C72" s="4"/>
      <c r="D72" s="94"/>
      <c r="E72" s="75"/>
      <c r="F72" s="89"/>
      <c r="G72" s="91">
        <v>45783</v>
      </c>
      <c r="H72" s="63" t="s">
        <v>1043</v>
      </c>
      <c r="I72" s="72">
        <v>23230</v>
      </c>
    </row>
    <row r="73" spans="1:9" ht="33" customHeight="1" x14ac:dyDescent="0.6">
      <c r="A73" s="3"/>
      <c r="B73" s="26"/>
      <c r="C73" s="4"/>
      <c r="D73" s="94"/>
      <c r="E73" s="75"/>
      <c r="F73" s="89"/>
      <c r="G73" s="91">
        <v>45783</v>
      </c>
      <c r="H73" s="63" t="s">
        <v>1044</v>
      </c>
      <c r="I73" s="72">
        <v>75750</v>
      </c>
    </row>
    <row r="74" spans="1:9" ht="33" customHeight="1" x14ac:dyDescent="0.6">
      <c r="A74" s="3"/>
      <c r="B74" s="26"/>
      <c r="C74" s="4"/>
      <c r="D74" s="94"/>
      <c r="E74" s="75"/>
      <c r="F74" s="89"/>
      <c r="G74" s="91">
        <v>45783</v>
      </c>
      <c r="H74" s="63" t="s">
        <v>48</v>
      </c>
      <c r="I74" s="72">
        <v>10000</v>
      </c>
    </row>
    <row r="75" spans="1:9" ht="33" customHeight="1" x14ac:dyDescent="0.6">
      <c r="A75" s="3"/>
      <c r="B75" s="26"/>
      <c r="C75" s="4"/>
      <c r="D75" s="94"/>
      <c r="E75" s="75"/>
      <c r="F75" s="89"/>
      <c r="G75" s="91">
        <v>45783</v>
      </c>
      <c r="H75" s="63" t="s">
        <v>1046</v>
      </c>
      <c r="I75" s="72">
        <v>20000</v>
      </c>
    </row>
    <row r="76" spans="1:9" ht="33" customHeight="1" x14ac:dyDescent="0.6">
      <c r="A76" s="3"/>
      <c r="B76" s="26"/>
      <c r="C76" s="4"/>
      <c r="D76" s="94"/>
      <c r="E76" s="75"/>
      <c r="F76" s="89"/>
      <c r="G76" s="91">
        <v>45783</v>
      </c>
      <c r="H76" s="63" t="s">
        <v>1047</v>
      </c>
      <c r="I76" s="72">
        <v>600</v>
      </c>
    </row>
    <row r="77" spans="1:9" ht="33" customHeight="1" x14ac:dyDescent="0.6">
      <c r="A77" s="3"/>
      <c r="B77" s="26"/>
      <c r="C77" s="4"/>
      <c r="D77" s="94"/>
      <c r="E77" s="75"/>
      <c r="F77" s="89"/>
      <c r="G77" s="91">
        <v>45783</v>
      </c>
      <c r="H77" s="63" t="s">
        <v>1048</v>
      </c>
      <c r="I77" s="72">
        <v>50500</v>
      </c>
    </row>
    <row r="78" spans="1:9" ht="33" customHeight="1" x14ac:dyDescent="0.6">
      <c r="A78" s="3"/>
      <c r="B78" s="26"/>
      <c r="C78" s="4"/>
      <c r="D78" s="94"/>
      <c r="E78" s="75"/>
      <c r="F78" s="89"/>
      <c r="G78" s="91">
        <v>45783</v>
      </c>
      <c r="H78" s="63" t="s">
        <v>415</v>
      </c>
      <c r="I78" s="72">
        <v>20000</v>
      </c>
    </row>
    <row r="79" spans="1:9" ht="33" customHeight="1" x14ac:dyDescent="0.6">
      <c r="A79" s="3"/>
      <c r="B79" s="26"/>
      <c r="C79" s="4"/>
      <c r="D79" s="94"/>
      <c r="E79" s="75"/>
      <c r="F79" s="89"/>
      <c r="G79" s="91">
        <v>45784</v>
      </c>
      <c r="H79" s="63" t="s">
        <v>1058</v>
      </c>
      <c r="I79" s="72">
        <v>2000</v>
      </c>
    </row>
    <row r="80" spans="1:9" ht="33" customHeight="1" x14ac:dyDescent="0.6">
      <c r="A80" s="3"/>
      <c r="B80" s="26"/>
      <c r="C80" s="4"/>
      <c r="D80" s="94"/>
      <c r="E80" s="75"/>
      <c r="F80" s="89"/>
      <c r="G80" s="91">
        <v>45784</v>
      </c>
      <c r="H80" s="63" t="s">
        <v>1059</v>
      </c>
      <c r="I80" s="72">
        <v>2000</v>
      </c>
    </row>
    <row r="81" spans="1:9" ht="33" customHeight="1" x14ac:dyDescent="0.6">
      <c r="A81" s="3"/>
      <c r="B81" s="26"/>
      <c r="C81" s="4"/>
      <c r="D81" s="94"/>
      <c r="E81" s="75"/>
      <c r="F81" s="89"/>
      <c r="G81" s="91">
        <v>45784</v>
      </c>
      <c r="H81" s="63" t="s">
        <v>1075</v>
      </c>
      <c r="I81" s="72">
        <v>6060</v>
      </c>
    </row>
    <row r="82" spans="1:9" ht="33" customHeight="1" x14ac:dyDescent="0.6">
      <c r="A82" s="3"/>
      <c r="B82" s="26"/>
      <c r="C82" s="4"/>
      <c r="D82" s="94"/>
      <c r="E82" s="75"/>
      <c r="F82" s="89"/>
      <c r="G82" s="91">
        <v>45784</v>
      </c>
      <c r="H82" s="63" t="s">
        <v>1060</v>
      </c>
      <c r="I82" s="72">
        <v>15150</v>
      </c>
    </row>
    <row r="83" spans="1:9" ht="33" customHeight="1" x14ac:dyDescent="0.6">
      <c r="A83" s="3"/>
      <c r="B83" s="26"/>
      <c r="C83" s="4"/>
      <c r="D83" s="94"/>
      <c r="E83" s="75"/>
      <c r="F83" s="89"/>
      <c r="G83" s="91">
        <v>45785</v>
      </c>
      <c r="H83" s="63" t="s">
        <v>1072</v>
      </c>
      <c r="I83" s="72">
        <v>5000</v>
      </c>
    </row>
    <row r="84" spans="1:9" ht="33" customHeight="1" x14ac:dyDescent="0.6">
      <c r="A84" s="3"/>
      <c r="B84" s="26"/>
      <c r="C84" s="4"/>
      <c r="D84" s="94"/>
      <c r="E84" s="75"/>
      <c r="F84" s="89"/>
      <c r="G84" s="91">
        <v>45785</v>
      </c>
      <c r="H84" s="63" t="s">
        <v>1068</v>
      </c>
      <c r="I84" s="72">
        <v>71710</v>
      </c>
    </row>
    <row r="85" spans="1:9" ht="33" customHeight="1" x14ac:dyDescent="0.6">
      <c r="A85" s="3"/>
      <c r="B85" s="26"/>
      <c r="C85" s="4"/>
      <c r="D85" s="94"/>
      <c r="E85" s="75"/>
      <c r="F85" s="89"/>
      <c r="G85" s="91">
        <v>45785</v>
      </c>
      <c r="H85" s="63" t="s">
        <v>1074</v>
      </c>
      <c r="I85" s="72">
        <v>25250</v>
      </c>
    </row>
    <row r="86" spans="1:9" ht="33" customHeight="1" x14ac:dyDescent="0.6">
      <c r="A86" s="3"/>
      <c r="B86" s="26"/>
      <c r="C86" s="4"/>
      <c r="D86" s="94"/>
      <c r="E86" s="75"/>
      <c r="F86" s="89"/>
      <c r="G86" s="91">
        <v>45785</v>
      </c>
      <c r="H86" s="63" t="s">
        <v>1073</v>
      </c>
      <c r="I86" s="72">
        <v>37370</v>
      </c>
    </row>
    <row r="87" spans="1:9" ht="33" customHeight="1" x14ac:dyDescent="0.6">
      <c r="A87" s="3"/>
      <c r="B87" s="26"/>
      <c r="C87" s="4"/>
      <c r="D87" s="94"/>
      <c r="E87" s="75"/>
      <c r="F87" s="89"/>
      <c r="G87" s="91">
        <v>45785</v>
      </c>
      <c r="H87" s="63" t="s">
        <v>1076</v>
      </c>
      <c r="I87" s="72">
        <v>6060</v>
      </c>
    </row>
    <row r="88" spans="1:9" ht="33" customHeight="1" x14ac:dyDescent="0.6">
      <c r="A88" s="3"/>
      <c r="B88" s="26"/>
      <c r="C88" s="4"/>
      <c r="D88" s="94"/>
      <c r="E88" s="75"/>
      <c r="F88" s="89"/>
      <c r="G88" s="91">
        <v>45785</v>
      </c>
      <c r="H88" s="63" t="s">
        <v>1078</v>
      </c>
      <c r="I88" s="72">
        <f>80800+5050</f>
        <v>85850</v>
      </c>
    </row>
    <row r="89" spans="1:9" ht="33" customHeight="1" x14ac:dyDescent="0.6">
      <c r="A89" s="3"/>
      <c r="B89" s="26"/>
      <c r="C89" s="4"/>
      <c r="D89" s="94"/>
      <c r="E89" s="75"/>
      <c r="F89" s="89"/>
      <c r="G89" s="91">
        <v>45785</v>
      </c>
      <c r="H89" s="63" t="s">
        <v>1077</v>
      </c>
      <c r="I89" s="72">
        <v>10100</v>
      </c>
    </row>
    <row r="90" spans="1:9" ht="33" customHeight="1" x14ac:dyDescent="0.6">
      <c r="A90" s="3"/>
      <c r="B90" s="26"/>
      <c r="C90" s="4"/>
      <c r="D90" s="94"/>
      <c r="E90" s="75"/>
      <c r="F90" s="89"/>
      <c r="G90" s="91">
        <v>45786</v>
      </c>
      <c r="H90" s="63" t="s">
        <v>1079</v>
      </c>
      <c r="I90" s="72">
        <v>151500</v>
      </c>
    </row>
    <row r="91" spans="1:9" ht="33" customHeight="1" x14ac:dyDescent="0.6">
      <c r="A91" s="3"/>
      <c r="B91" s="26"/>
      <c r="C91" s="4"/>
      <c r="D91" s="94"/>
      <c r="E91" s="75"/>
      <c r="F91" s="89"/>
      <c r="G91" s="91">
        <v>45786</v>
      </c>
      <c r="H91" s="63" t="s">
        <v>1081</v>
      </c>
      <c r="I91" s="72">
        <v>3000</v>
      </c>
    </row>
    <row r="92" spans="1:9" ht="33" customHeight="1" x14ac:dyDescent="0.6">
      <c r="A92" s="3"/>
      <c r="B92" s="26"/>
      <c r="C92" s="4"/>
      <c r="D92" s="94"/>
      <c r="E92" s="75"/>
      <c r="F92" s="89"/>
      <c r="G92" s="91">
        <v>45786</v>
      </c>
      <c r="H92" s="63" t="s">
        <v>1082</v>
      </c>
      <c r="I92" s="72">
        <v>35350</v>
      </c>
    </row>
    <row r="93" spans="1:9" ht="33" customHeight="1" x14ac:dyDescent="0.6">
      <c r="A93" s="3"/>
      <c r="B93" s="26"/>
      <c r="C93" s="4"/>
      <c r="D93" s="94"/>
      <c r="E93" s="75"/>
      <c r="F93" s="89"/>
      <c r="G93" s="91">
        <v>45786</v>
      </c>
      <c r="H93" s="63" t="s">
        <v>1083</v>
      </c>
      <c r="I93" s="72">
        <v>40400</v>
      </c>
    </row>
    <row r="94" spans="1:9" ht="33" customHeight="1" x14ac:dyDescent="0.6">
      <c r="A94" s="3"/>
      <c r="B94" s="26"/>
      <c r="C94" s="4"/>
      <c r="D94" s="94"/>
      <c r="E94" s="75"/>
      <c r="F94" s="89"/>
      <c r="G94" s="91">
        <v>45786</v>
      </c>
      <c r="H94" s="63" t="s">
        <v>749</v>
      </c>
      <c r="I94" s="72">
        <v>45450</v>
      </c>
    </row>
    <row r="95" spans="1:9" ht="33" customHeight="1" x14ac:dyDescent="0.6">
      <c r="A95" s="3"/>
      <c r="B95" s="26"/>
      <c r="C95" s="4"/>
      <c r="D95" s="94"/>
      <c r="E95" s="75"/>
      <c r="F95" s="89"/>
      <c r="G95" s="91">
        <v>45786</v>
      </c>
      <c r="H95" s="63" t="s">
        <v>1084</v>
      </c>
      <c r="I95" s="72">
        <v>40400</v>
      </c>
    </row>
    <row r="96" spans="1:9" ht="33" customHeight="1" x14ac:dyDescent="0.6">
      <c r="A96" s="3"/>
      <c r="B96" s="26"/>
      <c r="C96" s="4"/>
      <c r="D96" s="94"/>
      <c r="E96" s="75"/>
      <c r="F96" s="89"/>
      <c r="G96" s="91">
        <v>45786</v>
      </c>
      <c r="H96" s="63" t="s">
        <v>1085</v>
      </c>
      <c r="I96" s="72">
        <v>50500</v>
      </c>
    </row>
    <row r="97" spans="1:9" ht="33" customHeight="1" x14ac:dyDescent="0.6">
      <c r="A97" s="3"/>
      <c r="B97" s="26"/>
      <c r="C97" s="4"/>
      <c r="D97" s="94"/>
      <c r="E97" s="75"/>
      <c r="F97" s="89"/>
      <c r="G97" s="91">
        <v>45786</v>
      </c>
      <c r="H97" s="63" t="s">
        <v>1087</v>
      </c>
      <c r="I97" s="72">
        <v>500000</v>
      </c>
    </row>
    <row r="98" spans="1:9" ht="33" customHeight="1" x14ac:dyDescent="0.6">
      <c r="A98" s="3"/>
      <c r="B98" s="26"/>
      <c r="C98" s="4"/>
      <c r="D98" s="94"/>
      <c r="E98" s="75"/>
      <c r="F98" s="89"/>
      <c r="G98" s="91">
        <v>45786</v>
      </c>
      <c r="H98" s="63" t="s">
        <v>1088</v>
      </c>
      <c r="I98" s="72">
        <v>595900</v>
      </c>
    </row>
    <row r="99" spans="1:9" ht="33" customHeight="1" x14ac:dyDescent="0.6">
      <c r="A99" s="3"/>
      <c r="B99" s="26"/>
      <c r="C99" s="4"/>
      <c r="D99" s="94"/>
      <c r="E99" s="75"/>
      <c r="F99" s="89"/>
      <c r="G99" s="91">
        <v>45786</v>
      </c>
      <c r="H99" s="63" t="s">
        <v>750</v>
      </c>
      <c r="I99" s="72">
        <v>50500</v>
      </c>
    </row>
    <row r="100" spans="1:9" ht="33" customHeight="1" x14ac:dyDescent="0.6">
      <c r="A100" s="3"/>
      <c r="B100" s="26"/>
      <c r="C100" s="4"/>
      <c r="D100" s="94"/>
      <c r="E100" s="75"/>
      <c r="F100" s="89"/>
      <c r="G100" s="91">
        <v>45786</v>
      </c>
      <c r="H100" s="63" t="s">
        <v>1089</v>
      </c>
      <c r="I100" s="72">
        <v>186850</v>
      </c>
    </row>
    <row r="101" spans="1:9" ht="33" customHeight="1" x14ac:dyDescent="0.6">
      <c r="A101" s="3"/>
      <c r="B101" s="26"/>
      <c r="C101" s="4"/>
      <c r="D101" s="94"/>
      <c r="E101" s="75"/>
      <c r="F101" s="89"/>
      <c r="G101" s="91">
        <v>45786</v>
      </c>
      <c r="H101" s="63" t="s">
        <v>919</v>
      </c>
      <c r="I101" s="72">
        <v>700</v>
      </c>
    </row>
    <row r="102" spans="1:9" ht="33" customHeight="1" x14ac:dyDescent="0.6">
      <c r="A102" s="3"/>
      <c r="B102" s="26"/>
      <c r="C102" s="4"/>
      <c r="D102" s="94"/>
      <c r="E102" s="75"/>
      <c r="F102" s="89"/>
      <c r="G102" s="91">
        <v>45787</v>
      </c>
      <c r="H102" s="63" t="s">
        <v>1090</v>
      </c>
      <c r="I102" s="72">
        <v>10100</v>
      </c>
    </row>
    <row r="103" spans="1:9" ht="33" customHeight="1" x14ac:dyDescent="0.6">
      <c r="A103" s="3"/>
      <c r="B103" s="26"/>
      <c r="C103" s="4"/>
      <c r="D103" s="94"/>
      <c r="E103" s="75"/>
      <c r="F103" s="89"/>
      <c r="G103" s="91">
        <v>45787</v>
      </c>
      <c r="H103" s="63" t="s">
        <v>1094</v>
      </c>
      <c r="I103" s="72">
        <v>15000</v>
      </c>
    </row>
    <row r="104" spans="1:9" ht="33" customHeight="1" x14ac:dyDescent="0.6">
      <c r="A104" s="3"/>
      <c r="B104" s="26"/>
      <c r="C104" s="4"/>
      <c r="D104" s="94"/>
      <c r="E104" s="75"/>
      <c r="F104" s="89"/>
      <c r="G104" s="91">
        <v>45787</v>
      </c>
      <c r="H104" s="63" t="s">
        <v>1093</v>
      </c>
      <c r="I104" s="72">
        <v>23230</v>
      </c>
    </row>
    <row r="105" spans="1:9" ht="33" customHeight="1" x14ac:dyDescent="0.6">
      <c r="A105" s="3"/>
      <c r="B105" s="26"/>
      <c r="C105" s="4"/>
      <c r="D105" s="94"/>
      <c r="E105" s="75"/>
      <c r="F105" s="89"/>
      <c r="G105" s="91">
        <v>45787</v>
      </c>
      <c r="H105" s="63" t="s">
        <v>1095</v>
      </c>
      <c r="I105" s="72">
        <v>200000</v>
      </c>
    </row>
    <row r="106" spans="1:9" ht="33" customHeight="1" x14ac:dyDescent="0.6">
      <c r="A106" s="3"/>
      <c r="B106" s="26"/>
      <c r="C106" s="4"/>
      <c r="D106" s="94"/>
      <c r="E106" s="75"/>
      <c r="F106" s="89"/>
      <c r="G106" s="91">
        <v>45787</v>
      </c>
      <c r="H106" s="63" t="s">
        <v>1097</v>
      </c>
      <c r="I106" s="72">
        <v>105000</v>
      </c>
    </row>
    <row r="107" spans="1:9" ht="33" customHeight="1" x14ac:dyDescent="0.6">
      <c r="A107" s="3"/>
      <c r="B107" s="26"/>
      <c r="C107" s="4"/>
      <c r="D107" s="94"/>
      <c r="E107" s="75"/>
      <c r="F107" s="89"/>
      <c r="G107" s="91">
        <v>45787</v>
      </c>
      <c r="H107" s="63" t="s">
        <v>1098</v>
      </c>
      <c r="I107" s="72">
        <v>10100</v>
      </c>
    </row>
    <row r="108" spans="1:9" ht="33" customHeight="1" x14ac:dyDescent="0.6">
      <c r="A108" s="3"/>
      <c r="B108" s="26"/>
      <c r="C108" s="4"/>
      <c r="D108" s="94"/>
      <c r="E108" s="75"/>
      <c r="F108" s="89"/>
      <c r="G108" s="91">
        <v>45787</v>
      </c>
      <c r="H108" s="63" t="s">
        <v>1099</v>
      </c>
      <c r="I108" s="72">
        <v>20000</v>
      </c>
    </row>
    <row r="109" spans="1:9" ht="33" customHeight="1" x14ac:dyDescent="0.6">
      <c r="A109" s="3"/>
      <c r="B109" s="26"/>
      <c r="C109" s="4"/>
      <c r="D109" s="94"/>
      <c r="E109" s="75"/>
      <c r="F109" s="89"/>
      <c r="G109" s="91">
        <v>45787</v>
      </c>
      <c r="H109" s="63" t="s">
        <v>1104</v>
      </c>
      <c r="I109" s="72">
        <v>42420</v>
      </c>
    </row>
    <row r="110" spans="1:9" ht="33" customHeight="1" x14ac:dyDescent="0.6">
      <c r="A110" s="3"/>
      <c r="B110" s="26"/>
      <c r="C110" s="4"/>
      <c r="D110" s="94"/>
      <c r="E110" s="75"/>
      <c r="F110" s="89"/>
      <c r="G110" s="91">
        <v>45787</v>
      </c>
      <c r="H110" s="63" t="s">
        <v>1101</v>
      </c>
      <c r="I110" s="72">
        <v>75750</v>
      </c>
    </row>
    <row r="111" spans="1:9" ht="33" customHeight="1" x14ac:dyDescent="0.6">
      <c r="A111" s="3"/>
      <c r="B111" s="26"/>
      <c r="C111" s="4"/>
      <c r="D111" s="94"/>
      <c r="E111" s="75"/>
      <c r="F111" s="89"/>
      <c r="G111" s="91">
        <v>45787</v>
      </c>
      <c r="H111" s="63" t="s">
        <v>1103</v>
      </c>
      <c r="I111" s="72">
        <v>15150</v>
      </c>
    </row>
    <row r="112" spans="1:9" ht="33" customHeight="1" x14ac:dyDescent="0.6">
      <c r="A112" s="3"/>
      <c r="B112" s="26"/>
      <c r="C112" s="4"/>
      <c r="D112" s="94"/>
      <c r="E112" s="75"/>
      <c r="F112" s="89"/>
      <c r="G112" s="91">
        <v>45788</v>
      </c>
      <c r="H112" s="63" t="s">
        <v>1102</v>
      </c>
      <c r="I112" s="72">
        <v>10100</v>
      </c>
    </row>
    <row r="113" spans="1:9" ht="33" customHeight="1" x14ac:dyDescent="0.6">
      <c r="A113" s="3"/>
      <c r="B113" s="26"/>
      <c r="C113" s="4"/>
      <c r="D113" s="94"/>
      <c r="E113" s="75"/>
      <c r="F113" s="89"/>
      <c r="G113" s="91">
        <v>45789</v>
      </c>
      <c r="H113" s="63" t="s">
        <v>1105</v>
      </c>
      <c r="I113" s="72">
        <v>500</v>
      </c>
    </row>
    <row r="114" spans="1:9" ht="33" customHeight="1" x14ac:dyDescent="0.6">
      <c r="A114" s="3"/>
      <c r="B114" s="26"/>
      <c r="C114" s="4"/>
      <c r="D114" s="94"/>
      <c r="E114" s="75"/>
      <c r="F114" s="89"/>
      <c r="G114" s="91">
        <v>45789</v>
      </c>
      <c r="H114" s="63" t="s">
        <v>1107</v>
      </c>
      <c r="I114" s="72">
        <v>15150</v>
      </c>
    </row>
    <row r="115" spans="1:9" ht="33" customHeight="1" x14ac:dyDescent="0.6">
      <c r="A115" s="3"/>
      <c r="B115" s="26"/>
      <c r="C115" s="4"/>
      <c r="D115" s="94"/>
      <c r="E115" s="75"/>
      <c r="F115" s="89"/>
      <c r="G115" s="91">
        <v>45789</v>
      </c>
      <c r="H115" s="63" t="s">
        <v>1108</v>
      </c>
      <c r="I115" s="72">
        <v>196950</v>
      </c>
    </row>
    <row r="116" spans="1:9" ht="33" customHeight="1" x14ac:dyDescent="0.6">
      <c r="A116" s="3"/>
      <c r="B116" s="26"/>
      <c r="C116" s="4"/>
      <c r="D116" s="94"/>
      <c r="E116" s="75"/>
      <c r="F116" s="89"/>
      <c r="G116" s="91">
        <v>45790</v>
      </c>
      <c r="H116" s="63" t="s">
        <v>1109</v>
      </c>
      <c r="I116" s="72">
        <v>20200</v>
      </c>
    </row>
    <row r="117" spans="1:9" ht="33" customHeight="1" x14ac:dyDescent="0.6">
      <c r="A117" s="3"/>
      <c r="B117" s="26"/>
      <c r="C117" s="4"/>
      <c r="D117" s="94"/>
      <c r="E117" s="75"/>
      <c r="F117" s="89"/>
      <c r="G117" s="91">
        <v>45790</v>
      </c>
      <c r="H117" s="63" t="s">
        <v>1110</v>
      </c>
      <c r="I117" s="72">
        <v>2000</v>
      </c>
    </row>
    <row r="118" spans="1:9" ht="33" customHeight="1" x14ac:dyDescent="0.6">
      <c r="A118" s="3"/>
      <c r="B118" s="26"/>
      <c r="C118" s="4"/>
      <c r="D118" s="94"/>
      <c r="E118" s="75"/>
      <c r="F118" s="89"/>
      <c r="G118" s="91">
        <v>45790</v>
      </c>
      <c r="H118" s="63" t="s">
        <v>1111</v>
      </c>
      <c r="I118" s="72">
        <v>20000</v>
      </c>
    </row>
    <row r="119" spans="1:9" ht="33" customHeight="1" x14ac:dyDescent="0.6">
      <c r="A119" s="3"/>
      <c r="B119" s="26"/>
      <c r="C119" s="4"/>
      <c r="D119" s="94"/>
      <c r="E119" s="75"/>
      <c r="F119" s="89"/>
      <c r="G119" s="91">
        <v>45790</v>
      </c>
      <c r="H119" s="63" t="s">
        <v>1112</v>
      </c>
      <c r="I119" s="72">
        <v>15000</v>
      </c>
    </row>
    <row r="120" spans="1:9" ht="33" customHeight="1" x14ac:dyDescent="0.6">
      <c r="A120" s="3"/>
      <c r="B120" s="26"/>
      <c r="C120" s="4"/>
      <c r="D120" s="94"/>
      <c r="E120" s="75"/>
      <c r="F120" s="89"/>
      <c r="G120" s="91">
        <v>45790</v>
      </c>
      <c r="H120" s="63" t="s">
        <v>1114</v>
      </c>
      <c r="I120" s="72">
        <v>70000</v>
      </c>
    </row>
    <row r="121" spans="1:9" ht="33" customHeight="1" x14ac:dyDescent="0.6">
      <c r="A121" s="3"/>
      <c r="B121" s="26"/>
      <c r="C121" s="4"/>
      <c r="D121" s="94"/>
      <c r="E121" s="75"/>
      <c r="F121" s="89"/>
      <c r="G121" s="91">
        <v>45790</v>
      </c>
      <c r="H121" s="63" t="s">
        <v>1115</v>
      </c>
      <c r="I121" s="72">
        <v>121200</v>
      </c>
    </row>
    <row r="122" spans="1:9" ht="33" customHeight="1" x14ac:dyDescent="0.6">
      <c r="A122" s="3"/>
      <c r="B122" s="26"/>
      <c r="C122" s="4"/>
      <c r="D122" s="94"/>
      <c r="E122" s="75"/>
      <c r="F122" s="89"/>
      <c r="G122" s="91">
        <v>45790</v>
      </c>
      <c r="H122" s="63" t="s">
        <v>1116</v>
      </c>
      <c r="I122" s="72">
        <v>5000</v>
      </c>
    </row>
    <row r="123" spans="1:9" ht="33" customHeight="1" x14ac:dyDescent="0.6">
      <c r="A123" s="3"/>
      <c r="B123" s="26"/>
      <c r="C123" s="4"/>
      <c r="D123" s="94"/>
      <c r="E123" s="75"/>
      <c r="F123" s="89"/>
      <c r="G123" s="91">
        <v>45790</v>
      </c>
      <c r="H123" s="63" t="s">
        <v>1117</v>
      </c>
      <c r="I123" s="72">
        <v>30300</v>
      </c>
    </row>
    <row r="124" spans="1:9" ht="33" customHeight="1" x14ac:dyDescent="0.6">
      <c r="A124" s="3"/>
      <c r="B124" s="26"/>
      <c r="C124" s="4"/>
      <c r="D124" s="94"/>
      <c r="E124" s="75"/>
      <c r="F124" s="89"/>
      <c r="G124" s="91">
        <v>45791</v>
      </c>
      <c r="H124" s="63" t="s">
        <v>1118</v>
      </c>
      <c r="I124" s="72">
        <v>3000</v>
      </c>
    </row>
    <row r="125" spans="1:9" ht="33" customHeight="1" x14ac:dyDescent="0.6">
      <c r="A125" s="3"/>
      <c r="B125" s="26"/>
      <c r="C125" s="4"/>
      <c r="D125" s="94"/>
      <c r="E125" s="75"/>
      <c r="F125" s="89"/>
      <c r="G125" s="91">
        <v>45791</v>
      </c>
      <c r="H125" s="63" t="s">
        <v>1119</v>
      </c>
      <c r="I125" s="72">
        <v>700</v>
      </c>
    </row>
    <row r="126" spans="1:9" ht="33" customHeight="1" x14ac:dyDescent="0.6">
      <c r="A126" s="3"/>
      <c r="B126" s="26"/>
      <c r="C126" s="4"/>
      <c r="D126" s="94"/>
      <c r="E126" s="75"/>
      <c r="F126" s="89"/>
      <c r="G126" s="91">
        <v>45791</v>
      </c>
      <c r="H126" s="63" t="s">
        <v>1120</v>
      </c>
      <c r="I126" s="72">
        <v>1152500</v>
      </c>
    </row>
    <row r="127" spans="1:9" ht="33" customHeight="1" x14ac:dyDescent="0.6">
      <c r="A127" s="3"/>
      <c r="B127" s="26"/>
      <c r="C127" s="4"/>
      <c r="D127" s="94"/>
      <c r="E127" s="75"/>
      <c r="F127" s="89"/>
      <c r="G127" s="91">
        <v>45791</v>
      </c>
      <c r="H127" s="63" t="s">
        <v>1122</v>
      </c>
      <c r="I127" s="72">
        <v>252500</v>
      </c>
    </row>
    <row r="128" spans="1:9" ht="33" customHeight="1" x14ac:dyDescent="0.6">
      <c r="A128" s="3"/>
      <c r="B128" s="26"/>
      <c r="C128" s="4"/>
      <c r="D128" s="94"/>
      <c r="E128" s="75"/>
      <c r="F128" s="89"/>
      <c r="G128" s="91">
        <v>45791</v>
      </c>
      <c r="H128" s="63" t="s">
        <v>1123</v>
      </c>
      <c r="I128" s="72">
        <v>30300</v>
      </c>
    </row>
    <row r="129" spans="1:9" ht="33" customHeight="1" x14ac:dyDescent="0.6">
      <c r="A129" s="3"/>
      <c r="B129" s="26"/>
      <c r="C129" s="4"/>
      <c r="D129" s="94"/>
      <c r="E129" s="75"/>
      <c r="F129" s="89"/>
      <c r="G129" s="91">
        <v>45791</v>
      </c>
      <c r="H129" s="63" t="s">
        <v>1144</v>
      </c>
      <c r="I129" s="72">
        <v>15000</v>
      </c>
    </row>
    <row r="130" spans="1:9" ht="33" customHeight="1" x14ac:dyDescent="0.6">
      <c r="A130" s="3"/>
      <c r="B130" s="26"/>
      <c r="C130" s="4"/>
      <c r="D130" s="94"/>
      <c r="E130" s="75"/>
      <c r="F130" s="89"/>
      <c r="G130" s="91">
        <v>45792</v>
      </c>
      <c r="H130" s="63" t="s">
        <v>1124</v>
      </c>
      <c r="I130" s="72">
        <v>5000</v>
      </c>
    </row>
    <row r="131" spans="1:9" ht="33" customHeight="1" x14ac:dyDescent="0.6">
      <c r="A131" s="3"/>
      <c r="B131" s="26"/>
      <c r="C131" s="4"/>
      <c r="D131" s="94"/>
      <c r="E131" s="75"/>
      <c r="F131" s="89"/>
      <c r="G131" s="91">
        <v>45792</v>
      </c>
      <c r="H131" s="63" t="s">
        <v>1125</v>
      </c>
      <c r="I131" s="72">
        <v>10500</v>
      </c>
    </row>
    <row r="132" spans="1:9" ht="33" customHeight="1" x14ac:dyDescent="0.6">
      <c r="A132" s="3"/>
      <c r="B132" s="26"/>
      <c r="C132" s="4"/>
      <c r="D132" s="94"/>
      <c r="E132" s="75"/>
      <c r="F132" s="89"/>
      <c r="G132" s="91">
        <v>45792</v>
      </c>
      <c r="H132" s="63" t="s">
        <v>1126</v>
      </c>
      <c r="I132" s="72">
        <v>50000</v>
      </c>
    </row>
    <row r="133" spans="1:9" ht="33" customHeight="1" x14ac:dyDescent="0.6">
      <c r="A133" s="3"/>
      <c r="B133" s="26"/>
      <c r="C133" s="4"/>
      <c r="D133" s="94"/>
      <c r="E133" s="75"/>
      <c r="F133" s="89"/>
      <c r="G133" s="91">
        <v>45792</v>
      </c>
      <c r="H133" s="63" t="s">
        <v>1127</v>
      </c>
      <c r="I133" s="72">
        <v>5050</v>
      </c>
    </row>
    <row r="134" spans="1:9" ht="33" customHeight="1" x14ac:dyDescent="0.6">
      <c r="A134" s="3"/>
      <c r="B134" s="26"/>
      <c r="C134" s="4"/>
      <c r="D134" s="94"/>
      <c r="E134" s="75"/>
      <c r="F134" s="89"/>
      <c r="G134" s="91">
        <v>45792</v>
      </c>
      <c r="H134" s="63" t="s">
        <v>1128</v>
      </c>
      <c r="I134" s="72">
        <v>10000</v>
      </c>
    </row>
    <row r="135" spans="1:9" ht="33" customHeight="1" x14ac:dyDescent="0.6">
      <c r="A135" s="3"/>
      <c r="B135" s="26"/>
      <c r="C135" s="4"/>
      <c r="D135" s="94"/>
      <c r="E135" s="75"/>
      <c r="F135" s="89"/>
      <c r="G135" s="91">
        <v>45792</v>
      </c>
      <c r="H135" s="63" t="s">
        <v>1129</v>
      </c>
      <c r="I135" s="72">
        <v>45450</v>
      </c>
    </row>
    <row r="136" spans="1:9" ht="33" customHeight="1" x14ac:dyDescent="0.6">
      <c r="A136" s="3"/>
      <c r="B136" s="26"/>
      <c r="C136" s="4"/>
      <c r="D136" s="94"/>
      <c r="E136" s="75"/>
      <c r="F136" s="89"/>
      <c r="G136" s="91">
        <v>45792</v>
      </c>
      <c r="H136" s="63" t="s">
        <v>1130</v>
      </c>
      <c r="I136" s="72">
        <v>4000</v>
      </c>
    </row>
    <row r="137" spans="1:9" ht="31.8" customHeight="1" x14ac:dyDescent="0.6">
      <c r="A137" s="3"/>
      <c r="B137" s="26"/>
      <c r="C137" s="4"/>
      <c r="D137" s="94"/>
      <c r="E137" s="75"/>
      <c r="F137" s="89"/>
      <c r="G137" s="91">
        <v>45792</v>
      </c>
      <c r="H137" s="63" t="s">
        <v>1131</v>
      </c>
      <c r="I137" s="72">
        <v>101000</v>
      </c>
    </row>
    <row r="138" spans="1:9" ht="33" customHeight="1" x14ac:dyDescent="0.6">
      <c r="A138" s="3"/>
      <c r="B138" s="26"/>
      <c r="C138" s="4"/>
      <c r="D138" s="94"/>
      <c r="E138" s="75"/>
      <c r="F138" s="89"/>
      <c r="G138" s="91">
        <v>45792</v>
      </c>
      <c r="H138" s="63" t="s">
        <v>543</v>
      </c>
      <c r="I138" s="72">
        <v>25100</v>
      </c>
    </row>
    <row r="139" spans="1:9" ht="33" customHeight="1" x14ac:dyDescent="0.6">
      <c r="A139" s="3"/>
      <c r="B139" s="26"/>
      <c r="C139" s="4"/>
      <c r="D139" s="94"/>
      <c r="E139" s="75"/>
      <c r="F139" s="89"/>
      <c r="G139" s="91">
        <v>45793</v>
      </c>
      <c r="H139" s="63" t="s">
        <v>1399</v>
      </c>
      <c r="I139" s="72">
        <v>1200</v>
      </c>
    </row>
    <row r="140" spans="1:9" ht="33" customHeight="1" x14ac:dyDescent="0.6">
      <c r="A140" s="3"/>
      <c r="B140" s="26"/>
      <c r="C140" s="4"/>
      <c r="D140" s="94"/>
      <c r="E140" s="75"/>
      <c r="F140" s="89"/>
      <c r="G140" s="91">
        <v>45793</v>
      </c>
      <c r="H140" s="63" t="s">
        <v>1160</v>
      </c>
      <c r="I140" s="72">
        <v>5000</v>
      </c>
    </row>
    <row r="141" spans="1:9" ht="33" customHeight="1" x14ac:dyDescent="0.6">
      <c r="A141" s="3"/>
      <c r="B141" s="26"/>
      <c r="C141" s="4"/>
      <c r="D141" s="94"/>
      <c r="E141" s="75"/>
      <c r="F141" s="89"/>
      <c r="G141" s="91">
        <v>45793</v>
      </c>
      <c r="H141" s="63" t="s">
        <v>1134</v>
      </c>
      <c r="I141" s="72">
        <v>111100</v>
      </c>
    </row>
    <row r="142" spans="1:9" ht="33" customHeight="1" x14ac:dyDescent="0.6">
      <c r="A142" s="3"/>
      <c r="B142" s="26"/>
      <c r="C142" s="4"/>
      <c r="D142" s="94"/>
      <c r="E142" s="75"/>
      <c r="F142" s="89"/>
      <c r="G142" s="91">
        <v>45793</v>
      </c>
      <c r="H142" s="63" t="s">
        <v>1137</v>
      </c>
      <c r="I142" s="72">
        <v>3000</v>
      </c>
    </row>
    <row r="143" spans="1:9" ht="33" customHeight="1" x14ac:dyDescent="0.6">
      <c r="A143" s="3"/>
      <c r="B143" s="26"/>
      <c r="C143" s="4"/>
      <c r="D143" s="94"/>
      <c r="E143" s="75"/>
      <c r="F143" s="89"/>
      <c r="G143" s="91">
        <v>45793</v>
      </c>
      <c r="H143" s="63" t="s">
        <v>1138</v>
      </c>
      <c r="I143" s="72">
        <v>10100</v>
      </c>
    </row>
    <row r="144" spans="1:9" ht="33" customHeight="1" x14ac:dyDescent="0.6">
      <c r="A144" s="3"/>
      <c r="B144" s="26"/>
      <c r="C144" s="4"/>
      <c r="D144" s="94"/>
      <c r="E144" s="75"/>
      <c r="F144" s="89"/>
      <c r="G144" s="91">
        <v>45793</v>
      </c>
      <c r="H144" s="63" t="s">
        <v>1189</v>
      </c>
      <c r="I144" s="72">
        <v>5600</v>
      </c>
    </row>
    <row r="145" spans="1:9" ht="33" customHeight="1" x14ac:dyDescent="0.6">
      <c r="A145" s="3"/>
      <c r="B145" s="26"/>
      <c r="C145" s="4"/>
      <c r="D145" s="94"/>
      <c r="E145" s="75"/>
      <c r="F145" s="89"/>
      <c r="G145" s="91">
        <v>45793</v>
      </c>
      <c r="H145" s="63" t="s">
        <v>1139</v>
      </c>
      <c r="I145" s="72">
        <v>50000</v>
      </c>
    </row>
    <row r="146" spans="1:9" ht="33" customHeight="1" x14ac:dyDescent="0.6">
      <c r="A146" s="3"/>
      <c r="B146" s="26"/>
      <c r="C146" s="4"/>
      <c r="D146" s="94"/>
      <c r="E146" s="75"/>
      <c r="F146" s="89"/>
      <c r="G146" s="91">
        <v>45793</v>
      </c>
      <c r="H146" s="63" t="s">
        <v>1140</v>
      </c>
      <c r="I146" s="72">
        <v>6060</v>
      </c>
    </row>
    <row r="147" spans="1:9" s="82" customFormat="1" ht="33" customHeight="1" x14ac:dyDescent="0.6">
      <c r="A147" s="12"/>
      <c r="B147" s="26"/>
      <c r="C147" s="11"/>
      <c r="D147" s="94"/>
      <c r="E147" s="75"/>
      <c r="F147" s="89"/>
      <c r="G147" s="91">
        <v>45793</v>
      </c>
      <c r="H147" s="63" t="s">
        <v>1141</v>
      </c>
      <c r="I147" s="72">
        <v>20000</v>
      </c>
    </row>
    <row r="148" spans="1:9" ht="33" customHeight="1" x14ac:dyDescent="0.6">
      <c r="A148" s="3"/>
      <c r="B148" s="80"/>
      <c r="C148" s="4"/>
      <c r="D148" s="94"/>
      <c r="E148" s="75"/>
      <c r="F148" s="89"/>
      <c r="G148" s="91">
        <v>45793</v>
      </c>
      <c r="H148" s="63" t="s">
        <v>1142</v>
      </c>
      <c r="I148" s="72">
        <v>35350</v>
      </c>
    </row>
    <row r="149" spans="1:9" ht="33" customHeight="1" x14ac:dyDescent="0.6">
      <c r="A149" s="3"/>
      <c r="B149" s="26"/>
      <c r="C149" s="4"/>
      <c r="D149" s="94"/>
      <c r="E149" s="75"/>
      <c r="F149" s="89"/>
      <c r="G149" s="91">
        <v>45793</v>
      </c>
      <c r="H149" s="63" t="s">
        <v>1143</v>
      </c>
      <c r="I149" s="72">
        <v>500</v>
      </c>
    </row>
    <row r="150" spans="1:9" ht="33" customHeight="1" x14ac:dyDescent="0.6">
      <c r="A150" s="3"/>
      <c r="B150" s="26"/>
      <c r="C150" s="4"/>
      <c r="D150" s="94"/>
      <c r="E150" s="75"/>
      <c r="F150" s="89"/>
      <c r="G150" s="91">
        <v>45793</v>
      </c>
      <c r="H150" s="63" t="s">
        <v>1145</v>
      </c>
      <c r="I150" s="72">
        <v>6000</v>
      </c>
    </row>
    <row r="151" spans="1:9" ht="33" customHeight="1" x14ac:dyDescent="0.6">
      <c r="A151" s="3"/>
      <c r="B151" s="26"/>
      <c r="C151" s="4"/>
      <c r="D151" s="92"/>
      <c r="E151" s="106"/>
      <c r="F151" s="13"/>
      <c r="G151" s="91">
        <v>45793</v>
      </c>
      <c r="H151" s="63" t="s">
        <v>1146</v>
      </c>
      <c r="I151" s="72">
        <v>34340</v>
      </c>
    </row>
    <row r="152" spans="1:9" ht="33" customHeight="1" x14ac:dyDescent="0.6">
      <c r="A152" s="3"/>
      <c r="B152" s="26"/>
      <c r="C152" s="4"/>
      <c r="D152" s="94"/>
      <c r="E152" s="75"/>
      <c r="F152" s="89"/>
      <c r="G152" s="91">
        <v>45793</v>
      </c>
      <c r="H152" s="63" t="s">
        <v>1147</v>
      </c>
      <c r="I152" s="72">
        <v>70700</v>
      </c>
    </row>
    <row r="153" spans="1:9" ht="33" customHeight="1" x14ac:dyDescent="0.6">
      <c r="A153" s="3"/>
      <c r="B153" s="26"/>
      <c r="C153" s="4"/>
      <c r="D153" s="94"/>
      <c r="E153" s="75"/>
      <c r="F153" s="89"/>
      <c r="G153" s="91">
        <v>45793</v>
      </c>
      <c r="H153" s="63" t="s">
        <v>1158</v>
      </c>
      <c r="I153" s="72">
        <v>15150</v>
      </c>
    </row>
    <row r="154" spans="1:9" ht="33" customHeight="1" x14ac:dyDescent="0.6">
      <c r="A154" s="3"/>
      <c r="B154" s="26"/>
      <c r="C154" s="4"/>
      <c r="D154" s="94"/>
      <c r="E154" s="75"/>
      <c r="F154" s="89"/>
      <c r="G154" s="91">
        <v>45793</v>
      </c>
      <c r="H154" s="63" t="s">
        <v>1148</v>
      </c>
      <c r="I154" s="72">
        <v>20000</v>
      </c>
    </row>
    <row r="155" spans="1:9" ht="33" customHeight="1" x14ac:dyDescent="0.6">
      <c r="A155" s="3"/>
      <c r="B155" s="26"/>
      <c r="C155" s="4"/>
      <c r="D155" s="94"/>
      <c r="E155" s="75"/>
      <c r="F155" s="89"/>
      <c r="G155" s="91">
        <v>45794</v>
      </c>
      <c r="H155" s="63" t="s">
        <v>1149</v>
      </c>
      <c r="I155" s="72">
        <v>10100</v>
      </c>
    </row>
    <row r="156" spans="1:9" ht="33" customHeight="1" x14ac:dyDescent="0.6">
      <c r="A156" s="3"/>
      <c r="B156" s="26"/>
      <c r="C156" s="4"/>
      <c r="D156" s="94"/>
      <c r="E156" s="75"/>
      <c r="F156" s="89"/>
      <c r="G156" s="91">
        <v>45794</v>
      </c>
      <c r="H156" s="63" t="s">
        <v>1159</v>
      </c>
      <c r="I156" s="72">
        <v>50500</v>
      </c>
    </row>
    <row r="157" spans="1:9" ht="33" customHeight="1" x14ac:dyDescent="0.6">
      <c r="A157" s="3"/>
      <c r="B157" s="26"/>
      <c r="C157" s="4"/>
      <c r="D157" s="94"/>
      <c r="E157" s="75"/>
      <c r="F157" s="89"/>
      <c r="G157" s="91">
        <v>45794</v>
      </c>
      <c r="H157" s="63" t="s">
        <v>1156</v>
      </c>
      <c r="I157" s="72">
        <v>13130</v>
      </c>
    </row>
    <row r="158" spans="1:9" ht="33" customHeight="1" x14ac:dyDescent="0.6">
      <c r="A158" s="3"/>
      <c r="B158" s="26"/>
      <c r="C158" s="4"/>
      <c r="D158" s="94"/>
      <c r="E158" s="75"/>
      <c r="F158" s="89"/>
      <c r="G158" s="91">
        <v>45794</v>
      </c>
      <c r="H158" s="63" t="s">
        <v>1151</v>
      </c>
      <c r="I158" s="72">
        <v>151500</v>
      </c>
    </row>
    <row r="159" spans="1:9" ht="33" customHeight="1" x14ac:dyDescent="0.6">
      <c r="A159" s="3"/>
      <c r="B159" s="26"/>
      <c r="C159" s="4"/>
      <c r="D159" s="94"/>
      <c r="E159" s="75"/>
      <c r="F159" s="89"/>
      <c r="G159" s="91">
        <v>45794</v>
      </c>
      <c r="H159" s="63" t="s">
        <v>1152</v>
      </c>
      <c r="I159" s="72">
        <v>10000</v>
      </c>
    </row>
    <row r="160" spans="1:9" ht="33" customHeight="1" x14ac:dyDescent="0.6">
      <c r="A160" s="3"/>
      <c r="B160" s="26"/>
      <c r="C160" s="4"/>
      <c r="D160" s="94"/>
      <c r="E160" s="75"/>
      <c r="F160" s="89"/>
      <c r="G160" s="91">
        <v>45794</v>
      </c>
      <c r="H160" s="63" t="s">
        <v>1153</v>
      </c>
      <c r="I160" s="72">
        <v>2500</v>
      </c>
    </row>
    <row r="161" spans="1:9" ht="33" customHeight="1" x14ac:dyDescent="0.6">
      <c r="A161" s="3"/>
      <c r="B161" s="26"/>
      <c r="C161" s="4"/>
      <c r="D161" s="94"/>
      <c r="E161" s="75"/>
      <c r="F161" s="89"/>
      <c r="G161" s="91">
        <v>45794</v>
      </c>
      <c r="H161" s="63" t="s">
        <v>1154</v>
      </c>
      <c r="I161" s="72">
        <v>20000</v>
      </c>
    </row>
    <row r="162" spans="1:9" ht="33" customHeight="1" x14ac:dyDescent="0.6">
      <c r="A162" s="3"/>
      <c r="B162" s="26"/>
      <c r="C162" s="4"/>
      <c r="D162" s="94"/>
      <c r="E162" s="75"/>
      <c r="F162" s="89"/>
      <c r="G162" s="91">
        <v>45795</v>
      </c>
      <c r="H162" s="63" t="s">
        <v>1155</v>
      </c>
      <c r="I162" s="72">
        <v>45450</v>
      </c>
    </row>
    <row r="163" spans="1:9" ht="33" customHeight="1" x14ac:dyDescent="0.6">
      <c r="A163" s="3"/>
      <c r="B163" s="26"/>
      <c r="C163" s="4"/>
      <c r="D163" s="94"/>
      <c r="E163" s="75"/>
      <c r="F163" s="89"/>
      <c r="G163" s="91">
        <v>45796</v>
      </c>
      <c r="H163" s="63" t="s">
        <v>1400</v>
      </c>
      <c r="I163" s="72">
        <v>152015</v>
      </c>
    </row>
    <row r="164" spans="1:9" ht="33" customHeight="1" x14ac:dyDescent="0.6">
      <c r="A164" s="3"/>
      <c r="B164" s="26"/>
      <c r="C164" s="4"/>
      <c r="D164" s="94"/>
      <c r="E164" s="75"/>
      <c r="F164" s="89"/>
      <c r="G164" s="91">
        <v>45796</v>
      </c>
      <c r="H164" s="63" t="s">
        <v>1157</v>
      </c>
      <c r="I164" s="72">
        <v>2000</v>
      </c>
    </row>
    <row r="165" spans="1:9" ht="33" customHeight="1" x14ac:dyDescent="0.6">
      <c r="A165" s="3"/>
      <c r="B165" s="26"/>
      <c r="C165" s="4"/>
      <c r="D165" s="94"/>
      <c r="E165" s="75"/>
      <c r="F165" s="89"/>
      <c r="G165" s="91">
        <v>45796</v>
      </c>
      <c r="H165" s="63" t="s">
        <v>1214</v>
      </c>
      <c r="I165" s="72">
        <v>13130</v>
      </c>
    </row>
    <row r="166" spans="1:9" ht="33" customHeight="1" x14ac:dyDescent="0.6">
      <c r="A166" s="3"/>
      <c r="B166" s="26"/>
      <c r="C166" s="4"/>
      <c r="D166" s="94"/>
      <c r="E166" s="75"/>
      <c r="F166" s="89"/>
      <c r="G166" s="91">
        <v>45796</v>
      </c>
      <c r="H166" s="63" t="s">
        <v>1161</v>
      </c>
      <c r="I166" s="72">
        <v>10000</v>
      </c>
    </row>
    <row r="167" spans="1:9" ht="33" customHeight="1" x14ac:dyDescent="0.6">
      <c r="A167" s="3"/>
      <c r="B167" s="26"/>
      <c r="C167" s="4"/>
      <c r="D167" s="94"/>
      <c r="E167" s="75"/>
      <c r="F167" s="89"/>
      <c r="G167" s="91">
        <v>45796</v>
      </c>
      <c r="H167" s="63" t="s">
        <v>1162</v>
      </c>
      <c r="I167" s="72">
        <v>4040</v>
      </c>
    </row>
    <row r="168" spans="1:9" ht="33" customHeight="1" x14ac:dyDescent="0.6">
      <c r="A168" s="3"/>
      <c r="B168" s="26"/>
      <c r="C168" s="4"/>
      <c r="D168" s="94"/>
      <c r="E168" s="75"/>
      <c r="F168" s="89"/>
      <c r="G168" s="91">
        <v>45796</v>
      </c>
      <c r="H168" s="63" t="s">
        <v>1163</v>
      </c>
      <c r="I168" s="72">
        <v>20200</v>
      </c>
    </row>
    <row r="169" spans="1:9" ht="33" customHeight="1" x14ac:dyDescent="0.6">
      <c r="A169" s="3"/>
      <c r="B169" s="26"/>
      <c r="C169" s="4"/>
      <c r="D169" s="94"/>
      <c r="E169" s="75"/>
      <c r="F169" s="89"/>
      <c r="G169" s="91">
        <v>45796</v>
      </c>
      <c r="H169" s="63" t="s">
        <v>1164</v>
      </c>
      <c r="I169" s="72">
        <v>4000</v>
      </c>
    </row>
    <row r="170" spans="1:9" ht="33" customHeight="1" x14ac:dyDescent="0.6">
      <c r="A170" s="3"/>
      <c r="B170" s="26"/>
      <c r="C170" s="4"/>
      <c r="D170" s="94"/>
      <c r="E170" s="75"/>
      <c r="F170" s="89"/>
      <c r="G170" s="91">
        <v>45796</v>
      </c>
      <c r="H170" s="63" t="s">
        <v>1165</v>
      </c>
      <c r="I170" s="72">
        <v>15150</v>
      </c>
    </row>
    <row r="171" spans="1:9" ht="33" customHeight="1" x14ac:dyDescent="0.6">
      <c r="A171" s="3"/>
      <c r="B171" s="26"/>
      <c r="C171" s="4"/>
      <c r="D171" s="94"/>
      <c r="E171" s="75"/>
      <c r="F171" s="89"/>
      <c r="G171" s="91">
        <v>45796</v>
      </c>
      <c r="H171" s="63" t="s">
        <v>1167</v>
      </c>
      <c r="I171" s="72">
        <v>3030</v>
      </c>
    </row>
    <row r="172" spans="1:9" ht="33" customHeight="1" x14ac:dyDescent="0.6">
      <c r="A172" s="3"/>
      <c r="B172" s="26"/>
      <c r="C172" s="4"/>
      <c r="D172" s="94"/>
      <c r="E172" s="75"/>
      <c r="F172" s="89"/>
      <c r="G172" s="91">
        <v>45796</v>
      </c>
      <c r="H172" s="63" t="s">
        <v>1169</v>
      </c>
      <c r="I172" s="72">
        <v>500</v>
      </c>
    </row>
    <row r="173" spans="1:9" ht="33" customHeight="1" x14ac:dyDescent="0.6">
      <c r="A173" s="3"/>
      <c r="B173" s="26"/>
      <c r="C173" s="4"/>
      <c r="D173" s="94"/>
      <c r="E173" s="75"/>
      <c r="F173" s="89"/>
      <c r="G173" s="91">
        <v>45797</v>
      </c>
      <c r="H173" s="63" t="s">
        <v>1171</v>
      </c>
      <c r="I173" s="72">
        <v>5000</v>
      </c>
    </row>
    <row r="174" spans="1:9" ht="33" customHeight="1" x14ac:dyDescent="0.6">
      <c r="A174" s="3"/>
      <c r="B174" s="26"/>
      <c r="C174" s="4"/>
      <c r="D174" s="94"/>
      <c r="E174" s="75"/>
      <c r="F174" s="89"/>
      <c r="G174" s="91">
        <v>45797</v>
      </c>
      <c r="H174" s="63" t="s">
        <v>865</v>
      </c>
      <c r="I174" s="72">
        <v>11000</v>
      </c>
    </row>
    <row r="175" spans="1:9" ht="33" customHeight="1" x14ac:dyDescent="0.6">
      <c r="A175" s="3"/>
      <c r="B175" s="26"/>
      <c r="C175" s="4"/>
      <c r="D175" s="94"/>
      <c r="E175" s="75"/>
      <c r="F175" s="89"/>
      <c r="G175" s="91">
        <v>45797</v>
      </c>
      <c r="H175" s="63" t="s">
        <v>1172</v>
      </c>
      <c r="I175" s="72">
        <v>393900</v>
      </c>
    </row>
    <row r="176" spans="1:9" ht="33" customHeight="1" x14ac:dyDescent="0.6">
      <c r="A176" s="3"/>
      <c r="B176" s="26"/>
      <c r="C176" s="4"/>
      <c r="D176" s="94"/>
      <c r="E176" s="75"/>
      <c r="F176" s="89"/>
      <c r="G176" s="91">
        <v>45797</v>
      </c>
      <c r="H176" s="63" t="s">
        <v>1174</v>
      </c>
      <c r="I176" s="72">
        <v>10000</v>
      </c>
    </row>
    <row r="177" spans="1:9" ht="33" customHeight="1" x14ac:dyDescent="0.6">
      <c r="A177" s="3"/>
      <c r="B177" s="26"/>
      <c r="C177" s="4"/>
      <c r="D177" s="94"/>
      <c r="E177" s="75"/>
      <c r="F177" s="89"/>
      <c r="G177" s="91">
        <v>45797</v>
      </c>
      <c r="H177" s="63" t="s">
        <v>1175</v>
      </c>
      <c r="I177" s="72">
        <v>135340</v>
      </c>
    </row>
    <row r="178" spans="1:9" ht="33" customHeight="1" x14ac:dyDescent="0.6">
      <c r="A178" s="3"/>
      <c r="B178" s="26"/>
      <c r="C178" s="4"/>
      <c r="D178" s="94"/>
      <c r="E178" s="75"/>
      <c r="F178" s="89"/>
      <c r="G178" s="91">
        <v>45797</v>
      </c>
      <c r="H178" s="63" t="s">
        <v>1176</v>
      </c>
      <c r="I178" s="72">
        <v>84840</v>
      </c>
    </row>
    <row r="179" spans="1:9" ht="33" customHeight="1" x14ac:dyDescent="0.6">
      <c r="A179" s="3"/>
      <c r="B179" s="26"/>
      <c r="C179" s="4"/>
      <c r="D179" s="94"/>
      <c r="E179" s="75"/>
      <c r="F179" s="89"/>
      <c r="G179" s="91">
        <v>45797</v>
      </c>
      <c r="H179" s="63" t="s">
        <v>1182</v>
      </c>
      <c r="I179" s="72">
        <v>3000</v>
      </c>
    </row>
    <row r="180" spans="1:9" ht="33" customHeight="1" x14ac:dyDescent="0.6">
      <c r="A180" s="3"/>
      <c r="B180" s="26"/>
      <c r="C180" s="4"/>
      <c r="D180" s="94"/>
      <c r="E180" s="75"/>
      <c r="F180" s="89"/>
      <c r="G180" s="91">
        <v>45798</v>
      </c>
      <c r="H180" s="63" t="s">
        <v>1401</v>
      </c>
      <c r="I180" s="72">
        <v>5000</v>
      </c>
    </row>
    <row r="181" spans="1:9" ht="33" customHeight="1" x14ac:dyDescent="0.6">
      <c r="A181" s="3"/>
      <c r="B181" s="26"/>
      <c r="C181" s="4"/>
      <c r="D181" s="94"/>
      <c r="E181" s="75"/>
      <c r="F181" s="89"/>
      <c r="G181" s="91">
        <v>45798</v>
      </c>
      <c r="H181" s="63" t="s">
        <v>1177</v>
      </c>
      <c r="I181" s="72">
        <v>5000</v>
      </c>
    </row>
    <row r="182" spans="1:9" ht="33" customHeight="1" x14ac:dyDescent="0.6">
      <c r="A182" s="3"/>
      <c r="B182" s="26"/>
      <c r="C182" s="4"/>
      <c r="D182" s="94"/>
      <c r="E182" s="75"/>
      <c r="F182" s="89"/>
      <c r="G182" s="91">
        <v>45798</v>
      </c>
      <c r="H182" s="63" t="s">
        <v>1178</v>
      </c>
      <c r="I182" s="72">
        <v>18180</v>
      </c>
    </row>
    <row r="183" spans="1:9" ht="33" customHeight="1" x14ac:dyDescent="0.6">
      <c r="A183" s="3"/>
      <c r="B183" s="26"/>
      <c r="C183" s="4"/>
      <c r="D183" s="94"/>
      <c r="E183" s="75"/>
      <c r="F183" s="89"/>
      <c r="G183" s="91">
        <v>45798</v>
      </c>
      <c r="H183" s="63" t="s">
        <v>1179</v>
      </c>
      <c r="I183" s="72">
        <v>13130</v>
      </c>
    </row>
    <row r="184" spans="1:9" ht="33" customHeight="1" x14ac:dyDescent="0.6">
      <c r="A184" s="3"/>
      <c r="B184" s="26"/>
      <c r="C184" s="4"/>
      <c r="D184" s="94"/>
      <c r="E184" s="75"/>
      <c r="F184" s="89"/>
      <c r="G184" s="91">
        <v>45798</v>
      </c>
      <c r="H184" s="63" t="s">
        <v>1180</v>
      </c>
      <c r="I184" s="72">
        <v>5050</v>
      </c>
    </row>
    <row r="185" spans="1:9" ht="33" customHeight="1" x14ac:dyDescent="0.6">
      <c r="A185" s="3"/>
      <c r="B185" s="26"/>
      <c r="C185" s="4"/>
      <c r="D185" s="94"/>
      <c r="E185" s="75"/>
      <c r="F185" s="89"/>
      <c r="G185" s="91">
        <v>45798</v>
      </c>
      <c r="H185" s="63" t="s">
        <v>1195</v>
      </c>
      <c r="I185" s="72">
        <v>300000</v>
      </c>
    </row>
    <row r="186" spans="1:9" ht="33" customHeight="1" x14ac:dyDescent="0.6">
      <c r="A186" s="3"/>
      <c r="B186" s="26"/>
      <c r="C186" s="4"/>
      <c r="D186" s="94"/>
      <c r="E186" s="75"/>
      <c r="F186" s="89"/>
      <c r="G186" s="91">
        <v>45798</v>
      </c>
      <c r="H186" s="63" t="s">
        <v>1181</v>
      </c>
      <c r="I186" s="72">
        <v>3030</v>
      </c>
    </row>
    <row r="187" spans="1:9" ht="33" customHeight="1" x14ac:dyDescent="0.6">
      <c r="A187" s="3"/>
      <c r="B187" s="26"/>
      <c r="C187" s="4"/>
      <c r="D187" s="94"/>
      <c r="E187" s="75"/>
      <c r="F187" s="89"/>
      <c r="G187" s="91">
        <v>45798</v>
      </c>
      <c r="H187" s="63" t="s">
        <v>1183</v>
      </c>
      <c r="I187" s="72">
        <v>6000</v>
      </c>
    </row>
    <row r="188" spans="1:9" ht="33" customHeight="1" x14ac:dyDescent="0.6">
      <c r="A188" s="3"/>
      <c r="B188" s="26"/>
      <c r="C188" s="4"/>
      <c r="D188" s="94"/>
      <c r="E188" s="75"/>
      <c r="F188" s="89"/>
      <c r="G188" s="91">
        <v>45798</v>
      </c>
      <c r="H188" s="63" t="s">
        <v>1184</v>
      </c>
      <c r="I188" s="72">
        <v>20200</v>
      </c>
    </row>
    <row r="189" spans="1:9" ht="33" customHeight="1" x14ac:dyDescent="0.6">
      <c r="A189" s="3"/>
      <c r="B189" s="26"/>
      <c r="C189" s="4"/>
      <c r="D189" s="94"/>
      <c r="E189" s="75"/>
      <c r="F189" s="89"/>
      <c r="G189" s="91">
        <v>45798</v>
      </c>
      <c r="H189" s="63" t="s">
        <v>1191</v>
      </c>
      <c r="I189" s="72">
        <v>242400</v>
      </c>
    </row>
    <row r="190" spans="1:9" ht="33" customHeight="1" x14ac:dyDescent="0.6">
      <c r="A190" s="3"/>
      <c r="B190" s="26"/>
      <c r="C190" s="4"/>
      <c r="D190" s="94"/>
      <c r="E190" s="75"/>
      <c r="F190" s="89"/>
      <c r="G190" s="91">
        <v>45798</v>
      </c>
      <c r="H190" s="63" t="s">
        <v>1187</v>
      </c>
      <c r="I190" s="72">
        <v>10100</v>
      </c>
    </row>
    <row r="191" spans="1:9" ht="33" customHeight="1" x14ac:dyDescent="0.6">
      <c r="A191" s="3"/>
      <c r="B191" s="26"/>
      <c r="C191" s="4"/>
      <c r="D191" s="94"/>
      <c r="E191" s="75"/>
      <c r="F191" s="89"/>
      <c r="G191" s="91">
        <v>45798</v>
      </c>
      <c r="H191" s="63" t="s">
        <v>1190</v>
      </c>
      <c r="I191" s="72">
        <v>25000</v>
      </c>
    </row>
    <row r="192" spans="1:9" ht="33" customHeight="1" x14ac:dyDescent="0.6">
      <c r="A192" s="3"/>
      <c r="B192" s="26"/>
      <c r="C192" s="4"/>
      <c r="D192" s="94"/>
      <c r="E192" s="75"/>
      <c r="F192" s="89"/>
      <c r="G192" s="91">
        <v>45798</v>
      </c>
      <c r="H192" s="63" t="s">
        <v>1227</v>
      </c>
      <c r="I192" s="72">
        <v>9900</v>
      </c>
    </row>
    <row r="193" spans="1:9" s="82" customFormat="1" ht="33" customHeight="1" x14ac:dyDescent="0.6">
      <c r="A193" s="12"/>
      <c r="B193" s="77"/>
      <c r="C193" s="11"/>
      <c r="D193" s="94"/>
      <c r="E193" s="75"/>
      <c r="F193" s="89"/>
      <c r="G193" s="91">
        <v>45799</v>
      </c>
      <c r="H193" s="63" t="s">
        <v>972</v>
      </c>
      <c r="I193" s="72">
        <v>92100</v>
      </c>
    </row>
    <row r="194" spans="1:9" ht="33" customHeight="1" x14ac:dyDescent="0.6">
      <c r="A194" s="3"/>
      <c r="B194" s="80"/>
      <c r="C194" s="4"/>
      <c r="D194" s="94"/>
      <c r="E194" s="75"/>
      <c r="F194" s="89"/>
      <c r="G194" s="91">
        <v>45799</v>
      </c>
      <c r="H194" s="63" t="s">
        <v>1406</v>
      </c>
      <c r="I194" s="72">
        <v>340875</v>
      </c>
    </row>
    <row r="195" spans="1:9" ht="33" customHeight="1" x14ac:dyDescent="0.6">
      <c r="A195" s="3"/>
      <c r="B195" s="26"/>
      <c r="C195" s="4"/>
      <c r="D195" s="94"/>
      <c r="E195" s="75"/>
      <c r="F195" s="89"/>
      <c r="G195" s="91">
        <v>45799</v>
      </c>
      <c r="H195" s="63" t="s">
        <v>1192</v>
      </c>
      <c r="I195" s="72">
        <v>500</v>
      </c>
    </row>
    <row r="196" spans="1:9" ht="33" customHeight="1" x14ac:dyDescent="0.6">
      <c r="A196" s="3"/>
      <c r="B196" s="26"/>
      <c r="C196" s="4"/>
      <c r="D196" s="94"/>
      <c r="E196" s="75"/>
      <c r="F196" s="89"/>
      <c r="G196" s="91">
        <v>45799</v>
      </c>
      <c r="H196" s="63" t="s">
        <v>1193</v>
      </c>
      <c r="I196" s="72">
        <v>247450</v>
      </c>
    </row>
    <row r="197" spans="1:9" ht="33" customHeight="1" x14ac:dyDescent="0.6">
      <c r="A197" s="3"/>
      <c r="B197" s="26"/>
      <c r="C197" s="4"/>
      <c r="D197" s="104"/>
      <c r="E197" s="119"/>
      <c r="F197" s="105"/>
      <c r="G197" s="91">
        <v>45799</v>
      </c>
      <c r="H197" s="63" t="s">
        <v>1196</v>
      </c>
      <c r="I197" s="72">
        <v>5000</v>
      </c>
    </row>
    <row r="198" spans="1:9" ht="33" customHeight="1" x14ac:dyDescent="0.6">
      <c r="A198" s="3"/>
      <c r="B198" s="26"/>
      <c r="C198" s="4"/>
      <c r="D198" s="94"/>
      <c r="E198" s="75"/>
      <c r="F198" s="89"/>
      <c r="G198" s="91">
        <v>45799</v>
      </c>
      <c r="H198" s="63" t="s">
        <v>1197</v>
      </c>
      <c r="I198" s="72">
        <v>35350</v>
      </c>
    </row>
    <row r="199" spans="1:9" ht="33" customHeight="1" x14ac:dyDescent="0.6">
      <c r="A199" s="3"/>
      <c r="B199" s="26"/>
      <c r="C199" s="4"/>
      <c r="D199" s="94"/>
      <c r="E199" s="75"/>
      <c r="F199" s="89"/>
      <c r="G199" s="91">
        <v>45799</v>
      </c>
      <c r="H199" s="63" t="s">
        <v>1201</v>
      </c>
      <c r="I199" s="72">
        <v>7500</v>
      </c>
    </row>
    <row r="200" spans="1:9" ht="33" customHeight="1" x14ac:dyDescent="0.6">
      <c r="A200" s="3"/>
      <c r="B200" s="26"/>
      <c r="C200" s="4"/>
      <c r="D200" s="94"/>
      <c r="E200" s="75"/>
      <c r="F200" s="89"/>
      <c r="G200" s="91">
        <v>45799</v>
      </c>
      <c r="H200" s="63" t="s">
        <v>1199</v>
      </c>
      <c r="I200" s="72">
        <v>75750</v>
      </c>
    </row>
    <row r="201" spans="1:9" ht="33" customHeight="1" x14ac:dyDescent="0.6">
      <c r="A201" s="3"/>
      <c r="B201" s="26"/>
      <c r="C201" s="4"/>
      <c r="D201" s="94"/>
      <c r="E201" s="75"/>
      <c r="F201" s="89"/>
      <c r="G201" s="91">
        <v>45800</v>
      </c>
      <c r="H201" s="63" t="s">
        <v>1200</v>
      </c>
      <c r="I201" s="72">
        <v>20000</v>
      </c>
    </row>
    <row r="202" spans="1:9" ht="33" customHeight="1" x14ac:dyDescent="0.6">
      <c r="A202" s="3"/>
      <c r="B202" s="26"/>
      <c r="C202" s="4"/>
      <c r="D202" s="94"/>
      <c r="E202" s="75"/>
      <c r="F202" s="89"/>
      <c r="G202" s="91">
        <v>45800</v>
      </c>
      <c r="H202" s="63" t="s">
        <v>1202</v>
      </c>
      <c r="I202" s="72">
        <v>2500</v>
      </c>
    </row>
    <row r="203" spans="1:9" ht="33" customHeight="1" x14ac:dyDescent="0.6">
      <c r="A203" s="3"/>
      <c r="B203" s="26"/>
      <c r="C203" s="4"/>
      <c r="D203" s="94"/>
      <c r="E203" s="75"/>
      <c r="F203" s="89"/>
      <c r="G203" s="91">
        <v>45800</v>
      </c>
      <c r="H203" s="63" t="s">
        <v>1204</v>
      </c>
      <c r="I203" s="72">
        <v>700</v>
      </c>
    </row>
    <row r="204" spans="1:9" s="23" customFormat="1" ht="33" customHeight="1" x14ac:dyDescent="0.6">
      <c r="A204" s="5"/>
      <c r="B204" s="26"/>
      <c r="C204" s="16"/>
      <c r="D204" s="94"/>
      <c r="E204" s="75"/>
      <c r="F204" s="89"/>
      <c r="G204" s="91">
        <v>45800</v>
      </c>
      <c r="H204" s="63" t="s">
        <v>1205</v>
      </c>
      <c r="I204" s="72">
        <v>3000</v>
      </c>
    </row>
    <row r="205" spans="1:9" ht="33" customHeight="1" x14ac:dyDescent="0.6">
      <c r="A205" s="3"/>
      <c r="B205" s="22"/>
      <c r="C205" s="4"/>
      <c r="D205" s="94"/>
      <c r="E205" s="75"/>
      <c r="F205" s="89"/>
      <c r="G205" s="91">
        <v>45800</v>
      </c>
      <c r="H205" s="63" t="s">
        <v>1208</v>
      </c>
      <c r="I205" s="72">
        <v>5050</v>
      </c>
    </row>
    <row r="206" spans="1:9" ht="33" customHeight="1" x14ac:dyDescent="0.6">
      <c r="A206" s="3"/>
      <c r="B206" s="26"/>
      <c r="C206" s="4"/>
      <c r="D206" s="94"/>
      <c r="E206" s="75"/>
      <c r="F206" s="89"/>
      <c r="G206" s="91">
        <v>45800</v>
      </c>
      <c r="H206" s="63" t="s">
        <v>1209</v>
      </c>
      <c r="I206" s="72">
        <v>90900</v>
      </c>
    </row>
    <row r="207" spans="1:9" ht="33" customHeight="1" x14ac:dyDescent="0.6">
      <c r="A207" s="3"/>
      <c r="B207" s="26"/>
      <c r="C207" s="4"/>
      <c r="D207" s="94"/>
      <c r="E207" s="75"/>
      <c r="F207" s="89"/>
      <c r="G207" s="91">
        <v>45800</v>
      </c>
      <c r="H207" s="63" t="s">
        <v>1210</v>
      </c>
      <c r="I207" s="72">
        <v>137000</v>
      </c>
    </row>
    <row r="208" spans="1:9" ht="33" customHeight="1" x14ac:dyDescent="0.6">
      <c r="A208" s="3"/>
      <c r="B208" s="26"/>
      <c r="C208" s="4"/>
      <c r="D208" s="94"/>
      <c r="E208" s="75"/>
      <c r="F208" s="89"/>
      <c r="G208" s="91">
        <v>45800</v>
      </c>
      <c r="H208" s="63" t="s">
        <v>1211</v>
      </c>
      <c r="I208" s="72">
        <v>50500</v>
      </c>
    </row>
    <row r="209" spans="1:9" ht="33" customHeight="1" x14ac:dyDescent="0.6">
      <c r="A209" s="3"/>
      <c r="B209" s="26"/>
      <c r="C209" s="4"/>
      <c r="D209" s="90"/>
      <c r="E209" s="103"/>
      <c r="F209" s="83"/>
      <c r="G209" s="91">
        <v>45800</v>
      </c>
      <c r="H209" s="63" t="s">
        <v>1212</v>
      </c>
      <c r="I209" s="72">
        <v>8080</v>
      </c>
    </row>
    <row r="210" spans="1:9" ht="33" customHeight="1" x14ac:dyDescent="0.6">
      <c r="A210" s="3"/>
      <c r="B210" s="26"/>
      <c r="C210" s="4"/>
      <c r="D210" s="94"/>
      <c r="E210" s="75"/>
      <c r="F210" s="89"/>
      <c r="G210" s="91">
        <v>45800</v>
      </c>
      <c r="H210" s="63" t="s">
        <v>1213</v>
      </c>
      <c r="I210" s="72">
        <v>15000</v>
      </c>
    </row>
    <row r="211" spans="1:9" ht="33" customHeight="1" x14ac:dyDescent="0.6">
      <c r="A211" s="3"/>
      <c r="B211" s="26"/>
      <c r="C211" s="4"/>
      <c r="D211" s="94"/>
      <c r="E211" s="75"/>
      <c r="F211" s="89"/>
      <c r="G211" s="91">
        <v>45801</v>
      </c>
      <c r="H211" s="63" t="s">
        <v>1402</v>
      </c>
      <c r="I211" s="72">
        <v>2000</v>
      </c>
    </row>
    <row r="212" spans="1:9" ht="33" customHeight="1" x14ac:dyDescent="0.6">
      <c r="A212" s="3"/>
      <c r="B212" s="26"/>
      <c r="C212" s="4"/>
      <c r="D212" s="94"/>
      <c r="E212" s="75"/>
      <c r="F212" s="89"/>
      <c r="G212" s="92">
        <v>45801</v>
      </c>
      <c r="H212" s="106" t="s">
        <v>1229</v>
      </c>
      <c r="I212" s="13">
        <v>50000</v>
      </c>
    </row>
    <row r="213" spans="1:9" ht="33" customHeight="1" x14ac:dyDescent="0.6">
      <c r="A213" s="3"/>
      <c r="B213" s="26"/>
      <c r="C213" s="4"/>
      <c r="D213" s="94"/>
      <c r="E213" s="75"/>
      <c r="F213" s="89"/>
      <c r="G213" s="91">
        <v>45801</v>
      </c>
      <c r="H213" s="63" t="s">
        <v>1225</v>
      </c>
      <c r="I213" s="72">
        <v>20200</v>
      </c>
    </row>
    <row r="214" spans="1:9" ht="33" customHeight="1" x14ac:dyDescent="0.6">
      <c r="A214" s="3"/>
      <c r="B214" s="26"/>
      <c r="C214" s="4"/>
      <c r="D214" s="94"/>
      <c r="E214" s="75"/>
      <c r="F214" s="89"/>
      <c r="G214" s="91">
        <v>45801</v>
      </c>
      <c r="H214" s="63" t="s">
        <v>1215</v>
      </c>
      <c r="I214" s="72">
        <v>15150</v>
      </c>
    </row>
    <row r="215" spans="1:9" ht="33" customHeight="1" x14ac:dyDescent="0.6">
      <c r="A215" s="3"/>
      <c r="B215" s="26"/>
      <c r="C215" s="4"/>
      <c r="D215" s="94"/>
      <c r="E215" s="75"/>
      <c r="F215" s="89"/>
      <c r="G215" s="91">
        <v>45801</v>
      </c>
      <c r="H215" s="63" t="s">
        <v>1228</v>
      </c>
      <c r="I215" s="72">
        <v>14850</v>
      </c>
    </row>
    <row r="216" spans="1:9" ht="33" customHeight="1" x14ac:dyDescent="0.6">
      <c r="A216" s="3"/>
      <c r="B216" s="26"/>
      <c r="C216" s="4"/>
      <c r="D216" s="94"/>
      <c r="E216" s="75"/>
      <c r="F216" s="89"/>
      <c r="G216" s="91">
        <v>45801</v>
      </c>
      <c r="H216" s="63" t="s">
        <v>1216</v>
      </c>
      <c r="I216" s="72">
        <v>44440</v>
      </c>
    </row>
    <row r="217" spans="1:9" ht="33" customHeight="1" x14ac:dyDescent="0.6">
      <c r="A217" s="3"/>
      <c r="B217" s="26"/>
      <c r="C217" s="4"/>
      <c r="D217" s="94"/>
      <c r="E217" s="75"/>
      <c r="F217" s="89"/>
      <c r="G217" s="91">
        <v>45801</v>
      </c>
      <c r="H217" s="63" t="s">
        <v>1217</v>
      </c>
      <c r="I217" s="72">
        <v>20200</v>
      </c>
    </row>
    <row r="218" spans="1:9" ht="33" customHeight="1" x14ac:dyDescent="0.6">
      <c r="A218" s="3"/>
      <c r="B218" s="26"/>
      <c r="C218" s="4"/>
      <c r="D218" s="94"/>
      <c r="E218" s="75"/>
      <c r="F218" s="89"/>
      <c r="G218" s="91">
        <v>45801</v>
      </c>
      <c r="H218" s="63" t="s">
        <v>1218</v>
      </c>
      <c r="I218" s="72">
        <v>15150</v>
      </c>
    </row>
    <row r="219" spans="1:9" ht="33" customHeight="1" x14ac:dyDescent="0.6">
      <c r="A219" s="3"/>
      <c r="B219" s="26"/>
      <c r="C219" s="4"/>
      <c r="D219" s="94"/>
      <c r="E219" s="75"/>
      <c r="F219" s="89"/>
      <c r="G219" s="91">
        <v>45801</v>
      </c>
      <c r="H219" s="63" t="s">
        <v>1231</v>
      </c>
      <c r="I219" s="72">
        <v>2400</v>
      </c>
    </row>
    <row r="220" spans="1:9" ht="33" customHeight="1" x14ac:dyDescent="0.6">
      <c r="A220" s="3"/>
      <c r="B220" s="26"/>
      <c r="C220" s="4"/>
      <c r="D220" s="94"/>
      <c r="E220" s="75"/>
      <c r="F220" s="89"/>
      <c r="G220" s="91">
        <v>45801</v>
      </c>
      <c r="H220" s="63" t="s">
        <v>1232</v>
      </c>
      <c r="I220" s="72">
        <v>297950</v>
      </c>
    </row>
    <row r="221" spans="1:9" s="23" customFormat="1" ht="33" customHeight="1" x14ac:dyDescent="0.6">
      <c r="A221" s="5"/>
      <c r="B221" s="26"/>
      <c r="C221" s="16"/>
      <c r="D221" s="94"/>
      <c r="E221" s="75"/>
      <c r="F221" s="89"/>
      <c r="G221" s="91">
        <v>45802</v>
      </c>
      <c r="H221" s="63" t="s">
        <v>1219</v>
      </c>
      <c r="I221" s="72">
        <v>32320</v>
      </c>
    </row>
    <row r="222" spans="1:9" ht="33" customHeight="1" x14ac:dyDescent="0.6">
      <c r="A222" s="3"/>
      <c r="B222" s="22"/>
      <c r="C222" s="4"/>
      <c r="D222" s="94"/>
      <c r="E222" s="75"/>
      <c r="F222" s="89"/>
      <c r="G222" s="91">
        <v>45802</v>
      </c>
      <c r="H222" s="63" t="s">
        <v>1303</v>
      </c>
      <c r="I222" s="72">
        <v>3000</v>
      </c>
    </row>
    <row r="223" spans="1:9" ht="33" customHeight="1" x14ac:dyDescent="0.6">
      <c r="A223" s="3"/>
      <c r="B223" s="26"/>
      <c r="C223" s="4"/>
      <c r="D223" s="94"/>
      <c r="E223" s="75"/>
      <c r="F223" s="89"/>
      <c r="G223" s="91">
        <v>45803</v>
      </c>
      <c r="H223" s="63" t="s">
        <v>1220</v>
      </c>
      <c r="I223" s="72">
        <v>97970</v>
      </c>
    </row>
    <row r="224" spans="1:9" ht="33" customHeight="1" x14ac:dyDescent="0.6">
      <c r="A224" s="3"/>
      <c r="B224" s="26"/>
      <c r="C224" s="4"/>
      <c r="D224" s="94"/>
      <c r="E224" s="75"/>
      <c r="F224" s="89"/>
      <c r="G224" s="91">
        <v>45803</v>
      </c>
      <c r="H224" s="63" t="s">
        <v>1221</v>
      </c>
      <c r="I224" s="72">
        <v>2000</v>
      </c>
    </row>
    <row r="225" spans="1:9" ht="33" customHeight="1" x14ac:dyDescent="0.6">
      <c r="A225" s="3"/>
      <c r="B225" s="26"/>
      <c r="C225" s="4"/>
      <c r="D225" s="90"/>
      <c r="E225" s="103"/>
      <c r="F225" s="83"/>
      <c r="G225" s="91">
        <v>45803</v>
      </c>
      <c r="H225" s="63" t="s">
        <v>1230</v>
      </c>
      <c r="I225" s="72">
        <v>2000</v>
      </c>
    </row>
    <row r="226" spans="1:9" ht="33" customHeight="1" x14ac:dyDescent="0.6">
      <c r="A226" s="3"/>
      <c r="B226" s="120"/>
      <c r="C226" s="4"/>
      <c r="D226" s="94"/>
      <c r="E226" s="75"/>
      <c r="F226" s="89"/>
      <c r="G226" s="91">
        <v>45803</v>
      </c>
      <c r="H226" s="63" t="s">
        <v>1237</v>
      </c>
      <c r="I226" s="72">
        <v>7000</v>
      </c>
    </row>
    <row r="227" spans="1:9" ht="33" customHeight="1" x14ac:dyDescent="0.6">
      <c r="A227" s="3"/>
      <c r="B227" s="26"/>
      <c r="C227" s="4"/>
      <c r="D227" s="94"/>
      <c r="E227" s="75"/>
      <c r="F227" s="89"/>
      <c r="G227" s="91">
        <v>45803</v>
      </c>
      <c r="H227" s="63" t="s">
        <v>1233</v>
      </c>
      <c r="I227" s="72">
        <v>55550</v>
      </c>
    </row>
    <row r="228" spans="1:9" ht="33" customHeight="1" x14ac:dyDescent="0.6">
      <c r="A228" s="3"/>
      <c r="B228" s="26"/>
      <c r="C228" s="4"/>
      <c r="D228" s="94"/>
      <c r="E228" s="75"/>
      <c r="F228" s="89"/>
      <c r="G228" s="91">
        <v>45803</v>
      </c>
      <c r="H228" s="63" t="s">
        <v>1247</v>
      </c>
      <c r="I228" s="72">
        <v>20200</v>
      </c>
    </row>
    <row r="229" spans="1:9" ht="33" customHeight="1" x14ac:dyDescent="0.6">
      <c r="A229" s="3"/>
      <c r="B229" s="26"/>
      <c r="C229" s="4"/>
      <c r="D229" s="94"/>
      <c r="E229" s="75"/>
      <c r="F229" s="89"/>
      <c r="G229" s="91">
        <v>45803</v>
      </c>
      <c r="H229" s="63" t="s">
        <v>1234</v>
      </c>
      <c r="I229" s="72">
        <v>30300</v>
      </c>
    </row>
    <row r="230" spans="1:9" ht="33" customHeight="1" x14ac:dyDescent="0.6">
      <c r="A230" s="3"/>
      <c r="B230" s="26"/>
      <c r="C230" s="4"/>
      <c r="D230" s="121"/>
      <c r="E230" s="122"/>
      <c r="F230" s="123"/>
      <c r="G230" s="91">
        <v>45803</v>
      </c>
      <c r="H230" s="63" t="s">
        <v>1087</v>
      </c>
      <c r="I230" s="72">
        <v>1500000</v>
      </c>
    </row>
    <row r="231" spans="1:9" ht="33" customHeight="1" x14ac:dyDescent="0.6">
      <c r="A231" s="3"/>
      <c r="B231" s="26"/>
      <c r="C231" s="4"/>
      <c r="D231" s="94"/>
      <c r="E231" s="75"/>
      <c r="F231" s="89"/>
      <c r="G231" s="91">
        <v>45803</v>
      </c>
      <c r="H231" s="63" t="s">
        <v>1243</v>
      </c>
      <c r="I231" s="72">
        <v>20200</v>
      </c>
    </row>
    <row r="232" spans="1:9" ht="34.200000000000003" customHeight="1" x14ac:dyDescent="0.6">
      <c r="A232" s="3"/>
      <c r="B232" s="26"/>
      <c r="C232" s="4"/>
      <c r="D232" s="94"/>
      <c r="E232" s="75"/>
      <c r="F232" s="89"/>
      <c r="G232" s="91">
        <v>45803</v>
      </c>
      <c r="H232" s="63" t="s">
        <v>1241</v>
      </c>
      <c r="I232" s="72">
        <v>30300</v>
      </c>
    </row>
    <row r="233" spans="1:9" ht="33" customHeight="1" x14ac:dyDescent="0.6">
      <c r="A233" s="3"/>
      <c r="B233" s="26"/>
      <c r="C233" s="4"/>
      <c r="D233" s="94"/>
      <c r="E233" s="75"/>
      <c r="F233" s="89"/>
      <c r="G233" s="91">
        <v>45803</v>
      </c>
      <c r="H233" s="63" t="s">
        <v>1239</v>
      </c>
      <c r="I233" s="72">
        <v>149480</v>
      </c>
    </row>
    <row r="234" spans="1:9" ht="33" customHeight="1" x14ac:dyDescent="0.6">
      <c r="A234" s="3"/>
      <c r="B234" s="26"/>
      <c r="C234" s="4"/>
      <c r="D234" s="94"/>
      <c r="E234" s="75"/>
      <c r="F234" s="89"/>
      <c r="G234" s="91">
        <v>45804</v>
      </c>
      <c r="H234" s="63" t="s">
        <v>1403</v>
      </c>
      <c r="I234" s="72">
        <v>50500</v>
      </c>
    </row>
    <row r="235" spans="1:9" ht="33" customHeight="1" x14ac:dyDescent="0.6">
      <c r="A235" s="3"/>
      <c r="B235" s="26"/>
      <c r="C235" s="4"/>
      <c r="D235" s="94"/>
      <c r="E235" s="75"/>
      <c r="F235" s="89"/>
      <c r="G235" s="91">
        <v>45804</v>
      </c>
      <c r="H235" s="63" t="s">
        <v>1235</v>
      </c>
      <c r="I235" s="72">
        <v>40400</v>
      </c>
    </row>
    <row r="236" spans="1:9" ht="33" customHeight="1" x14ac:dyDescent="0.6">
      <c r="A236" s="3"/>
      <c r="B236" s="26"/>
      <c r="C236" s="4"/>
      <c r="D236" s="94"/>
      <c r="E236" s="75"/>
      <c r="F236" s="89"/>
      <c r="G236" s="91">
        <v>45804</v>
      </c>
      <c r="H236" s="63" t="s">
        <v>1236</v>
      </c>
      <c r="I236" s="72">
        <v>5000</v>
      </c>
    </row>
    <row r="237" spans="1:9" ht="30" customHeight="1" x14ac:dyDescent="0.6">
      <c r="A237" s="3"/>
      <c r="B237" s="26"/>
      <c r="C237" s="4"/>
      <c r="D237" s="94"/>
      <c r="E237" s="75"/>
      <c r="F237" s="89"/>
      <c r="G237" s="91">
        <v>45804</v>
      </c>
      <c r="H237" s="63" t="s">
        <v>1290</v>
      </c>
      <c r="I237" s="72">
        <v>20200</v>
      </c>
    </row>
    <row r="238" spans="1:9" ht="33" customHeight="1" x14ac:dyDescent="0.6">
      <c r="A238" s="3"/>
      <c r="B238" s="26"/>
      <c r="C238" s="4"/>
      <c r="D238" s="94"/>
      <c r="E238" s="75"/>
      <c r="F238" s="89"/>
      <c r="G238" s="91">
        <v>45804</v>
      </c>
      <c r="H238" s="63" t="s">
        <v>1240</v>
      </c>
      <c r="I238" s="72">
        <v>101000</v>
      </c>
    </row>
    <row r="239" spans="1:9" ht="33" customHeight="1" x14ac:dyDescent="0.6">
      <c r="A239" s="3"/>
      <c r="B239" s="26"/>
      <c r="C239" s="4"/>
      <c r="D239" s="94"/>
      <c r="E239" s="75"/>
      <c r="F239" s="89"/>
      <c r="G239" s="91">
        <v>45804</v>
      </c>
      <c r="H239" s="63" t="s">
        <v>1244</v>
      </c>
      <c r="I239" s="72">
        <v>3030</v>
      </c>
    </row>
    <row r="240" spans="1:9" ht="33" customHeight="1" x14ac:dyDescent="0.6">
      <c r="A240" s="3"/>
      <c r="B240" s="26"/>
      <c r="C240" s="4"/>
      <c r="D240" s="94"/>
      <c r="E240" s="75"/>
      <c r="F240" s="89"/>
      <c r="G240" s="91">
        <v>45804</v>
      </c>
      <c r="H240" s="63" t="s">
        <v>1253</v>
      </c>
      <c r="I240" s="72">
        <v>3000000</v>
      </c>
    </row>
    <row r="241" spans="1:9" ht="33" customHeight="1" x14ac:dyDescent="0.6">
      <c r="A241" s="3"/>
      <c r="B241" s="26"/>
      <c r="C241" s="4"/>
      <c r="D241" s="94"/>
      <c r="E241" s="75"/>
      <c r="F241" s="89"/>
      <c r="G241" s="91">
        <v>45804</v>
      </c>
      <c r="H241" s="63" t="s">
        <v>1272</v>
      </c>
      <c r="I241" s="72">
        <v>21210</v>
      </c>
    </row>
    <row r="242" spans="1:9" s="23" customFormat="1" ht="33" customHeight="1" x14ac:dyDescent="0.6">
      <c r="A242" s="5"/>
      <c r="B242" s="26"/>
      <c r="C242" s="16"/>
      <c r="D242" s="94"/>
      <c r="E242" s="75"/>
      <c r="F242" s="89"/>
      <c r="G242" s="91">
        <v>45804</v>
      </c>
      <c r="H242" s="63" t="s">
        <v>1246</v>
      </c>
      <c r="I242" s="72">
        <v>37875</v>
      </c>
    </row>
    <row r="243" spans="1:9" ht="33" customHeight="1" x14ac:dyDescent="0.6">
      <c r="A243" s="3"/>
      <c r="B243" s="22"/>
      <c r="C243" s="4"/>
      <c r="D243" s="94"/>
      <c r="E243" s="75"/>
      <c r="F243" s="89"/>
      <c r="G243" s="91">
        <v>45804</v>
      </c>
      <c r="H243" s="63" t="s">
        <v>1248</v>
      </c>
      <c r="I243" s="72">
        <v>20200</v>
      </c>
    </row>
    <row r="244" spans="1:9" s="23" customFormat="1" ht="33" customHeight="1" x14ac:dyDescent="0.6">
      <c r="A244" s="5"/>
      <c r="B244" s="26"/>
      <c r="C244" s="16"/>
      <c r="D244" s="94"/>
      <c r="E244" s="75"/>
      <c r="F244" s="89"/>
      <c r="G244" s="91">
        <v>45804</v>
      </c>
      <c r="H244" s="63" t="s">
        <v>1238</v>
      </c>
      <c r="I244" s="72">
        <v>50500</v>
      </c>
    </row>
    <row r="245" spans="1:9" ht="33" customHeight="1" x14ac:dyDescent="0.6">
      <c r="A245" s="3"/>
      <c r="B245" s="124"/>
      <c r="C245" s="4"/>
      <c r="D245" s="94"/>
      <c r="E245" s="75"/>
      <c r="F245" s="89"/>
      <c r="G245" s="91">
        <v>45804</v>
      </c>
      <c r="H245" s="63" t="s">
        <v>1251</v>
      </c>
      <c r="I245" s="72">
        <v>3030</v>
      </c>
    </row>
    <row r="246" spans="1:9" ht="33" customHeight="1" x14ac:dyDescent="0.6">
      <c r="A246" s="3"/>
      <c r="B246" s="26"/>
      <c r="C246" s="4"/>
      <c r="D246" s="90"/>
      <c r="E246" s="103"/>
      <c r="F246" s="83"/>
      <c r="G246" s="91">
        <v>45804</v>
      </c>
      <c r="H246" s="63" t="s">
        <v>1302</v>
      </c>
      <c r="I246" s="72">
        <v>2000</v>
      </c>
    </row>
    <row r="247" spans="1:9" ht="33" customHeight="1" x14ac:dyDescent="0.6">
      <c r="A247" s="3"/>
      <c r="B247" s="26"/>
      <c r="C247" s="4"/>
      <c r="D247" s="94"/>
      <c r="E247" s="75"/>
      <c r="F247" s="89"/>
      <c r="G247" s="91">
        <v>45804</v>
      </c>
      <c r="H247" s="63" t="s">
        <v>1275</v>
      </c>
      <c r="I247" s="72">
        <v>100000</v>
      </c>
    </row>
    <row r="248" spans="1:9" ht="33" customHeight="1" x14ac:dyDescent="0.6">
      <c r="A248" s="3"/>
      <c r="B248" s="26"/>
      <c r="C248" s="4"/>
      <c r="D248" s="90"/>
      <c r="E248" s="103"/>
      <c r="F248" s="83"/>
      <c r="G248" s="91">
        <v>45804</v>
      </c>
      <c r="H248" s="129" t="s">
        <v>1562</v>
      </c>
      <c r="I248" s="118" t="s">
        <v>1258</v>
      </c>
    </row>
    <row r="249" spans="1:9" ht="33" customHeight="1" x14ac:dyDescent="0.6">
      <c r="A249" s="3"/>
      <c r="B249" s="26"/>
      <c r="C249" s="4"/>
      <c r="D249" s="121"/>
      <c r="E249" s="122"/>
      <c r="F249" s="123"/>
      <c r="G249" s="91">
        <v>45804</v>
      </c>
      <c r="H249" s="129" t="s">
        <v>1259</v>
      </c>
      <c r="I249" s="118" t="s">
        <v>1260</v>
      </c>
    </row>
    <row r="250" spans="1:9" s="79" customFormat="1" ht="33" customHeight="1" x14ac:dyDescent="0.6">
      <c r="A250" s="42"/>
      <c r="B250" s="26"/>
      <c r="C250" s="43"/>
      <c r="D250" s="94"/>
      <c r="E250" s="75"/>
      <c r="F250" s="89"/>
      <c r="G250" s="91">
        <v>45805</v>
      </c>
      <c r="H250" s="80" t="s">
        <v>1254</v>
      </c>
      <c r="I250" s="72">
        <v>4950</v>
      </c>
    </row>
    <row r="251" spans="1:9" s="23" customFormat="1" ht="33" customHeight="1" x14ac:dyDescent="0.6">
      <c r="A251" s="5"/>
      <c r="B251" s="77"/>
      <c r="C251" s="16"/>
      <c r="D251" s="94"/>
      <c r="E251" s="75"/>
      <c r="F251" s="89"/>
      <c r="G251" s="91">
        <v>45805</v>
      </c>
      <c r="H251" s="80" t="s">
        <v>1256</v>
      </c>
      <c r="I251" s="72">
        <v>500000</v>
      </c>
    </row>
    <row r="252" spans="1:9" s="23" customFormat="1" ht="33" customHeight="1" x14ac:dyDescent="0.6">
      <c r="A252" s="5"/>
      <c r="B252" s="22"/>
      <c r="C252" s="16"/>
      <c r="D252" s="90"/>
      <c r="E252" s="103"/>
      <c r="F252" s="83"/>
      <c r="G252" s="91">
        <v>45805</v>
      </c>
      <c r="H252" s="10" t="s">
        <v>1261</v>
      </c>
      <c r="I252" s="158">
        <v>5000</v>
      </c>
    </row>
    <row r="253" spans="1:9" s="23" customFormat="1" ht="33" customHeight="1" x14ac:dyDescent="0.6">
      <c r="A253" s="5"/>
      <c r="B253" s="22"/>
      <c r="C253" s="16"/>
      <c r="D253" s="90"/>
      <c r="E253" s="103"/>
      <c r="F253" s="83"/>
      <c r="G253" s="91">
        <v>45805</v>
      </c>
      <c r="H253" s="10" t="s">
        <v>1262</v>
      </c>
      <c r="I253" s="158">
        <v>6000</v>
      </c>
    </row>
    <row r="254" spans="1:9" s="23" customFormat="1" ht="33" customHeight="1" x14ac:dyDescent="0.6">
      <c r="A254" s="5"/>
      <c r="B254" s="22"/>
      <c r="C254" s="16"/>
      <c r="D254" s="90"/>
      <c r="E254" s="103"/>
      <c r="F254" s="83"/>
      <c r="G254" s="91">
        <v>45805</v>
      </c>
      <c r="H254" s="10" t="s">
        <v>1263</v>
      </c>
      <c r="I254" s="159">
        <v>15150</v>
      </c>
    </row>
    <row r="255" spans="1:9" s="23" customFormat="1" ht="33" customHeight="1" x14ac:dyDescent="0.6">
      <c r="A255" s="5"/>
      <c r="B255" s="22"/>
      <c r="C255" s="16"/>
      <c r="D255" s="98"/>
      <c r="E255" s="125"/>
      <c r="F255" s="76"/>
      <c r="G255" s="91">
        <v>45805</v>
      </c>
      <c r="H255" s="10" t="s">
        <v>1264</v>
      </c>
      <c r="I255" s="159">
        <v>177760</v>
      </c>
    </row>
    <row r="256" spans="1:9" s="23" customFormat="1" ht="33" customHeight="1" x14ac:dyDescent="0.6">
      <c r="A256" s="5"/>
      <c r="B256" s="22"/>
      <c r="C256" s="16"/>
      <c r="D256" s="90"/>
      <c r="E256" s="103"/>
      <c r="F256" s="83"/>
      <c r="G256" s="91">
        <v>45805</v>
      </c>
      <c r="H256" s="10" t="s">
        <v>1265</v>
      </c>
      <c r="I256" s="159">
        <v>2020</v>
      </c>
    </row>
    <row r="257" spans="1:9" s="23" customFormat="1" ht="33" customHeight="1" x14ac:dyDescent="0.6">
      <c r="A257" s="5"/>
      <c r="B257" s="22"/>
      <c r="C257" s="16"/>
      <c r="D257" s="90"/>
      <c r="E257" s="103"/>
      <c r="F257" s="83"/>
      <c r="G257" s="91">
        <v>45805</v>
      </c>
      <c r="H257" s="10" t="s">
        <v>1274</v>
      </c>
      <c r="I257" s="159">
        <v>6060</v>
      </c>
    </row>
    <row r="258" spans="1:9" s="23" customFormat="1" ht="33" customHeight="1" x14ac:dyDescent="0.6">
      <c r="A258" s="5"/>
      <c r="B258" s="22"/>
      <c r="C258" s="16"/>
      <c r="D258" s="90"/>
      <c r="E258" s="103"/>
      <c r="F258" s="83"/>
      <c r="G258" s="91">
        <v>45805</v>
      </c>
      <c r="H258" s="10" t="s">
        <v>1266</v>
      </c>
      <c r="I258" s="159">
        <v>49490</v>
      </c>
    </row>
    <row r="259" spans="1:9" s="23" customFormat="1" ht="33" customHeight="1" x14ac:dyDescent="0.6">
      <c r="A259" s="5"/>
      <c r="B259" s="22"/>
      <c r="C259" s="16"/>
      <c r="D259" s="90"/>
      <c r="E259" s="103"/>
      <c r="F259" s="83"/>
      <c r="G259" s="91">
        <v>45805</v>
      </c>
      <c r="H259" s="63" t="s">
        <v>1267</v>
      </c>
      <c r="I259" s="72">
        <v>40400</v>
      </c>
    </row>
    <row r="260" spans="1:9" s="23" customFormat="1" ht="33" customHeight="1" x14ac:dyDescent="0.6">
      <c r="A260" s="5"/>
      <c r="B260" s="22"/>
      <c r="C260" s="16"/>
      <c r="D260" s="90"/>
      <c r="E260" s="103"/>
      <c r="F260" s="83"/>
      <c r="G260" s="91">
        <v>45806</v>
      </c>
      <c r="H260" s="63" t="s">
        <v>1268</v>
      </c>
      <c r="I260" s="72">
        <v>3030</v>
      </c>
    </row>
    <row r="261" spans="1:9" s="23" customFormat="1" ht="33" customHeight="1" x14ac:dyDescent="0.6">
      <c r="A261" s="5"/>
      <c r="B261" s="22"/>
      <c r="C261" s="16"/>
      <c r="D261" s="90"/>
      <c r="E261" s="103"/>
      <c r="F261" s="83"/>
      <c r="G261" s="91">
        <v>45806</v>
      </c>
      <c r="H261" s="63" t="s">
        <v>1270</v>
      </c>
      <c r="I261" s="72">
        <v>50500</v>
      </c>
    </row>
    <row r="262" spans="1:9" s="23" customFormat="1" ht="33" customHeight="1" x14ac:dyDescent="0.6">
      <c r="A262" s="5"/>
      <c r="B262" s="22"/>
      <c r="C262" s="16"/>
      <c r="D262" s="90"/>
      <c r="E262" s="103"/>
      <c r="F262" s="83"/>
      <c r="G262" s="91">
        <v>45806</v>
      </c>
      <c r="H262" s="63" t="s">
        <v>1278</v>
      </c>
      <c r="I262" s="72">
        <v>2000</v>
      </c>
    </row>
    <row r="263" spans="1:9" s="23" customFormat="1" ht="33" customHeight="1" x14ac:dyDescent="0.6">
      <c r="A263" s="5"/>
      <c r="B263" s="22"/>
      <c r="C263" s="16"/>
      <c r="D263" s="90"/>
      <c r="E263" s="103"/>
      <c r="F263" s="83"/>
      <c r="G263" s="91">
        <v>45806</v>
      </c>
      <c r="H263" s="63" t="s">
        <v>1271</v>
      </c>
      <c r="I263" s="72">
        <v>50500</v>
      </c>
    </row>
    <row r="264" spans="1:9" s="23" customFormat="1" ht="33" customHeight="1" x14ac:dyDescent="0.6">
      <c r="A264" s="5"/>
      <c r="B264" s="22"/>
      <c r="C264" s="16"/>
      <c r="D264" s="90"/>
      <c r="E264" s="103"/>
      <c r="F264" s="83"/>
      <c r="G264" s="91">
        <v>45806</v>
      </c>
      <c r="H264" s="63" t="s">
        <v>1273</v>
      </c>
      <c r="I264" s="72">
        <v>40400</v>
      </c>
    </row>
    <row r="265" spans="1:9" s="23" customFormat="1" ht="33" customHeight="1" x14ac:dyDescent="0.6">
      <c r="A265" s="5"/>
      <c r="B265" s="22"/>
      <c r="C265" s="16"/>
      <c r="D265" s="90"/>
      <c r="E265" s="103"/>
      <c r="F265" s="83"/>
      <c r="G265" s="91">
        <v>45807</v>
      </c>
      <c r="H265" s="63" t="s">
        <v>629</v>
      </c>
      <c r="I265" s="72">
        <v>30000</v>
      </c>
    </row>
    <row r="266" spans="1:9" s="23" customFormat="1" ht="33" customHeight="1" x14ac:dyDescent="0.6">
      <c r="A266" s="5"/>
      <c r="B266" s="22"/>
      <c r="C266" s="16"/>
      <c r="D266" s="90"/>
      <c r="E266" s="103"/>
      <c r="F266" s="83"/>
      <c r="G266" s="91">
        <v>45807</v>
      </c>
      <c r="H266" s="63" t="s">
        <v>1311</v>
      </c>
      <c r="I266" s="72">
        <v>5000</v>
      </c>
    </row>
    <row r="267" spans="1:9" s="23" customFormat="1" ht="33" customHeight="1" x14ac:dyDescent="0.6">
      <c r="A267" s="5"/>
      <c r="B267" s="22"/>
      <c r="C267" s="16"/>
      <c r="D267" s="90"/>
      <c r="E267" s="103"/>
      <c r="F267" s="83"/>
      <c r="G267" s="91">
        <v>45807</v>
      </c>
      <c r="H267" s="63" t="s">
        <v>1280</v>
      </c>
      <c r="I267" s="72">
        <v>7070</v>
      </c>
    </row>
    <row r="268" spans="1:9" s="23" customFormat="1" ht="33" customHeight="1" x14ac:dyDescent="0.6">
      <c r="A268" s="5"/>
      <c r="B268" s="22"/>
      <c r="C268" s="16"/>
      <c r="D268" s="90"/>
      <c r="E268" s="103"/>
      <c r="F268" s="83"/>
      <c r="G268" s="91">
        <v>45807</v>
      </c>
      <c r="H268" s="63" t="s">
        <v>1277</v>
      </c>
      <c r="I268" s="72">
        <v>50000</v>
      </c>
    </row>
    <row r="269" spans="1:9" s="23" customFormat="1" ht="33" customHeight="1" x14ac:dyDescent="0.6">
      <c r="A269" s="5"/>
      <c r="B269" s="22"/>
      <c r="C269" s="16"/>
      <c r="D269" s="90"/>
      <c r="E269" s="103"/>
      <c r="F269" s="83"/>
      <c r="G269" s="91">
        <v>45807</v>
      </c>
      <c r="H269" s="63" t="s">
        <v>1279</v>
      </c>
      <c r="I269" s="72">
        <v>2020</v>
      </c>
    </row>
    <row r="270" spans="1:9" s="23" customFormat="1" ht="33" customHeight="1" x14ac:dyDescent="0.6">
      <c r="A270" s="5"/>
      <c r="B270" s="124"/>
      <c r="C270" s="16"/>
      <c r="D270" s="90"/>
      <c r="E270" s="103"/>
      <c r="F270" s="83"/>
      <c r="G270" s="91">
        <v>45807</v>
      </c>
      <c r="H270" s="63" t="s">
        <v>1281</v>
      </c>
      <c r="I270" s="72">
        <v>20200</v>
      </c>
    </row>
    <row r="271" spans="1:9" s="23" customFormat="1" ht="33" customHeight="1" x14ac:dyDescent="0.6">
      <c r="A271" s="5"/>
      <c r="B271" s="22"/>
      <c r="C271" s="16"/>
      <c r="D271" s="90"/>
      <c r="E271" s="103"/>
      <c r="F271" s="83"/>
      <c r="G271" s="91">
        <v>45807</v>
      </c>
      <c r="H271" s="63" t="s">
        <v>1282</v>
      </c>
      <c r="I271" s="72">
        <v>30300</v>
      </c>
    </row>
    <row r="272" spans="1:9" s="23" customFormat="1" ht="33" customHeight="1" x14ac:dyDescent="0.6">
      <c r="A272" s="5"/>
      <c r="B272" s="22"/>
      <c r="C272" s="16"/>
      <c r="D272" s="90"/>
      <c r="E272" s="103"/>
      <c r="F272" s="83"/>
      <c r="G272" s="91">
        <v>45807</v>
      </c>
      <c r="H272" s="63" t="s">
        <v>1283</v>
      </c>
      <c r="I272" s="72">
        <v>20200</v>
      </c>
    </row>
    <row r="273" spans="1:12" s="23" customFormat="1" ht="33" customHeight="1" x14ac:dyDescent="0.6">
      <c r="A273" s="5"/>
      <c r="B273" s="22"/>
      <c r="C273" s="16"/>
      <c r="D273" s="94"/>
      <c r="E273" s="75"/>
      <c r="F273" s="89"/>
      <c r="G273" s="91">
        <v>45807</v>
      </c>
      <c r="H273" s="63" t="s">
        <v>1287</v>
      </c>
      <c r="I273" s="72">
        <v>5000</v>
      </c>
    </row>
    <row r="274" spans="1:12" s="23" customFormat="1" ht="33" customHeight="1" x14ac:dyDescent="0.6">
      <c r="A274" s="5"/>
      <c r="B274" s="22"/>
      <c r="C274" s="16"/>
      <c r="D274" s="94"/>
      <c r="E274" s="75"/>
      <c r="F274" s="89"/>
      <c r="G274" s="91">
        <v>45807</v>
      </c>
      <c r="H274" s="63" t="s">
        <v>1288</v>
      </c>
      <c r="I274" s="72">
        <v>5000</v>
      </c>
    </row>
    <row r="275" spans="1:12" ht="33" customHeight="1" x14ac:dyDescent="0.6">
      <c r="A275" s="3"/>
      <c r="B275" s="26"/>
      <c r="C275" s="4"/>
      <c r="D275" s="94"/>
      <c r="E275" s="75"/>
      <c r="F275" s="89"/>
      <c r="G275" s="91">
        <v>45807</v>
      </c>
      <c r="H275" s="63" t="s">
        <v>1289</v>
      </c>
      <c r="I275" s="72">
        <v>2000</v>
      </c>
    </row>
    <row r="276" spans="1:12" ht="33" customHeight="1" x14ac:dyDescent="0.6">
      <c r="A276" s="3"/>
      <c r="B276" s="26"/>
      <c r="C276" s="4"/>
      <c r="D276" s="94"/>
      <c r="E276" s="75"/>
      <c r="F276" s="89"/>
      <c r="G276" s="91">
        <v>45807</v>
      </c>
      <c r="H276" s="63" t="s">
        <v>1291</v>
      </c>
      <c r="I276" s="72">
        <v>6565</v>
      </c>
    </row>
    <row r="277" spans="1:12" ht="33" customHeight="1" x14ac:dyDescent="0.6">
      <c r="A277" s="3"/>
      <c r="B277" s="26"/>
      <c r="C277" s="4"/>
      <c r="D277" s="94"/>
      <c r="E277" s="75"/>
      <c r="F277" s="89"/>
      <c r="G277" s="91">
        <v>45807</v>
      </c>
      <c r="H277" s="63" t="s">
        <v>1407</v>
      </c>
      <c r="I277" s="72">
        <v>20200</v>
      </c>
    </row>
    <row r="278" spans="1:12" s="23" customFormat="1" ht="33" customHeight="1" x14ac:dyDescent="0.6">
      <c r="A278" s="5"/>
      <c r="B278" s="26"/>
      <c r="C278" s="16"/>
      <c r="D278" s="90"/>
      <c r="E278" s="103"/>
      <c r="F278" s="83"/>
      <c r="G278" s="91">
        <v>45808</v>
      </c>
      <c r="H278" s="63" t="s">
        <v>1292</v>
      </c>
      <c r="I278" s="72">
        <v>10100</v>
      </c>
    </row>
    <row r="279" spans="1:12" ht="33" customHeight="1" x14ac:dyDescent="0.6">
      <c r="A279" s="3"/>
      <c r="B279" s="22"/>
      <c r="C279" s="4"/>
      <c r="D279" s="94"/>
      <c r="E279" s="75"/>
      <c r="F279" s="89"/>
      <c r="G279" s="91">
        <v>45808</v>
      </c>
      <c r="H279" s="63" t="s">
        <v>1293</v>
      </c>
      <c r="I279" s="72">
        <v>7575</v>
      </c>
    </row>
    <row r="280" spans="1:12" ht="33" customHeight="1" x14ac:dyDescent="0.6">
      <c r="A280" s="3"/>
      <c r="B280" s="120"/>
      <c r="C280" s="4"/>
      <c r="D280" s="121"/>
      <c r="E280" s="122"/>
      <c r="F280" s="123"/>
      <c r="G280" s="91">
        <v>45808</v>
      </c>
      <c r="H280" s="63" t="s">
        <v>1294</v>
      </c>
      <c r="I280" s="72">
        <v>168000</v>
      </c>
    </row>
    <row r="281" spans="1:12" ht="33" customHeight="1" x14ac:dyDescent="0.6">
      <c r="A281" s="3"/>
      <c r="B281" s="26"/>
      <c r="C281" s="4"/>
      <c r="D281" s="94"/>
      <c r="E281" s="75"/>
      <c r="F281" s="89"/>
      <c r="G281" s="91">
        <v>45808</v>
      </c>
      <c r="H281" s="63" t="s">
        <v>1295</v>
      </c>
      <c r="I281" s="72">
        <v>400000</v>
      </c>
    </row>
    <row r="282" spans="1:12" ht="33" customHeight="1" x14ac:dyDescent="0.6">
      <c r="A282" s="3"/>
      <c r="B282" s="26"/>
      <c r="C282" s="4"/>
      <c r="D282" s="94"/>
      <c r="E282" s="75"/>
      <c r="F282" s="89"/>
      <c r="G282" s="91">
        <v>45808</v>
      </c>
      <c r="H282" s="63" t="s">
        <v>1296</v>
      </c>
      <c r="I282" s="72">
        <v>40400</v>
      </c>
    </row>
    <row r="283" spans="1:12" ht="33" customHeight="1" x14ac:dyDescent="0.6">
      <c r="A283" s="3"/>
      <c r="B283" s="26"/>
      <c r="C283" s="4"/>
      <c r="D283" s="94"/>
      <c r="E283" s="75"/>
      <c r="F283" s="89"/>
      <c r="G283" s="91">
        <v>45808</v>
      </c>
      <c r="H283" s="63" t="s">
        <v>1408</v>
      </c>
      <c r="I283" s="72">
        <v>10100</v>
      </c>
    </row>
    <row r="284" spans="1:12" ht="32.4" customHeight="1" x14ac:dyDescent="0.6">
      <c r="A284" s="68" t="s">
        <v>7</v>
      </c>
      <c r="B284" s="117"/>
      <c r="C284" s="20">
        <f>SUM(C4:C283)</f>
        <v>43650363</v>
      </c>
      <c r="D284" s="570" t="s">
        <v>7</v>
      </c>
      <c r="E284" s="571"/>
      <c r="F284" s="20">
        <f>SUM(F4:F283)</f>
        <v>18833060</v>
      </c>
      <c r="G284" s="91">
        <v>45808</v>
      </c>
      <c r="H284" s="63" t="s">
        <v>1306</v>
      </c>
      <c r="I284" s="72">
        <v>2500</v>
      </c>
      <c r="L284" s="51"/>
    </row>
    <row r="285" spans="1:12" ht="45.6" x14ac:dyDescent="0.6">
      <c r="A285" s="69" t="s">
        <v>13</v>
      </c>
      <c r="B285" s="70"/>
      <c r="C285" s="18">
        <f>+C284</f>
        <v>43650363</v>
      </c>
      <c r="D285" s="28"/>
      <c r="E285" s="29"/>
      <c r="F285" s="29"/>
      <c r="G285" s="160"/>
      <c r="H285" s="126"/>
      <c r="I285" s="72"/>
    </row>
    <row r="286" spans="1:12" s="39" customFormat="1" ht="34.799999999999997" x14ac:dyDescent="0.6">
      <c r="A286" s="7"/>
      <c r="B286" s="1"/>
      <c r="C286" s="7"/>
      <c r="D286" s="93"/>
      <c r="E286" s="7"/>
      <c r="F286" s="7"/>
      <c r="G286" s="568" t="s">
        <v>7</v>
      </c>
      <c r="H286" s="569"/>
      <c r="I286" s="30">
        <f>SUM(I4:I284)</f>
        <v>23605137</v>
      </c>
    </row>
    <row r="287" spans="1:12" ht="36.6" x14ac:dyDescent="0.6">
      <c r="G287" s="69"/>
      <c r="H287" s="70" t="s">
        <v>20</v>
      </c>
      <c r="I287" s="19">
        <f>+F284+I286</f>
        <v>42438197</v>
      </c>
    </row>
    <row r="288" spans="1:12" s="8" customFormat="1" ht="49.2" customHeight="1" x14ac:dyDescent="0.6">
      <c r="A288" s="7"/>
      <c r="B288" s="1"/>
      <c r="C288" s="7"/>
      <c r="D288" s="96"/>
      <c r="E288" s="1"/>
      <c r="F288" s="7"/>
      <c r="G288" s="66"/>
      <c r="H288" s="67" t="s">
        <v>10</v>
      </c>
      <c r="I288" s="25">
        <f>+C284-F284-I286</f>
        <v>1212166</v>
      </c>
    </row>
    <row r="289" spans="1:12" s="17" customFormat="1" ht="65.400000000000006" customHeight="1" x14ac:dyDescent="0.6">
      <c r="A289" s="7"/>
      <c r="B289" s="1"/>
      <c r="C289" s="7"/>
      <c r="D289" s="96"/>
      <c r="E289" s="8"/>
      <c r="F289" s="7"/>
      <c r="G289" s="93"/>
      <c r="H289" s="1"/>
      <c r="I289" s="40">
        <f>+C285-I287</f>
        <v>1212166</v>
      </c>
    </row>
    <row r="290" spans="1:12" s="50" customFormat="1" ht="46.2" x14ac:dyDescent="0.6">
      <c r="A290" s="57"/>
      <c r="B290" s="58"/>
      <c r="C290" s="57"/>
      <c r="D290" s="97"/>
      <c r="E290" s="17"/>
      <c r="F290" s="57"/>
      <c r="G290" s="93"/>
      <c r="H290" s="46"/>
      <c r="I290" s="40">
        <f>+I288-I289</f>
        <v>0</v>
      </c>
    </row>
    <row r="291" spans="1:12" s="50" customFormat="1" x14ac:dyDescent="0.6">
      <c r="A291" s="7"/>
      <c r="B291" s="1"/>
      <c r="C291" s="7"/>
      <c r="D291" s="96"/>
      <c r="E291" s="1"/>
      <c r="F291" s="7"/>
      <c r="G291" s="93"/>
      <c r="H291" s="1"/>
      <c r="I291" s="7"/>
    </row>
    <row r="292" spans="1:12" s="50" customFormat="1" ht="91.8" x14ac:dyDescent="0.6">
      <c r="A292" s="7"/>
      <c r="B292" s="1"/>
      <c r="C292" s="7"/>
      <c r="D292" s="96"/>
      <c r="E292" s="1"/>
      <c r="F292" s="7"/>
      <c r="G292" s="33"/>
      <c r="H292" s="65" t="s">
        <v>22</v>
      </c>
      <c r="I292" s="65"/>
    </row>
    <row r="293" spans="1:12" s="50" customFormat="1" ht="61.2" x14ac:dyDescent="1.05">
      <c r="A293" s="7"/>
      <c r="B293" s="1"/>
      <c r="C293" s="7"/>
      <c r="D293" s="96"/>
      <c r="E293" s="1"/>
      <c r="F293" s="7"/>
      <c r="G293" s="93"/>
      <c r="H293" s="52" t="s">
        <v>3</v>
      </c>
      <c r="I293" s="55">
        <f>+C285</f>
        <v>43650363</v>
      </c>
    </row>
    <row r="294" spans="1:12" s="50" customFormat="1" ht="61.2" x14ac:dyDescent="1.05">
      <c r="A294" s="7"/>
      <c r="B294" s="1"/>
      <c r="C294" s="7"/>
      <c r="D294" s="96"/>
      <c r="E294" s="1"/>
      <c r="F294" s="7"/>
      <c r="G294" s="93"/>
      <c r="H294" s="52" t="s">
        <v>23</v>
      </c>
      <c r="I294" s="55">
        <f>+F284</f>
        <v>18833060</v>
      </c>
    </row>
    <row r="295" spans="1:12" s="50" customFormat="1" ht="61.2" x14ac:dyDescent="1.05">
      <c r="A295" s="7"/>
      <c r="B295" s="1"/>
      <c r="C295" s="7"/>
      <c r="D295" s="96"/>
      <c r="E295" s="1"/>
      <c r="F295" s="7"/>
      <c r="G295" s="93"/>
      <c r="H295" s="52" t="s">
        <v>24</v>
      </c>
      <c r="I295" s="53">
        <f>+I286</f>
        <v>23605137</v>
      </c>
    </row>
    <row r="296" spans="1:12" s="50" customFormat="1" ht="61.2" x14ac:dyDescent="1.05">
      <c r="A296" s="7"/>
      <c r="B296" s="1"/>
      <c r="C296" s="7"/>
      <c r="D296" s="96"/>
      <c r="E296" s="1"/>
      <c r="F296" s="7"/>
      <c r="G296" s="93"/>
      <c r="H296" s="52" t="s">
        <v>69</v>
      </c>
      <c r="I296" s="107">
        <v>0</v>
      </c>
    </row>
    <row r="297" spans="1:12" s="50" customFormat="1" ht="61.2" x14ac:dyDescent="1.05">
      <c r="A297" s="7"/>
      <c r="B297" s="1"/>
      <c r="C297" s="7"/>
      <c r="D297" s="96"/>
      <c r="E297" s="1"/>
      <c r="F297" s="7"/>
      <c r="G297" s="93"/>
      <c r="H297" s="52" t="s">
        <v>25</v>
      </c>
      <c r="I297" s="54">
        <f>+I293-I294-I295-I296</f>
        <v>1212166</v>
      </c>
    </row>
    <row r="298" spans="1:12" s="50" customFormat="1" x14ac:dyDescent="0.6">
      <c r="A298" s="7"/>
      <c r="B298" s="1"/>
      <c r="C298" s="7"/>
      <c r="D298" s="96"/>
      <c r="E298" s="1"/>
      <c r="F298" s="7"/>
      <c r="G298" s="93"/>
      <c r="H298" s="1"/>
      <c r="I298" s="1"/>
    </row>
    <row r="299" spans="1:12" s="50" customFormat="1" x14ac:dyDescent="0.6">
      <c r="A299" s="7"/>
      <c r="B299" s="1"/>
      <c r="C299" s="7"/>
      <c r="D299" s="96"/>
      <c r="E299" s="1"/>
      <c r="F299" s="7"/>
      <c r="G299" s="93"/>
      <c r="H299" s="1"/>
      <c r="I299" s="1"/>
      <c r="J299" s="1"/>
      <c r="K299" s="1"/>
      <c r="L299" s="1"/>
    </row>
    <row r="300" spans="1:12" x14ac:dyDescent="0.6">
      <c r="I300" s="1"/>
    </row>
    <row r="301" spans="1:12" x14ac:dyDescent="0.6">
      <c r="I301" s="1"/>
    </row>
  </sheetData>
  <autoFilter ref="A3:I128" xr:uid="{C27F9055-AF1A-4DFB-ADB2-58AB89720241}">
    <sortState xmlns:xlrd2="http://schemas.microsoft.com/office/spreadsheetml/2017/richdata2" ref="A4:I4">
      <sortCondition sortBy="cellColor" ref="I3:I4" dxfId="79"/>
    </sortState>
  </autoFilter>
  <mergeCells count="5">
    <mergeCell ref="G286:H286"/>
    <mergeCell ref="A1:I1"/>
    <mergeCell ref="A2:C2"/>
    <mergeCell ref="D2:I2"/>
    <mergeCell ref="D284:E284"/>
  </mergeCells>
  <pageMargins left="0.7" right="0.7" top="0.75" bottom="0.75" header="0.3" footer="0.3"/>
  <pageSetup paperSize="9" scale="27" orientation="landscape" horizontalDpi="4294967293" r:id="rId1"/>
  <rowBreaks count="1" manualBreakCount="1">
    <brk id="50" min="6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FA8A-229C-4312-9B77-09736093B51C}">
  <sheetPr>
    <tabColor rgb="FFFFFF00"/>
  </sheetPr>
  <dimension ref="A1:J339"/>
  <sheetViews>
    <sheetView topLeftCell="E1" zoomScale="30" zoomScaleNormal="30" zoomScaleSheetLayoutView="30" workbookViewId="0">
      <selection activeCell="F19" sqref="F19"/>
    </sheetView>
  </sheetViews>
  <sheetFormatPr baseColWidth="10" defaultColWidth="11.5546875" defaultRowHeight="31.2" x14ac:dyDescent="0.6"/>
  <cols>
    <col min="1" max="1" width="33.33203125" style="7" customWidth="1"/>
    <col min="2" max="2" width="146.5546875" style="1" customWidth="1"/>
    <col min="3" max="3" width="36.33203125" style="7" customWidth="1"/>
    <col min="4" max="4" width="32.109375" style="96" customWidth="1"/>
    <col min="5" max="5" width="238" style="1" customWidth="1"/>
    <col min="6" max="6" width="35.88671875" style="7" customWidth="1"/>
    <col min="7" max="7" width="31.5546875" style="93" customWidth="1"/>
    <col min="8" max="8" width="255.44140625" style="1" customWidth="1"/>
    <col min="9" max="9" width="63" style="171" customWidth="1"/>
    <col min="10" max="10" width="61.6640625" style="50" customWidth="1"/>
    <col min="11" max="11" width="10.88671875" style="1" customWidth="1"/>
    <col min="12" max="12" width="11.5546875" style="1"/>
    <col min="13" max="13" width="26.6640625" style="1" customWidth="1"/>
    <col min="14" max="16384" width="11.5546875" style="1"/>
  </cols>
  <sheetData>
    <row r="1" spans="1:10" s="17" customFormat="1" ht="61.95" customHeight="1" thickBot="1" x14ac:dyDescent="0.35">
      <c r="A1" s="108" t="s">
        <v>1299</v>
      </c>
      <c r="B1" s="109"/>
      <c r="C1" s="109"/>
      <c r="D1" s="109"/>
      <c r="E1" s="109"/>
      <c r="F1" s="109"/>
      <c r="G1" s="109"/>
      <c r="H1" s="109"/>
      <c r="I1" s="161"/>
      <c r="J1" s="47"/>
    </row>
    <row r="2" spans="1:10" s="8" customFormat="1" ht="51.6" customHeight="1" thickBot="1" x14ac:dyDescent="0.35">
      <c r="A2" s="111" t="s">
        <v>4</v>
      </c>
      <c r="B2" s="112"/>
      <c r="C2" s="113"/>
      <c r="D2" s="111" t="s">
        <v>5</v>
      </c>
      <c r="E2" s="112"/>
      <c r="F2" s="112"/>
      <c r="G2" s="112"/>
      <c r="H2" s="112"/>
      <c r="I2" s="162"/>
      <c r="J2" s="48"/>
    </row>
    <row r="3" spans="1:10" s="33" customFormat="1" ht="103.2" customHeight="1" x14ac:dyDescent="0.55000000000000004">
      <c r="A3" s="44" t="s">
        <v>0</v>
      </c>
      <c r="B3" s="44" t="s">
        <v>1</v>
      </c>
      <c r="C3" s="44" t="s">
        <v>2</v>
      </c>
      <c r="D3" s="31" t="s">
        <v>0</v>
      </c>
      <c r="E3" s="32" t="s">
        <v>8</v>
      </c>
      <c r="F3" s="32" t="s">
        <v>2</v>
      </c>
      <c r="G3" s="163" t="s">
        <v>0</v>
      </c>
      <c r="H3" s="32" t="s">
        <v>9</v>
      </c>
      <c r="I3" s="164" t="s">
        <v>2</v>
      </c>
      <c r="J3" s="49"/>
    </row>
    <row r="4" spans="1:10" s="87" customFormat="1" ht="33" customHeight="1" x14ac:dyDescent="0.6">
      <c r="A4" s="9"/>
      <c r="B4" s="203" t="s">
        <v>1298</v>
      </c>
      <c r="C4" s="204">
        <v>1212166</v>
      </c>
      <c r="D4" s="153">
        <v>45810</v>
      </c>
      <c r="E4" s="205" t="s">
        <v>1396</v>
      </c>
      <c r="F4" s="206">
        <v>121200</v>
      </c>
      <c r="G4" s="91">
        <v>45809</v>
      </c>
      <c r="H4" s="63" t="s">
        <v>1313</v>
      </c>
      <c r="I4" s="157">
        <v>15150</v>
      </c>
      <c r="J4" s="207"/>
    </row>
    <row r="5" spans="1:10" s="87" customFormat="1" ht="33" customHeight="1" x14ac:dyDescent="0.6">
      <c r="A5" s="9">
        <v>45812</v>
      </c>
      <c r="B5" s="63" t="s">
        <v>1713</v>
      </c>
      <c r="C5" s="14">
        <v>2000000</v>
      </c>
      <c r="D5" s="153">
        <v>45811</v>
      </c>
      <c r="E5" s="208" t="s">
        <v>1321</v>
      </c>
      <c r="F5" s="155">
        <v>600000</v>
      </c>
      <c r="G5" s="91"/>
      <c r="H5" s="63" t="s">
        <v>1315</v>
      </c>
      <c r="I5" s="157">
        <v>18180</v>
      </c>
      <c r="J5" s="207"/>
    </row>
    <row r="6" spans="1:10" s="87" customFormat="1" ht="33" customHeight="1" x14ac:dyDescent="0.6">
      <c r="A6" s="9">
        <v>45812</v>
      </c>
      <c r="B6" s="63" t="s">
        <v>1333</v>
      </c>
      <c r="C6" s="14">
        <f>6350000-900000</f>
        <v>5450000</v>
      </c>
      <c r="D6" s="153">
        <v>45811</v>
      </c>
      <c r="E6" s="154" t="s">
        <v>1325</v>
      </c>
      <c r="F6" s="155">
        <v>121200</v>
      </c>
      <c r="G6" s="91"/>
      <c r="H6" s="63" t="s">
        <v>1314</v>
      </c>
      <c r="I6" s="157">
        <v>12120</v>
      </c>
      <c r="J6" s="207"/>
    </row>
    <row r="7" spans="1:10" s="87" customFormat="1" ht="33" customHeight="1" x14ac:dyDescent="0.6">
      <c r="A7" s="9">
        <v>45812</v>
      </c>
      <c r="B7" s="63" t="s">
        <v>1334</v>
      </c>
      <c r="C7" s="14">
        <v>1000000</v>
      </c>
      <c r="D7" s="153">
        <v>45811</v>
      </c>
      <c r="E7" s="208" t="s">
        <v>1322</v>
      </c>
      <c r="F7" s="155">
        <v>693000</v>
      </c>
      <c r="G7" s="91"/>
      <c r="H7" s="63" t="s">
        <v>1316</v>
      </c>
      <c r="I7" s="157">
        <v>15150</v>
      </c>
      <c r="J7" s="207"/>
    </row>
    <row r="8" spans="1:10" s="87" customFormat="1" ht="33" customHeight="1" x14ac:dyDescent="0.6">
      <c r="A8" s="9">
        <v>45813</v>
      </c>
      <c r="B8" s="63" t="s">
        <v>1391</v>
      </c>
      <c r="C8" s="14">
        <v>3000000</v>
      </c>
      <c r="D8" s="153">
        <v>45812</v>
      </c>
      <c r="E8" s="208" t="s">
        <v>1489</v>
      </c>
      <c r="F8" s="155">
        <v>242400</v>
      </c>
      <c r="G8" s="91"/>
      <c r="H8" s="63" t="s">
        <v>1317</v>
      </c>
      <c r="I8" s="157">
        <v>50500</v>
      </c>
      <c r="J8" s="207"/>
    </row>
    <row r="9" spans="1:10" s="87" customFormat="1" ht="33" customHeight="1" x14ac:dyDescent="0.6">
      <c r="A9" s="9">
        <v>45813</v>
      </c>
      <c r="B9" s="63" t="s">
        <v>1367</v>
      </c>
      <c r="C9" s="14">
        <v>1070000</v>
      </c>
      <c r="D9" s="153">
        <v>45813</v>
      </c>
      <c r="E9" s="208" t="s">
        <v>1377</v>
      </c>
      <c r="F9" s="155">
        <v>101000</v>
      </c>
      <c r="G9" s="91">
        <v>45810</v>
      </c>
      <c r="H9" s="63" t="s">
        <v>1318</v>
      </c>
      <c r="I9" s="157">
        <v>10100</v>
      </c>
      <c r="J9" s="207"/>
    </row>
    <row r="10" spans="1:10" s="87" customFormat="1" ht="33" customHeight="1" x14ac:dyDescent="0.6">
      <c r="A10" s="9">
        <v>45813</v>
      </c>
      <c r="B10" s="63" t="s">
        <v>1517</v>
      </c>
      <c r="C10" s="14">
        <v>1800000</v>
      </c>
      <c r="D10" s="153">
        <v>45813</v>
      </c>
      <c r="E10" s="208" t="s">
        <v>1472</v>
      </c>
      <c r="F10" s="155">
        <v>308000</v>
      </c>
      <c r="G10" s="91"/>
      <c r="H10" s="63" t="s">
        <v>1307</v>
      </c>
      <c r="I10" s="157">
        <v>3030</v>
      </c>
      <c r="J10" s="207"/>
    </row>
    <row r="11" spans="1:10" s="87" customFormat="1" ht="33" customHeight="1" x14ac:dyDescent="0.6">
      <c r="A11" s="9">
        <v>45818</v>
      </c>
      <c r="B11" s="63" t="s">
        <v>1421</v>
      </c>
      <c r="C11" s="14">
        <v>2000000</v>
      </c>
      <c r="D11" s="153">
        <v>45813</v>
      </c>
      <c r="E11" s="208" t="s">
        <v>1378</v>
      </c>
      <c r="F11" s="155">
        <v>658800</v>
      </c>
      <c r="G11" s="91"/>
      <c r="H11" s="63" t="s">
        <v>1308</v>
      </c>
      <c r="I11" s="72">
        <v>10100</v>
      </c>
      <c r="J11" s="127"/>
    </row>
    <row r="12" spans="1:10" s="87" customFormat="1" ht="33" customHeight="1" x14ac:dyDescent="0.6">
      <c r="A12" s="9">
        <v>45819</v>
      </c>
      <c r="B12" s="63" t="s">
        <v>1497</v>
      </c>
      <c r="C12" s="14">
        <v>1215000</v>
      </c>
      <c r="D12" s="153">
        <v>45813</v>
      </c>
      <c r="E12" s="208" t="s">
        <v>1395</v>
      </c>
      <c r="F12" s="155">
        <v>121200</v>
      </c>
      <c r="G12" s="91"/>
      <c r="H12" s="63" t="s">
        <v>1455</v>
      </c>
      <c r="I12" s="72">
        <v>20000</v>
      </c>
      <c r="J12" s="127"/>
    </row>
    <row r="13" spans="1:10" s="87" customFormat="1" ht="31.2" customHeight="1" x14ac:dyDescent="0.6">
      <c r="A13" s="9">
        <v>45819</v>
      </c>
      <c r="B13" s="63" t="s">
        <v>1404</v>
      </c>
      <c r="C13" s="14">
        <v>1000000</v>
      </c>
      <c r="D13" s="153">
        <v>45818</v>
      </c>
      <c r="E13" s="208" t="s">
        <v>1413</v>
      </c>
      <c r="F13" s="155">
        <v>202000</v>
      </c>
      <c r="G13" s="91"/>
      <c r="H13" s="63" t="s">
        <v>1454</v>
      </c>
      <c r="I13" s="72">
        <v>2000</v>
      </c>
      <c r="J13" s="127"/>
    </row>
    <row r="14" spans="1:10" s="87" customFormat="1" ht="33" customHeight="1" x14ac:dyDescent="0.6">
      <c r="A14" s="9">
        <v>45819</v>
      </c>
      <c r="B14" s="63" t="s">
        <v>1404</v>
      </c>
      <c r="C14" s="14">
        <v>3000000</v>
      </c>
      <c r="D14" s="153">
        <v>45819</v>
      </c>
      <c r="E14" s="209" t="s">
        <v>1433</v>
      </c>
      <c r="F14" s="155">
        <f>335000+1215000</f>
        <v>1550000</v>
      </c>
      <c r="G14" s="91"/>
      <c r="H14" s="63" t="s">
        <v>1309</v>
      </c>
      <c r="I14" s="72">
        <v>4000</v>
      </c>
      <c r="J14" s="127"/>
    </row>
    <row r="15" spans="1:10" s="87" customFormat="1" ht="33" customHeight="1" x14ac:dyDescent="0.6">
      <c r="A15" s="9">
        <v>45820</v>
      </c>
      <c r="B15" s="63" t="s">
        <v>1404</v>
      </c>
      <c r="C15" s="14">
        <v>1000000</v>
      </c>
      <c r="D15" s="153">
        <v>45819</v>
      </c>
      <c r="E15" s="210" t="s">
        <v>1436</v>
      </c>
      <c r="F15" s="155">
        <v>242400</v>
      </c>
      <c r="G15" s="91"/>
      <c r="H15" s="63" t="s">
        <v>1700</v>
      </c>
      <c r="I15" s="72">
        <v>10100</v>
      </c>
      <c r="J15" s="127"/>
    </row>
    <row r="16" spans="1:10" s="87" customFormat="1" ht="33" customHeight="1" x14ac:dyDescent="0.6">
      <c r="A16" s="9">
        <v>45822</v>
      </c>
      <c r="B16" s="63" t="s">
        <v>1475</v>
      </c>
      <c r="C16" s="14">
        <v>2000000</v>
      </c>
      <c r="D16" s="153">
        <v>45819</v>
      </c>
      <c r="E16" s="210" t="s">
        <v>1437</v>
      </c>
      <c r="F16" s="155">
        <v>121200</v>
      </c>
      <c r="G16" s="91"/>
      <c r="H16" s="63" t="s">
        <v>1310</v>
      </c>
      <c r="I16" s="72">
        <v>9000</v>
      </c>
      <c r="J16" s="127"/>
    </row>
    <row r="17" spans="1:10" s="87" customFormat="1" ht="33" customHeight="1" x14ac:dyDescent="0.6">
      <c r="A17" s="9">
        <v>45824</v>
      </c>
      <c r="B17" s="63" t="s">
        <v>959</v>
      </c>
      <c r="C17" s="14">
        <v>1720440</v>
      </c>
      <c r="D17" s="153">
        <v>45819</v>
      </c>
      <c r="E17" s="210" t="s">
        <v>1445</v>
      </c>
      <c r="F17" s="155">
        <v>2500000</v>
      </c>
      <c r="G17" s="91">
        <v>45811</v>
      </c>
      <c r="H17" s="63" t="s">
        <v>1319</v>
      </c>
      <c r="I17" s="72">
        <v>1000</v>
      </c>
      <c r="J17" s="127"/>
    </row>
    <row r="18" spans="1:10" s="87" customFormat="1" ht="33" customHeight="1" x14ac:dyDescent="0.6">
      <c r="A18" s="9">
        <v>45825</v>
      </c>
      <c r="B18" s="63" t="s">
        <v>959</v>
      </c>
      <c r="C18" s="14">
        <v>300000</v>
      </c>
      <c r="D18" s="153">
        <v>45820</v>
      </c>
      <c r="E18" s="210" t="s">
        <v>1463</v>
      </c>
      <c r="F18" s="155">
        <v>141400</v>
      </c>
      <c r="G18" s="91"/>
      <c r="H18" s="63" t="s">
        <v>1320</v>
      </c>
      <c r="I18" s="72">
        <v>10500</v>
      </c>
      <c r="J18" s="127"/>
    </row>
    <row r="19" spans="1:10" s="87" customFormat="1" ht="33" customHeight="1" x14ac:dyDescent="0.6">
      <c r="A19" s="9">
        <v>45826</v>
      </c>
      <c r="B19" s="63" t="s">
        <v>1699</v>
      </c>
      <c r="C19" s="14">
        <v>1000000</v>
      </c>
      <c r="D19" s="153">
        <v>45821</v>
      </c>
      <c r="E19" s="210" t="s">
        <v>1464</v>
      </c>
      <c r="F19" s="155">
        <v>141400</v>
      </c>
      <c r="G19" s="91"/>
      <c r="H19" s="63" t="s">
        <v>1323</v>
      </c>
      <c r="I19" s="72">
        <v>3735</v>
      </c>
      <c r="J19" s="127"/>
    </row>
    <row r="20" spans="1:10" s="87" customFormat="1" ht="33" customHeight="1" x14ac:dyDescent="0.6">
      <c r="A20" s="9">
        <v>45828</v>
      </c>
      <c r="B20" s="63" t="s">
        <v>1530</v>
      </c>
      <c r="C20" s="14">
        <v>2000000</v>
      </c>
      <c r="D20" s="153">
        <v>45821</v>
      </c>
      <c r="E20" s="209" t="s">
        <v>1536</v>
      </c>
      <c r="F20" s="155">
        <v>505000</v>
      </c>
      <c r="G20" s="91"/>
      <c r="H20" s="63" t="s">
        <v>1324</v>
      </c>
      <c r="I20" s="72">
        <v>10000</v>
      </c>
      <c r="J20" s="127"/>
    </row>
    <row r="21" spans="1:10" s="87" customFormat="1" ht="33" customHeight="1" x14ac:dyDescent="0.6">
      <c r="A21" s="9">
        <v>45828</v>
      </c>
      <c r="B21" s="63" t="s">
        <v>1537</v>
      </c>
      <c r="C21" s="14">
        <v>30000</v>
      </c>
      <c r="D21" s="153">
        <v>45822</v>
      </c>
      <c r="E21" s="154" t="s">
        <v>1714</v>
      </c>
      <c r="F21" s="155">
        <v>50500</v>
      </c>
      <c r="G21" s="91"/>
      <c r="H21" s="63" t="s">
        <v>1326</v>
      </c>
      <c r="I21" s="72">
        <v>10600</v>
      </c>
      <c r="J21" s="127"/>
    </row>
    <row r="22" spans="1:10" s="87" customFormat="1" ht="33" customHeight="1" x14ac:dyDescent="0.6">
      <c r="A22" s="9">
        <v>45829</v>
      </c>
      <c r="B22" s="63" t="s">
        <v>959</v>
      </c>
      <c r="C22" s="14">
        <v>1000000</v>
      </c>
      <c r="D22" s="153">
        <v>45822</v>
      </c>
      <c r="E22" s="210" t="s">
        <v>1507</v>
      </c>
      <c r="F22" s="155">
        <v>400000</v>
      </c>
      <c r="G22" s="91"/>
      <c r="H22" s="63" t="s">
        <v>1327</v>
      </c>
      <c r="I22" s="72">
        <v>70700</v>
      </c>
      <c r="J22" s="127"/>
    </row>
    <row r="23" spans="1:10" s="87" customFormat="1" ht="33" customHeight="1" x14ac:dyDescent="0.6">
      <c r="A23" s="9">
        <v>45831</v>
      </c>
      <c r="B23" s="63" t="s">
        <v>1421</v>
      </c>
      <c r="C23" s="14">
        <v>1000000</v>
      </c>
      <c r="D23" s="153">
        <v>45822</v>
      </c>
      <c r="E23" s="210" t="s">
        <v>1397</v>
      </c>
      <c r="F23" s="155">
        <v>242400</v>
      </c>
      <c r="G23" s="91"/>
      <c r="H23" s="63" t="s">
        <v>1328</v>
      </c>
      <c r="I23" s="72">
        <v>3030</v>
      </c>
      <c r="J23" s="127"/>
    </row>
    <row r="24" spans="1:10" s="87" customFormat="1" ht="33" customHeight="1" x14ac:dyDescent="0.6">
      <c r="A24" s="9">
        <v>45831</v>
      </c>
      <c r="B24" s="63" t="s">
        <v>1679</v>
      </c>
      <c r="C24" s="14">
        <v>90000</v>
      </c>
      <c r="D24" s="153">
        <v>45824</v>
      </c>
      <c r="E24" s="210" t="s">
        <v>1532</v>
      </c>
      <c r="F24" s="155">
        <v>404000</v>
      </c>
      <c r="G24" s="91"/>
      <c r="H24" s="63" t="s">
        <v>1330</v>
      </c>
      <c r="I24" s="72">
        <v>3000</v>
      </c>
      <c r="J24" s="127"/>
    </row>
    <row r="25" spans="1:10" s="87" customFormat="1" ht="33" customHeight="1" x14ac:dyDescent="0.6">
      <c r="A25" s="9">
        <v>45832</v>
      </c>
      <c r="B25" s="63" t="s">
        <v>959</v>
      </c>
      <c r="C25" s="14">
        <v>2000000</v>
      </c>
      <c r="D25" s="153">
        <v>45825</v>
      </c>
      <c r="E25" s="154" t="s">
        <v>1495</v>
      </c>
      <c r="F25" s="155">
        <v>25250</v>
      </c>
      <c r="G25" s="91"/>
      <c r="H25" s="63" t="s">
        <v>1329</v>
      </c>
      <c r="I25" s="72">
        <v>11110</v>
      </c>
      <c r="J25" s="127"/>
    </row>
    <row r="26" spans="1:10" s="87" customFormat="1" ht="33" customHeight="1" x14ac:dyDescent="0.6">
      <c r="A26" s="9">
        <v>45833</v>
      </c>
      <c r="B26" s="63" t="s">
        <v>959</v>
      </c>
      <c r="C26" s="14">
        <v>2000000</v>
      </c>
      <c r="D26" s="153">
        <v>45826</v>
      </c>
      <c r="E26" s="210" t="s">
        <v>1519</v>
      </c>
      <c r="F26" s="155">
        <v>363600</v>
      </c>
      <c r="G26" s="91"/>
      <c r="H26" s="63" t="s">
        <v>1715</v>
      </c>
      <c r="I26" s="72">
        <v>10000</v>
      </c>
      <c r="J26" s="127"/>
    </row>
    <row r="27" spans="1:10" s="87" customFormat="1" ht="33" customHeight="1" x14ac:dyDescent="0.6">
      <c r="A27" s="9">
        <v>45834</v>
      </c>
      <c r="B27" s="63" t="s">
        <v>1609</v>
      </c>
      <c r="C27" s="14">
        <v>2000000</v>
      </c>
      <c r="D27" s="153">
        <v>45828</v>
      </c>
      <c r="E27" s="210" t="s">
        <v>1531</v>
      </c>
      <c r="F27" s="155">
        <v>353500</v>
      </c>
      <c r="G27" s="91"/>
      <c r="H27" s="63" t="s">
        <v>1331</v>
      </c>
      <c r="I27" s="72">
        <v>540000</v>
      </c>
      <c r="J27" s="127"/>
    </row>
    <row r="28" spans="1:10" s="87" customFormat="1" ht="33" customHeight="1" x14ac:dyDescent="0.6">
      <c r="A28" s="9">
        <v>45834</v>
      </c>
      <c r="B28" s="63" t="s">
        <v>1608</v>
      </c>
      <c r="C28" s="14">
        <v>1000000</v>
      </c>
      <c r="D28" s="153">
        <v>45828</v>
      </c>
      <c r="E28" s="154" t="s">
        <v>1548</v>
      </c>
      <c r="F28" s="155">
        <v>505000</v>
      </c>
      <c r="G28" s="91">
        <v>45812</v>
      </c>
      <c r="H28" s="63" t="s">
        <v>1332</v>
      </c>
      <c r="I28" s="72">
        <v>500000</v>
      </c>
      <c r="J28" s="127"/>
    </row>
    <row r="29" spans="1:10" s="87" customFormat="1" ht="33" customHeight="1" x14ac:dyDescent="0.6">
      <c r="A29" s="9">
        <v>45835</v>
      </c>
      <c r="B29" s="63" t="s">
        <v>1607</v>
      </c>
      <c r="C29" s="14">
        <v>1000000</v>
      </c>
      <c r="D29" s="153">
        <v>45829</v>
      </c>
      <c r="E29" s="154" t="s">
        <v>1553</v>
      </c>
      <c r="F29" s="155">
        <v>505000</v>
      </c>
      <c r="G29" s="91"/>
      <c r="H29" s="63" t="s">
        <v>1335</v>
      </c>
      <c r="I29" s="72">
        <v>5050</v>
      </c>
      <c r="J29" s="127"/>
    </row>
    <row r="30" spans="1:10" s="87" customFormat="1" ht="33" customHeight="1" x14ac:dyDescent="0.6">
      <c r="A30" s="9">
        <v>45838</v>
      </c>
      <c r="B30" s="63" t="s">
        <v>1644</v>
      </c>
      <c r="C30" s="14">
        <v>2200000</v>
      </c>
      <c r="D30" s="153">
        <v>45829</v>
      </c>
      <c r="E30" s="154" t="s">
        <v>1552</v>
      </c>
      <c r="F30" s="155">
        <v>50000</v>
      </c>
      <c r="G30" s="91"/>
      <c r="H30" s="63" t="s">
        <v>1336</v>
      </c>
      <c r="I30" s="72">
        <v>5050</v>
      </c>
      <c r="J30" s="127"/>
    </row>
    <row r="31" spans="1:10" s="87" customFormat="1" ht="33" customHeight="1" x14ac:dyDescent="0.6">
      <c r="A31" s="9">
        <v>45838</v>
      </c>
      <c r="B31" s="63" t="s">
        <v>1645</v>
      </c>
      <c r="C31" s="14">
        <v>2000000</v>
      </c>
      <c r="D31" s="153">
        <v>45829</v>
      </c>
      <c r="E31" s="210" t="s">
        <v>1550</v>
      </c>
      <c r="F31" s="155">
        <v>121200</v>
      </c>
      <c r="G31" s="91"/>
      <c r="H31" s="63" t="s">
        <v>1337</v>
      </c>
      <c r="I31" s="72">
        <v>2725</v>
      </c>
      <c r="J31" s="127"/>
    </row>
    <row r="32" spans="1:10" s="87" customFormat="1" ht="33" customHeight="1" x14ac:dyDescent="0.6">
      <c r="A32" s="9">
        <v>45838</v>
      </c>
      <c r="B32" s="63" t="s">
        <v>1680</v>
      </c>
      <c r="C32" s="14">
        <v>50000</v>
      </c>
      <c r="D32" s="153">
        <v>45831</v>
      </c>
      <c r="E32" s="210" t="s">
        <v>1567</v>
      </c>
      <c r="F32" s="155">
        <v>242400</v>
      </c>
      <c r="G32" s="91"/>
      <c r="H32" s="63" t="s">
        <v>1716</v>
      </c>
      <c r="I32" s="72">
        <v>80800</v>
      </c>
      <c r="J32" s="127"/>
    </row>
    <row r="33" spans="1:10" s="87" customFormat="1" ht="33" customHeight="1" x14ac:dyDescent="0.6">
      <c r="A33" s="9"/>
      <c r="B33" s="63"/>
      <c r="C33" s="14"/>
      <c r="D33" s="153">
        <v>45831</v>
      </c>
      <c r="E33" s="210" t="s">
        <v>1570</v>
      </c>
      <c r="F33" s="155">
        <v>300000</v>
      </c>
      <c r="G33" s="91"/>
      <c r="H33" s="63" t="s">
        <v>1717</v>
      </c>
      <c r="I33" s="72">
        <v>101000</v>
      </c>
      <c r="J33" s="127"/>
    </row>
    <row r="34" spans="1:10" s="87" customFormat="1" ht="33" customHeight="1" x14ac:dyDescent="0.6">
      <c r="A34" s="9"/>
      <c r="B34" s="63"/>
      <c r="C34" s="14"/>
      <c r="D34" s="153">
        <v>45831</v>
      </c>
      <c r="E34" s="210" t="s">
        <v>1571</v>
      </c>
      <c r="F34" s="155">
        <v>404000</v>
      </c>
      <c r="G34" s="91"/>
      <c r="H34" s="63" t="s">
        <v>1718</v>
      </c>
      <c r="I34" s="72">
        <v>10100</v>
      </c>
      <c r="J34" s="127"/>
    </row>
    <row r="35" spans="1:10" s="87" customFormat="1" ht="33" customHeight="1" x14ac:dyDescent="0.6">
      <c r="A35" s="9"/>
      <c r="B35" s="63"/>
      <c r="C35" s="14"/>
      <c r="D35" s="153">
        <v>45833</v>
      </c>
      <c r="E35" s="154" t="s">
        <v>1598</v>
      </c>
      <c r="F35" s="155">
        <v>505000</v>
      </c>
      <c r="G35" s="91"/>
      <c r="H35" s="63" t="s">
        <v>1461</v>
      </c>
      <c r="I35" s="72">
        <v>4040</v>
      </c>
      <c r="J35" s="127"/>
    </row>
    <row r="36" spans="1:10" s="87" customFormat="1" ht="33" customHeight="1" x14ac:dyDescent="0.6">
      <c r="A36" s="9"/>
      <c r="B36" s="63"/>
      <c r="C36" s="14"/>
      <c r="D36" s="153">
        <v>45834</v>
      </c>
      <c r="E36" s="154" t="s">
        <v>1601</v>
      </c>
      <c r="F36" s="155">
        <v>555500</v>
      </c>
      <c r="G36" s="91"/>
      <c r="H36" s="63" t="s">
        <v>1338</v>
      </c>
      <c r="I36" s="72">
        <v>16160</v>
      </c>
      <c r="J36" s="127"/>
    </row>
    <row r="37" spans="1:10" s="87" customFormat="1" ht="33" customHeight="1" x14ac:dyDescent="0.6">
      <c r="A37" s="9"/>
      <c r="B37" s="63"/>
      <c r="C37" s="14"/>
      <c r="D37" s="153">
        <v>45834</v>
      </c>
      <c r="E37" s="154" t="s">
        <v>1602</v>
      </c>
      <c r="F37" s="155">
        <v>151500</v>
      </c>
      <c r="G37" s="91"/>
      <c r="H37" s="63" t="s">
        <v>1476</v>
      </c>
      <c r="I37" s="72">
        <v>2830</v>
      </c>
      <c r="J37" s="127"/>
    </row>
    <row r="38" spans="1:10" s="87" customFormat="1" ht="33" customHeight="1" x14ac:dyDescent="0.6">
      <c r="A38" s="9"/>
      <c r="B38" s="63"/>
      <c r="C38" s="14"/>
      <c r="D38" s="153">
        <v>45833</v>
      </c>
      <c r="E38" s="210" t="s">
        <v>1589</v>
      </c>
      <c r="F38" s="155">
        <v>121200</v>
      </c>
      <c r="G38" s="91"/>
      <c r="H38" s="63" t="s">
        <v>1339</v>
      </c>
      <c r="I38" s="72">
        <v>15150</v>
      </c>
      <c r="J38" s="127"/>
    </row>
    <row r="39" spans="1:10" s="87" customFormat="1" ht="33" customHeight="1" x14ac:dyDescent="0.6">
      <c r="A39" s="9"/>
      <c r="B39" s="63"/>
      <c r="C39" s="14"/>
      <c r="D39" s="153">
        <v>45834</v>
      </c>
      <c r="E39" s="210" t="s">
        <v>1610</v>
      </c>
      <c r="F39" s="155">
        <v>363600</v>
      </c>
      <c r="G39" s="91"/>
      <c r="H39" s="63" t="s">
        <v>1340</v>
      </c>
      <c r="I39" s="72">
        <v>5000</v>
      </c>
      <c r="J39" s="127"/>
    </row>
    <row r="40" spans="1:10" s="87" customFormat="1" ht="33" customHeight="1" x14ac:dyDescent="0.6">
      <c r="A40" s="9"/>
      <c r="B40" s="63"/>
      <c r="C40" s="14"/>
      <c r="D40" s="153">
        <v>45835</v>
      </c>
      <c r="E40" s="210" t="s">
        <v>1719</v>
      </c>
      <c r="F40" s="155">
        <v>420000</v>
      </c>
      <c r="G40" s="91"/>
      <c r="H40" s="63" t="s">
        <v>1341</v>
      </c>
      <c r="I40" s="72">
        <v>143925</v>
      </c>
      <c r="J40" s="127"/>
    </row>
    <row r="41" spans="1:10" s="87" customFormat="1" ht="33" customHeight="1" x14ac:dyDescent="0.6">
      <c r="A41" s="9"/>
      <c r="B41" s="63"/>
      <c r="C41" s="14"/>
      <c r="D41" s="153">
        <v>45835</v>
      </c>
      <c r="E41" s="210" t="s">
        <v>1627</v>
      </c>
      <c r="F41" s="155">
        <v>101000</v>
      </c>
      <c r="G41" s="91"/>
      <c r="H41" s="63" t="s">
        <v>1342</v>
      </c>
      <c r="I41" s="72">
        <v>35000</v>
      </c>
      <c r="J41" s="127"/>
    </row>
    <row r="42" spans="1:10" s="87" customFormat="1" ht="33" customHeight="1" x14ac:dyDescent="0.6">
      <c r="A42" s="9"/>
      <c r="B42" s="63"/>
      <c r="C42" s="14"/>
      <c r="D42" s="153">
        <v>45837</v>
      </c>
      <c r="E42" s="210" t="s">
        <v>1626</v>
      </c>
      <c r="F42" s="155">
        <v>80800</v>
      </c>
      <c r="G42" s="91"/>
      <c r="H42" s="63" t="s">
        <v>1343</v>
      </c>
      <c r="I42" s="72">
        <v>55000</v>
      </c>
      <c r="J42" s="127"/>
    </row>
    <row r="43" spans="1:10" s="87" customFormat="1" ht="33" customHeight="1" x14ac:dyDescent="0.6">
      <c r="A43" s="9"/>
      <c r="B43" s="63"/>
      <c r="C43" s="14"/>
      <c r="D43" s="153">
        <v>45838</v>
      </c>
      <c r="E43" s="210" t="s">
        <v>1633</v>
      </c>
      <c r="F43" s="155">
        <v>2200000</v>
      </c>
      <c r="G43" s="91"/>
      <c r="H43" s="63" t="s">
        <v>1344</v>
      </c>
      <c r="I43" s="72">
        <v>7500</v>
      </c>
      <c r="J43" s="127"/>
    </row>
    <row r="44" spans="1:10" s="87" customFormat="1" ht="33" customHeight="1" x14ac:dyDescent="0.6">
      <c r="A44" s="9"/>
      <c r="B44" s="63"/>
      <c r="C44" s="14"/>
      <c r="D44" s="153">
        <v>45838</v>
      </c>
      <c r="E44" s="210" t="s">
        <v>1640</v>
      </c>
      <c r="F44" s="155">
        <v>400000</v>
      </c>
      <c r="G44" s="91"/>
      <c r="H44" s="63" t="s">
        <v>1345</v>
      </c>
      <c r="I44" s="72">
        <v>35000</v>
      </c>
      <c r="J44" s="127"/>
    </row>
    <row r="45" spans="1:10" s="87" customFormat="1" ht="33" customHeight="1" x14ac:dyDescent="0.6">
      <c r="A45" s="9"/>
      <c r="B45" s="63"/>
      <c r="C45" s="14"/>
      <c r="D45" s="153">
        <v>45838</v>
      </c>
      <c r="E45" s="210" t="s">
        <v>1720</v>
      </c>
      <c r="F45" s="155">
        <v>977820</v>
      </c>
      <c r="G45" s="91"/>
      <c r="H45" s="63" t="s">
        <v>1346</v>
      </c>
      <c r="I45" s="72">
        <v>105000</v>
      </c>
      <c r="J45" s="127"/>
    </row>
    <row r="46" spans="1:10" s="87" customFormat="1" ht="33" customHeight="1" x14ac:dyDescent="0.6">
      <c r="A46" s="9"/>
      <c r="B46" s="63"/>
      <c r="C46" s="14"/>
      <c r="D46" s="14"/>
      <c r="E46" s="14"/>
      <c r="F46" s="14"/>
      <c r="G46" s="91"/>
      <c r="H46" s="63" t="s">
        <v>1365</v>
      </c>
      <c r="I46" s="72">
        <v>120000</v>
      </c>
      <c r="J46" s="127"/>
    </row>
    <row r="47" spans="1:10" s="87" customFormat="1" ht="33" customHeight="1" x14ac:dyDescent="0.6">
      <c r="A47" s="9"/>
      <c r="B47" s="63"/>
      <c r="C47" s="14"/>
      <c r="D47" s="91"/>
      <c r="E47" s="64"/>
      <c r="F47" s="72"/>
      <c r="G47" s="91"/>
      <c r="H47" s="63" t="s">
        <v>1347</v>
      </c>
      <c r="I47" s="72">
        <v>6060</v>
      </c>
      <c r="J47" s="127"/>
    </row>
    <row r="48" spans="1:10" s="87" customFormat="1" ht="33" customHeight="1" x14ac:dyDescent="0.6">
      <c r="A48" s="9"/>
      <c r="B48" s="63"/>
      <c r="C48" s="14"/>
      <c r="D48" s="91"/>
      <c r="E48" s="64"/>
      <c r="F48" s="72"/>
      <c r="G48" s="91"/>
      <c r="H48" s="63" t="s">
        <v>1348</v>
      </c>
      <c r="I48" s="72">
        <v>694730</v>
      </c>
      <c r="J48" s="127"/>
    </row>
    <row r="49" spans="1:10" s="87" customFormat="1" ht="33" customHeight="1" x14ac:dyDescent="0.6">
      <c r="A49" s="9"/>
      <c r="B49" s="63"/>
      <c r="C49" s="14"/>
      <c r="D49" s="91"/>
      <c r="E49" s="64"/>
      <c r="F49" s="72"/>
      <c r="G49" s="91"/>
      <c r="H49" s="63" t="s">
        <v>1349</v>
      </c>
      <c r="I49" s="72">
        <v>240000</v>
      </c>
      <c r="J49" s="127"/>
    </row>
    <row r="50" spans="1:10" s="87" customFormat="1" ht="33" customHeight="1" x14ac:dyDescent="0.6">
      <c r="A50" s="9"/>
      <c r="B50" s="63"/>
      <c r="C50" s="14"/>
      <c r="D50" s="91"/>
      <c r="E50" s="64"/>
      <c r="F50" s="72"/>
      <c r="G50" s="91"/>
      <c r="H50" s="63" t="s">
        <v>1350</v>
      </c>
      <c r="I50" s="72">
        <v>10100</v>
      </c>
      <c r="J50" s="127"/>
    </row>
    <row r="51" spans="1:10" s="87" customFormat="1" ht="33" customHeight="1" x14ac:dyDescent="0.6">
      <c r="A51" s="9"/>
      <c r="B51" s="63"/>
      <c r="C51" s="14"/>
      <c r="D51" s="91"/>
      <c r="E51" s="64"/>
      <c r="F51" s="72"/>
      <c r="G51" s="91"/>
      <c r="H51" s="63" t="s">
        <v>1351</v>
      </c>
      <c r="I51" s="72">
        <v>120000</v>
      </c>
      <c r="J51" s="127"/>
    </row>
    <row r="52" spans="1:10" s="87" customFormat="1" ht="33" customHeight="1" x14ac:dyDescent="0.6">
      <c r="A52" s="9"/>
      <c r="B52" s="63"/>
      <c r="C52" s="14"/>
      <c r="D52" s="91"/>
      <c r="E52" s="64"/>
      <c r="F52" s="72"/>
      <c r="G52" s="91"/>
      <c r="H52" s="63" t="s">
        <v>1721</v>
      </c>
      <c r="I52" s="72">
        <v>30300</v>
      </c>
      <c r="J52" s="127"/>
    </row>
    <row r="53" spans="1:10" s="87" customFormat="1" ht="33" customHeight="1" x14ac:dyDescent="0.6">
      <c r="A53" s="9"/>
      <c r="B53" s="63"/>
      <c r="C53" s="14"/>
      <c r="D53" s="91"/>
      <c r="E53" s="64"/>
      <c r="F53" s="72"/>
      <c r="G53" s="91"/>
      <c r="H53" s="63" t="s">
        <v>1462</v>
      </c>
      <c r="I53" s="72">
        <v>1000000</v>
      </c>
      <c r="J53" s="127"/>
    </row>
    <row r="54" spans="1:10" s="87" customFormat="1" ht="33" customHeight="1" x14ac:dyDescent="0.6">
      <c r="A54" s="9"/>
      <c r="B54" s="63"/>
      <c r="C54" s="14"/>
      <c r="D54" s="91"/>
      <c r="E54" s="64"/>
      <c r="F54" s="72"/>
      <c r="G54" s="91"/>
      <c r="H54" s="63" t="s">
        <v>1352</v>
      </c>
      <c r="I54" s="72">
        <v>151500</v>
      </c>
      <c r="J54" s="127"/>
    </row>
    <row r="55" spans="1:10" s="87" customFormat="1" ht="33" customHeight="1" x14ac:dyDescent="0.6">
      <c r="A55" s="9"/>
      <c r="B55" s="63"/>
      <c r="C55" s="14"/>
      <c r="D55" s="91"/>
      <c r="E55" s="64"/>
      <c r="F55" s="72"/>
      <c r="G55" s="91"/>
      <c r="H55" s="63" t="s">
        <v>1353</v>
      </c>
      <c r="I55" s="72">
        <v>80800</v>
      </c>
      <c r="J55" s="127"/>
    </row>
    <row r="56" spans="1:10" s="87" customFormat="1" ht="33" customHeight="1" x14ac:dyDescent="0.6">
      <c r="A56" s="9"/>
      <c r="B56" s="63"/>
      <c r="C56" s="14"/>
      <c r="D56" s="91"/>
      <c r="E56" s="64"/>
      <c r="F56" s="72"/>
      <c r="G56" s="91"/>
      <c r="H56" s="63" t="s">
        <v>1354</v>
      </c>
      <c r="I56" s="72">
        <v>202000</v>
      </c>
      <c r="J56" s="127"/>
    </row>
    <row r="57" spans="1:10" s="87" customFormat="1" ht="33" customHeight="1" x14ac:dyDescent="0.6">
      <c r="A57" s="9"/>
      <c r="B57" s="63"/>
      <c r="C57" s="14"/>
      <c r="D57" s="91"/>
      <c r="E57" s="64"/>
      <c r="F57" s="72"/>
      <c r="G57" s="91"/>
      <c r="H57" s="63" t="s">
        <v>1355</v>
      </c>
      <c r="I57" s="72">
        <v>252500</v>
      </c>
      <c r="J57" s="127"/>
    </row>
    <row r="58" spans="1:10" s="87" customFormat="1" ht="33" customHeight="1" x14ac:dyDescent="0.6">
      <c r="A58" s="9"/>
      <c r="B58" s="63"/>
      <c r="C58" s="14"/>
      <c r="D58" s="91"/>
      <c r="E58" s="64"/>
      <c r="F58" s="72"/>
      <c r="G58" s="91"/>
      <c r="H58" s="63" t="s">
        <v>1356</v>
      </c>
      <c r="I58" s="72">
        <v>151500</v>
      </c>
      <c r="J58" s="127"/>
    </row>
    <row r="59" spans="1:10" s="87" customFormat="1" ht="33" customHeight="1" x14ac:dyDescent="0.6">
      <c r="A59" s="9"/>
      <c r="B59" s="63"/>
      <c r="C59" s="14"/>
      <c r="D59" s="91"/>
      <c r="E59" s="64"/>
      <c r="F59" s="72"/>
      <c r="G59" s="91"/>
      <c r="H59" s="63" t="s">
        <v>1357</v>
      </c>
      <c r="I59" s="72">
        <v>202000</v>
      </c>
      <c r="J59" s="127"/>
    </row>
    <row r="60" spans="1:10" s="87" customFormat="1" ht="33" customHeight="1" x14ac:dyDescent="0.6">
      <c r="A60" s="9"/>
      <c r="B60" s="63"/>
      <c r="C60" s="14"/>
      <c r="D60" s="91"/>
      <c r="E60" s="64"/>
      <c r="F60" s="72"/>
      <c r="G60" s="91"/>
      <c r="H60" s="63" t="s">
        <v>1358</v>
      </c>
      <c r="I60" s="72">
        <v>148975</v>
      </c>
      <c r="J60" s="127"/>
    </row>
    <row r="61" spans="1:10" s="87" customFormat="1" ht="33" customHeight="1" x14ac:dyDescent="0.6">
      <c r="A61" s="9"/>
      <c r="B61" s="63"/>
      <c r="C61" s="14"/>
      <c r="D61" s="91"/>
      <c r="E61" s="64"/>
      <c r="F61" s="72"/>
      <c r="G61" s="91"/>
      <c r="H61" s="63" t="s">
        <v>1359</v>
      </c>
      <c r="I61" s="72">
        <v>151500</v>
      </c>
      <c r="J61" s="127"/>
    </row>
    <row r="62" spans="1:10" s="87" customFormat="1" ht="33" customHeight="1" x14ac:dyDescent="0.6">
      <c r="A62" s="9"/>
      <c r="B62" s="63"/>
      <c r="C62" s="14"/>
      <c r="D62" s="91"/>
      <c r="E62" s="64"/>
      <c r="F62" s="72"/>
      <c r="G62" s="91"/>
      <c r="H62" s="63" t="s">
        <v>1360</v>
      </c>
      <c r="I62" s="72">
        <v>80800</v>
      </c>
      <c r="J62" s="127"/>
    </row>
    <row r="63" spans="1:10" s="87" customFormat="1" ht="33" customHeight="1" x14ac:dyDescent="0.6">
      <c r="A63" s="9"/>
      <c r="B63" s="63"/>
      <c r="C63" s="14"/>
      <c r="D63" s="91"/>
      <c r="E63" s="64"/>
      <c r="F63" s="72"/>
      <c r="G63" s="91"/>
      <c r="H63" s="63" t="s">
        <v>1361</v>
      </c>
      <c r="I63" s="72">
        <v>181800</v>
      </c>
      <c r="J63" s="127"/>
    </row>
    <row r="64" spans="1:10" s="87" customFormat="1" ht="33" customHeight="1" x14ac:dyDescent="0.6">
      <c r="A64" s="9"/>
      <c r="B64" s="63"/>
      <c r="C64" s="14"/>
      <c r="D64" s="91"/>
      <c r="E64" s="64"/>
      <c r="F64" s="72"/>
      <c r="G64" s="91"/>
      <c r="H64" s="63" t="s">
        <v>1362</v>
      </c>
      <c r="I64" s="72">
        <v>202000</v>
      </c>
      <c r="J64" s="127"/>
    </row>
    <row r="65" spans="1:10" s="87" customFormat="1" ht="33" customHeight="1" x14ac:dyDescent="0.6">
      <c r="A65" s="9"/>
      <c r="B65" s="63"/>
      <c r="C65" s="14"/>
      <c r="D65" s="91"/>
      <c r="E65" s="64"/>
      <c r="F65" s="72"/>
      <c r="G65" s="91"/>
      <c r="H65" s="63" t="s">
        <v>1363</v>
      </c>
      <c r="I65" s="72">
        <v>148975</v>
      </c>
      <c r="J65" s="127"/>
    </row>
    <row r="66" spans="1:10" s="87" customFormat="1" ht="33" customHeight="1" x14ac:dyDescent="0.6">
      <c r="A66" s="9"/>
      <c r="B66" s="63"/>
      <c r="C66" s="14"/>
      <c r="D66" s="91"/>
      <c r="E66" s="64"/>
      <c r="F66" s="72"/>
      <c r="G66" s="91"/>
      <c r="H66" s="63" t="s">
        <v>1496</v>
      </c>
      <c r="I66" s="72">
        <v>17000</v>
      </c>
      <c r="J66" s="127"/>
    </row>
    <row r="67" spans="1:10" s="87" customFormat="1" ht="33" customHeight="1" x14ac:dyDescent="0.6">
      <c r="A67" s="9"/>
      <c r="B67" s="63"/>
      <c r="C67" s="14"/>
      <c r="D67" s="91"/>
      <c r="E67" s="64"/>
      <c r="F67" s="72"/>
      <c r="G67" s="91">
        <v>45813</v>
      </c>
      <c r="H67" s="63" t="s">
        <v>1439</v>
      </c>
      <c r="I67" s="72">
        <v>3535</v>
      </c>
      <c r="J67" s="127"/>
    </row>
    <row r="68" spans="1:10" s="87" customFormat="1" ht="33" customHeight="1" x14ac:dyDescent="0.6">
      <c r="A68" s="9"/>
      <c r="B68" s="63"/>
      <c r="C68" s="14"/>
      <c r="D68" s="91"/>
      <c r="E68" s="64"/>
      <c r="F68" s="72"/>
      <c r="G68" s="91"/>
      <c r="H68" s="63" t="s">
        <v>1364</v>
      </c>
      <c r="I68" s="72">
        <v>95950</v>
      </c>
      <c r="J68" s="127"/>
    </row>
    <row r="69" spans="1:10" s="87" customFormat="1" ht="33" customHeight="1" x14ac:dyDescent="0.6">
      <c r="A69" s="9"/>
      <c r="B69" s="63"/>
      <c r="C69" s="14"/>
      <c r="D69" s="91"/>
      <c r="E69" s="64"/>
      <c r="F69" s="72"/>
      <c r="G69" s="91"/>
      <c r="H69" s="63" t="s">
        <v>1366</v>
      </c>
      <c r="I69" s="72">
        <v>30300</v>
      </c>
      <c r="J69" s="127"/>
    </row>
    <row r="70" spans="1:10" s="87" customFormat="1" ht="33" customHeight="1" x14ac:dyDescent="0.6">
      <c r="A70" s="9"/>
      <c r="B70" s="63"/>
      <c r="C70" s="14"/>
      <c r="D70" s="91"/>
      <c r="E70" s="64"/>
      <c r="F70" s="72"/>
      <c r="G70" s="91"/>
      <c r="H70" s="63" t="s">
        <v>1722</v>
      </c>
      <c r="I70" s="72">
        <v>39895</v>
      </c>
      <c r="J70" s="127"/>
    </row>
    <row r="71" spans="1:10" s="87" customFormat="1" ht="33" customHeight="1" x14ac:dyDescent="0.6">
      <c r="A71" s="9"/>
      <c r="B71" s="63"/>
      <c r="C71" s="14"/>
      <c r="D71" s="91"/>
      <c r="E71" s="64"/>
      <c r="F71" s="72"/>
      <c r="G71" s="91"/>
      <c r="H71" s="63" t="s">
        <v>1012</v>
      </c>
      <c r="I71" s="72">
        <f>202000+50000+202000</f>
        <v>454000</v>
      </c>
      <c r="J71" s="127"/>
    </row>
    <row r="72" spans="1:10" s="87" customFormat="1" ht="33" customHeight="1" x14ac:dyDescent="0.6">
      <c r="A72" s="9"/>
      <c r="B72" s="63"/>
      <c r="C72" s="14"/>
      <c r="D72" s="91"/>
      <c r="E72" s="64"/>
      <c r="F72" s="72"/>
      <c r="G72" s="91"/>
      <c r="H72" s="63" t="s">
        <v>1368</v>
      </c>
      <c r="I72" s="72">
        <v>265000</v>
      </c>
      <c r="J72" s="127"/>
    </row>
    <row r="73" spans="1:10" s="87" customFormat="1" ht="33" customHeight="1" x14ac:dyDescent="0.6">
      <c r="A73" s="9"/>
      <c r="B73" s="63"/>
      <c r="C73" s="14"/>
      <c r="D73" s="91"/>
      <c r="E73" s="64"/>
      <c r="F73" s="72"/>
      <c r="G73" s="91"/>
      <c r="H73" s="63" t="s">
        <v>1369</v>
      </c>
      <c r="I73" s="72">
        <v>151500</v>
      </c>
      <c r="J73" s="127"/>
    </row>
    <row r="74" spans="1:10" s="87" customFormat="1" ht="33" customHeight="1" x14ac:dyDescent="0.6">
      <c r="A74" s="9"/>
      <c r="B74" s="63"/>
      <c r="C74" s="14"/>
      <c r="D74" s="91"/>
      <c r="E74" s="64"/>
      <c r="F74" s="72"/>
      <c r="G74" s="91"/>
      <c r="H74" s="63" t="s">
        <v>1370</v>
      </c>
      <c r="I74" s="72">
        <v>151500</v>
      </c>
      <c r="J74" s="127"/>
    </row>
    <row r="75" spans="1:10" s="87" customFormat="1" ht="33" customHeight="1" x14ac:dyDescent="0.6">
      <c r="A75" s="9"/>
      <c r="B75" s="63"/>
      <c r="C75" s="14"/>
      <c r="D75" s="91"/>
      <c r="E75" s="64"/>
      <c r="F75" s="72"/>
      <c r="G75" s="91"/>
      <c r="H75" s="63" t="s">
        <v>1371</v>
      </c>
      <c r="I75" s="72">
        <v>151500</v>
      </c>
      <c r="J75" s="127"/>
    </row>
    <row r="76" spans="1:10" s="87" customFormat="1" ht="33" customHeight="1" x14ac:dyDescent="0.6">
      <c r="A76" s="9"/>
      <c r="B76" s="63"/>
      <c r="C76" s="14"/>
      <c r="D76" s="91"/>
      <c r="E76" s="64"/>
      <c r="F76" s="72"/>
      <c r="G76" s="91"/>
      <c r="H76" s="63" t="s">
        <v>1372</v>
      </c>
      <c r="I76" s="72">
        <v>151500</v>
      </c>
      <c r="J76" s="127"/>
    </row>
    <row r="77" spans="1:10" s="87" customFormat="1" ht="33" customHeight="1" x14ac:dyDescent="0.6">
      <c r="A77" s="9"/>
      <c r="B77" s="63"/>
      <c r="C77" s="14"/>
      <c r="D77" s="91"/>
      <c r="E77" s="64"/>
      <c r="F77" s="72"/>
      <c r="G77" s="91"/>
      <c r="H77" s="63" t="s">
        <v>1373</v>
      </c>
      <c r="I77" s="72">
        <v>151500</v>
      </c>
      <c r="J77" s="127"/>
    </row>
    <row r="78" spans="1:10" s="87" customFormat="1" ht="33" customHeight="1" x14ac:dyDescent="0.6">
      <c r="A78" s="9"/>
      <c r="B78" s="63"/>
      <c r="C78" s="14"/>
      <c r="D78" s="91"/>
      <c r="E78" s="64"/>
      <c r="F78" s="72"/>
      <c r="G78" s="91"/>
      <c r="H78" s="63" t="s">
        <v>1374</v>
      </c>
      <c r="I78" s="72">
        <v>202000</v>
      </c>
      <c r="J78" s="127"/>
    </row>
    <row r="79" spans="1:10" s="87" customFormat="1" ht="33" customHeight="1" x14ac:dyDescent="0.6">
      <c r="A79" s="9"/>
      <c r="B79" s="63"/>
      <c r="C79" s="14"/>
      <c r="D79" s="91"/>
      <c r="E79" s="64"/>
      <c r="F79" s="72"/>
      <c r="G79" s="91"/>
      <c r="H79" s="63" t="s">
        <v>1375</v>
      </c>
      <c r="I79" s="72">
        <v>20000</v>
      </c>
      <c r="J79" s="127"/>
    </row>
    <row r="80" spans="1:10" s="87" customFormat="1" ht="33" customHeight="1" x14ac:dyDescent="0.6">
      <c r="A80" s="9"/>
      <c r="B80" s="63"/>
      <c r="C80" s="14"/>
      <c r="D80" s="91"/>
      <c r="E80" s="64"/>
      <c r="F80" s="72"/>
      <c r="G80" s="91"/>
      <c r="H80" s="63" t="s">
        <v>1376</v>
      </c>
      <c r="I80" s="72">
        <v>75750</v>
      </c>
      <c r="J80" s="127"/>
    </row>
    <row r="81" spans="1:10" s="87" customFormat="1" ht="33" customHeight="1" x14ac:dyDescent="0.6">
      <c r="A81" s="9"/>
      <c r="B81" s="63"/>
      <c r="C81" s="14"/>
      <c r="D81" s="91"/>
      <c r="E81" s="64"/>
      <c r="F81" s="72"/>
      <c r="G81" s="91"/>
      <c r="H81" s="63" t="s">
        <v>1518</v>
      </c>
      <c r="I81" s="72">
        <v>1800000</v>
      </c>
      <c r="J81" s="127"/>
    </row>
    <row r="82" spans="1:10" s="87" customFormat="1" ht="33" customHeight="1" x14ac:dyDescent="0.6">
      <c r="A82" s="9"/>
      <c r="B82" s="63"/>
      <c r="C82" s="14"/>
      <c r="D82" s="91"/>
      <c r="E82" s="64"/>
      <c r="F82" s="72"/>
      <c r="G82" s="91"/>
      <c r="H82" s="63" t="s">
        <v>1254</v>
      </c>
      <c r="I82" s="72">
        <v>17820</v>
      </c>
      <c r="J82" s="127"/>
    </row>
    <row r="83" spans="1:10" s="87" customFormat="1" ht="33" customHeight="1" x14ac:dyDescent="0.6">
      <c r="A83" s="9"/>
      <c r="B83" s="63"/>
      <c r="C83" s="14"/>
      <c r="D83" s="91"/>
      <c r="E83" s="64"/>
      <c r="F83" s="72"/>
      <c r="G83" s="91"/>
      <c r="H83" s="63" t="s">
        <v>1379</v>
      </c>
      <c r="I83" s="72">
        <v>500</v>
      </c>
      <c r="J83" s="127"/>
    </row>
    <row r="84" spans="1:10" s="87" customFormat="1" ht="33" customHeight="1" x14ac:dyDescent="0.6">
      <c r="A84" s="9"/>
      <c r="B84" s="63"/>
      <c r="C84" s="14"/>
      <c r="D84" s="91"/>
      <c r="E84" s="64"/>
      <c r="F84" s="72"/>
      <c r="G84" s="91"/>
      <c r="H84" s="63" t="s">
        <v>1380</v>
      </c>
      <c r="I84" s="72">
        <v>1000</v>
      </c>
      <c r="J84" s="127"/>
    </row>
    <row r="85" spans="1:10" s="87" customFormat="1" ht="33" customHeight="1" x14ac:dyDescent="0.6">
      <c r="A85" s="9"/>
      <c r="B85" s="63"/>
      <c r="C85" s="14"/>
      <c r="D85" s="91"/>
      <c r="E85" s="64"/>
      <c r="F85" s="72"/>
      <c r="G85" s="91"/>
      <c r="H85" s="63" t="s">
        <v>1381</v>
      </c>
      <c r="I85" s="72">
        <v>60000</v>
      </c>
      <c r="J85" s="127"/>
    </row>
    <row r="86" spans="1:10" s="87" customFormat="1" ht="33" customHeight="1" x14ac:dyDescent="0.6">
      <c r="A86" s="9"/>
      <c r="B86" s="63"/>
      <c r="C86" s="14"/>
      <c r="D86" s="91"/>
      <c r="E86" s="64"/>
      <c r="F86" s="72"/>
      <c r="G86" s="91"/>
      <c r="H86" s="63" t="s">
        <v>1382</v>
      </c>
      <c r="I86" s="72">
        <v>350000</v>
      </c>
      <c r="J86" s="127"/>
    </row>
    <row r="87" spans="1:10" s="87" customFormat="1" ht="33" customHeight="1" x14ac:dyDescent="0.6">
      <c r="A87" s="9"/>
      <c r="B87" s="63"/>
      <c r="C87" s="14"/>
      <c r="D87" s="91"/>
      <c r="E87" s="64"/>
      <c r="F87" s="72"/>
      <c r="G87" s="91"/>
      <c r="H87" s="63" t="s">
        <v>1383</v>
      </c>
      <c r="I87" s="72">
        <v>60000</v>
      </c>
      <c r="J87" s="127"/>
    </row>
    <row r="88" spans="1:10" s="87" customFormat="1" ht="33" customHeight="1" x14ac:dyDescent="0.6">
      <c r="A88" s="9"/>
      <c r="B88" s="63"/>
      <c r="C88" s="14"/>
      <c r="D88" s="91"/>
      <c r="E88" s="64"/>
      <c r="F88" s="72"/>
      <c r="G88" s="91"/>
      <c r="H88" s="63" t="s">
        <v>1384</v>
      </c>
      <c r="I88" s="72">
        <v>60000</v>
      </c>
      <c r="J88" s="127"/>
    </row>
    <row r="89" spans="1:10" s="87" customFormat="1" ht="33" customHeight="1" x14ac:dyDescent="0.6">
      <c r="A89" s="9"/>
      <c r="B89" s="63"/>
      <c r="C89" s="14"/>
      <c r="D89" s="91"/>
      <c r="E89" s="64"/>
      <c r="F89" s="72"/>
      <c r="G89" s="91"/>
      <c r="H89" s="63" t="s">
        <v>1386</v>
      </c>
      <c r="I89" s="72">
        <f>25250+191900</f>
        <v>217150</v>
      </c>
      <c r="J89" s="127"/>
    </row>
    <row r="90" spans="1:10" s="87" customFormat="1" ht="33" customHeight="1" x14ac:dyDescent="0.6">
      <c r="A90" s="9"/>
      <c r="B90" s="63"/>
      <c r="C90" s="14"/>
      <c r="D90" s="91"/>
      <c r="E90" s="64"/>
      <c r="F90" s="72"/>
      <c r="G90" s="91"/>
      <c r="H90" s="63" t="s">
        <v>1385</v>
      </c>
      <c r="I90" s="72">
        <v>111100</v>
      </c>
      <c r="J90" s="127"/>
    </row>
    <row r="91" spans="1:10" s="87" customFormat="1" ht="33" customHeight="1" x14ac:dyDescent="0.6">
      <c r="A91" s="9"/>
      <c r="B91" s="63"/>
      <c r="C91" s="14"/>
      <c r="D91" s="91"/>
      <c r="E91" s="64"/>
      <c r="F91" s="72"/>
      <c r="G91" s="91"/>
      <c r="H91" s="63" t="s">
        <v>1387</v>
      </c>
      <c r="I91" s="72">
        <v>131300</v>
      </c>
      <c r="J91" s="127"/>
    </row>
    <row r="92" spans="1:10" s="87" customFormat="1" ht="33" customHeight="1" x14ac:dyDescent="0.6">
      <c r="A92" s="9"/>
      <c r="B92" s="63"/>
      <c r="C92" s="14"/>
      <c r="D92" s="91"/>
      <c r="E92" s="64"/>
      <c r="F92" s="72"/>
      <c r="G92" s="91"/>
      <c r="H92" s="63" t="s">
        <v>1388</v>
      </c>
      <c r="I92" s="72">
        <v>202000</v>
      </c>
      <c r="J92" s="127"/>
    </row>
    <row r="93" spans="1:10" s="87" customFormat="1" ht="33" customHeight="1" x14ac:dyDescent="0.6">
      <c r="A93" s="9"/>
      <c r="B93" s="63"/>
      <c r="C93" s="14"/>
      <c r="D93" s="91"/>
      <c r="E93" s="64"/>
      <c r="F93" s="72"/>
      <c r="G93" s="91"/>
      <c r="H93" s="63" t="s">
        <v>1389</v>
      </c>
      <c r="I93" s="72">
        <v>252500</v>
      </c>
      <c r="J93" s="127"/>
    </row>
    <row r="94" spans="1:10" s="87" customFormat="1" ht="33" customHeight="1" x14ac:dyDescent="0.6">
      <c r="A94" s="9"/>
      <c r="B94" s="63"/>
      <c r="C94" s="14"/>
      <c r="D94" s="91"/>
      <c r="E94" s="64"/>
      <c r="F94" s="72"/>
      <c r="G94" s="91"/>
      <c r="H94" s="63" t="s">
        <v>1723</v>
      </c>
      <c r="I94" s="72">
        <v>252500</v>
      </c>
      <c r="J94" s="127"/>
    </row>
    <row r="95" spans="1:10" s="87" customFormat="1" ht="33" customHeight="1" x14ac:dyDescent="0.6">
      <c r="A95" s="9"/>
      <c r="B95" s="63"/>
      <c r="C95" s="14"/>
      <c r="D95" s="91"/>
      <c r="E95" s="64"/>
      <c r="F95" s="72"/>
      <c r="G95" s="91"/>
      <c r="H95" s="63" t="s">
        <v>1390</v>
      </c>
      <c r="I95" s="72">
        <v>3500</v>
      </c>
      <c r="J95" s="127"/>
    </row>
    <row r="96" spans="1:10" s="87" customFormat="1" ht="33" customHeight="1" x14ac:dyDescent="0.6">
      <c r="A96" s="9"/>
      <c r="B96" s="63"/>
      <c r="C96" s="14"/>
      <c r="D96" s="91"/>
      <c r="E96" s="64"/>
      <c r="F96" s="72"/>
      <c r="G96" s="91"/>
      <c r="H96" s="63" t="s">
        <v>1724</v>
      </c>
      <c r="I96" s="72">
        <v>8080</v>
      </c>
      <c r="J96" s="127"/>
    </row>
    <row r="97" spans="1:10" s="87" customFormat="1" ht="33" customHeight="1" x14ac:dyDescent="0.6">
      <c r="A97" s="9"/>
      <c r="B97" s="63"/>
      <c r="C97" s="14"/>
      <c r="D97" s="91"/>
      <c r="E97" s="64"/>
      <c r="F97" s="72"/>
      <c r="G97" s="91"/>
      <c r="H97" s="63" t="s">
        <v>1725</v>
      </c>
      <c r="I97" s="72">
        <v>265985</v>
      </c>
      <c r="J97" s="127"/>
    </row>
    <row r="98" spans="1:10" s="87" customFormat="1" ht="33" customHeight="1" x14ac:dyDescent="0.6">
      <c r="A98" s="9"/>
      <c r="B98" s="63"/>
      <c r="C98" s="14"/>
      <c r="D98" s="91"/>
      <c r="E98" s="64"/>
      <c r="F98" s="72"/>
      <c r="G98" s="91"/>
      <c r="H98" s="63" t="s">
        <v>1398</v>
      </c>
      <c r="I98" s="72">
        <v>129280</v>
      </c>
      <c r="J98" s="127"/>
    </row>
    <row r="99" spans="1:10" s="87" customFormat="1" ht="33" customHeight="1" x14ac:dyDescent="0.6">
      <c r="A99" s="9"/>
      <c r="B99" s="63"/>
      <c r="C99" s="14"/>
      <c r="D99" s="91"/>
      <c r="E99" s="64"/>
      <c r="F99" s="72"/>
      <c r="G99" s="91">
        <v>45816</v>
      </c>
      <c r="H99" s="63" t="s">
        <v>1726</v>
      </c>
      <c r="I99" s="72">
        <v>10100</v>
      </c>
      <c r="J99" s="127"/>
    </row>
    <row r="100" spans="1:10" s="87" customFormat="1" ht="33" customHeight="1" x14ac:dyDescent="0.6">
      <c r="A100" s="9"/>
      <c r="B100" s="63"/>
      <c r="C100" s="14"/>
      <c r="D100" s="91"/>
      <c r="E100" s="64"/>
      <c r="F100" s="72"/>
      <c r="G100" s="91"/>
      <c r="H100" s="63" t="s">
        <v>1394</v>
      </c>
      <c r="I100" s="72">
        <v>7070</v>
      </c>
      <c r="J100" s="127"/>
    </row>
    <row r="101" spans="1:10" s="87" customFormat="1" ht="33" customHeight="1" x14ac:dyDescent="0.6">
      <c r="A101" s="9"/>
      <c r="B101" s="63"/>
      <c r="C101" s="14"/>
      <c r="D101" s="91"/>
      <c r="E101" s="64"/>
      <c r="F101" s="72"/>
      <c r="G101" s="91">
        <v>45818</v>
      </c>
      <c r="H101" s="63" t="s">
        <v>1392</v>
      </c>
      <c r="I101" s="72">
        <v>14140</v>
      </c>
      <c r="J101" s="127"/>
    </row>
    <row r="102" spans="1:10" s="87" customFormat="1" ht="33" customHeight="1" x14ac:dyDescent="0.6">
      <c r="A102" s="9"/>
      <c r="B102" s="63"/>
      <c r="C102" s="14"/>
      <c r="D102" s="91"/>
      <c r="E102" s="64"/>
      <c r="F102" s="72"/>
      <c r="G102" s="91">
        <v>45818</v>
      </c>
      <c r="H102" s="63" t="s">
        <v>1393</v>
      </c>
      <c r="I102" s="72">
        <v>1500</v>
      </c>
      <c r="J102" s="127"/>
    </row>
    <row r="103" spans="1:10" s="87" customFormat="1" ht="33" customHeight="1" x14ac:dyDescent="0.6">
      <c r="A103" s="9"/>
      <c r="B103" s="63"/>
      <c r="C103" s="14"/>
      <c r="D103" s="91"/>
      <c r="E103" s="64"/>
      <c r="F103" s="72"/>
      <c r="G103" s="91">
        <v>45818</v>
      </c>
      <c r="H103" s="63" t="s">
        <v>1410</v>
      </c>
      <c r="I103" s="72">
        <v>5050</v>
      </c>
      <c r="J103" s="127"/>
    </row>
    <row r="104" spans="1:10" s="87" customFormat="1" ht="33" customHeight="1" x14ac:dyDescent="0.6">
      <c r="A104" s="9"/>
      <c r="B104" s="63"/>
      <c r="C104" s="14"/>
      <c r="D104" s="91"/>
      <c r="E104" s="64"/>
      <c r="F104" s="72"/>
      <c r="G104" s="91">
        <v>45818</v>
      </c>
      <c r="H104" s="63" t="s">
        <v>1411</v>
      </c>
      <c r="I104" s="72">
        <v>17000</v>
      </c>
      <c r="J104" s="127"/>
    </row>
    <row r="105" spans="1:10" s="87" customFormat="1" ht="33" customHeight="1" x14ac:dyDescent="0.6">
      <c r="A105" s="9"/>
      <c r="B105" s="63"/>
      <c r="C105" s="14"/>
      <c r="D105" s="91"/>
      <c r="E105" s="64"/>
      <c r="F105" s="72"/>
      <c r="G105" s="91">
        <v>45818</v>
      </c>
      <c r="H105" s="63" t="s">
        <v>1412</v>
      </c>
      <c r="I105" s="72">
        <v>2000</v>
      </c>
      <c r="J105" s="127"/>
    </row>
    <row r="106" spans="1:10" s="87" customFormat="1" ht="33" customHeight="1" x14ac:dyDescent="0.6">
      <c r="A106" s="9"/>
      <c r="B106" s="63"/>
      <c r="C106" s="14"/>
      <c r="D106" s="91"/>
      <c r="E106" s="64"/>
      <c r="F106" s="72"/>
      <c r="G106" s="91">
        <v>45818</v>
      </c>
      <c r="H106" s="63" t="s">
        <v>1414</v>
      </c>
      <c r="I106" s="72">
        <v>131300</v>
      </c>
      <c r="J106" s="127"/>
    </row>
    <row r="107" spans="1:10" s="87" customFormat="1" ht="33" customHeight="1" x14ac:dyDescent="0.6">
      <c r="A107" s="9"/>
      <c r="B107" s="63"/>
      <c r="C107" s="14"/>
      <c r="D107" s="91"/>
      <c r="E107" s="64"/>
      <c r="F107" s="72"/>
      <c r="G107" s="91">
        <v>45818</v>
      </c>
      <c r="H107" s="63" t="s">
        <v>1415</v>
      </c>
      <c r="I107" s="72">
        <v>50500</v>
      </c>
      <c r="J107" s="127"/>
    </row>
    <row r="108" spans="1:10" s="87" customFormat="1" ht="33" customHeight="1" x14ac:dyDescent="0.6">
      <c r="A108" s="9"/>
      <c r="B108" s="63"/>
      <c r="C108" s="14"/>
      <c r="D108" s="91"/>
      <c r="E108" s="64"/>
      <c r="F108" s="72"/>
      <c r="G108" s="91">
        <v>45818</v>
      </c>
      <c r="H108" s="63" t="s">
        <v>1416</v>
      </c>
      <c r="I108" s="72">
        <v>45450</v>
      </c>
      <c r="J108" s="127"/>
    </row>
    <row r="109" spans="1:10" s="87" customFormat="1" ht="33" customHeight="1" x14ac:dyDescent="0.6">
      <c r="A109" s="9"/>
      <c r="B109" s="63"/>
      <c r="C109" s="14"/>
      <c r="D109" s="91"/>
      <c r="E109" s="64"/>
      <c r="F109" s="72"/>
      <c r="G109" s="91">
        <v>45818</v>
      </c>
      <c r="H109" s="63" t="s">
        <v>1417</v>
      </c>
      <c r="I109" s="72">
        <v>40400</v>
      </c>
      <c r="J109" s="127"/>
    </row>
    <row r="110" spans="1:10" s="87" customFormat="1" ht="33" customHeight="1" x14ac:dyDescent="0.6">
      <c r="A110" s="9"/>
      <c r="B110" s="63"/>
      <c r="C110" s="14"/>
      <c r="D110" s="91"/>
      <c r="E110" s="64"/>
      <c r="F110" s="72"/>
      <c r="G110" s="91">
        <v>45818</v>
      </c>
      <c r="H110" s="63" t="s">
        <v>1418</v>
      </c>
      <c r="I110" s="72">
        <v>348450</v>
      </c>
      <c r="J110" s="127"/>
    </row>
    <row r="111" spans="1:10" s="87" customFormat="1" ht="33" customHeight="1" x14ac:dyDescent="0.6">
      <c r="A111" s="9"/>
      <c r="B111" s="63"/>
      <c r="C111" s="14"/>
      <c r="D111" s="91"/>
      <c r="E111" s="64"/>
      <c r="F111" s="72"/>
      <c r="G111" s="91"/>
      <c r="H111" s="63" t="s">
        <v>1422</v>
      </c>
      <c r="I111" s="72">
        <v>14850</v>
      </c>
      <c r="J111" s="127"/>
    </row>
    <row r="112" spans="1:10" s="87" customFormat="1" ht="33" customHeight="1" x14ac:dyDescent="0.6">
      <c r="A112" s="9"/>
      <c r="B112" s="63"/>
      <c r="C112" s="14"/>
      <c r="D112" s="91"/>
      <c r="E112" s="64"/>
      <c r="F112" s="72"/>
      <c r="G112" s="91">
        <v>45819</v>
      </c>
      <c r="H112" s="63" t="s">
        <v>1701</v>
      </c>
      <c r="I112" s="72">
        <v>2525</v>
      </c>
      <c r="J112" s="127"/>
    </row>
    <row r="113" spans="1:10" s="87" customFormat="1" ht="33" customHeight="1" x14ac:dyDescent="0.6">
      <c r="A113" s="9"/>
      <c r="B113" s="63"/>
      <c r="C113" s="14"/>
      <c r="D113" s="91"/>
      <c r="E113" s="64"/>
      <c r="F113" s="72"/>
      <c r="G113" s="91"/>
      <c r="H113" s="63" t="s">
        <v>1428</v>
      </c>
      <c r="I113" s="72">
        <v>20200</v>
      </c>
      <c r="J113" s="127"/>
    </row>
    <row r="114" spans="1:10" s="87" customFormat="1" ht="33" customHeight="1" x14ac:dyDescent="0.6">
      <c r="A114" s="9"/>
      <c r="B114" s="63"/>
      <c r="C114" s="14"/>
      <c r="D114" s="91"/>
      <c r="E114" s="64"/>
      <c r="F114" s="72"/>
      <c r="G114" s="91"/>
      <c r="H114" s="63" t="s">
        <v>1429</v>
      </c>
      <c r="I114" s="72">
        <v>101000</v>
      </c>
      <c r="J114" s="127"/>
    </row>
    <row r="115" spans="1:10" s="87" customFormat="1" ht="33" customHeight="1" x14ac:dyDescent="0.6">
      <c r="A115" s="9"/>
      <c r="B115" s="63"/>
      <c r="C115" s="14"/>
      <c r="D115" s="91"/>
      <c r="E115" s="64"/>
      <c r="F115" s="72"/>
      <c r="G115" s="91"/>
      <c r="H115" s="63" t="s">
        <v>1430</v>
      </c>
      <c r="I115" s="72">
        <v>10100</v>
      </c>
      <c r="J115" s="127"/>
    </row>
    <row r="116" spans="1:10" s="87" customFormat="1" ht="33" customHeight="1" x14ac:dyDescent="0.6">
      <c r="A116" s="9"/>
      <c r="B116" s="63"/>
      <c r="C116" s="14"/>
      <c r="D116" s="91"/>
      <c r="E116" s="64"/>
      <c r="F116" s="72"/>
      <c r="G116" s="91"/>
      <c r="H116" s="63" t="s">
        <v>1431</v>
      </c>
      <c r="I116" s="72">
        <v>330100</v>
      </c>
      <c r="J116" s="127"/>
    </row>
    <row r="117" spans="1:10" s="87" customFormat="1" ht="33" customHeight="1" x14ac:dyDescent="0.6">
      <c r="A117" s="9"/>
      <c r="B117" s="63"/>
      <c r="C117" s="14"/>
      <c r="D117" s="91"/>
      <c r="E117" s="64"/>
      <c r="F117" s="72"/>
      <c r="G117" s="91"/>
      <c r="H117" s="63" t="s">
        <v>1434</v>
      </c>
      <c r="I117" s="72">
        <v>173810</v>
      </c>
      <c r="J117" s="127"/>
    </row>
    <row r="118" spans="1:10" s="87" customFormat="1" ht="33" customHeight="1" x14ac:dyDescent="0.6">
      <c r="A118" s="9"/>
      <c r="B118" s="63"/>
      <c r="C118" s="14"/>
      <c r="D118" s="91"/>
      <c r="E118" s="64"/>
      <c r="F118" s="72"/>
      <c r="G118" s="91"/>
      <c r="H118" s="63" t="s">
        <v>1432</v>
      </c>
      <c r="I118" s="72">
        <v>5000</v>
      </c>
      <c r="J118" s="127"/>
    </row>
    <row r="119" spans="1:10" s="87" customFormat="1" ht="33" customHeight="1" x14ac:dyDescent="0.6">
      <c r="A119" s="9"/>
      <c r="B119" s="63"/>
      <c r="C119" s="14"/>
      <c r="D119" s="91"/>
      <c r="E119" s="64"/>
      <c r="F119" s="72"/>
      <c r="G119" s="91"/>
      <c r="H119" s="63" t="s">
        <v>1444</v>
      </c>
      <c r="I119" s="72">
        <v>5000</v>
      </c>
      <c r="J119" s="127"/>
    </row>
    <row r="120" spans="1:10" s="87" customFormat="1" ht="33" customHeight="1" x14ac:dyDescent="0.6">
      <c r="A120" s="9"/>
      <c r="B120" s="63"/>
      <c r="C120" s="14"/>
      <c r="D120" s="91"/>
      <c r="E120" s="64"/>
      <c r="F120" s="72"/>
      <c r="G120" s="91"/>
      <c r="H120" s="63" t="s">
        <v>1435</v>
      </c>
      <c r="I120" s="72">
        <v>10100</v>
      </c>
      <c r="J120" s="127"/>
    </row>
    <row r="121" spans="1:10" s="87" customFormat="1" ht="33" customHeight="1" x14ac:dyDescent="0.6">
      <c r="A121" s="9"/>
      <c r="B121" s="63"/>
      <c r="C121" s="14"/>
      <c r="D121" s="91"/>
      <c r="E121" s="64"/>
      <c r="F121" s="72"/>
      <c r="G121" s="91"/>
      <c r="H121" s="63" t="s">
        <v>1438</v>
      </c>
      <c r="I121" s="72">
        <v>3030</v>
      </c>
      <c r="J121" s="127"/>
    </row>
    <row r="122" spans="1:10" s="87" customFormat="1" ht="33" customHeight="1" x14ac:dyDescent="0.6">
      <c r="A122" s="9"/>
      <c r="B122" s="63"/>
      <c r="C122" s="14"/>
      <c r="D122" s="91"/>
      <c r="E122" s="64"/>
      <c r="F122" s="72"/>
      <c r="G122" s="91"/>
      <c r="H122" s="63" t="s">
        <v>1440</v>
      </c>
      <c r="I122" s="72">
        <v>3030</v>
      </c>
      <c r="J122" s="127"/>
    </row>
    <row r="123" spans="1:10" s="87" customFormat="1" ht="33" customHeight="1" x14ac:dyDescent="0.6">
      <c r="A123" s="9"/>
      <c r="B123" s="63"/>
      <c r="C123" s="14"/>
      <c r="D123" s="91"/>
      <c r="E123" s="64"/>
      <c r="F123" s="72"/>
      <c r="G123" s="91"/>
      <c r="H123" s="63" t="s">
        <v>1441</v>
      </c>
      <c r="I123" s="72">
        <v>209575</v>
      </c>
      <c r="J123" s="127"/>
    </row>
    <row r="124" spans="1:10" s="87" customFormat="1" ht="33" customHeight="1" x14ac:dyDescent="0.6">
      <c r="A124" s="9"/>
      <c r="B124" s="63"/>
      <c r="C124" s="14"/>
      <c r="D124" s="91"/>
      <c r="E124" s="64"/>
      <c r="F124" s="72"/>
      <c r="G124" s="91"/>
      <c r="H124" s="63" t="s">
        <v>1442</v>
      </c>
      <c r="I124" s="72">
        <v>15150</v>
      </c>
      <c r="J124" s="127"/>
    </row>
    <row r="125" spans="1:10" s="87" customFormat="1" ht="33" customHeight="1" x14ac:dyDescent="0.6">
      <c r="A125" s="9"/>
      <c r="B125" s="63"/>
      <c r="C125" s="14"/>
      <c r="D125" s="91"/>
      <c r="E125" s="64"/>
      <c r="F125" s="72"/>
      <c r="G125" s="91">
        <v>45820</v>
      </c>
      <c r="H125" s="63" t="s">
        <v>1449</v>
      </c>
      <c r="I125" s="72">
        <v>5000</v>
      </c>
      <c r="J125" s="127"/>
    </row>
    <row r="126" spans="1:10" s="87" customFormat="1" ht="33" customHeight="1" x14ac:dyDescent="0.6">
      <c r="A126" s="9"/>
      <c r="B126" s="63"/>
      <c r="C126" s="14"/>
      <c r="D126" s="91"/>
      <c r="E126" s="64"/>
      <c r="F126" s="72"/>
      <c r="G126" s="91"/>
      <c r="H126" s="63" t="s">
        <v>1443</v>
      </c>
      <c r="I126" s="72">
        <v>11000</v>
      </c>
      <c r="J126" s="127"/>
    </row>
    <row r="127" spans="1:10" s="87" customFormat="1" ht="33" customHeight="1" x14ac:dyDescent="0.6">
      <c r="A127" s="9"/>
      <c r="B127" s="63"/>
      <c r="C127" s="14"/>
      <c r="D127" s="91"/>
      <c r="E127" s="64"/>
      <c r="F127" s="72"/>
      <c r="G127" s="91"/>
      <c r="H127" s="63" t="s">
        <v>1446</v>
      </c>
      <c r="I127" s="72">
        <v>20000</v>
      </c>
      <c r="J127" s="127"/>
    </row>
    <row r="128" spans="1:10" s="87" customFormat="1" ht="33" customHeight="1" x14ac:dyDescent="0.6">
      <c r="A128" s="9"/>
      <c r="B128" s="63"/>
      <c r="C128" s="14"/>
      <c r="D128" s="91"/>
      <c r="E128" s="64"/>
      <c r="F128" s="72"/>
      <c r="G128" s="91"/>
      <c r="H128" s="63" t="s">
        <v>1452</v>
      </c>
      <c r="I128" s="72">
        <v>10100</v>
      </c>
      <c r="J128" s="127"/>
    </row>
    <row r="129" spans="1:10" s="87" customFormat="1" ht="33" customHeight="1" x14ac:dyDescent="0.6">
      <c r="A129" s="9"/>
      <c r="B129" s="63"/>
      <c r="C129" s="14"/>
      <c r="D129" s="91"/>
      <c r="E129" s="64"/>
      <c r="F129" s="72"/>
      <c r="G129" s="91"/>
      <c r="H129" s="63" t="s">
        <v>1448</v>
      </c>
      <c r="I129" s="72">
        <v>43430</v>
      </c>
      <c r="J129" s="127"/>
    </row>
    <row r="130" spans="1:10" s="87" customFormat="1" ht="33" customHeight="1" x14ac:dyDescent="0.6">
      <c r="A130" s="9"/>
      <c r="B130" s="63"/>
      <c r="C130" s="14"/>
      <c r="D130" s="91"/>
      <c r="E130" s="64"/>
      <c r="F130" s="72"/>
      <c r="G130" s="91"/>
      <c r="H130" s="63" t="s">
        <v>1447</v>
      </c>
      <c r="I130" s="72">
        <v>159580</v>
      </c>
      <c r="J130" s="127"/>
    </row>
    <row r="131" spans="1:10" s="87" customFormat="1" ht="33" customHeight="1" x14ac:dyDescent="0.6">
      <c r="A131" s="9"/>
      <c r="B131" s="63"/>
      <c r="C131" s="14"/>
      <c r="D131" s="91"/>
      <c r="E131" s="64"/>
      <c r="F131" s="72"/>
      <c r="G131" s="91"/>
      <c r="H131" s="63" t="s">
        <v>1450</v>
      </c>
      <c r="I131" s="72">
        <v>500</v>
      </c>
      <c r="J131" s="127"/>
    </row>
    <row r="132" spans="1:10" s="87" customFormat="1" ht="33" customHeight="1" x14ac:dyDescent="0.6">
      <c r="A132" s="9"/>
      <c r="B132" s="63"/>
      <c r="C132" s="14"/>
      <c r="D132" s="91"/>
      <c r="E132" s="64"/>
      <c r="F132" s="72"/>
      <c r="G132" s="91"/>
      <c r="H132" s="63" t="s">
        <v>1451</v>
      </c>
      <c r="I132" s="72">
        <v>5050</v>
      </c>
      <c r="J132" s="127"/>
    </row>
    <row r="133" spans="1:10" s="87" customFormat="1" ht="33" customHeight="1" x14ac:dyDescent="0.6">
      <c r="A133" s="9"/>
      <c r="B133" s="63"/>
      <c r="C133" s="14"/>
      <c r="D133" s="91"/>
      <c r="E133" s="64"/>
      <c r="F133" s="72"/>
      <c r="G133" s="91"/>
      <c r="H133" s="63" t="s">
        <v>1727</v>
      </c>
      <c r="I133" s="72">
        <v>10100</v>
      </c>
      <c r="J133" s="127"/>
    </row>
    <row r="134" spans="1:10" s="87" customFormat="1" ht="30" customHeight="1" x14ac:dyDescent="0.6">
      <c r="A134" s="9"/>
      <c r="B134" s="63"/>
      <c r="C134" s="14"/>
      <c r="D134" s="91"/>
      <c r="E134" s="64"/>
      <c r="F134" s="72"/>
      <c r="G134" s="91"/>
      <c r="H134" s="63" t="s">
        <v>1453</v>
      </c>
      <c r="I134" s="72">
        <v>116150</v>
      </c>
      <c r="J134" s="127"/>
    </row>
    <row r="135" spans="1:10" s="87" customFormat="1" ht="33" customHeight="1" x14ac:dyDescent="0.6">
      <c r="A135" s="9"/>
      <c r="B135" s="63"/>
      <c r="C135" s="14"/>
      <c r="D135" s="91"/>
      <c r="E135" s="64"/>
      <c r="F135" s="72"/>
      <c r="G135" s="91"/>
      <c r="H135" s="63" t="s">
        <v>1456</v>
      </c>
      <c r="I135" s="72">
        <v>106050</v>
      </c>
      <c r="J135" s="127"/>
    </row>
    <row r="136" spans="1:10" s="87" customFormat="1" ht="33" customHeight="1" x14ac:dyDescent="0.6">
      <c r="A136" s="9"/>
      <c r="B136" s="63"/>
      <c r="C136" s="14"/>
      <c r="D136" s="91"/>
      <c r="E136" s="64"/>
      <c r="F136" s="72"/>
      <c r="G136" s="91">
        <v>45821</v>
      </c>
      <c r="H136" s="63" t="s">
        <v>1457</v>
      </c>
      <c r="I136" s="72">
        <v>5000</v>
      </c>
      <c r="J136" s="127"/>
    </row>
    <row r="137" spans="1:10" s="87" customFormat="1" ht="33" customHeight="1" x14ac:dyDescent="0.6">
      <c r="A137" s="9"/>
      <c r="B137" s="63"/>
      <c r="C137" s="14"/>
      <c r="D137" s="91"/>
      <c r="E137" s="64"/>
      <c r="F137" s="72"/>
      <c r="G137" s="91"/>
      <c r="H137" s="63" t="s">
        <v>1470</v>
      </c>
      <c r="I137" s="72">
        <v>2000</v>
      </c>
      <c r="J137" s="127"/>
    </row>
    <row r="138" spans="1:10" s="87" customFormat="1" ht="33" customHeight="1" x14ac:dyDescent="0.6">
      <c r="A138" s="9"/>
      <c r="B138" s="63"/>
      <c r="C138" s="14"/>
      <c r="D138" s="91"/>
      <c r="E138" s="64"/>
      <c r="F138" s="72"/>
      <c r="G138" s="91"/>
      <c r="H138" s="63" t="s">
        <v>1459</v>
      </c>
      <c r="I138" s="72">
        <v>1000</v>
      </c>
      <c r="J138" s="127"/>
    </row>
    <row r="139" spans="1:10" s="87" customFormat="1" ht="33" customHeight="1" x14ac:dyDescent="0.6">
      <c r="A139" s="9"/>
      <c r="B139" s="63"/>
      <c r="C139" s="14"/>
      <c r="D139" s="91"/>
      <c r="E139" s="64"/>
      <c r="F139" s="72"/>
      <c r="G139" s="91"/>
      <c r="H139" s="63" t="s">
        <v>1460</v>
      </c>
      <c r="I139" s="72">
        <v>4000</v>
      </c>
      <c r="J139" s="127"/>
    </row>
    <row r="140" spans="1:10" s="87" customFormat="1" ht="33" customHeight="1" x14ac:dyDescent="0.6">
      <c r="A140" s="9"/>
      <c r="B140" s="63"/>
      <c r="C140" s="14"/>
      <c r="D140" s="91"/>
      <c r="E140" s="64"/>
      <c r="F140" s="72"/>
      <c r="G140" s="91"/>
      <c r="H140" s="63" t="s">
        <v>1137</v>
      </c>
      <c r="I140" s="72">
        <v>3000</v>
      </c>
      <c r="J140" s="127"/>
    </row>
    <row r="141" spans="1:10" s="87" customFormat="1" ht="33" customHeight="1" x14ac:dyDescent="0.6">
      <c r="A141" s="9"/>
      <c r="B141" s="63"/>
      <c r="C141" s="14"/>
      <c r="D141" s="91"/>
      <c r="E141" s="64"/>
      <c r="F141" s="72"/>
      <c r="G141" s="91"/>
      <c r="H141" s="63" t="s">
        <v>1465</v>
      </c>
      <c r="I141" s="72">
        <v>75750</v>
      </c>
      <c r="J141" s="127"/>
    </row>
    <row r="142" spans="1:10" s="87" customFormat="1" ht="33" customHeight="1" x14ac:dyDescent="0.6">
      <c r="A142" s="9"/>
      <c r="B142" s="63"/>
      <c r="C142" s="14"/>
      <c r="D142" s="91"/>
      <c r="E142" s="64"/>
      <c r="F142" s="72"/>
      <c r="G142" s="91"/>
      <c r="H142" s="63" t="s">
        <v>1466</v>
      </c>
      <c r="I142" s="72">
        <v>3535</v>
      </c>
      <c r="J142" s="127"/>
    </row>
    <row r="143" spans="1:10" s="87" customFormat="1" ht="33" customHeight="1" x14ac:dyDescent="0.6">
      <c r="A143" s="9"/>
      <c r="B143" s="63"/>
      <c r="C143" s="14"/>
      <c r="D143" s="91"/>
      <c r="E143" s="64"/>
      <c r="F143" s="72"/>
      <c r="G143" s="91"/>
      <c r="H143" s="63" t="s">
        <v>1467</v>
      </c>
      <c r="I143" s="72">
        <v>4040</v>
      </c>
      <c r="J143" s="127"/>
    </row>
    <row r="144" spans="1:10" s="87" customFormat="1" ht="33" customHeight="1" x14ac:dyDescent="0.6">
      <c r="A144" s="9"/>
      <c r="B144" s="63"/>
      <c r="C144" s="14"/>
      <c r="D144" s="91"/>
      <c r="E144" s="64"/>
      <c r="F144" s="72"/>
      <c r="G144" s="91"/>
      <c r="H144" s="63" t="s">
        <v>1468</v>
      </c>
      <c r="I144" s="72">
        <v>50500</v>
      </c>
      <c r="J144" s="127"/>
    </row>
    <row r="145" spans="1:10" s="87" customFormat="1" ht="33" customHeight="1" x14ac:dyDescent="0.6">
      <c r="A145" s="9"/>
      <c r="B145" s="63"/>
      <c r="C145" s="14"/>
      <c r="D145" s="91"/>
      <c r="E145" s="64"/>
      <c r="F145" s="72"/>
      <c r="G145" s="91"/>
      <c r="H145" s="63" t="s">
        <v>1469</v>
      </c>
      <c r="I145" s="72">
        <v>90900</v>
      </c>
      <c r="J145" s="127"/>
    </row>
    <row r="146" spans="1:10" s="87" customFormat="1" ht="33" customHeight="1" x14ac:dyDescent="0.6">
      <c r="A146" s="9"/>
      <c r="B146" s="63"/>
      <c r="C146" s="14"/>
      <c r="D146" s="91"/>
      <c r="E146" s="64"/>
      <c r="F146" s="72"/>
      <c r="G146" s="91">
        <v>45822</v>
      </c>
      <c r="H146" s="63" t="s">
        <v>1473</v>
      </c>
      <c r="I146" s="72">
        <v>3000</v>
      </c>
      <c r="J146" s="127"/>
    </row>
    <row r="147" spans="1:10" s="87" customFormat="1" ht="33" customHeight="1" x14ac:dyDescent="0.6">
      <c r="A147" s="9"/>
      <c r="B147" s="63"/>
      <c r="C147" s="14"/>
      <c r="D147" s="91"/>
      <c r="E147" s="64"/>
      <c r="F147" s="72"/>
      <c r="G147" s="91"/>
      <c r="H147" s="63" t="s">
        <v>1474</v>
      </c>
      <c r="I147" s="72">
        <v>18180</v>
      </c>
      <c r="J147" s="127"/>
    </row>
    <row r="148" spans="1:10" s="87" customFormat="1" ht="33" customHeight="1" x14ac:dyDescent="0.6">
      <c r="A148" s="9"/>
      <c r="B148" s="63"/>
      <c r="C148" s="14"/>
      <c r="D148" s="91"/>
      <c r="E148" s="64"/>
      <c r="F148" s="72"/>
      <c r="G148" s="91"/>
      <c r="H148" s="63" t="s">
        <v>1702</v>
      </c>
      <c r="I148" s="72">
        <v>171500</v>
      </c>
      <c r="J148" s="127"/>
    </row>
    <row r="149" spans="1:10" s="87" customFormat="1" ht="33" customHeight="1" x14ac:dyDescent="0.6">
      <c r="A149" s="9"/>
      <c r="B149" s="63"/>
      <c r="C149" s="14"/>
      <c r="D149" s="91"/>
      <c r="E149" s="64"/>
      <c r="F149" s="72"/>
      <c r="G149" s="91"/>
      <c r="H149" s="63" t="s">
        <v>1478</v>
      </c>
      <c r="I149" s="72">
        <v>10100</v>
      </c>
      <c r="J149" s="127"/>
    </row>
    <row r="150" spans="1:10" s="87" customFormat="1" ht="33" customHeight="1" x14ac:dyDescent="0.6">
      <c r="A150" s="9"/>
      <c r="B150" s="63"/>
      <c r="C150" s="14"/>
      <c r="D150" s="91"/>
      <c r="E150" s="64"/>
      <c r="F150" s="72"/>
      <c r="G150" s="91"/>
      <c r="H150" s="63" t="s">
        <v>1479</v>
      </c>
      <c r="I150" s="72">
        <v>1031615</v>
      </c>
      <c r="J150" s="127"/>
    </row>
    <row r="151" spans="1:10" s="87" customFormat="1" ht="33" customHeight="1" x14ac:dyDescent="0.6">
      <c r="A151" s="9"/>
      <c r="B151" s="63"/>
      <c r="C151" s="14"/>
      <c r="D151" s="91"/>
      <c r="E151" s="64"/>
      <c r="F151" s="72"/>
      <c r="G151" s="91">
        <v>45823</v>
      </c>
      <c r="H151" s="63" t="s">
        <v>1483</v>
      </c>
      <c r="I151" s="72">
        <v>5050</v>
      </c>
      <c r="J151" s="127"/>
    </row>
    <row r="152" spans="1:10" s="87" customFormat="1" ht="33" customHeight="1" x14ac:dyDescent="0.6">
      <c r="A152" s="9"/>
      <c r="B152" s="63"/>
      <c r="C152" s="14"/>
      <c r="D152" s="91"/>
      <c r="E152" s="64"/>
      <c r="F152" s="72"/>
      <c r="G152" s="91"/>
      <c r="H152" s="63" t="s">
        <v>1477</v>
      </c>
      <c r="I152" s="72">
        <v>32320</v>
      </c>
      <c r="J152" s="127"/>
    </row>
    <row r="153" spans="1:10" s="87" customFormat="1" x14ac:dyDescent="0.6">
      <c r="A153" s="9"/>
      <c r="B153" s="63"/>
      <c r="C153" s="14"/>
      <c r="D153" s="91"/>
      <c r="E153" s="64"/>
      <c r="F153" s="72"/>
      <c r="G153" s="91"/>
      <c r="H153" s="63" t="s">
        <v>1480</v>
      </c>
      <c r="I153" s="72">
        <v>25100</v>
      </c>
      <c r="J153" s="127"/>
    </row>
    <row r="154" spans="1:10" s="87" customFormat="1" x14ac:dyDescent="0.6">
      <c r="A154" s="9"/>
      <c r="B154" s="63"/>
      <c r="C154" s="14"/>
      <c r="D154" s="91"/>
      <c r="E154" s="64"/>
      <c r="F154" s="72"/>
      <c r="G154" s="91">
        <v>45824</v>
      </c>
      <c r="H154" s="63" t="s">
        <v>1481</v>
      </c>
      <c r="I154" s="72">
        <v>909000</v>
      </c>
      <c r="J154" s="127"/>
    </row>
    <row r="155" spans="1:10" s="87" customFormat="1" x14ac:dyDescent="0.6">
      <c r="A155" s="211"/>
      <c r="B155" s="126"/>
      <c r="C155" s="14"/>
      <c r="D155" s="91"/>
      <c r="E155" s="64"/>
      <c r="F155" s="72"/>
      <c r="G155" s="91"/>
      <c r="H155" s="63" t="s">
        <v>1482</v>
      </c>
      <c r="I155" s="72">
        <v>23230</v>
      </c>
      <c r="J155" s="127"/>
    </row>
    <row r="156" spans="1:10" s="87" customFormat="1" x14ac:dyDescent="0.6">
      <c r="A156" s="211"/>
      <c r="B156" s="126"/>
      <c r="C156" s="14"/>
      <c r="D156" s="91"/>
      <c r="E156" s="64"/>
      <c r="F156" s="72"/>
      <c r="G156" s="91"/>
      <c r="H156" s="63" t="s">
        <v>1728</v>
      </c>
      <c r="I156" s="72">
        <v>20200</v>
      </c>
      <c r="J156" s="127"/>
    </row>
    <row r="157" spans="1:10" s="87" customFormat="1" x14ac:dyDescent="0.6">
      <c r="A157" s="211"/>
      <c r="B157" s="126"/>
      <c r="C157" s="14"/>
      <c r="D157" s="91"/>
      <c r="E157" s="64"/>
      <c r="F157" s="72"/>
      <c r="G157" s="91"/>
      <c r="H157" s="63" t="s">
        <v>1446</v>
      </c>
      <c r="I157" s="72">
        <v>20000</v>
      </c>
      <c r="J157" s="127"/>
    </row>
    <row r="158" spans="1:10" s="87" customFormat="1" x14ac:dyDescent="0.6">
      <c r="A158" s="211"/>
      <c r="B158" s="126"/>
      <c r="C158" s="14"/>
      <c r="D158" s="91"/>
      <c r="E158" s="64"/>
      <c r="F158" s="72"/>
      <c r="G158" s="91"/>
      <c r="H158" s="63" t="s">
        <v>1484</v>
      </c>
      <c r="I158" s="72">
        <v>1000</v>
      </c>
      <c r="J158" s="127"/>
    </row>
    <row r="159" spans="1:10" s="87" customFormat="1" x14ac:dyDescent="0.6">
      <c r="A159" s="211"/>
      <c r="B159" s="126"/>
      <c r="C159" s="14"/>
      <c r="D159" s="91"/>
      <c r="E159" s="64"/>
      <c r="F159" s="72"/>
      <c r="G159" s="91"/>
      <c r="H159" s="63" t="s">
        <v>1485</v>
      </c>
      <c r="I159" s="72">
        <v>85850</v>
      </c>
      <c r="J159" s="127"/>
    </row>
    <row r="160" spans="1:10" s="87" customFormat="1" x14ac:dyDescent="0.6">
      <c r="A160" s="211"/>
      <c r="B160" s="126"/>
      <c r="C160" s="14"/>
      <c r="D160" s="91"/>
      <c r="E160" s="64"/>
      <c r="F160" s="72"/>
      <c r="G160" s="91"/>
      <c r="H160" s="63" t="s">
        <v>1703</v>
      </c>
      <c r="I160" s="72">
        <v>10500</v>
      </c>
      <c r="J160" s="127"/>
    </row>
    <row r="161" spans="1:10" s="87" customFormat="1" x14ac:dyDescent="0.6">
      <c r="A161" s="211"/>
      <c r="B161" s="126"/>
      <c r="C161" s="14"/>
      <c r="D161" s="91"/>
      <c r="E161" s="64"/>
      <c r="F161" s="72"/>
      <c r="G161" s="91"/>
      <c r="H161" s="63" t="s">
        <v>1493</v>
      </c>
      <c r="I161" s="72">
        <v>4000</v>
      </c>
      <c r="J161" s="127"/>
    </row>
    <row r="162" spans="1:10" s="87" customFormat="1" x14ac:dyDescent="0.6">
      <c r="A162" s="211"/>
      <c r="B162" s="126"/>
      <c r="C162" s="14"/>
      <c r="D162" s="91"/>
      <c r="E162" s="64"/>
      <c r="F162" s="72"/>
      <c r="G162" s="91"/>
      <c r="H162" s="63" t="s">
        <v>1486</v>
      </c>
      <c r="I162" s="72">
        <v>12000</v>
      </c>
      <c r="J162" s="127"/>
    </row>
    <row r="163" spans="1:10" s="87" customFormat="1" x14ac:dyDescent="0.6">
      <c r="A163" s="211"/>
      <c r="B163" s="126"/>
      <c r="C163" s="14"/>
      <c r="D163" s="91"/>
      <c r="E163" s="64"/>
      <c r="F163" s="72"/>
      <c r="G163" s="91"/>
      <c r="H163" s="63" t="s">
        <v>1487</v>
      </c>
      <c r="I163" s="72">
        <v>135000</v>
      </c>
      <c r="J163" s="127"/>
    </row>
    <row r="164" spans="1:10" s="87" customFormat="1" x14ac:dyDescent="0.6">
      <c r="A164" s="211"/>
      <c r="B164" s="126"/>
      <c r="C164" s="14"/>
      <c r="D164" s="91"/>
      <c r="E164" s="64"/>
      <c r="F164" s="72"/>
      <c r="G164" s="91"/>
      <c r="H164" s="63" t="s">
        <v>1488</v>
      </c>
      <c r="I164" s="72">
        <v>500000</v>
      </c>
      <c r="J164" s="127"/>
    </row>
    <row r="165" spans="1:10" s="87" customFormat="1" x14ac:dyDescent="0.6">
      <c r="A165" s="211"/>
      <c r="B165" s="126"/>
      <c r="C165" s="14"/>
      <c r="D165" s="91"/>
      <c r="E165" s="64"/>
      <c r="F165" s="72"/>
      <c r="G165" s="91"/>
      <c r="H165" s="63" t="s">
        <v>1490</v>
      </c>
      <c r="I165" s="72">
        <v>80800</v>
      </c>
      <c r="J165" s="127"/>
    </row>
    <row r="166" spans="1:10" s="87" customFormat="1" x14ac:dyDescent="0.6">
      <c r="A166" s="211"/>
      <c r="B166" s="126"/>
      <c r="C166" s="14"/>
      <c r="D166" s="91"/>
      <c r="E166" s="64"/>
      <c r="F166" s="72"/>
      <c r="G166" s="91">
        <v>45825</v>
      </c>
      <c r="H166" s="63" t="s">
        <v>1491</v>
      </c>
      <c r="I166" s="72">
        <v>5050</v>
      </c>
      <c r="J166" s="127"/>
    </row>
    <row r="167" spans="1:10" s="87" customFormat="1" x14ac:dyDescent="0.6">
      <c r="A167" s="211"/>
      <c r="B167" s="126"/>
      <c r="C167" s="14"/>
      <c r="D167" s="91"/>
      <c r="E167" s="64"/>
      <c r="F167" s="72"/>
      <c r="G167" s="91"/>
      <c r="H167" s="63" t="s">
        <v>1492</v>
      </c>
      <c r="I167" s="72">
        <v>176750</v>
      </c>
      <c r="J167" s="127"/>
    </row>
    <row r="168" spans="1:10" s="87" customFormat="1" x14ac:dyDescent="0.6">
      <c r="A168" s="211"/>
      <c r="B168" s="126"/>
      <c r="C168" s="14"/>
      <c r="D168" s="91"/>
      <c r="E168" s="64"/>
      <c r="F168" s="72"/>
      <c r="G168" s="91"/>
      <c r="H168" s="63" t="s">
        <v>1446</v>
      </c>
      <c r="I168" s="72">
        <v>20000</v>
      </c>
      <c r="J168" s="127"/>
    </row>
    <row r="169" spans="1:10" s="87" customFormat="1" x14ac:dyDescent="0.6">
      <c r="A169" s="211"/>
      <c r="B169" s="126"/>
      <c r="C169" s="14"/>
      <c r="D169" s="91"/>
      <c r="E169" s="64"/>
      <c r="F169" s="72"/>
      <c r="G169" s="91"/>
      <c r="H169" s="63" t="s">
        <v>1494</v>
      </c>
      <c r="I169" s="72">
        <v>3535</v>
      </c>
      <c r="J169" s="127"/>
    </row>
    <row r="170" spans="1:10" s="87" customFormat="1" x14ac:dyDescent="0.6">
      <c r="A170" s="211"/>
      <c r="B170" s="126"/>
      <c r="C170" s="14"/>
      <c r="D170" s="91"/>
      <c r="E170" s="64"/>
      <c r="F170" s="72"/>
      <c r="G170" s="91"/>
      <c r="H170" s="63" t="s">
        <v>1498</v>
      </c>
      <c r="I170" s="72">
        <v>4000</v>
      </c>
      <c r="J170" s="127"/>
    </row>
    <row r="171" spans="1:10" s="87" customFormat="1" x14ac:dyDescent="0.6">
      <c r="A171" s="211"/>
      <c r="B171" s="126"/>
      <c r="C171" s="14"/>
      <c r="D171" s="91"/>
      <c r="E171" s="64"/>
      <c r="F171" s="72"/>
      <c r="G171" s="91"/>
      <c r="H171" s="63" t="s">
        <v>1514</v>
      </c>
      <c r="I171" s="72">
        <v>72215</v>
      </c>
      <c r="J171" s="127"/>
    </row>
    <row r="172" spans="1:10" s="87" customFormat="1" x14ac:dyDescent="0.6">
      <c r="A172" s="211"/>
      <c r="B172" s="126"/>
      <c r="C172" s="14"/>
      <c r="D172" s="91"/>
      <c r="E172" s="64"/>
      <c r="F172" s="72"/>
      <c r="G172" s="91"/>
      <c r="H172" s="63" t="s">
        <v>1499</v>
      </c>
      <c r="I172" s="72">
        <v>10000</v>
      </c>
      <c r="J172" s="127"/>
    </row>
    <row r="173" spans="1:10" s="87" customFormat="1" x14ac:dyDescent="0.6">
      <c r="A173" s="211"/>
      <c r="B173" s="126"/>
      <c r="C173" s="14"/>
      <c r="D173" s="91"/>
      <c r="E173" s="64"/>
      <c r="F173" s="72"/>
      <c r="G173" s="91"/>
      <c r="H173" s="63" t="s">
        <v>1500</v>
      </c>
      <c r="I173" s="72">
        <v>36360</v>
      </c>
      <c r="J173" s="127"/>
    </row>
    <row r="174" spans="1:10" s="87" customFormat="1" x14ac:dyDescent="0.6">
      <c r="A174" s="211"/>
      <c r="B174" s="126"/>
      <c r="C174" s="14"/>
      <c r="D174" s="91"/>
      <c r="E174" s="64"/>
      <c r="F174" s="72"/>
      <c r="G174" s="91"/>
      <c r="H174" s="63" t="s">
        <v>1501</v>
      </c>
      <c r="I174" s="72">
        <v>69185</v>
      </c>
      <c r="J174" s="127"/>
    </row>
    <row r="175" spans="1:10" s="87" customFormat="1" x14ac:dyDescent="0.6">
      <c r="A175" s="211"/>
      <c r="B175" s="126"/>
      <c r="C175" s="14"/>
      <c r="D175" s="91"/>
      <c r="E175" s="64"/>
      <c r="F175" s="72"/>
      <c r="G175" s="91"/>
      <c r="H175" s="63" t="s">
        <v>1502</v>
      </c>
      <c r="I175" s="72">
        <v>10100</v>
      </c>
      <c r="J175" s="127"/>
    </row>
    <row r="176" spans="1:10" s="87" customFormat="1" x14ac:dyDescent="0.6">
      <c r="A176" s="211"/>
      <c r="B176" s="126"/>
      <c r="C176" s="14"/>
      <c r="D176" s="91"/>
      <c r="E176" s="64"/>
      <c r="F176" s="72"/>
      <c r="G176" s="91"/>
      <c r="H176" s="63" t="s">
        <v>1503</v>
      </c>
      <c r="I176" s="72">
        <v>13400</v>
      </c>
      <c r="J176" s="127"/>
    </row>
    <row r="177" spans="1:10" s="87" customFormat="1" x14ac:dyDescent="0.6">
      <c r="A177" s="211"/>
      <c r="B177" s="126"/>
      <c r="C177" s="14"/>
      <c r="D177" s="91"/>
      <c r="E177" s="64"/>
      <c r="F177" s="72"/>
      <c r="G177" s="91">
        <v>45826</v>
      </c>
      <c r="H177" s="63" t="s">
        <v>1729</v>
      </c>
      <c r="I177" s="72">
        <f>41410+15150</f>
        <v>56560</v>
      </c>
      <c r="J177" s="127"/>
    </row>
    <row r="178" spans="1:10" s="87" customFormat="1" x14ac:dyDescent="0.6">
      <c r="A178" s="211"/>
      <c r="B178" s="126"/>
      <c r="C178" s="14"/>
      <c r="D178" s="91"/>
      <c r="E178" s="64"/>
      <c r="F178" s="72"/>
      <c r="G178" s="91"/>
      <c r="H178" s="63" t="s">
        <v>1504</v>
      </c>
      <c r="I178" s="72">
        <v>101000</v>
      </c>
      <c r="J178" s="127"/>
    </row>
    <row r="179" spans="1:10" s="87" customFormat="1" x14ac:dyDescent="0.6">
      <c r="A179" s="211"/>
      <c r="B179" s="126"/>
      <c r="C179" s="14"/>
      <c r="D179" s="91"/>
      <c r="E179" s="64"/>
      <c r="F179" s="72"/>
      <c r="G179" s="91"/>
      <c r="H179" s="63" t="s">
        <v>1505</v>
      </c>
      <c r="I179" s="72">
        <v>20200</v>
      </c>
      <c r="J179" s="127"/>
    </row>
    <row r="180" spans="1:10" s="87" customFormat="1" x14ac:dyDescent="0.6">
      <c r="A180" s="211"/>
      <c r="B180" s="126"/>
      <c r="C180" s="14"/>
      <c r="D180" s="91"/>
      <c r="E180" s="64"/>
      <c r="F180" s="72"/>
      <c r="G180" s="91"/>
      <c r="H180" s="63" t="s">
        <v>1730</v>
      </c>
      <c r="I180" s="72">
        <v>20200</v>
      </c>
      <c r="J180" s="127"/>
    </row>
    <row r="181" spans="1:10" s="87" customFormat="1" x14ac:dyDescent="0.6">
      <c r="A181" s="211"/>
      <c r="B181" s="126"/>
      <c r="C181" s="14"/>
      <c r="D181" s="91"/>
      <c r="E181" s="64"/>
      <c r="F181" s="72"/>
      <c r="G181" s="91"/>
      <c r="H181" s="63" t="s">
        <v>1506</v>
      </c>
      <c r="I181" s="72">
        <v>191500</v>
      </c>
      <c r="J181" s="127"/>
    </row>
    <row r="182" spans="1:10" s="87" customFormat="1" x14ac:dyDescent="0.6">
      <c r="A182" s="211"/>
      <c r="B182" s="126"/>
      <c r="C182" s="14"/>
      <c r="D182" s="91"/>
      <c r="E182" s="64"/>
      <c r="F182" s="72"/>
      <c r="G182" s="91"/>
      <c r="H182" s="63" t="s">
        <v>1508</v>
      </c>
      <c r="I182" s="72">
        <v>2900</v>
      </c>
      <c r="J182" s="127"/>
    </row>
    <row r="183" spans="1:10" s="87" customFormat="1" x14ac:dyDescent="0.6">
      <c r="A183" s="211"/>
      <c r="B183" s="126"/>
      <c r="C183" s="14"/>
      <c r="D183" s="91"/>
      <c r="E183" s="64"/>
      <c r="F183" s="72"/>
      <c r="G183" s="91"/>
      <c r="H183" s="63" t="s">
        <v>1510</v>
      </c>
      <c r="I183" s="72">
        <v>10100</v>
      </c>
      <c r="J183" s="127"/>
    </row>
    <row r="184" spans="1:10" s="87" customFormat="1" x14ac:dyDescent="0.6">
      <c r="A184" s="211"/>
      <c r="B184" s="126"/>
      <c r="C184" s="14"/>
      <c r="D184" s="91"/>
      <c r="E184" s="64"/>
      <c r="F184" s="72"/>
      <c r="G184" s="91"/>
      <c r="H184" s="63" t="s">
        <v>1513</v>
      </c>
      <c r="I184" s="72">
        <v>7070</v>
      </c>
      <c r="J184" s="127"/>
    </row>
    <row r="185" spans="1:10" s="87" customFormat="1" x14ac:dyDescent="0.6">
      <c r="A185" s="211"/>
      <c r="B185" s="126"/>
      <c r="C185" s="14"/>
      <c r="D185" s="91"/>
      <c r="E185" s="64"/>
      <c r="F185" s="72"/>
      <c r="G185" s="91"/>
      <c r="H185" s="63" t="s">
        <v>1509</v>
      </c>
      <c r="I185" s="72">
        <v>5050</v>
      </c>
      <c r="J185" s="127"/>
    </row>
    <row r="186" spans="1:10" s="87" customFormat="1" x14ac:dyDescent="0.6">
      <c r="A186" s="211"/>
      <c r="B186" s="126"/>
      <c r="C186" s="14"/>
      <c r="D186" s="91"/>
      <c r="E186" s="64"/>
      <c r="F186" s="72"/>
      <c r="G186" s="91"/>
      <c r="H186" s="63" t="s">
        <v>1731</v>
      </c>
      <c r="I186" s="72">
        <v>16665</v>
      </c>
      <c r="J186" s="127"/>
    </row>
    <row r="187" spans="1:10" s="87" customFormat="1" x14ac:dyDescent="0.6">
      <c r="A187" s="211"/>
      <c r="B187" s="126"/>
      <c r="C187" s="14"/>
      <c r="D187" s="91"/>
      <c r="E187" s="64"/>
      <c r="F187" s="72"/>
      <c r="G187" s="91"/>
      <c r="H187" s="63" t="s">
        <v>1732</v>
      </c>
      <c r="I187" s="72">
        <v>1000</v>
      </c>
      <c r="J187" s="127"/>
    </row>
    <row r="188" spans="1:10" s="87" customFormat="1" x14ac:dyDescent="0.6">
      <c r="A188" s="211"/>
      <c r="B188" s="126"/>
      <c r="C188" s="14"/>
      <c r="D188" s="91"/>
      <c r="E188" s="64"/>
      <c r="F188" s="72"/>
      <c r="G188" s="91"/>
      <c r="H188" s="63" t="s">
        <v>1511</v>
      </c>
      <c r="I188" s="72">
        <v>1100</v>
      </c>
      <c r="J188" s="127"/>
    </row>
    <row r="189" spans="1:10" s="87" customFormat="1" x14ac:dyDescent="0.6">
      <c r="A189" s="211"/>
      <c r="B189" s="126"/>
      <c r="C189" s="14"/>
      <c r="D189" s="91"/>
      <c r="E189" s="64"/>
      <c r="F189" s="72"/>
      <c r="G189" s="91"/>
      <c r="H189" s="63" t="s">
        <v>1512</v>
      </c>
      <c r="I189" s="72">
        <v>2120</v>
      </c>
      <c r="J189" s="127"/>
    </row>
    <row r="190" spans="1:10" s="87" customFormat="1" x14ac:dyDescent="0.6">
      <c r="A190" s="211"/>
      <c r="B190" s="126"/>
      <c r="C190" s="14"/>
      <c r="D190" s="91"/>
      <c r="E190" s="64"/>
      <c r="F190" s="72"/>
      <c r="G190" s="91"/>
      <c r="H190" s="63" t="s">
        <v>1515</v>
      </c>
      <c r="I190" s="72">
        <v>4030</v>
      </c>
      <c r="J190" s="127"/>
    </row>
    <row r="191" spans="1:10" s="87" customFormat="1" x14ac:dyDescent="0.6">
      <c r="A191" s="211"/>
      <c r="B191" s="126"/>
      <c r="C191" s="14"/>
      <c r="D191" s="91"/>
      <c r="E191" s="64"/>
      <c r="F191" s="72"/>
      <c r="G191" s="91"/>
      <c r="H191" s="63" t="s">
        <v>1516</v>
      </c>
      <c r="I191" s="72">
        <v>30000</v>
      </c>
      <c r="J191" s="127"/>
    </row>
    <row r="192" spans="1:10" s="87" customFormat="1" x14ac:dyDescent="0.6">
      <c r="A192" s="211"/>
      <c r="B192" s="126"/>
      <c r="C192" s="14"/>
      <c r="D192" s="91"/>
      <c r="E192" s="64"/>
      <c r="F192" s="72"/>
      <c r="G192" s="91"/>
      <c r="H192" s="63" t="s">
        <v>1733</v>
      </c>
      <c r="I192" s="72">
        <v>36000</v>
      </c>
      <c r="J192" s="127"/>
    </row>
    <row r="193" spans="1:10" s="87" customFormat="1" x14ac:dyDescent="0.6">
      <c r="A193" s="211"/>
      <c r="B193" s="126"/>
      <c r="C193" s="14"/>
      <c r="D193" s="91"/>
      <c r="E193" s="64"/>
      <c r="F193" s="72"/>
      <c r="G193" s="91"/>
      <c r="H193" s="63" t="s">
        <v>1520</v>
      </c>
      <c r="I193" s="72">
        <v>7000</v>
      </c>
      <c r="J193" s="127"/>
    </row>
    <row r="194" spans="1:10" s="87" customFormat="1" x14ac:dyDescent="0.6">
      <c r="A194" s="211"/>
      <c r="B194" s="126"/>
      <c r="C194" s="14"/>
      <c r="D194" s="91"/>
      <c r="E194" s="64"/>
      <c r="F194" s="72"/>
      <c r="G194" s="91">
        <v>45827</v>
      </c>
      <c r="H194" s="63" t="s">
        <v>1734</v>
      </c>
      <c r="I194" s="72">
        <v>2000</v>
      </c>
      <c r="J194" s="127"/>
    </row>
    <row r="195" spans="1:10" s="87" customFormat="1" x14ac:dyDescent="0.6">
      <c r="A195" s="211"/>
      <c r="B195" s="126"/>
      <c r="C195" s="14"/>
      <c r="D195" s="91"/>
      <c r="E195" s="64"/>
      <c r="F195" s="72"/>
      <c r="G195" s="91"/>
      <c r="H195" s="63" t="s">
        <v>1735</v>
      </c>
      <c r="I195" s="72">
        <v>86860</v>
      </c>
      <c r="J195" s="127"/>
    </row>
    <row r="196" spans="1:10" s="87" customFormat="1" x14ac:dyDescent="0.6">
      <c r="A196" s="211"/>
      <c r="B196" s="126"/>
      <c r="C196" s="14"/>
      <c r="D196" s="91"/>
      <c r="E196" s="64"/>
      <c r="F196" s="72"/>
      <c r="G196" s="91"/>
      <c r="H196" s="63" t="s">
        <v>1521</v>
      </c>
      <c r="I196" s="72">
        <v>3030</v>
      </c>
      <c r="J196" s="127"/>
    </row>
    <row r="197" spans="1:10" s="87" customFormat="1" x14ac:dyDescent="0.6">
      <c r="A197" s="211"/>
      <c r="B197" s="126"/>
      <c r="C197" s="14"/>
      <c r="D197" s="91"/>
      <c r="E197" s="64"/>
      <c r="F197" s="72"/>
      <c r="G197" s="91"/>
      <c r="H197" s="63" t="s">
        <v>1522</v>
      </c>
      <c r="I197" s="72">
        <v>460000</v>
      </c>
      <c r="J197" s="127"/>
    </row>
    <row r="198" spans="1:10" s="87" customFormat="1" x14ac:dyDescent="0.6">
      <c r="A198" s="211"/>
      <c r="B198" s="126"/>
      <c r="C198" s="14"/>
      <c r="D198" s="91"/>
      <c r="E198" s="64"/>
      <c r="F198" s="72"/>
      <c r="G198" s="91"/>
      <c r="H198" s="63" t="s">
        <v>1523</v>
      </c>
      <c r="I198" s="72">
        <v>20150</v>
      </c>
      <c r="J198" s="127"/>
    </row>
    <row r="199" spans="1:10" s="87" customFormat="1" x14ac:dyDescent="0.6">
      <c r="A199" s="211"/>
      <c r="B199" s="126"/>
      <c r="C199" s="14"/>
      <c r="D199" s="91"/>
      <c r="E199" s="64"/>
      <c r="F199" s="72"/>
      <c r="G199" s="91"/>
      <c r="H199" s="63" t="s">
        <v>1524</v>
      </c>
      <c r="I199" s="72">
        <v>2000</v>
      </c>
      <c r="J199" s="127"/>
    </row>
    <row r="200" spans="1:10" s="87" customFormat="1" x14ac:dyDescent="0.6">
      <c r="A200" s="211"/>
      <c r="B200" s="126"/>
      <c r="C200" s="14"/>
      <c r="D200" s="91"/>
      <c r="E200" s="64"/>
      <c r="F200" s="72"/>
      <c r="G200" s="91"/>
      <c r="H200" s="63" t="s">
        <v>1525</v>
      </c>
      <c r="I200" s="72">
        <v>2000</v>
      </c>
      <c r="J200" s="127"/>
    </row>
    <row r="201" spans="1:10" s="87" customFormat="1" x14ac:dyDescent="0.6">
      <c r="A201" s="211"/>
      <c r="B201" s="126"/>
      <c r="C201" s="14"/>
      <c r="D201" s="91"/>
      <c r="E201" s="64"/>
      <c r="F201" s="72"/>
      <c r="G201" s="91"/>
      <c r="H201" s="63" t="s">
        <v>1528</v>
      </c>
      <c r="I201" s="72">
        <v>5050</v>
      </c>
      <c r="J201" s="127"/>
    </row>
    <row r="202" spans="1:10" s="87" customFormat="1" ht="36.6" x14ac:dyDescent="0.6">
      <c r="A202" s="211"/>
      <c r="B202" s="126"/>
      <c r="C202" s="14"/>
      <c r="D202" s="91"/>
      <c r="E202" s="64"/>
      <c r="F202" s="72"/>
      <c r="G202" s="91">
        <v>45828</v>
      </c>
      <c r="H202" s="63" t="s">
        <v>1527</v>
      </c>
      <c r="I202" s="72">
        <v>3000</v>
      </c>
      <c r="J202" s="212"/>
    </row>
    <row r="203" spans="1:10" s="213" customFormat="1" x14ac:dyDescent="0.6">
      <c r="A203" s="211"/>
      <c r="B203" s="126"/>
      <c r="C203" s="14"/>
      <c r="D203" s="91"/>
      <c r="E203" s="64"/>
      <c r="F203" s="72"/>
      <c r="G203" s="91"/>
      <c r="H203" s="63" t="s">
        <v>1526</v>
      </c>
      <c r="I203" s="72">
        <v>3000</v>
      </c>
      <c r="J203" s="207"/>
    </row>
    <row r="204" spans="1:10" s="87" customFormat="1" x14ac:dyDescent="0.6">
      <c r="A204" s="211"/>
      <c r="B204" s="126"/>
      <c r="C204" s="14"/>
      <c r="D204" s="91"/>
      <c r="E204" s="64"/>
      <c r="F204" s="72"/>
      <c r="G204" s="91"/>
      <c r="H204" s="63" t="s">
        <v>1412</v>
      </c>
      <c r="I204" s="72">
        <v>2000</v>
      </c>
      <c r="J204" s="207"/>
    </row>
    <row r="205" spans="1:10" s="87" customFormat="1" x14ac:dyDescent="0.6">
      <c r="A205" s="211"/>
      <c r="B205" s="126"/>
      <c r="C205" s="14"/>
      <c r="D205" s="91"/>
      <c r="E205" s="64"/>
      <c r="F205" s="72"/>
      <c r="G205" s="91"/>
      <c r="H205" s="63" t="s">
        <v>1529</v>
      </c>
      <c r="I205" s="72">
        <v>25250</v>
      </c>
      <c r="J205" s="207"/>
    </row>
    <row r="206" spans="1:10" s="87" customFormat="1" x14ac:dyDescent="0.6">
      <c r="A206" s="211"/>
      <c r="B206" s="126"/>
      <c r="C206" s="14"/>
      <c r="D206" s="91"/>
      <c r="E206" s="64"/>
      <c r="F206" s="72"/>
      <c r="G206" s="91"/>
      <c r="H206" s="63" t="s">
        <v>1533</v>
      </c>
      <c r="I206" s="72">
        <v>121200</v>
      </c>
      <c r="J206" s="207"/>
    </row>
    <row r="207" spans="1:10" s="87" customFormat="1" x14ac:dyDescent="0.6">
      <c r="A207" s="211"/>
      <c r="B207" s="126"/>
      <c r="C207" s="14"/>
      <c r="D207" s="91"/>
      <c r="E207" s="64"/>
      <c r="F207" s="72"/>
      <c r="G207" s="91"/>
      <c r="H207" s="63" t="s">
        <v>1534</v>
      </c>
      <c r="I207" s="72">
        <v>2300</v>
      </c>
      <c r="J207" s="207"/>
    </row>
    <row r="208" spans="1:10" s="87" customFormat="1" x14ac:dyDescent="0.6">
      <c r="A208" s="211"/>
      <c r="B208" s="126"/>
      <c r="C208" s="14"/>
      <c r="D208" s="91"/>
      <c r="E208" s="64"/>
      <c r="F208" s="72"/>
      <c r="G208" s="91"/>
      <c r="H208" s="63" t="s">
        <v>1535</v>
      </c>
      <c r="I208" s="72">
        <v>5050</v>
      </c>
      <c r="J208" s="207"/>
    </row>
    <row r="209" spans="1:10" s="87" customFormat="1" x14ac:dyDescent="0.6">
      <c r="A209" s="211"/>
      <c r="B209" s="126"/>
      <c r="C209" s="14"/>
      <c r="D209" s="91"/>
      <c r="E209" s="64"/>
      <c r="F209" s="72"/>
      <c r="G209" s="91"/>
      <c r="H209" s="63" t="s">
        <v>1538</v>
      </c>
      <c r="I209" s="72">
        <v>500</v>
      </c>
      <c r="J209" s="207"/>
    </row>
    <row r="210" spans="1:10" s="87" customFormat="1" x14ac:dyDescent="0.6">
      <c r="A210" s="211"/>
      <c r="B210" s="126"/>
      <c r="C210" s="14"/>
      <c r="D210" s="91"/>
      <c r="E210" s="64"/>
      <c r="F210" s="72"/>
      <c r="G210" s="91"/>
      <c r="H210" s="63" t="s">
        <v>1540</v>
      </c>
      <c r="I210" s="72">
        <v>20200</v>
      </c>
      <c r="J210" s="207"/>
    </row>
    <row r="211" spans="1:10" s="87" customFormat="1" x14ac:dyDescent="0.6">
      <c r="A211" s="211"/>
      <c r="B211" s="126"/>
      <c r="C211" s="14"/>
      <c r="D211" s="91"/>
      <c r="E211" s="64"/>
      <c r="F211" s="72"/>
      <c r="G211" s="91"/>
      <c r="H211" s="63" t="s">
        <v>1539</v>
      </c>
      <c r="I211" s="72">
        <v>500000</v>
      </c>
      <c r="J211" s="207"/>
    </row>
    <row r="212" spans="1:10" s="87" customFormat="1" x14ac:dyDescent="0.6">
      <c r="A212" s="211"/>
      <c r="B212" s="126"/>
      <c r="C212" s="14"/>
      <c r="D212" s="91"/>
      <c r="E212" s="64"/>
      <c r="F212" s="72"/>
      <c r="G212" s="91"/>
      <c r="H212" s="63" t="s">
        <v>1561</v>
      </c>
      <c r="I212" s="72">
        <v>4000</v>
      </c>
      <c r="J212" s="207"/>
    </row>
    <row r="213" spans="1:10" s="87" customFormat="1" x14ac:dyDescent="0.6">
      <c r="A213" s="211"/>
      <c r="B213" s="126"/>
      <c r="C213" s="14"/>
      <c r="D213" s="91"/>
      <c r="E213" s="64"/>
      <c r="F213" s="72"/>
      <c r="G213" s="91"/>
      <c r="H213" s="63" t="s">
        <v>1546</v>
      </c>
      <c r="I213" s="72">
        <v>1210</v>
      </c>
      <c r="J213" s="207"/>
    </row>
    <row r="214" spans="1:10" s="87" customFormat="1" x14ac:dyDescent="0.6">
      <c r="A214" s="211"/>
      <c r="B214" s="126"/>
      <c r="C214" s="14"/>
      <c r="D214" s="91"/>
      <c r="E214" s="64"/>
      <c r="F214" s="72"/>
      <c r="G214" s="91"/>
      <c r="H214" s="63" t="s">
        <v>1541</v>
      </c>
      <c r="I214" s="72">
        <v>1315</v>
      </c>
      <c r="J214" s="207"/>
    </row>
    <row r="215" spans="1:10" s="87" customFormat="1" x14ac:dyDescent="0.6">
      <c r="A215" s="211"/>
      <c r="B215" s="126"/>
      <c r="C215" s="14"/>
      <c r="D215" s="91"/>
      <c r="E215" s="64"/>
      <c r="F215" s="72"/>
      <c r="G215" s="91"/>
      <c r="H215" s="63" t="s">
        <v>1543</v>
      </c>
      <c r="I215" s="72">
        <v>1000</v>
      </c>
      <c r="J215" s="207"/>
    </row>
    <row r="216" spans="1:10" s="87" customFormat="1" x14ac:dyDescent="0.6">
      <c r="A216" s="211"/>
      <c r="B216" s="126"/>
      <c r="C216" s="14"/>
      <c r="D216" s="91"/>
      <c r="E216" s="64"/>
      <c r="F216" s="72"/>
      <c r="G216" s="91"/>
      <c r="H216" s="63" t="s">
        <v>1542</v>
      </c>
      <c r="I216" s="72">
        <v>1000</v>
      </c>
      <c r="J216" s="207"/>
    </row>
    <row r="217" spans="1:10" s="87" customFormat="1" x14ac:dyDescent="0.6">
      <c r="A217" s="211"/>
      <c r="B217" s="126"/>
      <c r="C217" s="14"/>
      <c r="D217" s="91"/>
      <c r="E217" s="64"/>
      <c r="F217" s="72"/>
      <c r="G217" s="91"/>
      <c r="H217" s="63" t="s">
        <v>1544</v>
      </c>
      <c r="I217" s="72">
        <v>1000</v>
      </c>
      <c r="J217" s="207"/>
    </row>
    <row r="218" spans="1:10" s="87" customFormat="1" x14ac:dyDescent="0.6">
      <c r="A218" s="211"/>
      <c r="B218" s="126"/>
      <c r="C218" s="14"/>
      <c r="D218" s="91"/>
      <c r="E218" s="64"/>
      <c r="F218" s="72"/>
      <c r="G218" s="91"/>
      <c r="H218" s="63" t="s">
        <v>1545</v>
      </c>
      <c r="I218" s="72">
        <v>36360</v>
      </c>
      <c r="J218" s="207"/>
    </row>
    <row r="219" spans="1:10" s="87" customFormat="1" x14ac:dyDescent="0.6">
      <c r="A219" s="211"/>
      <c r="B219" s="126"/>
      <c r="C219" s="14"/>
      <c r="D219" s="91"/>
      <c r="E219" s="64"/>
      <c r="F219" s="72"/>
      <c r="G219" s="91"/>
      <c r="H219" s="63" t="s">
        <v>1547</v>
      </c>
      <c r="I219" s="72">
        <v>1615</v>
      </c>
      <c r="J219" s="207"/>
    </row>
    <row r="220" spans="1:10" s="87" customFormat="1" x14ac:dyDescent="0.6">
      <c r="A220" s="211"/>
      <c r="B220" s="126"/>
      <c r="C220" s="14"/>
      <c r="D220" s="91"/>
      <c r="E220" s="64"/>
      <c r="F220" s="72"/>
      <c r="G220" s="91">
        <v>45829</v>
      </c>
      <c r="H220" s="63" t="s">
        <v>1549</v>
      </c>
      <c r="I220" s="72">
        <v>2000</v>
      </c>
      <c r="J220" s="207"/>
    </row>
    <row r="221" spans="1:10" s="87" customFormat="1" x14ac:dyDescent="0.6">
      <c r="A221" s="211"/>
      <c r="B221" s="126"/>
      <c r="C221" s="14"/>
      <c r="D221" s="91"/>
      <c r="E221" s="64"/>
      <c r="F221" s="72"/>
      <c r="G221" s="91"/>
      <c r="H221" s="63" t="s">
        <v>1551</v>
      </c>
      <c r="I221" s="72">
        <v>2300</v>
      </c>
      <c r="J221" s="207"/>
    </row>
    <row r="222" spans="1:10" s="87" customFormat="1" x14ac:dyDescent="0.6">
      <c r="A222" s="211"/>
      <c r="B222" s="126"/>
      <c r="C222" s="14"/>
      <c r="D222" s="91"/>
      <c r="E222" s="64"/>
      <c r="F222" s="72"/>
      <c r="G222" s="91"/>
      <c r="H222" s="63" t="s">
        <v>1412</v>
      </c>
      <c r="I222" s="72">
        <v>2000</v>
      </c>
      <c r="J222" s="207"/>
    </row>
    <row r="223" spans="1:10" s="87" customFormat="1" x14ac:dyDescent="0.6">
      <c r="A223" s="211"/>
      <c r="B223" s="126"/>
      <c r="C223" s="14"/>
      <c r="D223" s="91"/>
      <c r="E223" s="64"/>
      <c r="F223" s="72"/>
      <c r="G223" s="91"/>
      <c r="H223" s="63" t="s">
        <v>1554</v>
      </c>
      <c r="I223" s="72">
        <v>111100</v>
      </c>
      <c r="J223" s="207"/>
    </row>
    <row r="224" spans="1:10" s="87" customFormat="1" x14ac:dyDescent="0.6">
      <c r="A224" s="211"/>
      <c r="B224" s="126"/>
      <c r="C224" s="14"/>
      <c r="D224" s="91"/>
      <c r="E224" s="64"/>
      <c r="F224" s="72"/>
      <c r="G224" s="91"/>
      <c r="H224" s="63" t="s">
        <v>1555</v>
      </c>
      <c r="I224" s="72">
        <v>1010</v>
      </c>
      <c r="J224" s="207"/>
    </row>
    <row r="225" spans="1:10" s="87" customFormat="1" x14ac:dyDescent="0.6">
      <c r="A225" s="211"/>
      <c r="B225" s="126"/>
      <c r="C225" s="14"/>
      <c r="D225" s="91"/>
      <c r="E225" s="64"/>
      <c r="F225" s="72"/>
      <c r="G225" s="91"/>
      <c r="H225" s="63" t="s">
        <v>1557</v>
      </c>
      <c r="I225" s="72">
        <v>20200</v>
      </c>
      <c r="J225" s="207"/>
    </row>
    <row r="226" spans="1:10" s="87" customFormat="1" x14ac:dyDescent="0.6">
      <c r="A226" s="211"/>
      <c r="B226" s="126"/>
      <c r="C226" s="14"/>
      <c r="D226" s="91"/>
      <c r="E226" s="64"/>
      <c r="F226" s="72"/>
      <c r="G226" s="91"/>
      <c r="H226" s="63" t="s">
        <v>1558</v>
      </c>
      <c r="I226" s="72">
        <v>235330</v>
      </c>
      <c r="J226" s="207"/>
    </row>
    <row r="227" spans="1:10" s="87" customFormat="1" x14ac:dyDescent="0.6">
      <c r="A227" s="211"/>
      <c r="B227" s="126"/>
      <c r="C227" s="14"/>
      <c r="D227" s="91"/>
      <c r="E227" s="64"/>
      <c r="F227" s="72"/>
      <c r="G227" s="91">
        <v>45830</v>
      </c>
      <c r="H227" s="63" t="s">
        <v>1559</v>
      </c>
      <c r="I227" s="72">
        <v>9090</v>
      </c>
      <c r="J227" s="207"/>
    </row>
    <row r="228" spans="1:10" s="87" customFormat="1" x14ac:dyDescent="0.6">
      <c r="A228" s="211"/>
      <c r="B228" s="126"/>
      <c r="C228" s="14"/>
      <c r="D228" s="91"/>
      <c r="E228" s="64"/>
      <c r="F228" s="72"/>
      <c r="G228" s="91">
        <v>45831</v>
      </c>
      <c r="H228" s="63" t="s">
        <v>1556</v>
      </c>
      <c r="I228" s="72">
        <v>20200</v>
      </c>
      <c r="J228" s="207"/>
    </row>
    <row r="229" spans="1:10" s="87" customFormat="1" x14ac:dyDescent="0.6">
      <c r="A229" s="211"/>
      <c r="B229" s="126"/>
      <c r="C229" s="14"/>
      <c r="D229" s="91"/>
      <c r="E229" s="64"/>
      <c r="F229" s="72"/>
      <c r="G229" s="91"/>
      <c r="H229" s="63" t="s">
        <v>1560</v>
      </c>
      <c r="I229" s="72">
        <v>2000</v>
      </c>
      <c r="J229" s="207"/>
    </row>
    <row r="230" spans="1:10" s="87" customFormat="1" x14ac:dyDescent="0.6">
      <c r="A230" s="211"/>
      <c r="B230" s="126"/>
      <c r="C230" s="14"/>
      <c r="D230" s="91"/>
      <c r="E230" s="64"/>
      <c r="F230" s="72"/>
      <c r="G230" s="91"/>
      <c r="H230" s="63" t="s">
        <v>1563</v>
      </c>
      <c r="I230" s="72">
        <v>4300</v>
      </c>
      <c r="J230" s="207"/>
    </row>
    <row r="231" spans="1:10" s="87" customFormat="1" x14ac:dyDescent="0.6">
      <c r="A231" s="211"/>
      <c r="B231" s="126"/>
      <c r="C231" s="14"/>
      <c r="D231" s="91"/>
      <c r="E231" s="64"/>
      <c r="F231" s="72"/>
      <c r="G231" s="91"/>
      <c r="H231" s="63" t="s">
        <v>1565</v>
      </c>
      <c r="I231" s="72">
        <v>5050</v>
      </c>
      <c r="J231" s="207"/>
    </row>
    <row r="232" spans="1:10" s="87" customFormat="1" x14ac:dyDescent="0.6">
      <c r="A232" s="211"/>
      <c r="B232" s="126"/>
      <c r="C232" s="14"/>
      <c r="D232" s="91"/>
      <c r="E232" s="64"/>
      <c r="F232" s="72"/>
      <c r="G232" s="91"/>
      <c r="H232" s="63" t="s">
        <v>1564</v>
      </c>
      <c r="I232" s="72">
        <v>5050</v>
      </c>
      <c r="J232" s="207"/>
    </row>
    <row r="233" spans="1:10" s="87" customFormat="1" x14ac:dyDescent="0.6">
      <c r="A233" s="211"/>
      <c r="B233" s="126"/>
      <c r="C233" s="14"/>
      <c r="D233" s="91"/>
      <c r="E233" s="64"/>
      <c r="F233" s="72"/>
      <c r="G233" s="91"/>
      <c r="H233" s="63" t="s">
        <v>1566</v>
      </c>
      <c r="I233" s="72">
        <v>25250</v>
      </c>
      <c r="J233" s="207"/>
    </row>
    <row r="234" spans="1:10" s="87" customFormat="1" x14ac:dyDescent="0.6">
      <c r="A234" s="211"/>
      <c r="B234" s="126"/>
      <c r="C234" s="14"/>
      <c r="D234" s="91"/>
      <c r="E234" s="64"/>
      <c r="F234" s="72"/>
      <c r="G234" s="91"/>
      <c r="H234" s="63" t="s">
        <v>1568</v>
      </c>
      <c r="I234" s="72">
        <v>38380</v>
      </c>
      <c r="J234" s="207"/>
    </row>
    <row r="235" spans="1:10" s="87" customFormat="1" x14ac:dyDescent="0.6">
      <c r="A235" s="211"/>
      <c r="B235" s="126"/>
      <c r="C235" s="14"/>
      <c r="D235" s="91"/>
      <c r="E235" s="64"/>
      <c r="F235" s="72"/>
      <c r="G235" s="91"/>
      <c r="H235" s="63" t="s">
        <v>1569</v>
      </c>
      <c r="I235" s="72">
        <v>171700</v>
      </c>
      <c r="J235" s="207"/>
    </row>
    <row r="236" spans="1:10" s="87" customFormat="1" x14ac:dyDescent="0.6">
      <c r="A236" s="211"/>
      <c r="B236" s="126"/>
      <c r="C236" s="14"/>
      <c r="D236" s="91"/>
      <c r="E236" s="64"/>
      <c r="F236" s="72"/>
      <c r="G236" s="91"/>
      <c r="H236" s="63" t="s">
        <v>1572</v>
      </c>
      <c r="I236" s="72">
        <v>6060</v>
      </c>
      <c r="J236" s="207"/>
    </row>
    <row r="237" spans="1:10" s="87" customFormat="1" x14ac:dyDescent="0.6">
      <c r="A237" s="211"/>
      <c r="B237" s="126"/>
      <c r="C237" s="14"/>
      <c r="D237" s="91"/>
      <c r="E237" s="64"/>
      <c r="F237" s="72"/>
      <c r="G237" s="91">
        <v>45832</v>
      </c>
      <c r="H237" s="63" t="s">
        <v>1573</v>
      </c>
      <c r="I237" s="72">
        <v>14140</v>
      </c>
      <c r="J237" s="207"/>
    </row>
    <row r="238" spans="1:10" s="87" customFormat="1" x14ac:dyDescent="0.6">
      <c r="A238" s="211"/>
      <c r="B238" s="126"/>
      <c r="C238" s="14"/>
      <c r="D238" s="91"/>
      <c r="E238" s="64"/>
      <c r="F238" s="72"/>
      <c r="G238" s="91"/>
      <c r="H238" s="63" t="s">
        <v>1574</v>
      </c>
      <c r="I238" s="72">
        <v>5000</v>
      </c>
      <c r="J238" s="207"/>
    </row>
    <row r="239" spans="1:10" s="87" customFormat="1" x14ac:dyDescent="0.6">
      <c r="A239" s="211"/>
      <c r="B239" s="126"/>
      <c r="C239" s="14"/>
      <c r="D239" s="91"/>
      <c r="E239" s="64"/>
      <c r="F239" s="72"/>
      <c r="G239" s="91"/>
      <c r="H239" s="63" t="s">
        <v>1575</v>
      </c>
      <c r="I239" s="72">
        <v>2020</v>
      </c>
      <c r="J239" s="207"/>
    </row>
    <row r="240" spans="1:10" s="87" customFormat="1" x14ac:dyDescent="0.6">
      <c r="A240" s="211"/>
      <c r="B240" s="126"/>
      <c r="C240" s="14"/>
      <c r="D240" s="91"/>
      <c r="E240" s="64"/>
      <c r="F240" s="72"/>
      <c r="G240" s="91"/>
      <c r="H240" s="63" t="s">
        <v>1576</v>
      </c>
      <c r="I240" s="72">
        <v>20200</v>
      </c>
      <c r="J240" s="207"/>
    </row>
    <row r="241" spans="1:10" s="87" customFormat="1" x14ac:dyDescent="0.6">
      <c r="A241" s="211"/>
      <c r="B241" s="126"/>
      <c r="C241" s="14"/>
      <c r="D241" s="91"/>
      <c r="E241" s="64"/>
      <c r="F241" s="72"/>
      <c r="G241" s="91"/>
      <c r="H241" s="63" t="s">
        <v>1577</v>
      </c>
      <c r="I241" s="72">
        <v>601000</v>
      </c>
      <c r="J241" s="207"/>
    </row>
    <row r="242" spans="1:10" s="87" customFormat="1" x14ac:dyDescent="0.6">
      <c r="A242" s="211"/>
      <c r="B242" s="126"/>
      <c r="C242" s="14"/>
      <c r="D242" s="91"/>
      <c r="E242" s="64"/>
      <c r="F242" s="72"/>
      <c r="G242" s="91"/>
      <c r="H242" s="63" t="s">
        <v>1586</v>
      </c>
      <c r="I242" s="72">
        <v>500000</v>
      </c>
      <c r="J242" s="207"/>
    </row>
    <row r="243" spans="1:10" s="87" customFormat="1" x14ac:dyDescent="0.6">
      <c r="A243" s="211"/>
      <c r="B243" s="126"/>
      <c r="C243" s="14"/>
      <c r="D243" s="91"/>
      <c r="E243" s="64"/>
      <c r="F243" s="72"/>
      <c r="G243" s="91"/>
      <c r="H243" s="63" t="s">
        <v>1604</v>
      </c>
      <c r="I243" s="72">
        <v>8080</v>
      </c>
      <c r="J243" s="207"/>
    </row>
    <row r="244" spans="1:10" s="87" customFormat="1" x14ac:dyDescent="0.6">
      <c r="A244" s="211"/>
      <c r="B244" s="126"/>
      <c r="C244" s="14"/>
      <c r="D244" s="91"/>
      <c r="E244" s="64"/>
      <c r="F244" s="72"/>
      <c r="G244" s="91"/>
      <c r="H244" s="63" t="s">
        <v>1579</v>
      </c>
      <c r="I244" s="72">
        <v>26260</v>
      </c>
      <c r="J244" s="207"/>
    </row>
    <row r="245" spans="1:10" s="87" customFormat="1" x14ac:dyDescent="0.6">
      <c r="A245" s="211"/>
      <c r="B245" s="126"/>
      <c r="C245" s="14"/>
      <c r="D245" s="91"/>
      <c r="E245" s="64"/>
      <c r="F245" s="72"/>
      <c r="G245" s="91"/>
      <c r="H245" s="63" t="s">
        <v>1578</v>
      </c>
      <c r="I245" s="72">
        <v>12120</v>
      </c>
      <c r="J245" s="207"/>
    </row>
    <row r="246" spans="1:10" s="87" customFormat="1" x14ac:dyDescent="0.6">
      <c r="A246" s="211"/>
      <c r="B246" s="126"/>
      <c r="C246" s="14"/>
      <c r="D246" s="91"/>
      <c r="E246" s="64"/>
      <c r="F246" s="72"/>
      <c r="G246" s="91"/>
      <c r="H246" s="63" t="s">
        <v>1580</v>
      </c>
      <c r="I246" s="72">
        <f>171700+30300</f>
        <v>202000</v>
      </c>
      <c r="J246" s="207"/>
    </row>
    <row r="247" spans="1:10" s="87" customFormat="1" x14ac:dyDescent="0.6">
      <c r="A247" s="211"/>
      <c r="B247" s="126"/>
      <c r="C247" s="14"/>
      <c r="D247" s="91"/>
      <c r="E247" s="64"/>
      <c r="F247" s="72"/>
      <c r="G247" s="91"/>
      <c r="H247" s="63" t="s">
        <v>1581</v>
      </c>
      <c r="I247" s="72">
        <v>15150</v>
      </c>
      <c r="J247" s="207"/>
    </row>
    <row r="248" spans="1:10" s="87" customFormat="1" x14ac:dyDescent="0.6">
      <c r="A248" s="211"/>
      <c r="B248" s="126"/>
      <c r="C248" s="14"/>
      <c r="D248" s="91"/>
      <c r="E248" s="64"/>
      <c r="F248" s="72"/>
      <c r="G248" s="91"/>
      <c r="H248" s="63" t="s">
        <v>1582</v>
      </c>
      <c r="I248" s="72">
        <v>4000</v>
      </c>
      <c r="J248" s="207"/>
    </row>
    <row r="249" spans="1:10" s="87" customFormat="1" x14ac:dyDescent="0.6">
      <c r="A249" s="211"/>
      <c r="B249" s="126"/>
      <c r="C249" s="14"/>
      <c r="D249" s="91"/>
      <c r="E249" s="64"/>
      <c r="F249" s="72"/>
      <c r="G249" s="91">
        <v>45833</v>
      </c>
      <c r="H249" s="63" t="s">
        <v>1543</v>
      </c>
      <c r="I249" s="72">
        <v>1000</v>
      </c>
      <c r="J249" s="207"/>
    </row>
    <row r="250" spans="1:10" s="87" customFormat="1" x14ac:dyDescent="0.6">
      <c r="A250" s="211"/>
      <c r="B250" s="126"/>
      <c r="C250" s="14"/>
      <c r="D250" s="91"/>
      <c r="E250" s="64"/>
      <c r="F250" s="72"/>
      <c r="G250" s="91"/>
      <c r="H250" s="63" t="s">
        <v>1583</v>
      </c>
      <c r="I250" s="72">
        <v>4000</v>
      </c>
      <c r="J250" s="207"/>
    </row>
    <row r="251" spans="1:10" s="87" customFormat="1" x14ac:dyDescent="0.6">
      <c r="A251" s="211"/>
      <c r="B251" s="126"/>
      <c r="C251" s="14"/>
      <c r="D251" s="91"/>
      <c r="E251" s="64"/>
      <c r="F251" s="72"/>
      <c r="G251" s="91"/>
      <c r="H251" s="63" t="s">
        <v>1584</v>
      </c>
      <c r="I251" s="72">
        <v>8080</v>
      </c>
      <c r="J251" s="207"/>
    </row>
    <row r="252" spans="1:10" s="87" customFormat="1" x14ac:dyDescent="0.6">
      <c r="A252" s="211"/>
      <c r="B252" s="126"/>
      <c r="C252" s="14"/>
      <c r="D252" s="91"/>
      <c r="E252" s="64"/>
      <c r="F252" s="72"/>
      <c r="G252" s="91"/>
      <c r="H252" s="63" t="s">
        <v>1585</v>
      </c>
      <c r="I252" s="72">
        <v>500</v>
      </c>
      <c r="J252" s="207"/>
    </row>
    <row r="253" spans="1:10" s="87" customFormat="1" x14ac:dyDescent="0.6">
      <c r="A253" s="211"/>
      <c r="B253" s="126"/>
      <c r="C253" s="14"/>
      <c r="D253" s="91"/>
      <c r="E253" s="64"/>
      <c r="F253" s="72"/>
      <c r="G253" s="91"/>
      <c r="H253" s="63" t="s">
        <v>1587</v>
      </c>
      <c r="I253" s="72">
        <v>500</v>
      </c>
      <c r="J253" s="207"/>
    </row>
    <row r="254" spans="1:10" s="87" customFormat="1" x14ac:dyDescent="0.6">
      <c r="A254" s="211"/>
      <c r="B254" s="126"/>
      <c r="C254" s="14"/>
      <c r="D254" s="91"/>
      <c r="E254" s="64"/>
      <c r="F254" s="72"/>
      <c r="G254" s="91"/>
      <c r="H254" s="63" t="s">
        <v>1736</v>
      </c>
      <c r="I254" s="72">
        <v>500000</v>
      </c>
      <c r="J254" s="207"/>
    </row>
    <row r="255" spans="1:10" s="87" customFormat="1" x14ac:dyDescent="0.6">
      <c r="A255" s="211"/>
      <c r="B255" s="126"/>
      <c r="C255" s="14"/>
      <c r="D255" s="91"/>
      <c r="E255" s="64"/>
      <c r="F255" s="72"/>
      <c r="G255" s="91"/>
      <c r="H255" s="63" t="s">
        <v>1588</v>
      </c>
      <c r="I255" s="72">
        <v>2000</v>
      </c>
      <c r="J255" s="207"/>
    </row>
    <row r="256" spans="1:10" s="87" customFormat="1" x14ac:dyDescent="0.6">
      <c r="A256" s="211"/>
      <c r="B256" s="126"/>
      <c r="C256" s="14"/>
      <c r="D256" s="91"/>
      <c r="E256" s="64"/>
      <c r="F256" s="72"/>
      <c r="G256" s="91"/>
      <c r="H256" s="63" t="s">
        <v>1737</v>
      </c>
      <c r="I256" s="72">
        <v>500000</v>
      </c>
      <c r="J256" s="207"/>
    </row>
    <row r="257" spans="1:10" s="87" customFormat="1" x14ac:dyDescent="0.6">
      <c r="A257" s="211"/>
      <c r="B257" s="126"/>
      <c r="C257" s="14"/>
      <c r="D257" s="91"/>
      <c r="E257" s="64"/>
      <c r="F257" s="72"/>
      <c r="G257" s="91"/>
      <c r="H257" s="63" t="s">
        <v>1595</v>
      </c>
      <c r="I257" s="72">
        <v>126250</v>
      </c>
      <c r="J257" s="207"/>
    </row>
    <row r="258" spans="1:10" s="87" customFormat="1" x14ac:dyDescent="0.6">
      <c r="A258" s="211"/>
      <c r="B258" s="126"/>
      <c r="C258" s="14"/>
      <c r="D258" s="91"/>
      <c r="E258" s="64"/>
      <c r="F258" s="72"/>
      <c r="G258" s="91"/>
      <c r="H258" s="63" t="s">
        <v>1596</v>
      </c>
      <c r="I258" s="72">
        <v>790100</v>
      </c>
      <c r="J258" s="207"/>
    </row>
    <row r="259" spans="1:10" s="87" customFormat="1" x14ac:dyDescent="0.6">
      <c r="A259" s="211"/>
      <c r="B259" s="126"/>
      <c r="C259" s="14"/>
      <c r="D259" s="91"/>
      <c r="E259" s="64"/>
      <c r="F259" s="72"/>
      <c r="G259" s="91"/>
      <c r="H259" s="63" t="s">
        <v>1597</v>
      </c>
      <c r="I259" s="72">
        <v>60600</v>
      </c>
      <c r="J259" s="207"/>
    </row>
    <row r="260" spans="1:10" s="87" customFormat="1" x14ac:dyDescent="0.6">
      <c r="A260" s="211"/>
      <c r="B260" s="126"/>
      <c r="C260" s="14"/>
      <c r="D260" s="91"/>
      <c r="E260" s="64"/>
      <c r="F260" s="72"/>
      <c r="G260" s="91"/>
      <c r="H260" s="63" t="s">
        <v>1590</v>
      </c>
      <c r="I260" s="72">
        <v>2020</v>
      </c>
      <c r="J260" s="207"/>
    </row>
    <row r="261" spans="1:10" s="87" customFormat="1" x14ac:dyDescent="0.6">
      <c r="A261" s="211"/>
      <c r="B261" s="126"/>
      <c r="C261" s="14"/>
      <c r="D261" s="91"/>
      <c r="E261" s="64"/>
      <c r="F261" s="72"/>
      <c r="G261" s="91"/>
      <c r="H261" s="63" t="s">
        <v>1591</v>
      </c>
      <c r="I261" s="72">
        <v>10100</v>
      </c>
      <c r="J261" s="207"/>
    </row>
    <row r="262" spans="1:10" s="87" customFormat="1" x14ac:dyDescent="0.6">
      <c r="A262" s="211"/>
      <c r="B262" s="126"/>
      <c r="C262" s="14"/>
      <c r="D262" s="91"/>
      <c r="E262" s="64"/>
      <c r="F262" s="72"/>
      <c r="G262" s="91"/>
      <c r="H262" s="63" t="s">
        <v>1594</v>
      </c>
      <c r="I262" s="72">
        <v>20200</v>
      </c>
      <c r="J262" s="207"/>
    </row>
    <row r="263" spans="1:10" s="87" customFormat="1" x14ac:dyDescent="0.6">
      <c r="A263" s="211"/>
      <c r="B263" s="126"/>
      <c r="C263" s="14"/>
      <c r="D263" s="91"/>
      <c r="E263" s="64"/>
      <c r="F263" s="72"/>
      <c r="G263" s="91"/>
      <c r="H263" s="63" t="s">
        <v>1592</v>
      </c>
      <c r="I263" s="72">
        <v>18180</v>
      </c>
      <c r="J263" s="207"/>
    </row>
    <row r="264" spans="1:10" s="87" customFormat="1" x14ac:dyDescent="0.6">
      <c r="A264" s="211"/>
      <c r="B264" s="126"/>
      <c r="C264" s="14"/>
      <c r="D264" s="91"/>
      <c r="E264" s="64"/>
      <c r="F264" s="72"/>
      <c r="G264" s="91"/>
      <c r="H264" s="63" t="s">
        <v>1593</v>
      </c>
      <c r="I264" s="72">
        <v>15150</v>
      </c>
      <c r="J264" s="207"/>
    </row>
    <row r="265" spans="1:10" s="87" customFormat="1" x14ac:dyDescent="0.6">
      <c r="A265" s="211"/>
      <c r="B265" s="126"/>
      <c r="C265" s="14"/>
      <c r="D265" s="91"/>
      <c r="E265" s="64"/>
      <c r="F265" s="72"/>
      <c r="G265" s="91"/>
      <c r="H265" s="63" t="s">
        <v>1738</v>
      </c>
      <c r="I265" s="72">
        <v>2020</v>
      </c>
      <c r="J265" s="207"/>
    </row>
    <row r="266" spans="1:10" s="87" customFormat="1" x14ac:dyDescent="0.6">
      <c r="A266" s="211"/>
      <c r="B266" s="126"/>
      <c r="C266" s="14"/>
      <c r="D266" s="91"/>
      <c r="E266" s="64"/>
      <c r="F266" s="72"/>
      <c r="G266" s="91">
        <v>45834</v>
      </c>
      <c r="H266" s="63" t="s">
        <v>1600</v>
      </c>
      <c r="I266" s="72">
        <v>15030</v>
      </c>
      <c r="J266" s="207"/>
    </row>
    <row r="267" spans="1:10" s="87" customFormat="1" x14ac:dyDescent="0.6">
      <c r="A267" s="211"/>
      <c r="B267" s="126"/>
      <c r="C267" s="14"/>
      <c r="D267" s="91"/>
      <c r="E267" s="64"/>
      <c r="F267" s="72"/>
      <c r="G267" s="91"/>
      <c r="H267" s="63" t="s">
        <v>1599</v>
      </c>
      <c r="I267" s="72">
        <v>30300</v>
      </c>
      <c r="J267" s="207"/>
    </row>
    <row r="268" spans="1:10" s="87" customFormat="1" x14ac:dyDescent="0.6">
      <c r="A268" s="211"/>
      <c r="B268" s="126"/>
      <c r="C268" s="14"/>
      <c r="D268" s="91"/>
      <c r="E268" s="64"/>
      <c r="F268" s="72"/>
      <c r="G268" s="91"/>
      <c r="H268" s="63" t="s">
        <v>1603</v>
      </c>
      <c r="I268" s="72">
        <v>234825</v>
      </c>
      <c r="J268" s="207"/>
    </row>
    <row r="269" spans="1:10" s="87" customFormat="1" x14ac:dyDescent="0.6">
      <c r="A269" s="211"/>
      <c r="B269" s="126"/>
      <c r="C269" s="14"/>
      <c r="D269" s="91"/>
      <c r="E269" s="64"/>
      <c r="F269" s="72"/>
      <c r="G269" s="91"/>
      <c r="H269" s="63" t="s">
        <v>1606</v>
      </c>
      <c r="I269" s="72">
        <v>10100</v>
      </c>
      <c r="J269" s="207"/>
    </row>
    <row r="270" spans="1:10" s="87" customFormat="1" x14ac:dyDescent="0.6">
      <c r="A270" s="211"/>
      <c r="B270" s="126"/>
      <c r="C270" s="14"/>
      <c r="D270" s="91"/>
      <c r="E270" s="64"/>
      <c r="F270" s="72"/>
      <c r="G270" s="91"/>
      <c r="H270" s="63" t="s">
        <v>1622</v>
      </c>
      <c r="I270" s="72">
        <v>500</v>
      </c>
      <c r="J270" s="207"/>
    </row>
    <row r="271" spans="1:10" s="87" customFormat="1" x14ac:dyDescent="0.6">
      <c r="A271" s="211"/>
      <c r="B271" s="126"/>
      <c r="C271" s="14"/>
      <c r="D271" s="91"/>
      <c r="E271" s="64"/>
      <c r="F271" s="72"/>
      <c r="G271" s="91"/>
      <c r="H271" s="63" t="s">
        <v>1605</v>
      </c>
      <c r="I271" s="72">
        <v>10000</v>
      </c>
      <c r="J271" s="207"/>
    </row>
    <row r="272" spans="1:10" s="87" customFormat="1" x14ac:dyDescent="0.6">
      <c r="A272" s="211"/>
      <c r="B272" s="126"/>
      <c r="C272" s="14"/>
      <c r="D272" s="91"/>
      <c r="E272" s="64"/>
      <c r="F272" s="72"/>
      <c r="G272" s="91"/>
      <c r="H272" s="63" t="s">
        <v>1614</v>
      </c>
      <c r="I272" s="72">
        <v>500000</v>
      </c>
      <c r="J272" s="207"/>
    </row>
    <row r="273" spans="1:10" s="87" customFormat="1" x14ac:dyDescent="0.6">
      <c r="A273" s="211"/>
      <c r="B273" s="126"/>
      <c r="C273" s="14"/>
      <c r="D273" s="91"/>
      <c r="E273" s="64"/>
      <c r="F273" s="72"/>
      <c r="G273" s="91"/>
      <c r="H273" s="63" t="s">
        <v>1611</v>
      </c>
      <c r="I273" s="72">
        <v>505000</v>
      </c>
      <c r="J273" s="207"/>
    </row>
    <row r="274" spans="1:10" s="87" customFormat="1" x14ac:dyDescent="0.6">
      <c r="A274" s="211"/>
      <c r="B274" s="126"/>
      <c r="C274" s="14"/>
      <c r="D274" s="91"/>
      <c r="E274" s="64"/>
      <c r="F274" s="72"/>
      <c r="G274" s="91"/>
      <c r="H274" s="63" t="s">
        <v>1612</v>
      </c>
      <c r="I274" s="72">
        <v>20200</v>
      </c>
      <c r="J274" s="207"/>
    </row>
    <row r="275" spans="1:10" s="87" customFormat="1" x14ac:dyDescent="0.6">
      <c r="A275" s="211"/>
      <c r="B275" s="126"/>
      <c r="C275" s="14"/>
      <c r="D275" s="91"/>
      <c r="E275" s="64"/>
      <c r="F275" s="72"/>
      <c r="G275" s="91"/>
      <c r="H275" s="63" t="s">
        <v>1613</v>
      </c>
      <c r="I275" s="72">
        <v>11110</v>
      </c>
      <c r="J275" s="207"/>
    </row>
    <row r="276" spans="1:10" s="207" customFormat="1" x14ac:dyDescent="0.6">
      <c r="A276" s="211"/>
      <c r="B276" s="126"/>
      <c r="C276" s="14"/>
      <c r="D276" s="91"/>
      <c r="E276" s="64"/>
      <c r="F276" s="72"/>
      <c r="G276" s="91">
        <v>45835</v>
      </c>
      <c r="H276" s="63" t="s">
        <v>1615</v>
      </c>
      <c r="I276" s="72">
        <v>202000</v>
      </c>
    </row>
    <row r="277" spans="1:10" s="207" customFormat="1" x14ac:dyDescent="0.6">
      <c r="A277" s="211"/>
      <c r="B277" s="126"/>
      <c r="C277" s="14"/>
      <c r="D277" s="91"/>
      <c r="E277" s="64"/>
      <c r="F277" s="72"/>
      <c r="G277" s="91"/>
      <c r="H277" s="63" t="s">
        <v>1616</v>
      </c>
      <c r="I277" s="72">
        <v>150000</v>
      </c>
    </row>
    <row r="278" spans="1:10" s="207" customFormat="1" x14ac:dyDescent="0.6">
      <c r="A278" s="211"/>
      <c r="B278" s="126"/>
      <c r="C278" s="14"/>
      <c r="D278" s="91"/>
      <c r="E278" s="64"/>
      <c r="F278" s="72"/>
      <c r="G278" s="91"/>
      <c r="H278" s="63" t="s">
        <v>1617</v>
      </c>
      <c r="I278" s="72">
        <v>6000</v>
      </c>
    </row>
    <row r="279" spans="1:10" s="207" customFormat="1" x14ac:dyDescent="0.6">
      <c r="A279" s="211"/>
      <c r="B279" s="126"/>
      <c r="C279" s="14"/>
      <c r="D279" s="91"/>
      <c r="E279" s="64"/>
      <c r="F279" s="72"/>
      <c r="G279" s="91"/>
      <c r="H279" s="63" t="s">
        <v>629</v>
      </c>
      <c r="I279" s="72">
        <v>30000</v>
      </c>
    </row>
    <row r="280" spans="1:10" s="207" customFormat="1" x14ac:dyDescent="0.6">
      <c r="A280" s="211"/>
      <c r="B280" s="126"/>
      <c r="C280" s="14"/>
      <c r="D280" s="91"/>
      <c r="E280" s="64"/>
      <c r="F280" s="72"/>
      <c r="G280" s="91"/>
      <c r="H280" s="63" t="s">
        <v>1618</v>
      </c>
      <c r="I280" s="72">
        <v>10100</v>
      </c>
    </row>
    <row r="281" spans="1:10" s="207" customFormat="1" x14ac:dyDescent="0.6">
      <c r="A281" s="211"/>
      <c r="B281" s="126"/>
      <c r="C281" s="14"/>
      <c r="D281" s="91"/>
      <c r="E281" s="64"/>
      <c r="F281" s="72"/>
      <c r="G281" s="91"/>
      <c r="H281" s="63" t="s">
        <v>1621</v>
      </c>
      <c r="I281" s="72">
        <v>20200</v>
      </c>
    </row>
    <row r="282" spans="1:10" s="207" customFormat="1" x14ac:dyDescent="0.6">
      <c r="A282" s="211"/>
      <c r="B282" s="126"/>
      <c r="C282" s="14"/>
      <c r="D282" s="91"/>
      <c r="E282" s="64"/>
      <c r="F282" s="72"/>
      <c r="G282" s="91"/>
      <c r="H282" s="63" t="s">
        <v>1619</v>
      </c>
      <c r="I282" s="72">
        <v>35350</v>
      </c>
    </row>
    <row r="283" spans="1:10" s="207" customFormat="1" x14ac:dyDescent="0.6">
      <c r="A283" s="211"/>
      <c r="B283" s="126"/>
      <c r="C283" s="14"/>
      <c r="D283" s="91"/>
      <c r="E283" s="64"/>
      <c r="F283" s="72"/>
      <c r="G283" s="91"/>
      <c r="H283" s="63" t="s">
        <v>1620</v>
      </c>
      <c r="I283" s="72">
        <v>6900</v>
      </c>
    </row>
    <row r="284" spans="1:10" s="207" customFormat="1" x14ac:dyDescent="0.6">
      <c r="A284" s="211"/>
      <c r="B284" s="126"/>
      <c r="C284" s="14"/>
      <c r="D284" s="91"/>
      <c r="E284" s="64"/>
      <c r="F284" s="72"/>
      <c r="G284" s="91"/>
      <c r="H284" s="63" t="s">
        <v>1623</v>
      </c>
      <c r="I284" s="72">
        <v>500</v>
      </c>
    </row>
    <row r="285" spans="1:10" s="207" customFormat="1" x14ac:dyDescent="0.6">
      <c r="A285" s="211"/>
      <c r="B285" s="126"/>
      <c r="C285" s="14"/>
      <c r="D285" s="91"/>
      <c r="E285" s="64"/>
      <c r="F285" s="72"/>
      <c r="G285" s="91">
        <v>45836</v>
      </c>
      <c r="H285" s="63" t="s">
        <v>1739</v>
      </c>
      <c r="I285" s="72">
        <v>6060</v>
      </c>
    </row>
    <row r="286" spans="1:10" s="207" customFormat="1" x14ac:dyDescent="0.6">
      <c r="A286" s="211"/>
      <c r="B286" s="126"/>
      <c r="C286" s="14"/>
      <c r="D286" s="91"/>
      <c r="E286" s="64"/>
      <c r="F286" s="72"/>
      <c r="G286" s="91"/>
      <c r="H286" s="63" t="s">
        <v>1625</v>
      </c>
      <c r="I286" s="72">
        <v>5050</v>
      </c>
    </row>
    <row r="287" spans="1:10" s="207" customFormat="1" x14ac:dyDescent="0.6">
      <c r="A287" s="211"/>
      <c r="B287" s="126"/>
      <c r="C287" s="14"/>
      <c r="D287" s="91"/>
      <c r="E287" s="64"/>
      <c r="F287" s="72"/>
      <c r="G287" s="91"/>
      <c r="H287" s="63" t="s">
        <v>1629</v>
      </c>
      <c r="I287" s="72">
        <v>43430</v>
      </c>
    </row>
    <row r="288" spans="1:10" s="207" customFormat="1" x14ac:dyDescent="0.6">
      <c r="A288" s="211"/>
      <c r="B288" s="126"/>
      <c r="C288" s="14"/>
      <c r="D288" s="91"/>
      <c r="E288" s="64"/>
      <c r="F288" s="72"/>
      <c r="G288" s="91"/>
      <c r="H288" s="63" t="s">
        <v>1628</v>
      </c>
      <c r="I288" s="72">
        <v>205000</v>
      </c>
    </row>
    <row r="289" spans="1:9" s="207" customFormat="1" x14ac:dyDescent="0.6">
      <c r="A289" s="211"/>
      <c r="B289" s="126"/>
      <c r="C289" s="14"/>
      <c r="D289" s="91"/>
      <c r="E289" s="64"/>
      <c r="F289" s="72"/>
      <c r="G289" s="91">
        <v>45837</v>
      </c>
      <c r="H289" s="63" t="s">
        <v>1624</v>
      </c>
      <c r="I289" s="72">
        <v>810</v>
      </c>
    </row>
    <row r="290" spans="1:9" s="207" customFormat="1" x14ac:dyDescent="0.6">
      <c r="A290" s="211"/>
      <c r="B290" s="126"/>
      <c r="C290" s="14"/>
      <c r="D290" s="91"/>
      <c r="E290" s="64"/>
      <c r="F290" s="72"/>
      <c r="G290" s="91">
        <v>45838</v>
      </c>
      <c r="H290" s="63" t="s">
        <v>1630</v>
      </c>
      <c r="I290" s="72">
        <v>20200</v>
      </c>
    </row>
    <row r="291" spans="1:9" s="207" customFormat="1" x14ac:dyDescent="0.6">
      <c r="A291" s="211"/>
      <c r="B291" s="126"/>
      <c r="C291" s="14"/>
      <c r="D291" s="91"/>
      <c r="E291" s="64"/>
      <c r="F291" s="72"/>
      <c r="G291" s="91"/>
      <c r="H291" s="63" t="s">
        <v>1631</v>
      </c>
      <c r="I291" s="72">
        <v>10100</v>
      </c>
    </row>
    <row r="292" spans="1:9" s="207" customFormat="1" x14ac:dyDescent="0.6">
      <c r="A292" s="211"/>
      <c r="B292" s="126"/>
      <c r="C292" s="14"/>
      <c r="D292" s="91"/>
      <c r="E292" s="64"/>
      <c r="F292" s="72"/>
      <c r="G292" s="91"/>
      <c r="H292" s="63" t="s">
        <v>1632</v>
      </c>
      <c r="I292" s="72">
        <v>1000</v>
      </c>
    </row>
    <row r="293" spans="1:9" s="207" customFormat="1" x14ac:dyDescent="0.6">
      <c r="A293" s="211"/>
      <c r="B293" s="126"/>
      <c r="C293" s="14"/>
      <c r="D293" s="91"/>
      <c r="E293" s="64"/>
      <c r="F293" s="72"/>
      <c r="G293" s="91"/>
      <c r="H293" s="63" t="s">
        <v>1659</v>
      </c>
      <c r="I293" s="72">
        <v>10100</v>
      </c>
    </row>
    <row r="294" spans="1:9" s="207" customFormat="1" x14ac:dyDescent="0.6">
      <c r="A294" s="211"/>
      <c r="B294" s="126"/>
      <c r="C294" s="14"/>
      <c r="D294" s="91"/>
      <c r="E294" s="64"/>
      <c r="F294" s="72"/>
      <c r="G294" s="91"/>
      <c r="H294" s="63" t="s">
        <v>1634</v>
      </c>
      <c r="I294" s="72">
        <v>160500</v>
      </c>
    </row>
    <row r="295" spans="1:9" s="207" customFormat="1" x14ac:dyDescent="0.6">
      <c r="A295" s="211"/>
      <c r="B295" s="126"/>
      <c r="C295" s="14"/>
      <c r="D295" s="91"/>
      <c r="E295" s="64"/>
      <c r="F295" s="72"/>
      <c r="G295" s="91"/>
      <c r="H295" s="63" t="s">
        <v>1635</v>
      </c>
      <c r="I295" s="72">
        <v>2000</v>
      </c>
    </row>
    <row r="296" spans="1:9" s="207" customFormat="1" x14ac:dyDescent="0.6">
      <c r="A296" s="211"/>
      <c r="B296" s="126"/>
      <c r="C296" s="14"/>
      <c r="D296" s="91"/>
      <c r="E296" s="64"/>
      <c r="F296" s="72"/>
      <c r="G296" s="91"/>
      <c r="H296" s="63" t="s">
        <v>1636</v>
      </c>
      <c r="I296" s="72">
        <v>151500</v>
      </c>
    </row>
    <row r="297" spans="1:9" s="207" customFormat="1" x14ac:dyDescent="0.6">
      <c r="A297" s="211"/>
      <c r="B297" s="126"/>
      <c r="C297" s="14"/>
      <c r="D297" s="91"/>
      <c r="E297" s="64"/>
      <c r="F297" s="72"/>
      <c r="G297" s="91"/>
      <c r="H297" s="63" t="s">
        <v>1637</v>
      </c>
      <c r="I297" s="72">
        <v>32320</v>
      </c>
    </row>
    <row r="298" spans="1:9" s="207" customFormat="1" x14ac:dyDescent="0.6">
      <c r="A298" s="211"/>
      <c r="B298" s="126"/>
      <c r="C298" s="14"/>
      <c r="D298" s="91"/>
      <c r="E298" s="64"/>
      <c r="F298" s="72"/>
      <c r="G298" s="91"/>
      <c r="H298" s="63" t="s">
        <v>1638</v>
      </c>
      <c r="I298" s="72">
        <v>3535</v>
      </c>
    </row>
    <row r="299" spans="1:9" s="207" customFormat="1" x14ac:dyDescent="0.6">
      <c r="A299" s="211"/>
      <c r="B299" s="126"/>
      <c r="C299" s="14"/>
      <c r="D299" s="91"/>
      <c r="E299" s="64"/>
      <c r="F299" s="72"/>
      <c r="G299" s="91"/>
      <c r="H299" s="63" t="s">
        <v>1639</v>
      </c>
      <c r="I299" s="72">
        <v>1515</v>
      </c>
    </row>
    <row r="300" spans="1:9" s="207" customFormat="1" x14ac:dyDescent="0.6">
      <c r="A300" s="211"/>
      <c r="B300" s="126"/>
      <c r="C300" s="14"/>
      <c r="D300" s="91"/>
      <c r="E300" s="64"/>
      <c r="F300" s="72"/>
      <c r="G300" s="91"/>
      <c r="H300" s="63" t="s">
        <v>1288</v>
      </c>
      <c r="I300" s="72">
        <v>5000</v>
      </c>
    </row>
    <row r="301" spans="1:9" s="207" customFormat="1" x14ac:dyDescent="0.6">
      <c r="A301" s="211"/>
      <c r="B301" s="126"/>
      <c r="C301" s="14"/>
      <c r="D301" s="91"/>
      <c r="E301" s="64"/>
      <c r="F301" s="72"/>
      <c r="G301" s="91"/>
      <c r="H301" s="63" t="s">
        <v>1543</v>
      </c>
      <c r="I301" s="72">
        <v>1000</v>
      </c>
    </row>
    <row r="302" spans="1:9" s="207" customFormat="1" x14ac:dyDescent="0.6">
      <c r="A302" s="211"/>
      <c r="B302" s="126"/>
      <c r="C302" s="14"/>
      <c r="D302" s="91"/>
      <c r="E302" s="64"/>
      <c r="F302" s="72"/>
      <c r="G302" s="91"/>
      <c r="H302" s="63" t="s">
        <v>1642</v>
      </c>
      <c r="I302" s="72">
        <v>5800</v>
      </c>
    </row>
    <row r="303" spans="1:9" s="207" customFormat="1" x14ac:dyDescent="0.6">
      <c r="A303" s="211"/>
      <c r="B303" s="126"/>
      <c r="C303" s="14"/>
      <c r="D303" s="91"/>
      <c r="E303" s="64"/>
      <c r="F303" s="72"/>
      <c r="G303" s="91"/>
      <c r="H303" s="63" t="s">
        <v>1643</v>
      </c>
      <c r="I303" s="72">
        <v>1000</v>
      </c>
    </row>
    <row r="304" spans="1:9" s="216" customFormat="1" x14ac:dyDescent="0.6">
      <c r="A304" s="214"/>
      <c r="B304" s="215"/>
      <c r="C304" s="11"/>
      <c r="D304" s="92"/>
      <c r="E304" s="81"/>
      <c r="F304" s="13"/>
      <c r="G304" s="91"/>
      <c r="H304" s="63"/>
      <c r="I304" s="72"/>
    </row>
    <row r="305" spans="1:9" s="216" customFormat="1" x14ac:dyDescent="0.6">
      <c r="A305" s="214"/>
      <c r="B305" s="215"/>
      <c r="C305" s="11"/>
      <c r="D305" s="92"/>
      <c r="E305" s="81"/>
      <c r="F305" s="13"/>
      <c r="G305" s="91"/>
      <c r="H305" s="63"/>
      <c r="I305" s="72"/>
    </row>
    <row r="306" spans="1:9" s="216" customFormat="1" x14ac:dyDescent="0.6">
      <c r="A306" s="214"/>
      <c r="B306" s="215"/>
      <c r="C306" s="11"/>
      <c r="D306" s="92"/>
      <c r="E306" s="81"/>
      <c r="F306" s="13"/>
      <c r="G306" s="91"/>
      <c r="H306" s="63"/>
      <c r="I306" s="72"/>
    </row>
    <row r="307" spans="1:9" s="50" customFormat="1" x14ac:dyDescent="0.6">
      <c r="A307" s="128"/>
      <c r="B307" s="130"/>
      <c r="C307" s="4"/>
      <c r="D307" s="94"/>
      <c r="E307" s="24"/>
      <c r="F307" s="89"/>
      <c r="G307" s="90"/>
      <c r="H307" s="63"/>
      <c r="I307" s="72"/>
    </row>
    <row r="308" spans="1:9" s="50" customFormat="1" x14ac:dyDescent="0.6">
      <c r="A308" s="128"/>
      <c r="B308" s="130"/>
      <c r="C308" s="4"/>
      <c r="D308" s="94"/>
      <c r="E308" s="24"/>
      <c r="F308" s="89"/>
      <c r="G308" s="90"/>
      <c r="H308" s="63"/>
      <c r="I308" s="72"/>
    </row>
    <row r="309" spans="1:9" s="50" customFormat="1" x14ac:dyDescent="0.6">
      <c r="A309" s="128"/>
      <c r="B309" s="130"/>
      <c r="C309" s="4"/>
      <c r="D309" s="94"/>
      <c r="E309" s="24"/>
      <c r="F309" s="89"/>
      <c r="G309" s="90"/>
      <c r="H309" s="63"/>
      <c r="I309" s="72"/>
    </row>
    <row r="310" spans="1:9" s="50" customFormat="1" x14ac:dyDescent="0.6">
      <c r="A310" s="128"/>
      <c r="B310" s="130"/>
      <c r="C310" s="4"/>
      <c r="D310" s="94"/>
      <c r="E310" s="24"/>
      <c r="F310" s="89"/>
      <c r="G310" s="90"/>
      <c r="H310" s="63"/>
      <c r="I310" s="72"/>
    </row>
    <row r="311" spans="1:9" s="50" customFormat="1" x14ac:dyDescent="0.6">
      <c r="A311" s="128"/>
      <c r="B311" s="130"/>
      <c r="C311" s="4"/>
      <c r="D311" s="94"/>
      <c r="E311" s="24"/>
      <c r="F311" s="89"/>
      <c r="G311" s="90"/>
      <c r="H311" s="63"/>
      <c r="I311" s="72"/>
    </row>
    <row r="312" spans="1:9" s="50" customFormat="1" x14ac:dyDescent="0.6">
      <c r="A312" s="128"/>
      <c r="B312" s="130"/>
      <c r="C312" s="4"/>
      <c r="D312" s="94"/>
      <c r="E312" s="24"/>
      <c r="F312" s="89"/>
      <c r="G312" s="90"/>
      <c r="H312" s="63"/>
      <c r="I312" s="72"/>
    </row>
    <row r="313" spans="1:9" s="50" customFormat="1" x14ac:dyDescent="0.6">
      <c r="A313" s="128"/>
      <c r="B313" s="130"/>
      <c r="C313" s="4"/>
      <c r="D313" s="94"/>
      <c r="E313" s="24"/>
      <c r="F313" s="89"/>
      <c r="G313" s="90"/>
      <c r="H313" s="63"/>
      <c r="I313" s="72"/>
    </row>
    <row r="314" spans="1:9" s="50" customFormat="1" x14ac:dyDescent="0.6">
      <c r="A314" s="128"/>
      <c r="B314" s="130"/>
      <c r="C314" s="4"/>
      <c r="D314" s="94"/>
      <c r="E314" s="24"/>
      <c r="F314" s="89"/>
      <c r="G314" s="90"/>
      <c r="H314" s="63"/>
      <c r="I314" s="72"/>
    </row>
    <row r="315" spans="1:9" s="50" customFormat="1" x14ac:dyDescent="0.6">
      <c r="A315" s="128"/>
      <c r="B315" s="130"/>
      <c r="C315" s="4"/>
      <c r="D315" s="94"/>
      <c r="E315" s="24"/>
      <c r="F315" s="89"/>
      <c r="G315" s="90"/>
      <c r="H315" s="63"/>
      <c r="I315" s="72"/>
    </row>
    <row r="316" spans="1:9" s="50" customFormat="1" x14ac:dyDescent="0.6">
      <c r="A316" s="128"/>
      <c r="B316" s="130"/>
      <c r="C316" s="4"/>
      <c r="D316" s="94"/>
      <c r="E316" s="24"/>
      <c r="F316" s="89"/>
      <c r="G316" s="90"/>
      <c r="H316" s="63"/>
      <c r="I316" s="72"/>
    </row>
    <row r="317" spans="1:9" s="50" customFormat="1" x14ac:dyDescent="0.6">
      <c r="A317" s="128"/>
      <c r="B317" s="130"/>
      <c r="C317" s="4"/>
      <c r="D317" s="94"/>
      <c r="E317" s="24"/>
      <c r="F317" s="89"/>
      <c r="G317" s="90"/>
      <c r="H317" s="63"/>
      <c r="I317" s="72"/>
    </row>
    <row r="318" spans="1:9" s="50" customFormat="1" x14ac:dyDescent="0.6">
      <c r="A318" s="128"/>
      <c r="B318" s="130"/>
      <c r="C318" s="4"/>
      <c r="D318" s="94"/>
      <c r="E318" s="24"/>
      <c r="F318" s="89"/>
      <c r="G318" s="90"/>
      <c r="H318" s="63"/>
      <c r="I318" s="72"/>
    </row>
    <row r="319" spans="1:9" s="50" customFormat="1" x14ac:dyDescent="0.6">
      <c r="A319" s="128"/>
      <c r="B319" s="130"/>
      <c r="C319" s="4"/>
      <c r="D319" s="94"/>
      <c r="E319" s="24"/>
      <c r="F319" s="102"/>
      <c r="G319" s="90"/>
      <c r="H319" s="38"/>
      <c r="I319" s="72"/>
    </row>
    <row r="320" spans="1:9" s="50" customFormat="1" ht="34.799999999999997" x14ac:dyDescent="0.6">
      <c r="A320" s="114" t="s">
        <v>7</v>
      </c>
      <c r="B320" s="74"/>
      <c r="C320" s="20">
        <f>SUM(C4:C32)</f>
        <v>45137606</v>
      </c>
      <c r="D320" s="570" t="s">
        <v>7</v>
      </c>
      <c r="E320" s="571"/>
      <c r="F320" s="20">
        <f>SUM(F4:F46)</f>
        <v>18213470</v>
      </c>
      <c r="G320" s="68"/>
      <c r="H320" s="74"/>
      <c r="I320" s="30">
        <f>SUM(I4:I303)</f>
        <v>26283085</v>
      </c>
    </row>
    <row r="321" spans="1:9" s="50" customFormat="1" ht="45.6" x14ac:dyDescent="0.6">
      <c r="A321" s="572" t="s">
        <v>13</v>
      </c>
      <c r="B321" s="573"/>
      <c r="C321" s="18">
        <f>+C320</f>
        <v>45137606</v>
      </c>
      <c r="D321" s="29"/>
      <c r="E321" s="93"/>
      <c r="F321" s="1"/>
      <c r="G321" s="168"/>
      <c r="H321" s="70" t="s">
        <v>20</v>
      </c>
      <c r="I321" s="167">
        <f>+F320+I320</f>
        <v>44496555</v>
      </c>
    </row>
    <row r="322" spans="1:9" s="50" customFormat="1" ht="45.6" x14ac:dyDescent="0.6">
      <c r="A322" s="7"/>
      <c r="B322" s="1"/>
      <c r="C322" s="7"/>
      <c r="D322" s="7"/>
      <c r="E322" s="93"/>
      <c r="F322" s="1"/>
      <c r="G322" s="66"/>
      <c r="H322" s="67" t="s">
        <v>10</v>
      </c>
      <c r="I322" s="169">
        <f>+C320-F320-I320</f>
        <v>641051</v>
      </c>
    </row>
    <row r="323" spans="1:9" s="50" customFormat="1" x14ac:dyDescent="0.6">
      <c r="A323" s="7"/>
      <c r="B323" s="1"/>
      <c r="C323" s="7"/>
      <c r="D323" s="7"/>
      <c r="E323" s="93"/>
      <c r="F323" s="1"/>
      <c r="G323" s="93"/>
      <c r="H323" s="1"/>
      <c r="I323" s="170">
        <f>+C321-I321</f>
        <v>641051</v>
      </c>
    </row>
    <row r="324" spans="1:9" s="50" customFormat="1" x14ac:dyDescent="0.6">
      <c r="A324" s="7"/>
      <c r="B324" s="1"/>
      <c r="C324" s="7"/>
      <c r="D324" s="7"/>
      <c r="E324" s="93"/>
      <c r="F324" s="1"/>
      <c r="G324" s="93"/>
      <c r="H324" s="46"/>
      <c r="I324" s="170">
        <f>+I322-I323</f>
        <v>0</v>
      </c>
    </row>
    <row r="325" spans="1:9" s="50" customFormat="1" x14ac:dyDescent="0.6">
      <c r="A325" s="7"/>
      <c r="B325" s="1"/>
      <c r="C325" s="7"/>
      <c r="D325" s="7"/>
      <c r="E325" s="93"/>
      <c r="F325" s="1"/>
      <c r="G325" s="93"/>
      <c r="H325" s="1"/>
      <c r="I325" s="171"/>
    </row>
    <row r="326" spans="1:9" s="50" customFormat="1" ht="91.8" x14ac:dyDescent="0.6">
      <c r="A326" s="57"/>
      <c r="B326" s="58"/>
      <c r="C326" s="57"/>
      <c r="D326" s="28"/>
      <c r="E326" s="7"/>
      <c r="F326" s="57"/>
      <c r="G326" s="33"/>
      <c r="H326" s="65" t="s">
        <v>22</v>
      </c>
      <c r="I326" s="172"/>
    </row>
    <row r="327" spans="1:9" s="50" customFormat="1" ht="61.2" x14ac:dyDescent="1.05">
      <c r="A327" s="7"/>
      <c r="B327" s="1"/>
      <c r="C327" s="7"/>
      <c r="D327" s="93"/>
      <c r="E327" s="1"/>
      <c r="F327" s="7"/>
      <c r="G327" s="93"/>
      <c r="H327" s="52" t="s">
        <v>3</v>
      </c>
      <c r="I327" s="173">
        <f>+C321</f>
        <v>45137606</v>
      </c>
    </row>
    <row r="328" spans="1:9" s="50" customFormat="1" ht="61.2" x14ac:dyDescent="1.05">
      <c r="A328" s="7"/>
      <c r="B328" s="1"/>
      <c r="C328" s="7"/>
      <c r="D328" s="96"/>
      <c r="E328" s="1"/>
      <c r="F328" s="7"/>
      <c r="G328" s="93"/>
      <c r="H328" s="52" t="s">
        <v>23</v>
      </c>
      <c r="I328" s="173">
        <f>+F320</f>
        <v>18213470</v>
      </c>
    </row>
    <row r="329" spans="1:9" s="50" customFormat="1" ht="61.2" x14ac:dyDescent="1.05">
      <c r="A329" s="7"/>
      <c r="B329" s="1"/>
      <c r="C329" s="7"/>
      <c r="D329" s="96"/>
      <c r="E329" s="8"/>
      <c r="F329" s="7"/>
      <c r="G329" s="93"/>
      <c r="H329" s="52" t="s">
        <v>24</v>
      </c>
      <c r="I329" s="174">
        <f>+I320</f>
        <v>26283085</v>
      </c>
    </row>
    <row r="330" spans="1:9" s="50" customFormat="1" ht="61.2" x14ac:dyDescent="1.05">
      <c r="A330" s="7"/>
      <c r="B330" s="1"/>
      <c r="C330" s="7"/>
      <c r="D330" s="96"/>
      <c r="E330" s="17"/>
      <c r="F330" s="7"/>
      <c r="G330" s="93"/>
      <c r="H330" s="52" t="s">
        <v>69</v>
      </c>
      <c r="I330" s="175">
        <v>0</v>
      </c>
    </row>
    <row r="331" spans="1:9" s="50" customFormat="1" ht="61.2" x14ac:dyDescent="1.05">
      <c r="A331" s="7"/>
      <c r="B331" s="1"/>
      <c r="C331" s="7"/>
      <c r="D331" s="97"/>
      <c r="E331" s="1"/>
      <c r="F331" s="7"/>
      <c r="G331" s="82"/>
      <c r="H331" s="52" t="s">
        <v>25</v>
      </c>
      <c r="I331" s="176">
        <f>+I327-I328-I329-I330</f>
        <v>641051</v>
      </c>
    </row>
    <row r="332" spans="1:9" s="50" customFormat="1" x14ac:dyDescent="0.6">
      <c r="A332" s="7"/>
      <c r="B332" s="1"/>
      <c r="C332" s="7"/>
      <c r="D332" s="96"/>
      <c r="E332" s="1"/>
      <c r="F332" s="7"/>
      <c r="G332" s="82"/>
    </row>
    <row r="333" spans="1:9" s="50" customFormat="1" x14ac:dyDescent="0.6">
      <c r="A333" s="7"/>
      <c r="B333" s="1"/>
      <c r="C333" s="7"/>
      <c r="D333" s="96"/>
      <c r="E333" s="1"/>
      <c r="F333" s="7"/>
      <c r="G333" s="82"/>
    </row>
    <row r="334" spans="1:9" s="50" customFormat="1" x14ac:dyDescent="0.6">
      <c r="A334" s="7"/>
      <c r="B334" s="1"/>
      <c r="C334" s="7"/>
      <c r="D334" s="96"/>
      <c r="E334" s="1"/>
      <c r="F334" s="7"/>
      <c r="G334" s="82"/>
    </row>
    <row r="335" spans="1:9" s="50" customFormat="1" x14ac:dyDescent="0.6">
      <c r="A335" s="7"/>
      <c r="B335" s="1"/>
      <c r="C335" s="7"/>
      <c r="D335" s="96"/>
      <c r="E335" s="1"/>
      <c r="F335" s="7"/>
      <c r="G335" s="171"/>
    </row>
    <row r="336" spans="1:9" s="50" customFormat="1" x14ac:dyDescent="0.6">
      <c r="A336" s="7"/>
      <c r="B336" s="1"/>
      <c r="C336" s="7"/>
      <c r="D336" s="96"/>
      <c r="E336" s="1"/>
      <c r="F336" s="7"/>
      <c r="G336" s="93"/>
      <c r="I336" s="1"/>
    </row>
    <row r="337" spans="1:10" s="50" customFormat="1" x14ac:dyDescent="0.6">
      <c r="A337" s="7"/>
      <c r="B337" s="1"/>
      <c r="C337" s="7"/>
      <c r="D337" s="96"/>
      <c r="E337" s="1"/>
      <c r="F337" s="7"/>
      <c r="G337" s="93"/>
      <c r="H337" s="1"/>
      <c r="I337" s="171"/>
    </row>
    <row r="338" spans="1:10" s="50" customFormat="1" x14ac:dyDescent="0.6">
      <c r="A338" s="7"/>
      <c r="B338" s="1"/>
      <c r="C338" s="7"/>
      <c r="D338" s="96"/>
      <c r="E338" s="1"/>
      <c r="F338" s="7"/>
      <c r="G338" s="93"/>
      <c r="H338" s="1"/>
      <c r="I338" s="171"/>
    </row>
    <row r="339" spans="1:10" s="50" customFormat="1" x14ac:dyDescent="0.6">
      <c r="A339" s="7"/>
      <c r="B339" s="1"/>
      <c r="C339" s="7"/>
      <c r="D339" s="96"/>
      <c r="E339" s="1"/>
      <c r="F339" s="7"/>
      <c r="G339" s="93"/>
      <c r="H339" s="1"/>
      <c r="I339" s="171"/>
      <c r="J339" s="1"/>
    </row>
  </sheetData>
  <autoFilter ref="A3:J44" xr:uid="{C27F9055-AF1A-4DFB-ADB2-58AB89720241}">
    <sortState xmlns:xlrd2="http://schemas.microsoft.com/office/spreadsheetml/2017/richdata2" ref="A4:J4">
      <sortCondition sortBy="cellColor" ref="I3:I4" dxfId="78"/>
    </sortState>
  </autoFilter>
  <mergeCells count="2">
    <mergeCell ref="D320:E320"/>
    <mergeCell ref="A321:B321"/>
  </mergeCells>
  <pageMargins left="0.7" right="0.7" top="0.75" bottom="0.75" header="0.3" footer="0.3"/>
  <pageSetup paperSize="9" scale="38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60E7-C013-4002-A233-E17088B963F6}">
  <sheetPr>
    <tabColor rgb="FFFFFF00"/>
  </sheetPr>
  <dimension ref="A1:M339"/>
  <sheetViews>
    <sheetView view="pageBreakPreview" zoomScale="20" zoomScaleNormal="30" zoomScaleSheetLayoutView="20" workbookViewId="0">
      <selection activeCell="G33" sqref="G33"/>
    </sheetView>
  </sheetViews>
  <sheetFormatPr baseColWidth="10" defaultColWidth="11.5546875" defaultRowHeight="31.2" x14ac:dyDescent="0.6"/>
  <cols>
    <col min="1" max="1" width="46.109375" style="7" customWidth="1"/>
    <col min="2" max="2" width="146.5546875" style="1" customWidth="1"/>
    <col min="3" max="3" width="59.33203125" style="7" customWidth="1"/>
    <col min="4" max="4" width="32.109375" style="96" customWidth="1"/>
    <col min="5" max="5" width="238" style="1" customWidth="1"/>
    <col min="6" max="6" width="57.33203125" style="7" customWidth="1"/>
    <col min="7" max="7" width="68" style="93" customWidth="1"/>
    <col min="8" max="8" width="255.44140625" style="1" customWidth="1"/>
    <col min="9" max="9" width="72.6640625" style="7" customWidth="1"/>
    <col min="10" max="10" width="40.5546875" style="50" customWidth="1"/>
    <col min="11" max="11" width="24.6640625" style="1" customWidth="1"/>
    <col min="12" max="12" width="11.5546875" style="1"/>
    <col min="13" max="13" width="24.33203125" style="1" customWidth="1"/>
    <col min="14" max="14" width="26.6640625" style="1" customWidth="1"/>
    <col min="15" max="16384" width="11.5546875" style="1"/>
  </cols>
  <sheetData>
    <row r="1" spans="1:10" s="17" customFormat="1" ht="61.95" customHeight="1" thickBot="1" x14ac:dyDescent="0.35">
      <c r="A1" s="108" t="s">
        <v>1740</v>
      </c>
      <c r="B1" s="109"/>
      <c r="C1" s="109"/>
      <c r="D1" s="109"/>
      <c r="E1" s="109"/>
      <c r="F1" s="109"/>
      <c r="G1" s="109"/>
      <c r="H1" s="109"/>
      <c r="I1" s="110"/>
      <c r="J1" s="47"/>
    </row>
    <row r="2" spans="1:10" s="8" customFormat="1" ht="51.6" customHeight="1" thickBot="1" x14ac:dyDescent="0.35">
      <c r="A2" s="131" t="s">
        <v>4</v>
      </c>
      <c r="B2" s="132"/>
      <c r="C2" s="113"/>
      <c r="D2" s="111" t="s">
        <v>5</v>
      </c>
      <c r="E2" s="112"/>
      <c r="F2" s="112"/>
      <c r="G2" s="112"/>
      <c r="H2" s="112"/>
      <c r="I2" s="113"/>
      <c r="J2" s="48"/>
    </row>
    <row r="3" spans="1:10" s="33" customFormat="1" ht="103.2" customHeight="1" x14ac:dyDescent="0.55000000000000004">
      <c r="A3" s="133" t="s">
        <v>0</v>
      </c>
      <c r="B3" s="177" t="s">
        <v>1</v>
      </c>
      <c r="C3" s="178" t="s">
        <v>2</v>
      </c>
      <c r="D3" s="179" t="s">
        <v>0</v>
      </c>
      <c r="E3" s="180" t="s">
        <v>8</v>
      </c>
      <c r="F3" s="180" t="s">
        <v>2</v>
      </c>
      <c r="G3" s="181" t="s">
        <v>0</v>
      </c>
      <c r="H3" s="180" t="s">
        <v>9</v>
      </c>
      <c r="I3" s="182" t="s">
        <v>2</v>
      </c>
      <c r="J3" s="49"/>
    </row>
    <row r="4" spans="1:10" s="146" customFormat="1" ht="33" customHeight="1" x14ac:dyDescent="0.7">
      <c r="A4" s="141"/>
      <c r="B4" s="142" t="s">
        <v>1641</v>
      </c>
      <c r="C4" s="183">
        <v>641051</v>
      </c>
      <c r="D4" s="143">
        <v>45839</v>
      </c>
      <c r="E4" s="144" t="s">
        <v>1653</v>
      </c>
      <c r="F4" s="202">
        <v>363600</v>
      </c>
      <c r="G4" s="143">
        <v>45839</v>
      </c>
      <c r="H4" s="184" t="s">
        <v>1741</v>
      </c>
      <c r="I4" s="145">
        <v>1000</v>
      </c>
      <c r="J4" s="48"/>
    </row>
    <row r="5" spans="1:10" s="189" customFormat="1" ht="35.4" x14ac:dyDescent="0.6">
      <c r="A5" s="187">
        <v>45839</v>
      </c>
      <c r="B5" s="154" t="s">
        <v>1646</v>
      </c>
      <c r="C5" s="188">
        <v>2000000</v>
      </c>
      <c r="D5" s="153">
        <v>45840</v>
      </c>
      <c r="E5" s="196" t="s">
        <v>1665</v>
      </c>
      <c r="F5" s="155">
        <v>242400</v>
      </c>
      <c r="G5" s="153"/>
      <c r="H5" s="185" t="s">
        <v>1660</v>
      </c>
      <c r="I5" s="155">
        <v>1000</v>
      </c>
      <c r="J5" s="197"/>
    </row>
    <row r="6" spans="1:10" s="189" customFormat="1" ht="35.4" x14ac:dyDescent="0.6">
      <c r="A6" s="187">
        <v>45840</v>
      </c>
      <c r="B6" s="154" t="s">
        <v>959</v>
      </c>
      <c r="C6" s="188">
        <v>1000000</v>
      </c>
      <c r="D6" s="153">
        <v>45840</v>
      </c>
      <c r="E6" s="196" t="s">
        <v>1666</v>
      </c>
      <c r="F6" s="155">
        <v>400000</v>
      </c>
      <c r="G6" s="153"/>
      <c r="H6" s="185" t="s">
        <v>1647</v>
      </c>
      <c r="I6" s="155">
        <v>4200</v>
      </c>
      <c r="J6" s="197"/>
    </row>
    <row r="7" spans="1:10" s="189" customFormat="1" ht="35.4" x14ac:dyDescent="0.6">
      <c r="A7" s="187">
        <v>45841</v>
      </c>
      <c r="B7" s="154" t="s">
        <v>959</v>
      </c>
      <c r="C7" s="188">
        <v>1000000</v>
      </c>
      <c r="D7" s="153">
        <v>45841</v>
      </c>
      <c r="E7" s="196" t="s">
        <v>1687</v>
      </c>
      <c r="F7" s="155">
        <v>1830000</v>
      </c>
      <c r="G7" s="153"/>
      <c r="H7" s="185" t="s">
        <v>1648</v>
      </c>
      <c r="I7" s="155">
        <v>151500</v>
      </c>
    </row>
    <row r="8" spans="1:10" s="189" customFormat="1" ht="35.4" x14ac:dyDescent="0.6">
      <c r="A8" s="187">
        <v>45841</v>
      </c>
      <c r="B8" s="154" t="s">
        <v>1678</v>
      </c>
      <c r="C8" s="188">
        <v>5000000</v>
      </c>
      <c r="D8" s="153">
        <v>45841</v>
      </c>
      <c r="E8" s="196" t="s">
        <v>1742</v>
      </c>
      <c r="F8" s="155">
        <v>800000</v>
      </c>
      <c r="G8" s="153"/>
      <c r="H8" s="185" t="s">
        <v>1649</v>
      </c>
      <c r="I8" s="155">
        <v>151500</v>
      </c>
    </row>
    <row r="9" spans="1:10" s="189" customFormat="1" ht="35.4" x14ac:dyDescent="0.6">
      <c r="A9" s="187">
        <v>45843</v>
      </c>
      <c r="B9" s="154" t="s">
        <v>959</v>
      </c>
      <c r="C9" s="188">
        <v>1500000</v>
      </c>
      <c r="D9" s="153">
        <v>45842</v>
      </c>
      <c r="E9" s="196" t="s">
        <v>1743</v>
      </c>
      <c r="F9" s="155">
        <v>2900000</v>
      </c>
      <c r="G9" s="153"/>
      <c r="H9" s="185" t="s">
        <v>1744</v>
      </c>
      <c r="I9" s="155">
        <v>505000</v>
      </c>
    </row>
    <row r="10" spans="1:10" s="189" customFormat="1" ht="35.4" x14ac:dyDescent="0.6">
      <c r="A10" s="187">
        <v>45843</v>
      </c>
      <c r="B10" s="154" t="s">
        <v>1745</v>
      </c>
      <c r="C10" s="188">
        <f>5000000-900000</f>
        <v>4100000</v>
      </c>
      <c r="D10" s="153">
        <v>45846</v>
      </c>
      <c r="E10" s="191" t="s">
        <v>1746</v>
      </c>
      <c r="F10" s="155">
        <v>424705</v>
      </c>
      <c r="G10" s="153"/>
      <c r="H10" s="185" t="s">
        <v>1650</v>
      </c>
      <c r="I10" s="155">
        <v>60600</v>
      </c>
    </row>
    <row r="11" spans="1:10" s="189" customFormat="1" ht="35.4" x14ac:dyDescent="0.6">
      <c r="A11" s="187">
        <v>45846</v>
      </c>
      <c r="B11" s="154" t="s">
        <v>1747</v>
      </c>
      <c r="C11" s="188">
        <v>800000</v>
      </c>
      <c r="D11" s="153">
        <v>45846</v>
      </c>
      <c r="E11" s="196" t="s">
        <v>1748</v>
      </c>
      <c r="F11" s="155">
        <v>50500</v>
      </c>
      <c r="G11" s="153"/>
      <c r="H11" s="185" t="s">
        <v>1651</v>
      </c>
      <c r="I11" s="155">
        <v>50500</v>
      </c>
    </row>
    <row r="12" spans="1:10" s="189" customFormat="1" ht="35.4" x14ac:dyDescent="0.6">
      <c r="A12" s="187">
        <v>45846</v>
      </c>
      <c r="B12" s="154" t="s">
        <v>1749</v>
      </c>
      <c r="C12" s="188">
        <v>1000000</v>
      </c>
      <c r="D12" s="153">
        <v>45847</v>
      </c>
      <c r="E12" s="196" t="s">
        <v>1750</v>
      </c>
      <c r="F12" s="155">
        <v>400000</v>
      </c>
      <c r="G12" s="153"/>
      <c r="H12" s="185" t="s">
        <v>1652</v>
      </c>
      <c r="I12" s="155">
        <v>552975</v>
      </c>
    </row>
    <row r="13" spans="1:10" s="189" customFormat="1" ht="35.4" x14ac:dyDescent="0.6">
      <c r="A13" s="187">
        <v>45847</v>
      </c>
      <c r="B13" s="154" t="s">
        <v>1751</v>
      </c>
      <c r="C13" s="188">
        <v>1000000</v>
      </c>
      <c r="D13" s="153">
        <v>45848</v>
      </c>
      <c r="E13" s="196" t="s">
        <v>1752</v>
      </c>
      <c r="F13" s="155">
        <v>500000</v>
      </c>
      <c r="G13" s="153"/>
      <c r="H13" s="185" t="s">
        <v>1654</v>
      </c>
      <c r="I13" s="155">
        <v>6000</v>
      </c>
    </row>
    <row r="14" spans="1:10" s="189" customFormat="1" ht="35.4" x14ac:dyDescent="0.6">
      <c r="A14" s="187">
        <v>45848</v>
      </c>
      <c r="B14" s="154" t="s">
        <v>1753</v>
      </c>
      <c r="C14" s="188">
        <v>1000000</v>
      </c>
      <c r="D14" s="153">
        <v>45848</v>
      </c>
      <c r="E14" s="196" t="s">
        <v>1754</v>
      </c>
      <c r="F14" s="155">
        <v>909000</v>
      </c>
      <c r="G14" s="153"/>
      <c r="H14" s="185" t="s">
        <v>1655</v>
      </c>
      <c r="I14" s="155">
        <v>15150</v>
      </c>
    </row>
    <row r="15" spans="1:10" s="189" customFormat="1" ht="35.4" x14ac:dyDescent="0.6">
      <c r="A15" s="187">
        <v>45848</v>
      </c>
      <c r="B15" s="154" t="s">
        <v>1753</v>
      </c>
      <c r="C15" s="188">
        <v>1000000</v>
      </c>
      <c r="D15" s="153">
        <v>45850</v>
      </c>
      <c r="E15" s="196" t="s">
        <v>1755</v>
      </c>
      <c r="F15" s="155">
        <v>450000</v>
      </c>
      <c r="G15" s="153"/>
      <c r="H15" s="185" t="s">
        <v>1656</v>
      </c>
      <c r="I15" s="155">
        <v>290175</v>
      </c>
    </row>
    <row r="16" spans="1:10" s="189" customFormat="1" ht="35.4" x14ac:dyDescent="0.6">
      <c r="A16" s="187">
        <v>45849</v>
      </c>
      <c r="B16" s="154" t="s">
        <v>1756</v>
      </c>
      <c r="C16" s="188">
        <v>1000000</v>
      </c>
      <c r="D16" s="153">
        <v>45850</v>
      </c>
      <c r="E16" s="196" t="s">
        <v>1757</v>
      </c>
      <c r="F16" s="155">
        <v>505000</v>
      </c>
      <c r="G16" s="153">
        <v>45840</v>
      </c>
      <c r="H16" s="185" t="s">
        <v>1657</v>
      </c>
      <c r="I16" s="155">
        <v>68930</v>
      </c>
    </row>
    <row r="17" spans="1:9" s="189" customFormat="1" ht="35.4" x14ac:dyDescent="0.6">
      <c r="A17" s="187">
        <v>45849</v>
      </c>
      <c r="B17" s="154" t="s">
        <v>1608</v>
      </c>
      <c r="C17" s="188">
        <v>1000000</v>
      </c>
      <c r="D17" s="153">
        <v>45854</v>
      </c>
      <c r="E17" s="196" t="s">
        <v>1758</v>
      </c>
      <c r="F17" s="155">
        <v>1200000</v>
      </c>
      <c r="G17" s="153"/>
      <c r="H17" s="185" t="s">
        <v>1658</v>
      </c>
      <c r="I17" s="155">
        <v>7000</v>
      </c>
    </row>
    <row r="18" spans="1:9" s="189" customFormat="1" ht="35.4" x14ac:dyDescent="0.6">
      <c r="A18" s="187">
        <v>45850</v>
      </c>
      <c r="B18" s="154" t="s">
        <v>1759</v>
      </c>
      <c r="C18" s="188">
        <v>1500000</v>
      </c>
      <c r="D18" s="153">
        <v>45854</v>
      </c>
      <c r="E18" s="196" t="s">
        <v>1760</v>
      </c>
      <c r="F18" s="155">
        <v>650000</v>
      </c>
      <c r="G18" s="153"/>
      <c r="H18" s="185" t="s">
        <v>1661</v>
      </c>
      <c r="I18" s="155">
        <v>1000</v>
      </c>
    </row>
    <row r="19" spans="1:9" s="189" customFormat="1" ht="35.4" x14ac:dyDescent="0.6">
      <c r="A19" s="187">
        <v>45852</v>
      </c>
      <c r="B19" s="154" t="s">
        <v>1761</v>
      </c>
      <c r="C19" s="188">
        <v>1500000</v>
      </c>
      <c r="D19" s="153">
        <v>45854</v>
      </c>
      <c r="E19" s="196" t="s">
        <v>1762</v>
      </c>
      <c r="F19" s="155">
        <v>404000</v>
      </c>
      <c r="G19" s="153"/>
      <c r="H19" s="185" t="s">
        <v>1662</v>
      </c>
      <c r="I19" s="155">
        <v>17070</v>
      </c>
    </row>
    <row r="20" spans="1:9" s="189" customFormat="1" ht="35.4" x14ac:dyDescent="0.6">
      <c r="A20" s="187">
        <v>45853</v>
      </c>
      <c r="B20" s="154" t="s">
        <v>959</v>
      </c>
      <c r="C20" s="188">
        <v>1000000</v>
      </c>
      <c r="D20" s="153">
        <v>45855</v>
      </c>
      <c r="E20" s="196" t="s">
        <v>1763</v>
      </c>
      <c r="F20" s="155">
        <v>460000</v>
      </c>
      <c r="G20" s="153"/>
      <c r="H20" s="185" t="s">
        <v>1669</v>
      </c>
      <c r="I20" s="155">
        <v>20200</v>
      </c>
    </row>
    <row r="21" spans="1:9" s="189" customFormat="1" ht="35.4" x14ac:dyDescent="0.6">
      <c r="A21" s="187">
        <v>45854</v>
      </c>
      <c r="B21" s="154" t="s">
        <v>1764</v>
      </c>
      <c r="C21" s="188">
        <v>2000000</v>
      </c>
      <c r="D21" s="153">
        <v>45855</v>
      </c>
      <c r="E21" s="196" t="s">
        <v>1765</v>
      </c>
      <c r="F21" s="155">
        <v>380000</v>
      </c>
      <c r="G21" s="153"/>
      <c r="H21" s="185" t="s">
        <v>1663</v>
      </c>
      <c r="I21" s="155">
        <v>4000</v>
      </c>
    </row>
    <row r="22" spans="1:9" s="189" customFormat="1" ht="35.4" x14ac:dyDescent="0.6">
      <c r="A22" s="187">
        <v>45855</v>
      </c>
      <c r="B22" s="154" t="s">
        <v>1766</v>
      </c>
      <c r="C22" s="188">
        <v>2000000</v>
      </c>
      <c r="D22" s="153">
        <v>45855</v>
      </c>
      <c r="E22" s="196" t="s">
        <v>1767</v>
      </c>
      <c r="F22" s="155">
        <v>562500</v>
      </c>
      <c r="G22" s="153"/>
      <c r="H22" s="185" t="s">
        <v>1668</v>
      </c>
      <c r="I22" s="155">
        <v>5050</v>
      </c>
    </row>
    <row r="23" spans="1:9" s="189" customFormat="1" ht="35.4" x14ac:dyDescent="0.6">
      <c r="A23" s="187">
        <v>45856</v>
      </c>
      <c r="B23" s="154" t="s">
        <v>1768</v>
      </c>
      <c r="C23" s="188">
        <v>2000000</v>
      </c>
      <c r="D23" s="153">
        <v>45856</v>
      </c>
      <c r="E23" s="196" t="s">
        <v>1769</v>
      </c>
      <c r="F23" s="155">
        <v>888800</v>
      </c>
      <c r="G23" s="153"/>
      <c r="H23" s="185" t="s">
        <v>1664</v>
      </c>
      <c r="I23" s="155">
        <v>2000</v>
      </c>
    </row>
    <row r="24" spans="1:9" s="189" customFormat="1" ht="33" customHeight="1" x14ac:dyDescent="0.6">
      <c r="A24" s="187">
        <v>45859</v>
      </c>
      <c r="B24" s="154" t="s">
        <v>1770</v>
      </c>
      <c r="C24" s="188">
        <v>2160300</v>
      </c>
      <c r="D24" s="153">
        <v>45857</v>
      </c>
      <c r="E24" s="196" t="s">
        <v>1771</v>
      </c>
      <c r="F24" s="155">
        <v>505000</v>
      </c>
      <c r="G24" s="153"/>
      <c r="H24" s="185" t="s">
        <v>1667</v>
      </c>
      <c r="I24" s="155">
        <v>95950</v>
      </c>
    </row>
    <row r="25" spans="1:9" s="189" customFormat="1" ht="35.4" x14ac:dyDescent="0.6">
      <c r="A25" s="187">
        <v>45861</v>
      </c>
      <c r="B25" s="154" t="s">
        <v>1772</v>
      </c>
      <c r="C25" s="188">
        <v>3000000</v>
      </c>
      <c r="D25" s="153">
        <v>45859</v>
      </c>
      <c r="E25" s="196" t="s">
        <v>1773</v>
      </c>
      <c r="F25" s="155">
        <v>180820</v>
      </c>
      <c r="G25" s="153"/>
      <c r="H25" s="185" t="s">
        <v>1670</v>
      </c>
      <c r="I25" s="155">
        <v>50500</v>
      </c>
    </row>
    <row r="26" spans="1:9" s="189" customFormat="1" ht="35.4" x14ac:dyDescent="0.6">
      <c r="A26" s="187">
        <v>45861</v>
      </c>
      <c r="B26" s="154" t="s">
        <v>1753</v>
      </c>
      <c r="C26" s="188">
        <v>600000</v>
      </c>
      <c r="D26" s="153">
        <v>45860</v>
      </c>
      <c r="E26" s="196" t="s">
        <v>1774</v>
      </c>
      <c r="F26" s="155">
        <v>500000</v>
      </c>
      <c r="G26" s="153">
        <v>45841</v>
      </c>
      <c r="H26" s="185" t="s">
        <v>1671</v>
      </c>
      <c r="I26" s="155">
        <v>151500</v>
      </c>
    </row>
    <row r="27" spans="1:9" s="189" customFormat="1" ht="35.4" x14ac:dyDescent="0.6">
      <c r="A27" s="187">
        <v>45862</v>
      </c>
      <c r="B27" s="154" t="s">
        <v>959</v>
      </c>
      <c r="C27" s="188">
        <v>500000</v>
      </c>
      <c r="D27" s="153">
        <v>45861</v>
      </c>
      <c r="E27" s="196" t="s">
        <v>1775</v>
      </c>
      <c r="F27" s="155">
        <v>505000</v>
      </c>
      <c r="G27" s="153"/>
      <c r="H27" s="185" t="s">
        <v>1672</v>
      </c>
      <c r="I27" s="155">
        <v>270000</v>
      </c>
    </row>
    <row r="28" spans="1:9" s="189" customFormat="1" ht="35.4" x14ac:dyDescent="0.6">
      <c r="A28" s="187">
        <v>45863</v>
      </c>
      <c r="B28" s="154" t="s">
        <v>1776</v>
      </c>
      <c r="C28" s="188">
        <v>2000000</v>
      </c>
      <c r="D28" s="153">
        <v>45861</v>
      </c>
      <c r="E28" s="196" t="s">
        <v>1777</v>
      </c>
      <c r="F28" s="155">
        <v>400000</v>
      </c>
      <c r="G28" s="153"/>
      <c r="H28" s="185" t="s">
        <v>1673</v>
      </c>
      <c r="I28" s="155">
        <v>2000</v>
      </c>
    </row>
    <row r="29" spans="1:9" s="189" customFormat="1" ht="35.4" x14ac:dyDescent="0.6">
      <c r="A29" s="187">
        <v>45868</v>
      </c>
      <c r="B29" s="154" t="s">
        <v>1778</v>
      </c>
      <c r="C29" s="188">
        <v>2000000</v>
      </c>
      <c r="D29" s="153">
        <v>45861</v>
      </c>
      <c r="E29" s="196" t="s">
        <v>1779</v>
      </c>
      <c r="F29" s="155">
        <v>768600</v>
      </c>
      <c r="G29" s="153"/>
      <c r="H29" s="185" t="s">
        <v>1674</v>
      </c>
      <c r="I29" s="155">
        <v>35000</v>
      </c>
    </row>
    <row r="30" spans="1:9" s="189" customFormat="1" ht="35.4" x14ac:dyDescent="0.6">
      <c r="A30" s="187">
        <v>45869</v>
      </c>
      <c r="B30" s="154" t="s">
        <v>959</v>
      </c>
      <c r="C30" s="188">
        <v>2000000</v>
      </c>
      <c r="D30" s="153">
        <v>45861</v>
      </c>
      <c r="E30" s="196" t="s">
        <v>1780</v>
      </c>
      <c r="F30" s="155">
        <v>101000</v>
      </c>
      <c r="G30" s="153"/>
      <c r="H30" s="185" t="s">
        <v>1676</v>
      </c>
      <c r="I30" s="155">
        <v>5050</v>
      </c>
    </row>
    <row r="31" spans="1:9" s="189" customFormat="1" ht="35.4" x14ac:dyDescent="0.6">
      <c r="A31" s="187"/>
      <c r="B31" s="154"/>
      <c r="C31" s="188"/>
      <c r="D31" s="153">
        <v>45862</v>
      </c>
      <c r="E31" s="196" t="s">
        <v>1781</v>
      </c>
      <c r="F31" s="155">
        <v>791700</v>
      </c>
      <c r="G31" s="153"/>
      <c r="H31" s="185" t="s">
        <v>1675</v>
      </c>
      <c r="I31" s="155">
        <v>5000</v>
      </c>
    </row>
    <row r="32" spans="1:9" s="189" customFormat="1" ht="35.4" x14ac:dyDescent="0.6">
      <c r="A32" s="187"/>
      <c r="B32" s="154"/>
      <c r="C32" s="188"/>
      <c r="D32" s="153">
        <v>45862</v>
      </c>
      <c r="E32" s="198" t="s">
        <v>1782</v>
      </c>
      <c r="F32" s="199">
        <v>80800</v>
      </c>
      <c r="G32" s="153"/>
      <c r="H32" s="185" t="s">
        <v>1677</v>
      </c>
      <c r="I32" s="155">
        <v>15000</v>
      </c>
    </row>
    <row r="33" spans="1:9" s="189" customFormat="1" ht="35.4" x14ac:dyDescent="0.6">
      <c r="A33" s="187"/>
      <c r="B33" s="154"/>
      <c r="C33" s="188"/>
      <c r="D33" s="153">
        <v>45868</v>
      </c>
      <c r="E33" s="196" t="s">
        <v>1783</v>
      </c>
      <c r="F33" s="155">
        <v>1250000</v>
      </c>
      <c r="G33" s="153"/>
      <c r="H33" s="185" t="s">
        <v>1686</v>
      </c>
      <c r="I33" s="155">
        <v>11100</v>
      </c>
    </row>
    <row r="34" spans="1:9" s="189" customFormat="1" ht="35.4" x14ac:dyDescent="0.6">
      <c r="A34" s="187"/>
      <c r="B34" s="154"/>
      <c r="C34" s="188"/>
      <c r="D34" s="153"/>
      <c r="E34" s="196"/>
      <c r="F34" s="155"/>
      <c r="G34" s="153"/>
      <c r="H34" s="185" t="s">
        <v>1784</v>
      </c>
      <c r="I34" s="155">
        <f>68680+10100</f>
        <v>78780</v>
      </c>
    </row>
    <row r="35" spans="1:9" s="189" customFormat="1" ht="35.4" x14ac:dyDescent="0.6">
      <c r="A35" s="187"/>
      <c r="B35" s="154"/>
      <c r="C35" s="188"/>
      <c r="D35" s="153"/>
      <c r="E35" s="196"/>
      <c r="F35" s="155"/>
      <c r="G35" s="153"/>
      <c r="H35" s="185" t="s">
        <v>1685</v>
      </c>
      <c r="I35" s="155">
        <v>500</v>
      </c>
    </row>
    <row r="36" spans="1:9" s="189" customFormat="1" ht="35.4" x14ac:dyDescent="0.6">
      <c r="A36" s="187"/>
      <c r="B36" s="154"/>
      <c r="C36" s="188"/>
      <c r="D36" s="153"/>
      <c r="E36" s="196"/>
      <c r="F36" s="155"/>
      <c r="G36" s="153"/>
      <c r="H36" s="185" t="s">
        <v>1682</v>
      </c>
      <c r="I36" s="155">
        <v>10100</v>
      </c>
    </row>
    <row r="37" spans="1:9" s="189" customFormat="1" ht="35.4" x14ac:dyDescent="0.6">
      <c r="A37" s="187"/>
      <c r="B37" s="154"/>
      <c r="C37" s="188"/>
      <c r="D37" s="153"/>
      <c r="E37" s="196"/>
      <c r="F37" s="155"/>
      <c r="G37" s="153"/>
      <c r="H37" s="185" t="s">
        <v>1785</v>
      </c>
      <c r="I37" s="155">
        <v>20200</v>
      </c>
    </row>
    <row r="38" spans="1:9" s="189" customFormat="1" ht="35.4" x14ac:dyDescent="0.6">
      <c r="A38" s="187"/>
      <c r="B38" s="154"/>
      <c r="C38" s="188"/>
      <c r="D38" s="153"/>
      <c r="E38" s="196"/>
      <c r="F38" s="155"/>
      <c r="G38" s="153"/>
      <c r="H38" s="185" t="s">
        <v>1681</v>
      </c>
      <c r="I38" s="155">
        <v>2000</v>
      </c>
    </row>
    <row r="39" spans="1:9" s="189" customFormat="1" ht="35.4" x14ac:dyDescent="0.6">
      <c r="A39" s="187"/>
      <c r="B39" s="154"/>
      <c r="C39" s="188"/>
      <c r="D39" s="153"/>
      <c r="E39" s="196"/>
      <c r="F39" s="155"/>
      <c r="G39" s="153"/>
      <c r="H39" s="185" t="s">
        <v>1696</v>
      </c>
      <c r="I39" s="155">
        <v>25250</v>
      </c>
    </row>
    <row r="40" spans="1:9" s="189" customFormat="1" ht="35.4" x14ac:dyDescent="0.6">
      <c r="A40" s="187"/>
      <c r="B40" s="154"/>
      <c r="C40" s="188"/>
      <c r="D40" s="153"/>
      <c r="E40" s="196"/>
      <c r="F40" s="155"/>
      <c r="G40" s="153"/>
      <c r="H40" s="185" t="s">
        <v>1698</v>
      </c>
      <c r="I40" s="155">
        <v>55550</v>
      </c>
    </row>
    <row r="41" spans="1:9" s="189" customFormat="1" ht="35.4" x14ac:dyDescent="0.6">
      <c r="A41" s="187"/>
      <c r="B41" s="154"/>
      <c r="C41" s="188"/>
      <c r="D41" s="153"/>
      <c r="E41" s="196"/>
      <c r="F41" s="155"/>
      <c r="G41" s="153"/>
      <c r="H41" s="185" t="s">
        <v>1695</v>
      </c>
      <c r="I41" s="155">
        <v>2020</v>
      </c>
    </row>
    <row r="42" spans="1:9" s="189" customFormat="1" ht="35.4" x14ac:dyDescent="0.6">
      <c r="A42" s="187"/>
      <c r="B42" s="154"/>
      <c r="C42" s="188"/>
      <c r="D42" s="153"/>
      <c r="E42" s="196"/>
      <c r="F42" s="155"/>
      <c r="G42" s="153">
        <v>45842</v>
      </c>
      <c r="H42" s="185" t="s">
        <v>1683</v>
      </c>
      <c r="I42" s="155">
        <v>3100</v>
      </c>
    </row>
    <row r="43" spans="1:9" s="189" customFormat="1" ht="35.4" x14ac:dyDescent="0.6">
      <c r="A43" s="187"/>
      <c r="B43" s="154"/>
      <c r="C43" s="188"/>
      <c r="D43" s="153"/>
      <c r="E43" s="196"/>
      <c r="F43" s="155"/>
      <c r="G43" s="153"/>
      <c r="H43" s="185" t="s">
        <v>1684</v>
      </c>
      <c r="I43" s="155">
        <v>4000</v>
      </c>
    </row>
    <row r="44" spans="1:9" s="189" customFormat="1" ht="35.4" x14ac:dyDescent="0.6">
      <c r="A44" s="187"/>
      <c r="B44" s="154"/>
      <c r="C44" s="188"/>
      <c r="D44" s="153"/>
      <c r="E44" s="196"/>
      <c r="F44" s="155"/>
      <c r="G44" s="153"/>
      <c r="H44" s="185" t="s">
        <v>1688</v>
      </c>
      <c r="I44" s="155">
        <v>5000</v>
      </c>
    </row>
    <row r="45" spans="1:9" s="189" customFormat="1" ht="35.4" x14ac:dyDescent="0.6">
      <c r="A45" s="187"/>
      <c r="B45" s="154"/>
      <c r="C45" s="188"/>
      <c r="D45" s="153"/>
      <c r="E45" s="196"/>
      <c r="F45" s="155"/>
      <c r="G45" s="153"/>
      <c r="H45" s="185" t="s">
        <v>1689</v>
      </c>
      <c r="I45" s="155">
        <v>30300</v>
      </c>
    </row>
    <row r="46" spans="1:9" s="189" customFormat="1" ht="35.4" x14ac:dyDescent="0.6">
      <c r="A46" s="187"/>
      <c r="B46" s="154"/>
      <c r="C46" s="188"/>
      <c r="D46" s="153"/>
      <c r="E46" s="196"/>
      <c r="F46" s="155"/>
      <c r="G46" s="153"/>
      <c r="H46" s="185" t="s">
        <v>1690</v>
      </c>
      <c r="I46" s="155">
        <v>50500</v>
      </c>
    </row>
    <row r="47" spans="1:9" s="189" customFormat="1" ht="35.4" x14ac:dyDescent="0.6">
      <c r="A47" s="187"/>
      <c r="B47" s="154"/>
      <c r="C47" s="188"/>
      <c r="D47" s="153"/>
      <c r="E47" s="196"/>
      <c r="F47" s="155"/>
      <c r="G47" s="153"/>
      <c r="H47" s="185" t="s">
        <v>1691</v>
      </c>
      <c r="I47" s="155">
        <v>70700</v>
      </c>
    </row>
    <row r="48" spans="1:9" s="189" customFormat="1" ht="35.4" x14ac:dyDescent="0.6">
      <c r="A48" s="187"/>
      <c r="B48" s="154"/>
      <c r="C48" s="188"/>
      <c r="D48" s="153"/>
      <c r="E48" s="196"/>
      <c r="F48" s="155"/>
      <c r="G48" s="153"/>
      <c r="H48" s="185" t="s">
        <v>1692</v>
      </c>
      <c r="I48" s="155">
        <v>10100</v>
      </c>
    </row>
    <row r="49" spans="1:9" s="189" customFormat="1" ht="35.4" x14ac:dyDescent="0.6">
      <c r="A49" s="187"/>
      <c r="B49" s="154"/>
      <c r="C49" s="188"/>
      <c r="D49" s="153"/>
      <c r="E49" s="196"/>
      <c r="F49" s="155"/>
      <c r="G49" s="153"/>
      <c r="H49" s="185" t="s">
        <v>1540</v>
      </c>
      <c r="I49" s="155">
        <v>20200</v>
      </c>
    </row>
    <row r="50" spans="1:9" s="189" customFormat="1" ht="35.4" x14ac:dyDescent="0.6">
      <c r="A50" s="187"/>
      <c r="B50" s="154"/>
      <c r="C50" s="188"/>
      <c r="D50" s="153"/>
      <c r="E50" s="196"/>
      <c r="F50" s="155"/>
      <c r="G50" s="153"/>
      <c r="H50" s="185" t="s">
        <v>1693</v>
      </c>
      <c r="I50" s="155">
        <v>27270</v>
      </c>
    </row>
    <row r="51" spans="1:9" s="189" customFormat="1" ht="35.4" x14ac:dyDescent="0.6">
      <c r="A51" s="187"/>
      <c r="B51" s="154"/>
      <c r="C51" s="188"/>
      <c r="D51" s="153"/>
      <c r="E51" s="196"/>
      <c r="F51" s="155"/>
      <c r="G51" s="153"/>
      <c r="H51" s="185" t="s">
        <v>1694</v>
      </c>
      <c r="I51" s="155">
        <v>20200</v>
      </c>
    </row>
    <row r="52" spans="1:9" s="189" customFormat="1" ht="35.4" x14ac:dyDescent="0.6">
      <c r="A52" s="187"/>
      <c r="B52" s="154"/>
      <c r="C52" s="188"/>
      <c r="D52" s="153"/>
      <c r="E52" s="196"/>
      <c r="F52" s="155"/>
      <c r="G52" s="153"/>
      <c r="H52" s="185" t="s">
        <v>1697</v>
      </c>
      <c r="I52" s="155">
        <v>5050</v>
      </c>
    </row>
    <row r="53" spans="1:9" s="189" customFormat="1" ht="35.4" x14ac:dyDescent="0.6">
      <c r="A53" s="187"/>
      <c r="B53" s="154"/>
      <c r="C53" s="188"/>
      <c r="D53" s="153"/>
      <c r="E53" s="196"/>
      <c r="F53" s="155"/>
      <c r="G53" s="153">
        <v>45843</v>
      </c>
      <c r="H53" s="185" t="s">
        <v>1709</v>
      </c>
      <c r="I53" s="155">
        <v>937000</v>
      </c>
    </row>
    <row r="54" spans="1:9" s="189" customFormat="1" ht="35.4" x14ac:dyDescent="0.6">
      <c r="A54" s="187"/>
      <c r="B54" s="154"/>
      <c r="C54" s="188"/>
      <c r="D54" s="153"/>
      <c r="E54" s="196"/>
      <c r="F54" s="155"/>
      <c r="G54" s="153"/>
      <c r="H54" s="185" t="s">
        <v>1786</v>
      </c>
      <c r="I54" s="155">
        <v>1000</v>
      </c>
    </row>
    <row r="55" spans="1:9" s="189" customFormat="1" ht="35.4" x14ac:dyDescent="0.6">
      <c r="A55" s="187"/>
      <c r="B55" s="154"/>
      <c r="C55" s="188"/>
      <c r="D55" s="153"/>
      <c r="E55" s="196"/>
      <c r="F55" s="155"/>
      <c r="G55" s="153"/>
      <c r="H55" s="185" t="s">
        <v>1710</v>
      </c>
      <c r="I55" s="155">
        <v>4600</v>
      </c>
    </row>
    <row r="56" spans="1:9" s="189" customFormat="1" ht="35.4" x14ac:dyDescent="0.6">
      <c r="A56" s="187"/>
      <c r="B56" s="154"/>
      <c r="C56" s="188"/>
      <c r="D56" s="153"/>
      <c r="E56" s="196"/>
      <c r="F56" s="155"/>
      <c r="G56" s="153"/>
      <c r="H56" s="185" t="s">
        <v>1787</v>
      </c>
      <c r="I56" s="155">
        <v>16160</v>
      </c>
    </row>
    <row r="57" spans="1:9" s="189" customFormat="1" ht="35.4" x14ac:dyDescent="0.6">
      <c r="A57" s="187"/>
      <c r="B57" s="154"/>
      <c r="C57" s="188"/>
      <c r="D57" s="153"/>
      <c r="E57" s="196"/>
      <c r="F57" s="155"/>
      <c r="G57" s="153"/>
      <c r="H57" s="191" t="s">
        <v>1788</v>
      </c>
      <c r="I57" s="155">
        <v>151500</v>
      </c>
    </row>
    <row r="58" spans="1:9" s="189" customFormat="1" ht="35.4" x14ac:dyDescent="0.6">
      <c r="A58" s="187"/>
      <c r="B58" s="154"/>
      <c r="C58" s="188"/>
      <c r="D58" s="153"/>
      <c r="E58" s="196"/>
      <c r="F58" s="155"/>
      <c r="G58" s="153"/>
      <c r="H58" s="191" t="s">
        <v>1789</v>
      </c>
      <c r="I58" s="155">
        <v>202000</v>
      </c>
    </row>
    <row r="59" spans="1:9" s="189" customFormat="1" ht="35.4" x14ac:dyDescent="0.6">
      <c r="A59" s="187"/>
      <c r="B59" s="154"/>
      <c r="C59" s="188"/>
      <c r="D59" s="153"/>
      <c r="E59" s="196"/>
      <c r="F59" s="155"/>
      <c r="G59" s="153"/>
      <c r="H59" s="191" t="s">
        <v>1790</v>
      </c>
      <c r="I59" s="155">
        <v>252500</v>
      </c>
    </row>
    <row r="60" spans="1:9" s="189" customFormat="1" ht="35.4" x14ac:dyDescent="0.6">
      <c r="A60" s="187"/>
      <c r="B60" s="154"/>
      <c r="C60" s="188"/>
      <c r="D60" s="153"/>
      <c r="E60" s="196"/>
      <c r="F60" s="155"/>
      <c r="G60" s="153"/>
      <c r="H60" s="191" t="s">
        <v>1791</v>
      </c>
      <c r="I60" s="155">
        <v>151500</v>
      </c>
    </row>
    <row r="61" spans="1:9" s="189" customFormat="1" ht="35.4" x14ac:dyDescent="0.6">
      <c r="A61" s="187"/>
      <c r="B61" s="154"/>
      <c r="C61" s="188"/>
      <c r="D61" s="153"/>
      <c r="E61" s="196"/>
      <c r="F61" s="155"/>
      <c r="G61" s="153"/>
      <c r="H61" s="191" t="s">
        <v>1792</v>
      </c>
      <c r="I61" s="155">
        <v>151500</v>
      </c>
    </row>
    <row r="62" spans="1:9" s="189" customFormat="1" ht="35.4" x14ac:dyDescent="0.6">
      <c r="A62" s="187"/>
      <c r="B62" s="154"/>
      <c r="C62" s="188"/>
      <c r="D62" s="153"/>
      <c r="E62" s="196"/>
      <c r="F62" s="155"/>
      <c r="G62" s="153"/>
      <c r="H62" s="191" t="s">
        <v>1793</v>
      </c>
      <c r="I62" s="155">
        <v>202000</v>
      </c>
    </row>
    <row r="63" spans="1:9" s="189" customFormat="1" ht="35.4" x14ac:dyDescent="0.6">
      <c r="A63" s="187"/>
      <c r="B63" s="154"/>
      <c r="C63" s="188"/>
      <c r="D63" s="153"/>
      <c r="E63" s="196"/>
      <c r="F63" s="155"/>
      <c r="G63" s="153"/>
      <c r="H63" s="191" t="s">
        <v>1794</v>
      </c>
      <c r="I63" s="155">
        <v>202000</v>
      </c>
    </row>
    <row r="64" spans="1:9" s="189" customFormat="1" ht="35.4" x14ac:dyDescent="0.6">
      <c r="A64" s="187"/>
      <c r="B64" s="154"/>
      <c r="C64" s="188"/>
      <c r="D64" s="153"/>
      <c r="E64" s="196"/>
      <c r="F64" s="155"/>
      <c r="G64" s="153"/>
      <c r="H64" s="191" t="s">
        <v>1795</v>
      </c>
      <c r="I64" s="155">
        <v>181800</v>
      </c>
    </row>
    <row r="65" spans="1:9" s="189" customFormat="1" ht="35.4" x14ac:dyDescent="0.6">
      <c r="A65" s="187"/>
      <c r="B65" s="154"/>
      <c r="C65" s="188"/>
      <c r="D65" s="153"/>
      <c r="E65" s="196"/>
      <c r="F65" s="155"/>
      <c r="G65" s="153"/>
      <c r="H65" s="191" t="s">
        <v>1796</v>
      </c>
      <c r="I65" s="155">
        <v>151500</v>
      </c>
    </row>
    <row r="66" spans="1:9" s="189" customFormat="1" ht="35.4" x14ac:dyDescent="0.6">
      <c r="A66" s="187"/>
      <c r="B66" s="154"/>
      <c r="C66" s="188"/>
      <c r="D66" s="153"/>
      <c r="E66" s="196"/>
      <c r="F66" s="155"/>
      <c r="G66" s="153"/>
      <c r="H66" s="191" t="s">
        <v>1797</v>
      </c>
      <c r="I66" s="155">
        <v>151500</v>
      </c>
    </row>
    <row r="67" spans="1:9" s="189" customFormat="1" ht="35.4" x14ac:dyDescent="0.6">
      <c r="A67" s="187"/>
      <c r="B67" s="154"/>
      <c r="C67" s="188"/>
      <c r="D67" s="153"/>
      <c r="E67" s="196"/>
      <c r="F67" s="155"/>
      <c r="G67" s="153"/>
      <c r="H67" s="191" t="s">
        <v>1798</v>
      </c>
      <c r="I67" s="155">
        <v>252500</v>
      </c>
    </row>
    <row r="68" spans="1:9" s="189" customFormat="1" ht="35.4" x14ac:dyDescent="0.6">
      <c r="A68" s="187"/>
      <c r="B68" s="154"/>
      <c r="C68" s="188"/>
      <c r="D68" s="153"/>
      <c r="E68" s="196"/>
      <c r="F68" s="155"/>
      <c r="G68" s="153"/>
      <c r="H68" s="191" t="s">
        <v>1799</v>
      </c>
      <c r="I68" s="155">
        <v>252500</v>
      </c>
    </row>
    <row r="69" spans="1:9" s="189" customFormat="1" ht="35.4" x14ac:dyDescent="0.6">
      <c r="A69" s="187"/>
      <c r="B69" s="154"/>
      <c r="C69" s="188"/>
      <c r="D69" s="153"/>
      <c r="E69" s="196"/>
      <c r="F69" s="155"/>
      <c r="G69" s="153"/>
      <c r="H69" s="191" t="s">
        <v>1800</v>
      </c>
      <c r="I69" s="155">
        <v>151500</v>
      </c>
    </row>
    <row r="70" spans="1:9" s="189" customFormat="1" ht="35.4" x14ac:dyDescent="0.6">
      <c r="A70" s="187"/>
      <c r="B70" s="154"/>
      <c r="C70" s="188"/>
      <c r="D70" s="153"/>
      <c r="E70" s="196"/>
      <c r="F70" s="155"/>
      <c r="G70" s="153"/>
      <c r="H70" s="191" t="s">
        <v>1801</v>
      </c>
      <c r="I70" s="155">
        <v>151500</v>
      </c>
    </row>
    <row r="71" spans="1:9" s="189" customFormat="1" ht="35.4" x14ac:dyDescent="0.6">
      <c r="A71" s="187"/>
      <c r="B71" s="154"/>
      <c r="C71" s="188"/>
      <c r="D71" s="153"/>
      <c r="E71" s="196"/>
      <c r="F71" s="155"/>
      <c r="G71" s="153"/>
      <c r="H71" s="191" t="s">
        <v>1802</v>
      </c>
      <c r="I71" s="155">
        <v>121200</v>
      </c>
    </row>
    <row r="72" spans="1:9" s="189" customFormat="1" ht="35.4" x14ac:dyDescent="0.6">
      <c r="A72" s="187"/>
      <c r="B72" s="154"/>
      <c r="C72" s="188"/>
      <c r="D72" s="153"/>
      <c r="E72" s="196"/>
      <c r="F72" s="155"/>
      <c r="G72" s="153"/>
      <c r="H72" s="191" t="s">
        <v>1803</v>
      </c>
      <c r="I72" s="155">
        <v>80800</v>
      </c>
    </row>
    <row r="73" spans="1:9" s="189" customFormat="1" ht="35.4" x14ac:dyDescent="0.6">
      <c r="A73" s="187"/>
      <c r="B73" s="154"/>
      <c r="C73" s="188"/>
      <c r="D73" s="153"/>
      <c r="E73" s="196"/>
      <c r="F73" s="155"/>
      <c r="G73" s="153"/>
      <c r="H73" s="191" t="s">
        <v>1804</v>
      </c>
      <c r="I73" s="155">
        <v>80800</v>
      </c>
    </row>
    <row r="74" spans="1:9" s="189" customFormat="1" ht="35.4" x14ac:dyDescent="0.6">
      <c r="A74" s="187"/>
      <c r="B74" s="154"/>
      <c r="C74" s="188"/>
      <c r="D74" s="153"/>
      <c r="E74" s="196"/>
      <c r="F74" s="155"/>
      <c r="G74" s="153"/>
      <c r="H74" s="191" t="s">
        <v>1805</v>
      </c>
      <c r="I74" s="155">
        <v>151500</v>
      </c>
    </row>
    <row r="75" spans="1:9" s="189" customFormat="1" ht="35.4" x14ac:dyDescent="0.6">
      <c r="A75" s="187"/>
      <c r="B75" s="154"/>
      <c r="C75" s="188"/>
      <c r="D75" s="153"/>
      <c r="E75" s="196"/>
      <c r="F75" s="155"/>
      <c r="G75" s="153"/>
      <c r="H75" s="191" t="s">
        <v>1806</v>
      </c>
      <c r="I75" s="155">
        <v>202000</v>
      </c>
    </row>
    <row r="76" spans="1:9" s="189" customFormat="1" ht="35.4" x14ac:dyDescent="0.6">
      <c r="A76" s="187"/>
      <c r="B76" s="154"/>
      <c r="C76" s="188"/>
      <c r="D76" s="153"/>
      <c r="E76" s="196"/>
      <c r="F76" s="155"/>
      <c r="G76" s="153"/>
      <c r="H76" s="191" t="s">
        <v>1807</v>
      </c>
      <c r="I76" s="155">
        <f>202000+202000+101000+50000</f>
        <v>555000</v>
      </c>
    </row>
    <row r="77" spans="1:9" s="189" customFormat="1" ht="35.4" x14ac:dyDescent="0.6">
      <c r="A77" s="187"/>
      <c r="B77" s="154"/>
      <c r="C77" s="188"/>
      <c r="D77" s="153"/>
      <c r="E77" s="196"/>
      <c r="F77" s="155"/>
      <c r="G77" s="153"/>
      <c r="H77" s="185" t="s">
        <v>1808</v>
      </c>
      <c r="I77" s="155">
        <v>20200</v>
      </c>
    </row>
    <row r="78" spans="1:9" s="189" customFormat="1" ht="35.4" x14ac:dyDescent="0.6">
      <c r="A78" s="187"/>
      <c r="B78" s="154"/>
      <c r="C78" s="188"/>
      <c r="D78" s="153"/>
      <c r="E78" s="196"/>
      <c r="F78" s="155"/>
      <c r="G78" s="153"/>
      <c r="H78" s="185" t="s">
        <v>1809</v>
      </c>
      <c r="I78" s="155">
        <v>30300</v>
      </c>
    </row>
    <row r="79" spans="1:9" s="189" customFormat="1" ht="35.4" x14ac:dyDescent="0.6">
      <c r="A79" s="187"/>
      <c r="B79" s="154"/>
      <c r="C79" s="188"/>
      <c r="D79" s="153"/>
      <c r="E79" s="196"/>
      <c r="F79" s="155"/>
      <c r="G79" s="153"/>
      <c r="H79" s="185" t="s">
        <v>1810</v>
      </c>
      <c r="I79" s="155">
        <v>5050</v>
      </c>
    </row>
    <row r="80" spans="1:9" s="189" customFormat="1" ht="35.4" x14ac:dyDescent="0.6">
      <c r="A80" s="187"/>
      <c r="B80" s="154"/>
      <c r="C80" s="188"/>
      <c r="D80" s="153"/>
      <c r="E80" s="196"/>
      <c r="F80" s="155"/>
      <c r="G80" s="153">
        <v>45844</v>
      </c>
      <c r="H80" s="185" t="s">
        <v>1811</v>
      </c>
      <c r="I80" s="155">
        <v>5050</v>
      </c>
    </row>
    <row r="81" spans="1:9" s="189" customFormat="1" ht="35.4" x14ac:dyDescent="0.6">
      <c r="A81" s="187"/>
      <c r="B81" s="154"/>
      <c r="C81" s="188"/>
      <c r="D81" s="153"/>
      <c r="E81" s="196"/>
      <c r="F81" s="155"/>
      <c r="G81" s="153"/>
      <c r="H81" s="185" t="s">
        <v>1812</v>
      </c>
      <c r="I81" s="155">
        <v>605</v>
      </c>
    </row>
    <row r="82" spans="1:9" s="189" customFormat="1" ht="35.4" x14ac:dyDescent="0.6">
      <c r="A82" s="187"/>
      <c r="B82" s="154"/>
      <c r="C82" s="188"/>
      <c r="D82" s="153"/>
      <c r="E82" s="196"/>
      <c r="F82" s="155"/>
      <c r="G82" s="153">
        <v>45845</v>
      </c>
      <c r="H82" s="185" t="s">
        <v>1705</v>
      </c>
      <c r="I82" s="155">
        <v>110000</v>
      </c>
    </row>
    <row r="83" spans="1:9" s="189" customFormat="1" ht="35.4" x14ac:dyDescent="0.6">
      <c r="A83" s="187"/>
      <c r="B83" s="154"/>
      <c r="C83" s="188"/>
      <c r="D83" s="153"/>
      <c r="E83" s="196"/>
      <c r="F83" s="155"/>
      <c r="G83" s="153"/>
      <c r="H83" s="185" t="s">
        <v>1706</v>
      </c>
      <c r="I83" s="155">
        <v>120000</v>
      </c>
    </row>
    <row r="84" spans="1:9" s="189" customFormat="1" ht="35.4" x14ac:dyDescent="0.6">
      <c r="A84" s="187"/>
      <c r="B84" s="154"/>
      <c r="C84" s="188"/>
      <c r="D84" s="153"/>
      <c r="E84" s="196"/>
      <c r="F84" s="155"/>
      <c r="G84" s="153"/>
      <c r="H84" s="185" t="s">
        <v>1707</v>
      </c>
      <c r="I84" s="155">
        <v>100000</v>
      </c>
    </row>
    <row r="85" spans="1:9" s="189" customFormat="1" ht="35.4" x14ac:dyDescent="0.6">
      <c r="A85" s="187"/>
      <c r="B85" s="154"/>
      <c r="C85" s="188"/>
      <c r="D85" s="153"/>
      <c r="E85" s="196"/>
      <c r="F85" s="155"/>
      <c r="G85" s="153"/>
      <c r="H85" s="185" t="s">
        <v>1708</v>
      </c>
      <c r="I85" s="155">
        <v>100000</v>
      </c>
    </row>
    <row r="86" spans="1:9" s="189" customFormat="1" ht="35.4" x14ac:dyDescent="0.6">
      <c r="A86" s="187"/>
      <c r="B86" s="154"/>
      <c r="C86" s="188"/>
      <c r="D86" s="153"/>
      <c r="E86" s="196"/>
      <c r="F86" s="155"/>
      <c r="G86" s="153"/>
      <c r="H86" s="185" t="s">
        <v>1711</v>
      </c>
      <c r="I86" s="155">
        <v>120000</v>
      </c>
    </row>
    <row r="87" spans="1:9" s="189" customFormat="1" ht="35.4" x14ac:dyDescent="0.6">
      <c r="A87" s="187"/>
      <c r="B87" s="154"/>
      <c r="C87" s="188"/>
      <c r="D87" s="153"/>
      <c r="E87" s="196"/>
      <c r="F87" s="155"/>
      <c r="G87" s="153"/>
      <c r="H87" s="185" t="s">
        <v>1813</v>
      </c>
      <c r="I87" s="155">
        <v>4000</v>
      </c>
    </row>
    <row r="88" spans="1:9" s="189" customFormat="1" ht="35.4" x14ac:dyDescent="0.6">
      <c r="A88" s="187"/>
      <c r="B88" s="154"/>
      <c r="C88" s="188"/>
      <c r="D88" s="153"/>
      <c r="E88" s="196"/>
      <c r="F88" s="155"/>
      <c r="G88" s="153"/>
      <c r="H88" s="185" t="s">
        <v>1814</v>
      </c>
      <c r="I88" s="155">
        <v>20200</v>
      </c>
    </row>
    <row r="89" spans="1:9" s="189" customFormat="1" ht="35.4" x14ac:dyDescent="0.6">
      <c r="A89" s="187"/>
      <c r="B89" s="154"/>
      <c r="C89" s="188"/>
      <c r="D89" s="153"/>
      <c r="E89" s="196"/>
      <c r="F89" s="155"/>
      <c r="G89" s="153"/>
      <c r="H89" s="191" t="s">
        <v>1815</v>
      </c>
      <c r="I89" s="155">
        <v>20200</v>
      </c>
    </row>
    <row r="90" spans="1:9" s="189" customFormat="1" ht="35.4" x14ac:dyDescent="0.6">
      <c r="A90" s="187"/>
      <c r="B90" s="154"/>
      <c r="C90" s="188"/>
      <c r="D90" s="153"/>
      <c r="E90" s="196"/>
      <c r="F90" s="155"/>
      <c r="G90" s="153"/>
      <c r="H90" s="191" t="s">
        <v>1816</v>
      </c>
      <c r="I90" s="155">
        <v>10100</v>
      </c>
    </row>
    <row r="91" spans="1:9" s="189" customFormat="1" ht="35.4" x14ac:dyDescent="0.6">
      <c r="A91" s="187"/>
      <c r="B91" s="154"/>
      <c r="C91" s="188"/>
      <c r="D91" s="153"/>
      <c r="E91" s="196"/>
      <c r="F91" s="155"/>
      <c r="G91" s="153"/>
      <c r="H91" s="191" t="s">
        <v>1540</v>
      </c>
      <c r="I91" s="155">
        <v>20000</v>
      </c>
    </row>
    <row r="92" spans="1:9" s="189" customFormat="1" ht="35.4" x14ac:dyDescent="0.6">
      <c r="A92" s="187"/>
      <c r="B92" s="154"/>
      <c r="C92" s="188"/>
      <c r="D92" s="153"/>
      <c r="E92" s="196"/>
      <c r="F92" s="155"/>
      <c r="G92" s="153"/>
      <c r="H92" s="191" t="s">
        <v>1817</v>
      </c>
      <c r="I92" s="155">
        <v>5000</v>
      </c>
    </row>
    <row r="93" spans="1:9" s="189" customFormat="1" ht="35.4" x14ac:dyDescent="0.6">
      <c r="A93" s="187"/>
      <c r="B93" s="154"/>
      <c r="C93" s="188"/>
      <c r="D93" s="153"/>
      <c r="E93" s="196"/>
      <c r="F93" s="155"/>
      <c r="G93" s="153"/>
      <c r="H93" s="191" t="s">
        <v>1818</v>
      </c>
      <c r="I93" s="155">
        <v>2100</v>
      </c>
    </row>
    <row r="94" spans="1:9" s="189" customFormat="1" ht="35.4" x14ac:dyDescent="0.6">
      <c r="A94" s="187"/>
      <c r="B94" s="154"/>
      <c r="C94" s="188"/>
      <c r="D94" s="153"/>
      <c r="E94" s="196"/>
      <c r="F94" s="155"/>
      <c r="G94" s="153"/>
      <c r="H94" s="191" t="s">
        <v>1819</v>
      </c>
      <c r="I94" s="155">
        <v>350000</v>
      </c>
    </row>
    <row r="95" spans="1:9" s="189" customFormat="1" ht="35.4" x14ac:dyDescent="0.6">
      <c r="A95" s="187"/>
      <c r="B95" s="154"/>
      <c r="C95" s="188"/>
      <c r="D95" s="153"/>
      <c r="E95" s="196"/>
      <c r="F95" s="155"/>
      <c r="G95" s="153"/>
      <c r="H95" s="191" t="s">
        <v>1820</v>
      </c>
      <c r="I95" s="155">
        <v>75000</v>
      </c>
    </row>
    <row r="96" spans="1:9" s="189" customFormat="1" ht="35.4" x14ac:dyDescent="0.6">
      <c r="A96" s="187"/>
      <c r="B96" s="154"/>
      <c r="C96" s="188"/>
      <c r="D96" s="153"/>
      <c r="E96" s="196"/>
      <c r="F96" s="155"/>
      <c r="G96" s="153"/>
      <c r="H96" s="191" t="s">
        <v>1821</v>
      </c>
      <c r="I96" s="155">
        <v>121200</v>
      </c>
    </row>
    <row r="97" spans="1:9" s="189" customFormat="1" ht="35.4" x14ac:dyDescent="0.6">
      <c r="A97" s="187"/>
      <c r="B97" s="154"/>
      <c r="C97" s="188"/>
      <c r="D97" s="153"/>
      <c r="E97" s="196"/>
      <c r="F97" s="155"/>
      <c r="G97" s="153"/>
      <c r="H97" s="191" t="s">
        <v>1822</v>
      </c>
      <c r="I97" s="155">
        <v>20200</v>
      </c>
    </row>
    <row r="98" spans="1:9" s="189" customFormat="1" ht="35.4" x14ac:dyDescent="0.6">
      <c r="A98" s="187"/>
      <c r="B98" s="154"/>
      <c r="C98" s="188"/>
      <c r="D98" s="153"/>
      <c r="E98" s="196"/>
      <c r="F98" s="155"/>
      <c r="G98" s="153"/>
      <c r="H98" s="185" t="s">
        <v>1704</v>
      </c>
      <c r="I98" s="155">
        <v>2000</v>
      </c>
    </row>
    <row r="99" spans="1:9" s="189" customFormat="1" ht="35.4" x14ac:dyDescent="0.6">
      <c r="A99" s="187"/>
      <c r="B99" s="154"/>
      <c r="C99" s="188"/>
      <c r="D99" s="153"/>
      <c r="E99" s="196"/>
      <c r="F99" s="155"/>
      <c r="G99" s="153"/>
      <c r="H99" s="191" t="s">
        <v>1823</v>
      </c>
      <c r="I99" s="155">
        <v>75750</v>
      </c>
    </row>
    <row r="100" spans="1:9" s="189" customFormat="1" ht="35.4" x14ac:dyDescent="0.6">
      <c r="A100" s="187"/>
      <c r="B100" s="154"/>
      <c r="C100" s="188"/>
      <c r="D100" s="153"/>
      <c r="E100" s="196"/>
      <c r="F100" s="155"/>
      <c r="G100" s="153">
        <v>45846</v>
      </c>
      <c r="H100" s="191" t="s">
        <v>1824</v>
      </c>
      <c r="I100" s="155">
        <v>18180</v>
      </c>
    </row>
    <row r="101" spans="1:9" s="189" customFormat="1" ht="35.4" x14ac:dyDescent="0.6">
      <c r="A101" s="187"/>
      <c r="B101" s="154"/>
      <c r="C101" s="188"/>
      <c r="D101" s="153"/>
      <c r="E101" s="196"/>
      <c r="F101" s="155"/>
      <c r="G101" s="153"/>
      <c r="H101" s="191" t="s">
        <v>1825</v>
      </c>
      <c r="I101" s="200">
        <v>12120</v>
      </c>
    </row>
    <row r="102" spans="1:9" s="189" customFormat="1" ht="35.4" x14ac:dyDescent="0.6">
      <c r="A102" s="187"/>
      <c r="B102" s="154"/>
      <c r="C102" s="188"/>
      <c r="D102" s="153"/>
      <c r="E102" s="196"/>
      <c r="F102" s="155"/>
      <c r="G102" s="153"/>
      <c r="H102" s="191" t="s">
        <v>1826</v>
      </c>
      <c r="I102" s="155">
        <v>4000</v>
      </c>
    </row>
    <row r="103" spans="1:9" s="189" customFormat="1" ht="35.4" x14ac:dyDescent="0.6">
      <c r="A103" s="187"/>
      <c r="B103" s="154"/>
      <c r="C103" s="188"/>
      <c r="D103" s="153"/>
      <c r="E103" s="196"/>
      <c r="F103" s="155"/>
      <c r="G103" s="153"/>
      <c r="H103" s="191" t="s">
        <v>1827</v>
      </c>
      <c r="I103" s="155">
        <v>350000</v>
      </c>
    </row>
    <row r="104" spans="1:9" s="189" customFormat="1" ht="35.4" x14ac:dyDescent="0.6">
      <c r="A104" s="187"/>
      <c r="B104" s="154"/>
      <c r="C104" s="188"/>
      <c r="D104" s="153"/>
      <c r="E104" s="196"/>
      <c r="F104" s="155"/>
      <c r="G104" s="153"/>
      <c r="H104" s="191" t="s">
        <v>1828</v>
      </c>
      <c r="I104" s="155">
        <v>7000</v>
      </c>
    </row>
    <row r="105" spans="1:9" s="189" customFormat="1" ht="35.4" x14ac:dyDescent="0.6">
      <c r="A105" s="187"/>
      <c r="B105" s="154"/>
      <c r="C105" s="188"/>
      <c r="D105" s="153"/>
      <c r="E105" s="196"/>
      <c r="F105" s="155"/>
      <c r="G105" s="153"/>
      <c r="H105" s="191" t="s">
        <v>1829</v>
      </c>
      <c r="I105" s="155">
        <v>9900</v>
      </c>
    </row>
    <row r="106" spans="1:9" s="189" customFormat="1" ht="35.4" x14ac:dyDescent="0.6">
      <c r="A106" s="187"/>
      <c r="B106" s="154"/>
      <c r="C106" s="188"/>
      <c r="D106" s="153"/>
      <c r="E106" s="196"/>
      <c r="F106" s="155"/>
      <c r="G106" s="153"/>
      <c r="H106" s="191" t="s">
        <v>1830</v>
      </c>
      <c r="I106" s="155">
        <v>121200</v>
      </c>
    </row>
    <row r="107" spans="1:9" s="189" customFormat="1" ht="35.4" x14ac:dyDescent="0.6">
      <c r="A107" s="187"/>
      <c r="B107" s="154"/>
      <c r="C107" s="188"/>
      <c r="D107" s="153"/>
      <c r="E107" s="196"/>
      <c r="F107" s="155"/>
      <c r="G107" s="153"/>
      <c r="H107" s="191" t="s">
        <v>1831</v>
      </c>
      <c r="I107" s="155">
        <v>252500</v>
      </c>
    </row>
    <row r="108" spans="1:9" s="189" customFormat="1" ht="35.4" x14ac:dyDescent="0.6">
      <c r="A108" s="187"/>
      <c r="B108" s="154"/>
      <c r="C108" s="188"/>
      <c r="D108" s="153"/>
      <c r="E108" s="196"/>
      <c r="F108" s="155"/>
      <c r="G108" s="153"/>
      <c r="H108" s="191" t="s">
        <v>1832</v>
      </c>
      <c r="I108" s="155">
        <v>3000</v>
      </c>
    </row>
    <row r="109" spans="1:9" s="189" customFormat="1" ht="35.4" x14ac:dyDescent="0.6">
      <c r="A109" s="187"/>
      <c r="B109" s="154"/>
      <c r="C109" s="188"/>
      <c r="D109" s="153"/>
      <c r="E109" s="196"/>
      <c r="F109" s="155"/>
      <c r="G109" s="153"/>
      <c r="H109" s="191" t="s">
        <v>1833</v>
      </c>
      <c r="I109" s="155">
        <v>20200</v>
      </c>
    </row>
    <row r="110" spans="1:9" s="189" customFormat="1" ht="35.4" x14ac:dyDescent="0.6">
      <c r="A110" s="187"/>
      <c r="B110" s="154"/>
      <c r="C110" s="188"/>
      <c r="D110" s="153"/>
      <c r="E110" s="196"/>
      <c r="F110" s="155"/>
      <c r="G110" s="153"/>
      <c r="H110" s="191" t="s">
        <v>1834</v>
      </c>
      <c r="I110" s="155">
        <v>2020</v>
      </c>
    </row>
    <row r="111" spans="1:9" s="189" customFormat="1" ht="35.4" x14ac:dyDescent="0.6">
      <c r="A111" s="187"/>
      <c r="B111" s="154"/>
      <c r="C111" s="188"/>
      <c r="D111" s="153"/>
      <c r="E111" s="196"/>
      <c r="F111" s="155"/>
      <c r="G111" s="153"/>
      <c r="H111" s="191" t="s">
        <v>1835</v>
      </c>
      <c r="I111" s="155">
        <v>10100</v>
      </c>
    </row>
    <row r="112" spans="1:9" s="189" customFormat="1" ht="35.4" x14ac:dyDescent="0.6">
      <c r="A112" s="187"/>
      <c r="B112" s="154"/>
      <c r="C112" s="188"/>
      <c r="D112" s="153"/>
      <c r="E112" s="196"/>
      <c r="F112" s="155"/>
      <c r="G112" s="153"/>
      <c r="H112" s="191" t="s">
        <v>1836</v>
      </c>
      <c r="I112" s="155">
        <v>176750</v>
      </c>
    </row>
    <row r="113" spans="1:9" s="189" customFormat="1" ht="35.4" x14ac:dyDescent="0.6">
      <c r="A113" s="187"/>
      <c r="B113" s="154"/>
      <c r="C113" s="188"/>
      <c r="D113" s="153"/>
      <c r="E113" s="196"/>
      <c r="F113" s="155"/>
      <c r="G113" s="153"/>
      <c r="H113" s="191" t="s">
        <v>1837</v>
      </c>
      <c r="I113" s="155">
        <v>151500</v>
      </c>
    </row>
    <row r="114" spans="1:9" s="189" customFormat="1" ht="35.4" x14ac:dyDescent="0.6">
      <c r="A114" s="187"/>
      <c r="B114" s="154"/>
      <c r="C114" s="188"/>
      <c r="D114" s="153"/>
      <c r="E114" s="196"/>
      <c r="F114" s="155"/>
      <c r="G114" s="153"/>
      <c r="H114" s="191" t="s">
        <v>1838</v>
      </c>
      <c r="I114" s="155">
        <v>151500</v>
      </c>
    </row>
    <row r="115" spans="1:9" s="189" customFormat="1" ht="35.4" x14ac:dyDescent="0.6">
      <c r="A115" s="187"/>
      <c r="B115" s="154"/>
      <c r="C115" s="188"/>
      <c r="D115" s="153"/>
      <c r="E115" s="196"/>
      <c r="F115" s="155"/>
      <c r="G115" s="153"/>
      <c r="H115" s="191" t="s">
        <v>1839</v>
      </c>
      <c r="I115" s="155">
        <v>121200</v>
      </c>
    </row>
    <row r="116" spans="1:9" s="189" customFormat="1" ht="35.4" x14ac:dyDescent="0.6">
      <c r="A116" s="187"/>
      <c r="B116" s="154"/>
      <c r="C116" s="188"/>
      <c r="D116" s="153"/>
      <c r="E116" s="196"/>
      <c r="F116" s="155"/>
      <c r="G116" s="153"/>
      <c r="H116" s="191" t="s">
        <v>1840</v>
      </c>
      <c r="I116" s="155">
        <v>121200</v>
      </c>
    </row>
    <row r="117" spans="1:9" s="189" customFormat="1" ht="35.4" x14ac:dyDescent="0.6">
      <c r="A117" s="187"/>
      <c r="B117" s="154"/>
      <c r="C117" s="188"/>
      <c r="D117" s="153"/>
      <c r="E117" s="196"/>
      <c r="F117" s="155"/>
      <c r="G117" s="153">
        <v>45847</v>
      </c>
      <c r="H117" s="191" t="s">
        <v>1841</v>
      </c>
      <c r="I117" s="155">
        <v>500</v>
      </c>
    </row>
    <row r="118" spans="1:9" s="189" customFormat="1" ht="35.4" x14ac:dyDescent="0.6">
      <c r="A118" s="187"/>
      <c r="B118" s="154"/>
      <c r="C118" s="188"/>
      <c r="D118" s="153"/>
      <c r="E118" s="196"/>
      <c r="F118" s="155"/>
      <c r="G118" s="153"/>
      <c r="H118" s="191" t="s">
        <v>1842</v>
      </c>
      <c r="I118" s="155">
        <v>42880</v>
      </c>
    </row>
    <row r="119" spans="1:9" s="189" customFormat="1" ht="35.4" x14ac:dyDescent="0.6">
      <c r="A119" s="187"/>
      <c r="B119" s="154"/>
      <c r="C119" s="188"/>
      <c r="D119" s="153"/>
      <c r="E119" s="196"/>
      <c r="F119" s="155"/>
      <c r="G119" s="153"/>
      <c r="H119" s="191" t="s">
        <v>1843</v>
      </c>
      <c r="I119" s="155">
        <v>83225</v>
      </c>
    </row>
    <row r="120" spans="1:9" s="189" customFormat="1" ht="35.4" x14ac:dyDescent="0.6">
      <c r="A120" s="187"/>
      <c r="B120" s="154"/>
      <c r="C120" s="188"/>
      <c r="D120" s="153"/>
      <c r="E120" s="196"/>
      <c r="F120" s="155"/>
      <c r="G120" s="153"/>
      <c r="H120" s="191" t="s">
        <v>1844</v>
      </c>
      <c r="I120" s="155">
        <v>20000</v>
      </c>
    </row>
    <row r="121" spans="1:9" s="189" customFormat="1" ht="35.4" x14ac:dyDescent="0.6">
      <c r="A121" s="187"/>
      <c r="B121" s="154"/>
      <c r="C121" s="188"/>
      <c r="D121" s="153"/>
      <c r="E121" s="196"/>
      <c r="F121" s="155"/>
      <c r="G121" s="153"/>
      <c r="H121" s="191" t="s">
        <v>1845</v>
      </c>
      <c r="I121" s="155">
        <v>90900</v>
      </c>
    </row>
    <row r="122" spans="1:9" s="189" customFormat="1" ht="35.4" x14ac:dyDescent="0.6">
      <c r="A122" s="187"/>
      <c r="B122" s="154"/>
      <c r="C122" s="188"/>
      <c r="D122" s="153"/>
      <c r="E122" s="196"/>
      <c r="F122" s="155"/>
      <c r="G122" s="153"/>
      <c r="H122" s="191" t="s">
        <v>1846</v>
      </c>
      <c r="I122" s="155">
        <v>15150</v>
      </c>
    </row>
    <row r="123" spans="1:9" s="189" customFormat="1" ht="35.4" x14ac:dyDescent="0.6">
      <c r="A123" s="187"/>
      <c r="B123" s="154"/>
      <c r="C123" s="188"/>
      <c r="D123" s="153"/>
      <c r="E123" s="196"/>
      <c r="F123" s="155"/>
      <c r="G123" s="153"/>
      <c r="H123" s="191" t="s">
        <v>1847</v>
      </c>
      <c r="I123" s="155">
        <v>16160</v>
      </c>
    </row>
    <row r="124" spans="1:9" s="189" customFormat="1" ht="35.4" x14ac:dyDescent="0.6">
      <c r="A124" s="187"/>
      <c r="B124" s="154"/>
      <c r="C124" s="188"/>
      <c r="D124" s="153"/>
      <c r="E124" s="196"/>
      <c r="F124" s="155"/>
      <c r="G124" s="153"/>
      <c r="H124" s="191" t="s">
        <v>1848</v>
      </c>
      <c r="I124" s="155">
        <v>20200</v>
      </c>
    </row>
    <row r="125" spans="1:9" s="189" customFormat="1" ht="35.4" x14ac:dyDescent="0.6">
      <c r="A125" s="187"/>
      <c r="B125" s="154"/>
      <c r="C125" s="188"/>
      <c r="D125" s="153"/>
      <c r="E125" s="196"/>
      <c r="F125" s="155"/>
      <c r="G125" s="153">
        <v>45848</v>
      </c>
      <c r="H125" s="191" t="s">
        <v>1849</v>
      </c>
      <c r="I125" s="155">
        <v>20200</v>
      </c>
    </row>
    <row r="126" spans="1:9" s="189" customFormat="1" ht="35.4" x14ac:dyDescent="0.6">
      <c r="A126" s="187"/>
      <c r="B126" s="154"/>
      <c r="C126" s="188"/>
      <c r="D126" s="153"/>
      <c r="E126" s="196"/>
      <c r="F126" s="155"/>
      <c r="G126" s="153"/>
      <c r="H126" s="191" t="s">
        <v>1850</v>
      </c>
      <c r="I126" s="155">
        <v>5050</v>
      </c>
    </row>
    <row r="127" spans="1:9" s="189" customFormat="1" ht="35.4" x14ac:dyDescent="0.6">
      <c r="A127" s="187"/>
      <c r="B127" s="154"/>
      <c r="C127" s="188"/>
      <c r="D127" s="153"/>
      <c r="E127" s="196"/>
      <c r="F127" s="155"/>
      <c r="G127" s="153"/>
      <c r="H127" s="191" t="s">
        <v>1540</v>
      </c>
      <c r="I127" s="155">
        <v>20200</v>
      </c>
    </row>
    <row r="128" spans="1:9" s="189" customFormat="1" ht="35.4" x14ac:dyDescent="0.6">
      <c r="A128" s="187"/>
      <c r="B128" s="154"/>
      <c r="C128" s="188"/>
      <c r="D128" s="153"/>
      <c r="E128" s="196"/>
      <c r="F128" s="155"/>
      <c r="G128" s="153"/>
      <c r="H128" s="191" t="s">
        <v>1510</v>
      </c>
      <c r="I128" s="155">
        <v>10100</v>
      </c>
    </row>
    <row r="129" spans="1:9" s="189" customFormat="1" ht="35.4" x14ac:dyDescent="0.6">
      <c r="A129" s="187"/>
      <c r="B129" s="154"/>
      <c r="C129" s="188"/>
      <c r="D129" s="153"/>
      <c r="E129" s="196"/>
      <c r="F129" s="155"/>
      <c r="G129" s="153"/>
      <c r="H129" s="191" t="s">
        <v>1829</v>
      </c>
      <c r="I129" s="155">
        <v>9900</v>
      </c>
    </row>
    <row r="130" spans="1:9" s="189" customFormat="1" ht="35.4" x14ac:dyDescent="0.6">
      <c r="A130" s="187"/>
      <c r="B130" s="154"/>
      <c r="C130" s="188"/>
      <c r="D130" s="153"/>
      <c r="E130" s="196"/>
      <c r="F130" s="155"/>
      <c r="G130" s="153"/>
      <c r="H130" s="191" t="s">
        <v>1851</v>
      </c>
      <c r="I130" s="155">
        <v>53025</v>
      </c>
    </row>
    <row r="131" spans="1:9" s="189" customFormat="1" ht="35.4" x14ac:dyDescent="0.6">
      <c r="A131" s="187"/>
      <c r="B131" s="154"/>
      <c r="C131" s="188"/>
      <c r="D131" s="153"/>
      <c r="E131" s="196"/>
      <c r="F131" s="155"/>
      <c r="G131" s="153"/>
      <c r="H131" s="191" t="s">
        <v>1852</v>
      </c>
      <c r="I131" s="155">
        <v>310575</v>
      </c>
    </row>
    <row r="132" spans="1:9" s="189" customFormat="1" ht="35.4" x14ac:dyDescent="0.6">
      <c r="A132" s="187"/>
      <c r="B132" s="154"/>
      <c r="C132" s="188"/>
      <c r="D132" s="153"/>
      <c r="E132" s="196"/>
      <c r="F132" s="155"/>
      <c r="G132" s="153"/>
      <c r="H132" s="191" t="s">
        <v>1853</v>
      </c>
      <c r="I132" s="155">
        <v>83325</v>
      </c>
    </row>
    <row r="133" spans="1:9" s="189" customFormat="1" ht="35.4" x14ac:dyDescent="0.6">
      <c r="A133" s="187"/>
      <c r="B133" s="154"/>
      <c r="C133" s="188"/>
      <c r="D133" s="153"/>
      <c r="E133" s="196"/>
      <c r="F133" s="155"/>
      <c r="G133" s="153"/>
      <c r="H133" s="191" t="s">
        <v>1854</v>
      </c>
      <c r="I133" s="155">
        <f>196950+30300</f>
        <v>227250</v>
      </c>
    </row>
    <row r="134" spans="1:9" s="189" customFormat="1" ht="35.4" x14ac:dyDescent="0.6">
      <c r="A134" s="187"/>
      <c r="B134" s="154"/>
      <c r="C134" s="188"/>
      <c r="D134" s="153"/>
      <c r="E134" s="196"/>
      <c r="F134" s="155"/>
      <c r="G134" s="153"/>
      <c r="H134" s="191" t="s">
        <v>1855</v>
      </c>
      <c r="I134" s="155">
        <v>136350</v>
      </c>
    </row>
    <row r="135" spans="1:9" s="189" customFormat="1" ht="35.4" x14ac:dyDescent="0.6">
      <c r="A135" s="187"/>
      <c r="B135" s="154"/>
      <c r="C135" s="188"/>
      <c r="D135" s="153"/>
      <c r="E135" s="196"/>
      <c r="F135" s="155"/>
      <c r="G135" s="91"/>
      <c r="H135" s="191" t="s">
        <v>1829</v>
      </c>
      <c r="I135" s="72">
        <v>10000</v>
      </c>
    </row>
    <row r="136" spans="1:9" s="189" customFormat="1" ht="35.4" x14ac:dyDescent="0.6">
      <c r="A136" s="187"/>
      <c r="B136" s="154"/>
      <c r="C136" s="188"/>
      <c r="D136" s="153"/>
      <c r="E136" s="196"/>
      <c r="F136" s="155"/>
      <c r="G136" s="91"/>
      <c r="H136" s="191" t="s">
        <v>1856</v>
      </c>
      <c r="I136" s="72">
        <v>1000</v>
      </c>
    </row>
    <row r="137" spans="1:9" s="189" customFormat="1" ht="35.4" x14ac:dyDescent="0.6">
      <c r="A137" s="187"/>
      <c r="B137" s="154"/>
      <c r="C137" s="188"/>
      <c r="D137" s="153"/>
      <c r="E137" s="196"/>
      <c r="F137" s="155"/>
      <c r="G137" s="91"/>
      <c r="H137" s="191" t="s">
        <v>1857</v>
      </c>
      <c r="I137" s="72">
        <v>10100</v>
      </c>
    </row>
    <row r="138" spans="1:9" s="189" customFormat="1" ht="35.4" x14ac:dyDescent="0.6">
      <c r="A138" s="187"/>
      <c r="B138" s="154"/>
      <c r="C138" s="188"/>
      <c r="D138" s="153"/>
      <c r="E138" s="196"/>
      <c r="F138" s="155"/>
      <c r="G138" s="91">
        <v>45849</v>
      </c>
      <c r="H138" s="191" t="s">
        <v>1858</v>
      </c>
      <c r="I138" s="72">
        <v>1000</v>
      </c>
    </row>
    <row r="139" spans="1:9" s="189" customFormat="1" ht="35.4" x14ac:dyDescent="0.6">
      <c r="A139" s="187"/>
      <c r="B139" s="154"/>
      <c r="C139" s="188"/>
      <c r="D139" s="153"/>
      <c r="E139" s="196"/>
      <c r="F139" s="155"/>
      <c r="G139" s="91"/>
      <c r="H139" s="191" t="s">
        <v>1859</v>
      </c>
      <c r="I139" s="155">
        <v>4000</v>
      </c>
    </row>
    <row r="140" spans="1:9" s="189" customFormat="1" ht="35.4" x14ac:dyDescent="0.6">
      <c r="A140" s="187"/>
      <c r="B140" s="154"/>
      <c r="C140" s="188"/>
      <c r="D140" s="153"/>
      <c r="E140" s="196"/>
      <c r="F140" s="155"/>
      <c r="G140" s="153"/>
      <c r="H140" s="191" t="s">
        <v>1860</v>
      </c>
      <c r="I140" s="155">
        <v>5050</v>
      </c>
    </row>
    <row r="141" spans="1:9" s="189" customFormat="1" ht="35.4" x14ac:dyDescent="0.6">
      <c r="A141" s="187"/>
      <c r="B141" s="154"/>
      <c r="C141" s="188"/>
      <c r="D141" s="153"/>
      <c r="E141" s="196"/>
      <c r="F141" s="155"/>
      <c r="G141" s="153"/>
      <c r="H141" s="191" t="s">
        <v>1696</v>
      </c>
      <c r="I141" s="155">
        <v>10100</v>
      </c>
    </row>
    <row r="142" spans="1:9" s="189" customFormat="1" ht="35.4" x14ac:dyDescent="0.6">
      <c r="A142" s="187"/>
      <c r="B142" s="154"/>
      <c r="C142" s="188"/>
      <c r="D142" s="153"/>
      <c r="E142" s="196"/>
      <c r="F142" s="155"/>
      <c r="G142" s="153"/>
      <c r="H142" s="191" t="s">
        <v>1861</v>
      </c>
      <c r="I142" s="155">
        <v>5050</v>
      </c>
    </row>
    <row r="143" spans="1:9" s="189" customFormat="1" ht="35.4" x14ac:dyDescent="0.6">
      <c r="A143" s="187"/>
      <c r="B143" s="154"/>
      <c r="C143" s="188"/>
      <c r="D143" s="153"/>
      <c r="E143" s="196"/>
      <c r="F143" s="155"/>
      <c r="G143" s="153"/>
      <c r="H143" s="191" t="s">
        <v>1862</v>
      </c>
      <c r="I143" s="155">
        <v>3030</v>
      </c>
    </row>
    <row r="144" spans="1:9" s="189" customFormat="1" ht="35.4" x14ac:dyDescent="0.6">
      <c r="A144" s="187"/>
      <c r="B144" s="154"/>
      <c r="C144" s="188"/>
      <c r="D144" s="153"/>
      <c r="E144" s="196"/>
      <c r="F144" s="155"/>
      <c r="G144" s="153"/>
      <c r="H144" s="191" t="s">
        <v>1863</v>
      </c>
      <c r="I144" s="155">
        <v>555500</v>
      </c>
    </row>
    <row r="145" spans="1:10" s="189" customFormat="1" ht="35.4" x14ac:dyDescent="0.6">
      <c r="A145" s="187"/>
      <c r="B145" s="154"/>
      <c r="C145" s="188"/>
      <c r="D145" s="153"/>
      <c r="E145" s="196"/>
      <c r="F145" s="155"/>
      <c r="G145" s="153"/>
      <c r="H145" s="191" t="s">
        <v>1864</v>
      </c>
      <c r="I145" s="155">
        <v>1000000</v>
      </c>
    </row>
    <row r="146" spans="1:10" s="189" customFormat="1" ht="35.4" x14ac:dyDescent="0.6">
      <c r="A146" s="187"/>
      <c r="B146" s="154"/>
      <c r="C146" s="188"/>
      <c r="D146" s="153"/>
      <c r="E146" s="196"/>
      <c r="F146" s="155"/>
      <c r="G146" s="153"/>
      <c r="H146" s="191" t="s">
        <v>1704</v>
      </c>
      <c r="I146" s="155">
        <v>2000</v>
      </c>
    </row>
    <row r="147" spans="1:10" s="189" customFormat="1" ht="35.4" x14ac:dyDescent="0.6">
      <c r="A147" s="187"/>
      <c r="B147" s="154"/>
      <c r="C147" s="188"/>
      <c r="D147" s="153"/>
      <c r="E147" s="196"/>
      <c r="F147" s="155"/>
      <c r="G147" s="153"/>
      <c r="H147" s="191" t="s">
        <v>1865</v>
      </c>
      <c r="I147" s="155">
        <v>232300</v>
      </c>
    </row>
    <row r="148" spans="1:10" s="189" customFormat="1" ht="35.4" x14ac:dyDescent="0.6">
      <c r="A148" s="187"/>
      <c r="B148" s="154"/>
      <c r="C148" s="188"/>
      <c r="D148" s="153"/>
      <c r="E148" s="196"/>
      <c r="F148" s="155"/>
      <c r="G148" s="153"/>
      <c r="H148" s="191" t="s">
        <v>1866</v>
      </c>
      <c r="I148" s="155">
        <v>2020</v>
      </c>
    </row>
    <row r="149" spans="1:10" s="189" customFormat="1" ht="35.4" x14ac:dyDescent="0.6">
      <c r="A149" s="187"/>
      <c r="B149" s="154"/>
      <c r="C149" s="188"/>
      <c r="D149" s="153"/>
      <c r="E149" s="196"/>
      <c r="F149" s="155"/>
      <c r="G149" s="153"/>
      <c r="H149" s="191" t="s">
        <v>1867</v>
      </c>
      <c r="I149" s="155">
        <v>1010000</v>
      </c>
    </row>
    <row r="150" spans="1:10" s="189" customFormat="1" ht="35.4" x14ac:dyDescent="0.6">
      <c r="A150" s="187"/>
      <c r="B150" s="154"/>
      <c r="C150" s="188"/>
      <c r="D150" s="153"/>
      <c r="E150" s="196"/>
      <c r="F150" s="155"/>
      <c r="G150" s="153"/>
      <c r="H150" s="191" t="s">
        <v>1868</v>
      </c>
      <c r="I150" s="155">
        <v>32320</v>
      </c>
    </row>
    <row r="151" spans="1:10" s="189" customFormat="1" ht="35.4" x14ac:dyDescent="0.6">
      <c r="A151" s="187"/>
      <c r="B151" s="154"/>
      <c r="C151" s="188"/>
      <c r="D151" s="153"/>
      <c r="E151" s="196"/>
      <c r="F151" s="155"/>
      <c r="G151" s="153">
        <v>45850</v>
      </c>
      <c r="H151" s="191" t="s">
        <v>1869</v>
      </c>
      <c r="I151" s="155">
        <v>38380</v>
      </c>
      <c r="J151" s="201"/>
    </row>
    <row r="152" spans="1:10" s="189" customFormat="1" ht="35.4" x14ac:dyDescent="0.6">
      <c r="A152" s="187"/>
      <c r="B152" s="154"/>
      <c r="C152" s="188"/>
      <c r="D152" s="153"/>
      <c r="E152" s="196"/>
      <c r="F152" s="155"/>
      <c r="G152" s="153">
        <v>45851</v>
      </c>
      <c r="H152" s="191" t="s">
        <v>1870</v>
      </c>
      <c r="I152" s="155">
        <v>16160</v>
      </c>
      <c r="J152" s="201"/>
    </row>
    <row r="153" spans="1:10" s="189" customFormat="1" ht="35.4" x14ac:dyDescent="0.6">
      <c r="A153" s="187"/>
      <c r="B153" s="154"/>
      <c r="C153" s="188"/>
      <c r="D153" s="153"/>
      <c r="E153" s="196"/>
      <c r="F153" s="155"/>
      <c r="G153" s="153">
        <v>45852</v>
      </c>
      <c r="H153" s="191" t="s">
        <v>1871</v>
      </c>
      <c r="I153" s="155">
        <v>7070</v>
      </c>
    </row>
    <row r="154" spans="1:10" s="189" customFormat="1" ht="35.4" x14ac:dyDescent="0.6">
      <c r="A154" s="187"/>
      <c r="B154" s="154"/>
      <c r="C154" s="188"/>
      <c r="D154" s="153"/>
      <c r="E154" s="196"/>
      <c r="F154" s="155"/>
      <c r="G154" s="153"/>
      <c r="H154" s="191" t="s">
        <v>1872</v>
      </c>
      <c r="I154" s="155">
        <v>19190</v>
      </c>
    </row>
    <row r="155" spans="1:10" s="189" customFormat="1" ht="35.4" x14ac:dyDescent="0.6">
      <c r="A155" s="187"/>
      <c r="B155" s="154"/>
      <c r="C155" s="188"/>
      <c r="D155" s="153"/>
      <c r="E155" s="196"/>
      <c r="F155" s="155"/>
      <c r="G155" s="153"/>
      <c r="H155" s="191" t="s">
        <v>1873</v>
      </c>
      <c r="I155" s="155">
        <v>45450</v>
      </c>
    </row>
    <row r="156" spans="1:10" s="189" customFormat="1" ht="35.4" x14ac:dyDescent="0.6">
      <c r="A156" s="187"/>
      <c r="B156" s="154"/>
      <c r="C156" s="188"/>
      <c r="D156" s="153"/>
      <c r="E156" s="196"/>
      <c r="F156" s="155"/>
      <c r="G156" s="153"/>
      <c r="H156" s="191" t="s">
        <v>1874</v>
      </c>
      <c r="I156" s="155">
        <v>3000</v>
      </c>
    </row>
    <row r="157" spans="1:10" s="189" customFormat="1" ht="35.4" x14ac:dyDescent="0.6">
      <c r="A157" s="187"/>
      <c r="B157" s="154"/>
      <c r="C157" s="188"/>
      <c r="D157" s="153"/>
      <c r="E157" s="196"/>
      <c r="F157" s="155"/>
      <c r="G157" s="153"/>
      <c r="H157" s="191" t="s">
        <v>1875</v>
      </c>
      <c r="I157" s="155">
        <v>5000</v>
      </c>
    </row>
    <row r="158" spans="1:10" s="189" customFormat="1" ht="35.4" x14ac:dyDescent="0.6">
      <c r="A158" s="187"/>
      <c r="B158" s="154"/>
      <c r="C158" s="188"/>
      <c r="D158" s="153"/>
      <c r="E158" s="196"/>
      <c r="F158" s="155"/>
      <c r="G158" s="153"/>
      <c r="H158" s="191" t="s">
        <v>1876</v>
      </c>
      <c r="I158" s="155">
        <v>1000</v>
      </c>
    </row>
    <row r="159" spans="1:10" s="189" customFormat="1" ht="35.4" x14ac:dyDescent="0.6">
      <c r="A159" s="187"/>
      <c r="B159" s="154"/>
      <c r="C159" s="188"/>
      <c r="D159" s="153"/>
      <c r="E159" s="196"/>
      <c r="F159" s="155"/>
      <c r="G159" s="153"/>
      <c r="H159" s="191" t="s">
        <v>1877</v>
      </c>
      <c r="I159" s="155">
        <f>201810+2018</f>
        <v>203828</v>
      </c>
    </row>
    <row r="160" spans="1:10" s="189" customFormat="1" ht="35.4" x14ac:dyDescent="0.6">
      <c r="A160" s="187"/>
      <c r="B160" s="154"/>
      <c r="C160" s="188"/>
      <c r="D160" s="153"/>
      <c r="E160" s="196"/>
      <c r="F160" s="155"/>
      <c r="G160" s="153"/>
      <c r="H160" s="191" t="s">
        <v>1878</v>
      </c>
      <c r="I160" s="155">
        <v>90000</v>
      </c>
    </row>
    <row r="161" spans="1:9" s="189" customFormat="1" ht="35.4" x14ac:dyDescent="0.6">
      <c r="A161" s="187"/>
      <c r="B161" s="154"/>
      <c r="C161" s="188"/>
      <c r="D161" s="153"/>
      <c r="E161" s="196"/>
      <c r="F161" s="155"/>
      <c r="G161" s="153">
        <v>45853</v>
      </c>
      <c r="H161" s="191" t="s">
        <v>1879</v>
      </c>
      <c r="I161" s="155">
        <v>90000</v>
      </c>
    </row>
    <row r="162" spans="1:9" s="189" customFormat="1" ht="35.4" x14ac:dyDescent="0.6">
      <c r="A162" s="187"/>
      <c r="B162" s="154"/>
      <c r="C162" s="188"/>
      <c r="D162" s="153"/>
      <c r="E162" s="196"/>
      <c r="F162" s="155"/>
      <c r="G162" s="153"/>
      <c r="H162" s="191" t="s">
        <v>1880</v>
      </c>
      <c r="I162" s="155">
        <v>7400</v>
      </c>
    </row>
    <row r="163" spans="1:9" s="189" customFormat="1" ht="35.4" x14ac:dyDescent="0.6">
      <c r="A163" s="187"/>
      <c r="B163" s="154"/>
      <c r="C163" s="188"/>
      <c r="D163" s="153"/>
      <c r="E163" s="196"/>
      <c r="F163" s="155"/>
      <c r="G163" s="153"/>
      <c r="H163" s="191" t="s">
        <v>1881</v>
      </c>
      <c r="I163" s="155">
        <v>60000</v>
      </c>
    </row>
    <row r="164" spans="1:9" s="189" customFormat="1" ht="35.4" x14ac:dyDescent="0.6">
      <c r="A164" s="187"/>
      <c r="B164" s="154"/>
      <c r="C164" s="188"/>
      <c r="D164" s="153"/>
      <c r="E164" s="196"/>
      <c r="F164" s="155"/>
      <c r="G164" s="153"/>
      <c r="H164" s="191" t="s">
        <v>1882</v>
      </c>
      <c r="I164" s="155">
        <v>5500</v>
      </c>
    </row>
    <row r="165" spans="1:9" s="189" customFormat="1" ht="35.4" x14ac:dyDescent="0.6">
      <c r="A165" s="187"/>
      <c r="B165" s="154"/>
      <c r="C165" s="188"/>
      <c r="D165" s="153"/>
      <c r="E165" s="196"/>
      <c r="F165" s="155"/>
      <c r="G165" s="153"/>
      <c r="H165" s="191" t="s">
        <v>1883</v>
      </c>
      <c r="I165" s="155">
        <v>10000</v>
      </c>
    </row>
    <row r="166" spans="1:9" s="189" customFormat="1" ht="35.4" x14ac:dyDescent="0.6">
      <c r="A166" s="187"/>
      <c r="B166" s="154"/>
      <c r="C166" s="188"/>
      <c r="D166" s="153"/>
      <c r="E166" s="196"/>
      <c r="F166" s="155"/>
      <c r="G166" s="153"/>
      <c r="H166" s="191" t="s">
        <v>1884</v>
      </c>
      <c r="I166" s="155">
        <v>150000</v>
      </c>
    </row>
    <row r="167" spans="1:9" s="189" customFormat="1" ht="35.4" x14ac:dyDescent="0.6">
      <c r="A167" s="187"/>
      <c r="B167" s="154"/>
      <c r="C167" s="188"/>
      <c r="D167" s="153"/>
      <c r="E167" s="196"/>
      <c r="F167" s="155"/>
      <c r="G167" s="153"/>
      <c r="H167" s="191" t="s">
        <v>1885</v>
      </c>
      <c r="I167" s="155">
        <v>202000</v>
      </c>
    </row>
    <row r="168" spans="1:9" s="189" customFormat="1" ht="35.4" x14ac:dyDescent="0.6">
      <c r="A168" s="187"/>
      <c r="B168" s="154"/>
      <c r="C168" s="188"/>
      <c r="D168" s="153"/>
      <c r="E168" s="196"/>
      <c r="F168" s="155"/>
      <c r="G168" s="153"/>
      <c r="H168" s="191" t="s">
        <v>1886</v>
      </c>
      <c r="I168" s="155">
        <v>151500</v>
      </c>
    </row>
    <row r="169" spans="1:9" s="189" customFormat="1" ht="35.4" x14ac:dyDescent="0.6">
      <c r="A169" s="187"/>
      <c r="B169" s="154"/>
      <c r="C169" s="188"/>
      <c r="D169" s="153"/>
      <c r="E169" s="196"/>
      <c r="F169" s="155"/>
      <c r="G169" s="153"/>
      <c r="H169" s="191" t="s">
        <v>1887</v>
      </c>
      <c r="I169" s="155">
        <v>151500</v>
      </c>
    </row>
    <row r="170" spans="1:9" s="189" customFormat="1" ht="35.4" x14ac:dyDescent="0.6">
      <c r="A170" s="187"/>
      <c r="B170" s="154"/>
      <c r="C170" s="188"/>
      <c r="D170" s="153"/>
      <c r="E170" s="196"/>
      <c r="F170" s="155"/>
      <c r="G170" s="153"/>
      <c r="H170" s="63" t="s">
        <v>1330</v>
      </c>
      <c r="I170" s="155">
        <v>3030</v>
      </c>
    </row>
    <row r="171" spans="1:9" s="189" customFormat="1" ht="35.4" x14ac:dyDescent="0.6">
      <c r="A171" s="187"/>
      <c r="B171" s="154"/>
      <c r="C171" s="188"/>
      <c r="D171" s="153"/>
      <c r="E171" s="196"/>
      <c r="F171" s="155"/>
      <c r="G171" s="153"/>
      <c r="H171" s="191" t="s">
        <v>1540</v>
      </c>
      <c r="I171" s="155">
        <v>25200</v>
      </c>
    </row>
    <row r="172" spans="1:9" s="189" customFormat="1" ht="35.4" x14ac:dyDescent="0.6">
      <c r="A172" s="187"/>
      <c r="B172" s="154"/>
      <c r="C172" s="188"/>
      <c r="D172" s="153"/>
      <c r="E172" s="196"/>
      <c r="F172" s="155"/>
      <c r="G172" s="153"/>
      <c r="H172" s="191" t="s">
        <v>1888</v>
      </c>
      <c r="I172" s="155">
        <v>35350</v>
      </c>
    </row>
    <row r="173" spans="1:9" s="189" customFormat="1" ht="35.4" x14ac:dyDescent="0.6">
      <c r="A173" s="187"/>
      <c r="B173" s="154"/>
      <c r="C173" s="188"/>
      <c r="D173" s="153"/>
      <c r="E173" s="196"/>
      <c r="F173" s="155"/>
      <c r="G173" s="153"/>
      <c r="H173" s="191" t="s">
        <v>1889</v>
      </c>
      <c r="I173" s="155">
        <v>6060</v>
      </c>
    </row>
    <row r="174" spans="1:9" s="189" customFormat="1" ht="35.4" x14ac:dyDescent="0.6">
      <c r="A174" s="187"/>
      <c r="B174" s="154"/>
      <c r="C174" s="188"/>
      <c r="D174" s="153"/>
      <c r="E174" s="196"/>
      <c r="F174" s="155"/>
      <c r="G174" s="153"/>
      <c r="H174" s="191" t="s">
        <v>1890</v>
      </c>
      <c r="I174" s="155">
        <v>166650</v>
      </c>
    </row>
    <row r="175" spans="1:9" s="189" customFormat="1" ht="35.4" x14ac:dyDescent="0.6">
      <c r="A175" s="187"/>
      <c r="B175" s="154"/>
      <c r="C175" s="188"/>
      <c r="D175" s="153"/>
      <c r="E175" s="196"/>
      <c r="F175" s="155"/>
      <c r="G175" s="153"/>
      <c r="H175" s="191" t="s">
        <v>1891</v>
      </c>
      <c r="I175" s="155">
        <v>1000</v>
      </c>
    </row>
    <row r="176" spans="1:9" s="189" customFormat="1" ht="35.4" x14ac:dyDescent="0.6">
      <c r="A176" s="187"/>
      <c r="B176" s="154"/>
      <c r="C176" s="188"/>
      <c r="D176" s="153"/>
      <c r="E176" s="196"/>
      <c r="F176" s="155"/>
      <c r="G176" s="153">
        <v>45854</v>
      </c>
      <c r="H176" s="191" t="s">
        <v>1892</v>
      </c>
      <c r="I176" s="155">
        <v>25000</v>
      </c>
    </row>
    <row r="177" spans="1:9" s="189" customFormat="1" ht="35.4" x14ac:dyDescent="0.6">
      <c r="A177" s="187"/>
      <c r="B177" s="154"/>
      <c r="C177" s="188"/>
      <c r="D177" s="153"/>
      <c r="E177" s="196"/>
      <c r="F177" s="155"/>
      <c r="G177" s="153"/>
      <c r="H177" s="191" t="s">
        <v>1893</v>
      </c>
      <c r="I177" s="155">
        <v>1500</v>
      </c>
    </row>
    <row r="178" spans="1:9" s="189" customFormat="1" ht="35.4" x14ac:dyDescent="0.6">
      <c r="A178" s="187"/>
      <c r="B178" s="154"/>
      <c r="C178" s="188"/>
      <c r="D178" s="153"/>
      <c r="E178" s="196"/>
      <c r="F178" s="155"/>
      <c r="G178" s="153"/>
      <c r="H178" s="191" t="s">
        <v>1894</v>
      </c>
      <c r="I178" s="155">
        <v>5000</v>
      </c>
    </row>
    <row r="179" spans="1:9" s="189" customFormat="1" ht="35.4" x14ac:dyDescent="0.6">
      <c r="A179" s="187"/>
      <c r="B179" s="154"/>
      <c r="C179" s="188"/>
      <c r="D179" s="153"/>
      <c r="E179" s="196"/>
      <c r="F179" s="155"/>
      <c r="G179" s="153"/>
      <c r="H179" s="191" t="s">
        <v>1895</v>
      </c>
      <c r="I179" s="155">
        <v>2020</v>
      </c>
    </row>
    <row r="180" spans="1:9" s="189" customFormat="1" ht="35.4" x14ac:dyDescent="0.6">
      <c r="A180" s="187"/>
      <c r="B180" s="154"/>
      <c r="C180" s="188"/>
      <c r="D180" s="153"/>
      <c r="E180" s="196"/>
      <c r="F180" s="155"/>
      <c r="G180" s="153"/>
      <c r="H180" s="191" t="s">
        <v>1896</v>
      </c>
      <c r="I180" s="155">
        <v>180000</v>
      </c>
    </row>
    <row r="181" spans="1:9" s="189" customFormat="1" ht="35.4" x14ac:dyDescent="0.6">
      <c r="A181" s="187"/>
      <c r="B181" s="154"/>
      <c r="C181" s="188"/>
      <c r="D181" s="153"/>
      <c r="E181" s="196"/>
      <c r="F181" s="155"/>
      <c r="G181" s="153"/>
      <c r="H181" s="191" t="s">
        <v>1897</v>
      </c>
      <c r="I181" s="155">
        <v>1920</v>
      </c>
    </row>
    <row r="182" spans="1:9" s="189" customFormat="1" ht="35.4" x14ac:dyDescent="0.6">
      <c r="A182" s="187"/>
      <c r="B182" s="154"/>
      <c r="C182" s="188"/>
      <c r="D182" s="153"/>
      <c r="E182" s="196"/>
      <c r="F182" s="155"/>
      <c r="G182" s="153">
        <v>45855</v>
      </c>
      <c r="H182" s="191" t="s">
        <v>1898</v>
      </c>
      <c r="I182" s="155">
        <v>1200</v>
      </c>
    </row>
    <row r="183" spans="1:9" s="189" customFormat="1" ht="35.4" x14ac:dyDescent="0.6">
      <c r="A183" s="187"/>
      <c r="B183" s="154"/>
      <c r="C183" s="188"/>
      <c r="D183" s="153"/>
      <c r="E183" s="196"/>
      <c r="F183" s="155"/>
      <c r="G183" s="153"/>
      <c r="H183" s="191" t="s">
        <v>1899</v>
      </c>
      <c r="I183" s="155">
        <v>200000</v>
      </c>
    </row>
    <row r="184" spans="1:9" s="189" customFormat="1" ht="35.4" x14ac:dyDescent="0.6">
      <c r="A184" s="187"/>
      <c r="B184" s="154"/>
      <c r="C184" s="188"/>
      <c r="D184" s="153"/>
      <c r="E184" s="196"/>
      <c r="F184" s="155"/>
      <c r="G184" s="153"/>
      <c r="H184" s="191" t="s">
        <v>1900</v>
      </c>
      <c r="I184" s="155">
        <v>25250</v>
      </c>
    </row>
    <row r="185" spans="1:9" s="189" customFormat="1" ht="35.4" x14ac:dyDescent="0.6">
      <c r="A185" s="187"/>
      <c r="B185" s="154"/>
      <c r="C185" s="188"/>
      <c r="D185" s="153"/>
      <c r="E185" s="196"/>
      <c r="F185" s="155"/>
      <c r="G185" s="153"/>
      <c r="H185" s="191" t="s">
        <v>1901</v>
      </c>
      <c r="I185" s="155">
        <v>200000</v>
      </c>
    </row>
    <row r="186" spans="1:9" s="189" customFormat="1" ht="35.4" x14ac:dyDescent="0.6">
      <c r="A186" s="187"/>
      <c r="B186" s="154"/>
      <c r="C186" s="188"/>
      <c r="D186" s="153"/>
      <c r="E186" s="196"/>
      <c r="F186" s="155"/>
      <c r="G186" s="153"/>
      <c r="H186" s="191" t="s">
        <v>1902</v>
      </c>
      <c r="I186" s="155">
        <v>197960</v>
      </c>
    </row>
    <row r="187" spans="1:9" s="189" customFormat="1" ht="35.4" x14ac:dyDescent="0.6">
      <c r="A187" s="187"/>
      <c r="B187" s="154"/>
      <c r="C187" s="188"/>
      <c r="D187" s="153"/>
      <c r="E187" s="196"/>
      <c r="F187" s="155"/>
      <c r="G187" s="153"/>
      <c r="H187" s="191" t="s">
        <v>1903</v>
      </c>
      <c r="I187" s="155">
        <v>5000</v>
      </c>
    </row>
    <row r="188" spans="1:9" s="189" customFormat="1" ht="35.4" x14ac:dyDescent="0.6">
      <c r="A188" s="187"/>
      <c r="B188" s="154"/>
      <c r="C188" s="188"/>
      <c r="D188" s="153"/>
      <c r="E188" s="196"/>
      <c r="F188" s="155"/>
      <c r="G188" s="153"/>
      <c r="H188" s="191" t="s">
        <v>1904</v>
      </c>
      <c r="I188" s="155">
        <v>4000</v>
      </c>
    </row>
    <row r="189" spans="1:9" s="189" customFormat="1" ht="35.4" x14ac:dyDescent="0.6">
      <c r="A189" s="187"/>
      <c r="B189" s="154"/>
      <c r="C189" s="188"/>
      <c r="D189" s="153"/>
      <c r="E189" s="196"/>
      <c r="F189" s="155"/>
      <c r="G189" s="153"/>
      <c r="H189" s="191" t="s">
        <v>1905</v>
      </c>
      <c r="I189" s="155">
        <f>705+1010+405</f>
        <v>2120</v>
      </c>
    </row>
    <row r="190" spans="1:9" s="189" customFormat="1" ht="35.4" x14ac:dyDescent="0.6">
      <c r="A190" s="187"/>
      <c r="B190" s="154"/>
      <c r="C190" s="188"/>
      <c r="D190" s="153"/>
      <c r="E190" s="196"/>
      <c r="F190" s="155"/>
      <c r="G190" s="153"/>
      <c r="H190" s="191" t="s">
        <v>1906</v>
      </c>
      <c r="I190" s="155">
        <v>45450</v>
      </c>
    </row>
    <row r="191" spans="1:9" s="189" customFormat="1" ht="35.4" x14ac:dyDescent="0.6">
      <c r="A191" s="187"/>
      <c r="B191" s="154"/>
      <c r="C191" s="188"/>
      <c r="D191" s="153"/>
      <c r="E191" s="196"/>
      <c r="F191" s="155"/>
      <c r="G191" s="153"/>
      <c r="H191" s="191" t="s">
        <v>692</v>
      </c>
      <c r="I191" s="155">
        <v>1000</v>
      </c>
    </row>
    <row r="192" spans="1:9" s="189" customFormat="1" ht="35.4" x14ac:dyDescent="0.6">
      <c r="A192" s="187"/>
      <c r="B192" s="154"/>
      <c r="C192" s="188"/>
      <c r="D192" s="153"/>
      <c r="E192" s="196"/>
      <c r="F192" s="155"/>
      <c r="G192" s="153">
        <v>45856</v>
      </c>
      <c r="H192" s="191" t="s">
        <v>1907</v>
      </c>
      <c r="I192" s="155">
        <v>10100</v>
      </c>
    </row>
    <row r="193" spans="1:9" s="189" customFormat="1" ht="35.4" x14ac:dyDescent="0.6">
      <c r="A193" s="187"/>
      <c r="B193" s="154"/>
      <c r="C193" s="188"/>
      <c r="D193" s="153"/>
      <c r="E193" s="196"/>
      <c r="F193" s="155"/>
      <c r="G193" s="153"/>
      <c r="H193" s="191" t="s">
        <v>1908</v>
      </c>
      <c r="I193" s="155">
        <v>1000</v>
      </c>
    </row>
    <row r="194" spans="1:9" s="189" customFormat="1" ht="35.4" x14ac:dyDescent="0.6">
      <c r="A194" s="187"/>
      <c r="B194" s="154"/>
      <c r="C194" s="188"/>
      <c r="D194" s="153"/>
      <c r="E194" s="196"/>
      <c r="F194" s="155"/>
      <c r="G194" s="153"/>
      <c r="H194" s="191" t="s">
        <v>1909</v>
      </c>
      <c r="I194" s="155">
        <v>2000</v>
      </c>
    </row>
    <row r="195" spans="1:9" s="189" customFormat="1" ht="35.4" x14ac:dyDescent="0.6">
      <c r="A195" s="187"/>
      <c r="B195" s="154"/>
      <c r="C195" s="188"/>
      <c r="D195" s="153"/>
      <c r="E195" s="196"/>
      <c r="F195" s="155"/>
      <c r="G195" s="153"/>
      <c r="H195" s="191" t="s">
        <v>1910</v>
      </c>
      <c r="I195" s="155">
        <v>1000</v>
      </c>
    </row>
    <row r="196" spans="1:9" s="189" customFormat="1" ht="35.4" x14ac:dyDescent="0.6">
      <c r="A196" s="187"/>
      <c r="B196" s="154"/>
      <c r="C196" s="188"/>
      <c r="D196" s="153"/>
      <c r="E196" s="196"/>
      <c r="F196" s="155"/>
      <c r="G196" s="153"/>
      <c r="H196" s="191" t="s">
        <v>1911</v>
      </c>
      <c r="I196" s="155">
        <v>371680</v>
      </c>
    </row>
    <row r="197" spans="1:9" s="189" customFormat="1" ht="35.4" x14ac:dyDescent="0.6">
      <c r="A197" s="187"/>
      <c r="B197" s="154"/>
      <c r="C197" s="188"/>
      <c r="D197" s="153"/>
      <c r="E197" s="196"/>
      <c r="F197" s="155"/>
      <c r="G197" s="153"/>
      <c r="H197" s="191" t="s">
        <v>1912</v>
      </c>
      <c r="I197" s="155">
        <v>10100</v>
      </c>
    </row>
    <row r="198" spans="1:9" s="189" customFormat="1" ht="35.4" x14ac:dyDescent="0.6">
      <c r="A198" s="187"/>
      <c r="B198" s="154"/>
      <c r="C198" s="188"/>
      <c r="D198" s="153"/>
      <c r="E198" s="196"/>
      <c r="F198" s="155"/>
      <c r="G198" s="153"/>
      <c r="H198" s="191" t="s">
        <v>1913</v>
      </c>
      <c r="I198" s="155">
        <v>500</v>
      </c>
    </row>
    <row r="199" spans="1:9" s="189" customFormat="1" ht="35.4" x14ac:dyDescent="0.6">
      <c r="A199" s="187"/>
      <c r="B199" s="154"/>
      <c r="C199" s="188"/>
      <c r="D199" s="153"/>
      <c r="E199" s="196"/>
      <c r="F199" s="155"/>
      <c r="G199" s="153"/>
      <c r="H199" s="191" t="s">
        <v>1540</v>
      </c>
      <c r="I199" s="155">
        <v>20200</v>
      </c>
    </row>
    <row r="200" spans="1:9" s="189" customFormat="1" ht="35.4" x14ac:dyDescent="0.6">
      <c r="A200" s="187"/>
      <c r="B200" s="154"/>
      <c r="C200" s="188"/>
      <c r="D200" s="153"/>
      <c r="E200" s="196"/>
      <c r="F200" s="155"/>
      <c r="G200" s="153">
        <v>45857</v>
      </c>
      <c r="H200" s="191" t="s">
        <v>1914</v>
      </c>
      <c r="I200" s="155">
        <v>10100</v>
      </c>
    </row>
    <row r="201" spans="1:9" s="189" customFormat="1" ht="35.4" x14ac:dyDescent="0.6">
      <c r="A201" s="187"/>
      <c r="B201" s="154"/>
      <c r="C201" s="188"/>
      <c r="D201" s="153"/>
      <c r="E201" s="196"/>
      <c r="F201" s="155"/>
      <c r="G201" s="153"/>
      <c r="H201" s="191" t="s">
        <v>1704</v>
      </c>
      <c r="I201" s="155">
        <v>2000</v>
      </c>
    </row>
    <row r="202" spans="1:9" s="189" customFormat="1" ht="35.4" x14ac:dyDescent="0.6">
      <c r="A202" s="187"/>
      <c r="B202" s="154"/>
      <c r="C202" s="188"/>
      <c r="D202" s="153"/>
      <c r="E202" s="196"/>
      <c r="F202" s="155"/>
      <c r="G202" s="153"/>
      <c r="H202" s="191" t="s">
        <v>1915</v>
      </c>
      <c r="I202" s="155">
        <v>132108</v>
      </c>
    </row>
    <row r="203" spans="1:9" s="189" customFormat="1" ht="35.4" x14ac:dyDescent="0.6">
      <c r="A203" s="187"/>
      <c r="B203" s="154"/>
      <c r="C203" s="188"/>
      <c r="D203" s="153"/>
      <c r="E203" s="196"/>
      <c r="F203" s="155"/>
      <c r="G203" s="153">
        <v>45859</v>
      </c>
      <c r="H203" s="191" t="s">
        <v>1916</v>
      </c>
      <c r="I203" s="155">
        <f>111100+75750</f>
        <v>186850</v>
      </c>
    </row>
    <row r="204" spans="1:9" s="189" customFormat="1" ht="35.4" x14ac:dyDescent="0.6">
      <c r="A204" s="187"/>
      <c r="B204" s="154"/>
      <c r="C204" s="188"/>
      <c r="D204" s="153"/>
      <c r="E204" s="196"/>
      <c r="F204" s="155"/>
      <c r="G204" s="153"/>
      <c r="H204" s="191" t="s">
        <v>1912</v>
      </c>
      <c r="I204" s="155">
        <v>10100</v>
      </c>
    </row>
    <row r="205" spans="1:9" s="189" customFormat="1" ht="35.4" x14ac:dyDescent="0.6">
      <c r="A205" s="187"/>
      <c r="B205" s="154"/>
      <c r="C205" s="188"/>
      <c r="D205" s="153"/>
      <c r="E205" s="196"/>
      <c r="F205" s="155"/>
      <c r="G205" s="153"/>
      <c r="H205" s="191" t="s">
        <v>1917</v>
      </c>
      <c r="I205" s="155">
        <v>30300</v>
      </c>
    </row>
    <row r="206" spans="1:9" s="189" customFormat="1" ht="35.4" x14ac:dyDescent="0.6">
      <c r="A206" s="187"/>
      <c r="B206" s="154"/>
      <c r="C206" s="188"/>
      <c r="D206" s="153"/>
      <c r="E206" s="196"/>
      <c r="F206" s="155"/>
      <c r="G206" s="153"/>
      <c r="H206" s="191" t="s">
        <v>1918</v>
      </c>
      <c r="I206" s="155">
        <v>15150</v>
      </c>
    </row>
    <row r="207" spans="1:9" s="189" customFormat="1" ht="35.4" x14ac:dyDescent="0.6">
      <c r="A207" s="187"/>
      <c r="B207" s="154"/>
      <c r="C207" s="188"/>
      <c r="D207" s="153"/>
      <c r="E207" s="196"/>
      <c r="F207" s="155"/>
      <c r="G207" s="153"/>
      <c r="H207" s="191" t="s">
        <v>1919</v>
      </c>
      <c r="I207" s="155">
        <v>2000</v>
      </c>
    </row>
    <row r="208" spans="1:9" s="189" customFormat="1" ht="35.4" x14ac:dyDescent="0.6">
      <c r="A208" s="187"/>
      <c r="B208" s="154"/>
      <c r="C208" s="188"/>
      <c r="D208" s="153"/>
      <c r="E208" s="196"/>
      <c r="F208" s="155"/>
      <c r="G208" s="153"/>
      <c r="H208" s="191" t="s">
        <v>1920</v>
      </c>
      <c r="I208" s="155">
        <v>50500</v>
      </c>
    </row>
    <row r="209" spans="1:9" s="189" customFormat="1" ht="35.4" x14ac:dyDescent="0.6">
      <c r="A209" s="187"/>
      <c r="B209" s="154"/>
      <c r="C209" s="188"/>
      <c r="D209" s="153"/>
      <c r="E209" s="196"/>
      <c r="F209" s="155"/>
      <c r="G209" s="153"/>
      <c r="H209" s="191" t="s">
        <v>1921</v>
      </c>
      <c r="I209" s="155">
        <v>1600</v>
      </c>
    </row>
    <row r="210" spans="1:9" s="189" customFormat="1" ht="35.4" x14ac:dyDescent="0.6">
      <c r="A210" s="187"/>
      <c r="B210" s="154"/>
      <c r="C210" s="188"/>
      <c r="D210" s="153"/>
      <c r="E210" s="196"/>
      <c r="F210" s="155"/>
      <c r="G210" s="153"/>
      <c r="H210" s="191" t="s">
        <v>1922</v>
      </c>
      <c r="I210" s="155">
        <f>17000+5000</f>
        <v>22000</v>
      </c>
    </row>
    <row r="211" spans="1:9" s="189" customFormat="1" ht="35.4" x14ac:dyDescent="0.6">
      <c r="A211" s="187"/>
      <c r="B211" s="154"/>
      <c r="C211" s="188"/>
      <c r="D211" s="153"/>
      <c r="E211" s="196"/>
      <c r="F211" s="155"/>
      <c r="G211" s="153"/>
      <c r="H211" s="191" t="s">
        <v>1923</v>
      </c>
      <c r="I211" s="155">
        <v>1000</v>
      </c>
    </row>
    <row r="212" spans="1:9" s="189" customFormat="1" ht="35.4" x14ac:dyDescent="0.6">
      <c r="A212" s="187"/>
      <c r="B212" s="154"/>
      <c r="C212" s="188"/>
      <c r="D212" s="153"/>
      <c r="E212" s="196"/>
      <c r="F212" s="155"/>
      <c r="G212" s="153"/>
      <c r="H212" s="191" t="s">
        <v>1924</v>
      </c>
      <c r="I212" s="155">
        <v>10100</v>
      </c>
    </row>
    <row r="213" spans="1:9" s="189" customFormat="1" ht="35.4" x14ac:dyDescent="0.6">
      <c r="A213" s="187"/>
      <c r="B213" s="154"/>
      <c r="C213" s="188"/>
      <c r="D213" s="153"/>
      <c r="E213" s="196"/>
      <c r="F213" s="155"/>
      <c r="G213" s="153"/>
      <c r="H213" s="191" t="s">
        <v>1925</v>
      </c>
      <c r="I213" s="155">
        <v>20200</v>
      </c>
    </row>
    <row r="214" spans="1:9" s="189" customFormat="1" ht="35.4" x14ac:dyDescent="0.6">
      <c r="A214" s="187"/>
      <c r="B214" s="154"/>
      <c r="C214" s="188"/>
      <c r="D214" s="153"/>
      <c r="E214" s="196"/>
      <c r="F214" s="155"/>
      <c r="G214" s="153"/>
      <c r="H214" s="191" t="s">
        <v>1926</v>
      </c>
      <c r="I214" s="155">
        <v>5050</v>
      </c>
    </row>
    <row r="215" spans="1:9" s="189" customFormat="1" ht="35.4" x14ac:dyDescent="0.6">
      <c r="A215" s="187"/>
      <c r="B215" s="154"/>
      <c r="C215" s="188"/>
      <c r="D215" s="153"/>
      <c r="E215" s="196"/>
      <c r="F215" s="155"/>
      <c r="G215" s="153"/>
      <c r="H215" s="191" t="s">
        <v>1927</v>
      </c>
      <c r="I215" s="155">
        <v>1515</v>
      </c>
    </row>
    <row r="216" spans="1:9" s="189" customFormat="1" ht="35.4" x14ac:dyDescent="0.6">
      <c r="A216" s="187"/>
      <c r="B216" s="154"/>
      <c r="C216" s="188"/>
      <c r="D216" s="153"/>
      <c r="E216" s="196"/>
      <c r="F216" s="155"/>
      <c r="G216" s="153"/>
      <c r="H216" s="191" t="s">
        <v>1928</v>
      </c>
      <c r="I216" s="155">
        <v>808000</v>
      </c>
    </row>
    <row r="217" spans="1:9" s="189" customFormat="1" ht="35.4" x14ac:dyDescent="0.6">
      <c r="A217" s="187"/>
      <c r="B217" s="154"/>
      <c r="C217" s="188"/>
      <c r="D217" s="153"/>
      <c r="E217" s="196"/>
      <c r="F217" s="155"/>
      <c r="G217" s="153">
        <v>45860</v>
      </c>
      <c r="H217" s="191" t="s">
        <v>1929</v>
      </c>
      <c r="I217" s="155">
        <v>3000</v>
      </c>
    </row>
    <row r="218" spans="1:9" s="189" customFormat="1" ht="35.4" x14ac:dyDescent="0.6">
      <c r="A218" s="187"/>
      <c r="B218" s="154"/>
      <c r="C218" s="188"/>
      <c r="D218" s="153"/>
      <c r="E218" s="196"/>
      <c r="F218" s="155"/>
      <c r="G218" s="153"/>
      <c r="H218" s="191" t="s">
        <v>1930</v>
      </c>
      <c r="I218" s="155">
        <v>2020</v>
      </c>
    </row>
    <row r="219" spans="1:9" s="189" customFormat="1" ht="35.4" x14ac:dyDescent="0.6">
      <c r="A219" s="187"/>
      <c r="B219" s="154"/>
      <c r="C219" s="188"/>
      <c r="D219" s="153"/>
      <c r="E219" s="196"/>
      <c r="F219" s="155"/>
      <c r="G219" s="153"/>
      <c r="H219" s="191" t="s">
        <v>1923</v>
      </c>
      <c r="I219" s="155">
        <v>1000</v>
      </c>
    </row>
    <row r="220" spans="1:9" s="189" customFormat="1" ht="35.4" x14ac:dyDescent="0.6">
      <c r="A220" s="187"/>
      <c r="B220" s="154"/>
      <c r="C220" s="188"/>
      <c r="D220" s="153"/>
      <c r="E220" s="196"/>
      <c r="F220" s="155"/>
      <c r="G220" s="153"/>
      <c r="H220" s="191" t="s">
        <v>1931</v>
      </c>
      <c r="I220" s="155">
        <v>292900</v>
      </c>
    </row>
    <row r="221" spans="1:9" s="189" customFormat="1" ht="35.4" x14ac:dyDescent="0.6">
      <c r="A221" s="187"/>
      <c r="B221" s="154"/>
      <c r="C221" s="188"/>
      <c r="D221" s="153"/>
      <c r="E221" s="196"/>
      <c r="F221" s="155"/>
      <c r="G221" s="153">
        <v>45861</v>
      </c>
      <c r="H221" s="191" t="s">
        <v>1932</v>
      </c>
      <c r="I221" s="155">
        <v>9500</v>
      </c>
    </row>
    <row r="222" spans="1:9" s="189" customFormat="1" ht="35.4" x14ac:dyDescent="0.6">
      <c r="A222" s="187"/>
      <c r="B222" s="154"/>
      <c r="C222" s="188"/>
      <c r="D222" s="153"/>
      <c r="E222" s="196"/>
      <c r="F222" s="155"/>
      <c r="G222" s="153"/>
      <c r="H222" s="191" t="s">
        <v>1933</v>
      </c>
      <c r="I222" s="155">
        <v>5000</v>
      </c>
    </row>
    <row r="223" spans="1:9" s="189" customFormat="1" ht="35.4" x14ac:dyDescent="0.6">
      <c r="A223" s="187"/>
      <c r="B223" s="154"/>
      <c r="C223" s="188"/>
      <c r="D223" s="153"/>
      <c r="E223" s="196"/>
      <c r="F223" s="155"/>
      <c r="G223" s="153"/>
      <c r="H223" s="191" t="s">
        <v>1934</v>
      </c>
      <c r="I223" s="155">
        <v>5000</v>
      </c>
    </row>
    <row r="224" spans="1:9" s="189" customFormat="1" ht="35.4" x14ac:dyDescent="0.6">
      <c r="A224" s="187"/>
      <c r="B224" s="154"/>
      <c r="C224" s="188"/>
      <c r="D224" s="153"/>
      <c r="E224" s="196"/>
      <c r="F224" s="155"/>
      <c r="G224" s="153"/>
      <c r="H224" s="191" t="s">
        <v>1935</v>
      </c>
      <c r="I224" s="155">
        <v>1000</v>
      </c>
    </row>
    <row r="225" spans="1:9" s="189" customFormat="1" ht="35.4" x14ac:dyDescent="0.6">
      <c r="A225" s="187"/>
      <c r="B225" s="154"/>
      <c r="C225" s="188"/>
      <c r="D225" s="153"/>
      <c r="E225" s="196"/>
      <c r="F225" s="155"/>
      <c r="G225" s="153"/>
      <c r="H225" s="191" t="s">
        <v>1446</v>
      </c>
      <c r="I225" s="155">
        <v>20200</v>
      </c>
    </row>
    <row r="226" spans="1:9" s="189" customFormat="1" ht="35.4" x14ac:dyDescent="0.6">
      <c r="A226" s="187"/>
      <c r="B226" s="154"/>
      <c r="C226" s="188"/>
      <c r="D226" s="153"/>
      <c r="E226" s="196"/>
      <c r="F226" s="155"/>
      <c r="G226" s="153"/>
      <c r="H226" s="191" t="s">
        <v>1936</v>
      </c>
      <c r="I226" s="155">
        <v>31300</v>
      </c>
    </row>
    <row r="227" spans="1:9" s="189" customFormat="1" ht="35.4" x14ac:dyDescent="0.6">
      <c r="A227" s="187"/>
      <c r="B227" s="154"/>
      <c r="C227" s="188"/>
      <c r="D227" s="153"/>
      <c r="E227" s="196"/>
      <c r="F227" s="155"/>
      <c r="G227" s="153"/>
      <c r="H227" s="191" t="s">
        <v>1937</v>
      </c>
      <c r="I227" s="155">
        <v>56560</v>
      </c>
    </row>
    <row r="228" spans="1:9" s="189" customFormat="1" ht="35.4" x14ac:dyDescent="0.6">
      <c r="A228" s="187"/>
      <c r="B228" s="154"/>
      <c r="C228" s="188"/>
      <c r="D228" s="153"/>
      <c r="E228" s="196"/>
      <c r="F228" s="155"/>
      <c r="G228" s="153"/>
      <c r="H228" s="191" t="s">
        <v>1938</v>
      </c>
      <c r="I228" s="155">
        <v>204525</v>
      </c>
    </row>
    <row r="229" spans="1:9" s="189" customFormat="1" ht="35.4" x14ac:dyDescent="0.6">
      <c r="A229" s="187"/>
      <c r="B229" s="154"/>
      <c r="C229" s="188"/>
      <c r="D229" s="153"/>
      <c r="E229" s="196"/>
      <c r="F229" s="155"/>
      <c r="G229" s="153"/>
      <c r="H229" s="191" t="s">
        <v>1939</v>
      </c>
      <c r="I229" s="155">
        <v>45450</v>
      </c>
    </row>
    <row r="230" spans="1:9" s="189" customFormat="1" ht="35.4" x14ac:dyDescent="0.6">
      <c r="A230" s="187"/>
      <c r="B230" s="154"/>
      <c r="C230" s="188"/>
      <c r="D230" s="153"/>
      <c r="E230" s="196"/>
      <c r="F230" s="155"/>
      <c r="G230" s="153"/>
      <c r="H230" s="191" t="s">
        <v>1940</v>
      </c>
      <c r="I230" s="155">
        <v>40400</v>
      </c>
    </row>
    <row r="231" spans="1:9" s="189" customFormat="1" ht="35.4" x14ac:dyDescent="0.6">
      <c r="A231" s="187"/>
      <c r="B231" s="154"/>
      <c r="C231" s="188"/>
      <c r="D231" s="153"/>
      <c r="E231" s="196"/>
      <c r="F231" s="155"/>
      <c r="G231" s="153"/>
      <c r="H231" s="191" t="s">
        <v>1941</v>
      </c>
      <c r="I231" s="155">
        <v>28280</v>
      </c>
    </row>
    <row r="232" spans="1:9" s="189" customFormat="1" ht="35.4" x14ac:dyDescent="0.6">
      <c r="A232" s="187"/>
      <c r="B232" s="154"/>
      <c r="C232" s="188"/>
      <c r="D232" s="153"/>
      <c r="E232" s="196"/>
      <c r="F232" s="155"/>
      <c r="G232" s="153">
        <v>45862</v>
      </c>
      <c r="H232" s="191" t="s">
        <v>1942</v>
      </c>
      <c r="I232" s="155">
        <v>323200</v>
      </c>
    </row>
    <row r="233" spans="1:9" s="189" customFormat="1" ht="35.4" x14ac:dyDescent="0.6">
      <c r="A233" s="187"/>
      <c r="B233" s="154"/>
      <c r="C233" s="188"/>
      <c r="D233" s="153"/>
      <c r="E233" s="196"/>
      <c r="F233" s="155"/>
      <c r="G233" s="153"/>
      <c r="H233" s="191" t="s">
        <v>1943</v>
      </c>
      <c r="I233" s="155">
        <v>50500</v>
      </c>
    </row>
    <row r="234" spans="1:9" s="189" customFormat="1" ht="35.4" x14ac:dyDescent="0.6">
      <c r="A234" s="187"/>
      <c r="B234" s="154"/>
      <c r="C234" s="188"/>
      <c r="D234" s="153"/>
      <c r="E234" s="196"/>
      <c r="F234" s="155"/>
      <c r="G234" s="153"/>
      <c r="H234" s="191" t="s">
        <v>1944</v>
      </c>
      <c r="I234" s="155">
        <v>30300</v>
      </c>
    </row>
    <row r="235" spans="1:9" s="189" customFormat="1" ht="35.4" x14ac:dyDescent="0.6">
      <c r="A235" s="187"/>
      <c r="B235" s="154"/>
      <c r="C235" s="188"/>
      <c r="D235" s="153"/>
      <c r="E235" s="196"/>
      <c r="F235" s="155"/>
      <c r="G235" s="153"/>
      <c r="H235" s="191" t="s">
        <v>1945</v>
      </c>
      <c r="I235" s="155">
        <v>1615</v>
      </c>
    </row>
    <row r="236" spans="1:9" s="189" customFormat="1" ht="35.4" x14ac:dyDescent="0.6">
      <c r="A236" s="187"/>
      <c r="B236" s="154"/>
      <c r="C236" s="188"/>
      <c r="D236" s="153"/>
      <c r="E236" s="196"/>
      <c r="F236" s="155"/>
      <c r="G236" s="153"/>
      <c r="H236" s="191" t="s">
        <v>1946</v>
      </c>
      <c r="I236" s="155">
        <v>18180</v>
      </c>
    </row>
    <row r="237" spans="1:9" s="189" customFormat="1" ht="35.4" x14ac:dyDescent="0.6">
      <c r="A237" s="187"/>
      <c r="B237" s="154"/>
      <c r="C237" s="188"/>
      <c r="D237" s="153"/>
      <c r="E237" s="196"/>
      <c r="F237" s="155"/>
      <c r="G237" s="153"/>
      <c r="H237" s="191" t="s">
        <v>1947</v>
      </c>
      <c r="I237" s="155">
        <v>90900</v>
      </c>
    </row>
    <row r="238" spans="1:9" s="189" customFormat="1" ht="35.4" x14ac:dyDescent="0.6">
      <c r="A238" s="187"/>
      <c r="B238" s="154"/>
      <c r="C238" s="188"/>
      <c r="D238" s="153"/>
      <c r="E238" s="196"/>
      <c r="F238" s="155"/>
      <c r="G238" s="153"/>
      <c r="H238" s="191" t="s">
        <v>1948</v>
      </c>
      <c r="I238" s="155">
        <v>500000</v>
      </c>
    </row>
    <row r="239" spans="1:9" s="189" customFormat="1" ht="35.4" x14ac:dyDescent="0.6">
      <c r="A239" s="187"/>
      <c r="B239" s="154"/>
      <c r="C239" s="188"/>
      <c r="D239" s="153"/>
      <c r="E239" s="196"/>
      <c r="F239" s="155"/>
      <c r="G239" s="153"/>
      <c r="H239" s="191" t="s">
        <v>1949</v>
      </c>
      <c r="I239" s="155">
        <v>500</v>
      </c>
    </row>
    <row r="240" spans="1:9" s="189" customFormat="1" ht="35.4" x14ac:dyDescent="0.6">
      <c r="A240" s="187"/>
      <c r="B240" s="154"/>
      <c r="C240" s="188"/>
      <c r="D240" s="153"/>
      <c r="E240" s="196"/>
      <c r="F240" s="155"/>
      <c r="G240" s="153"/>
      <c r="H240" s="191" t="s">
        <v>1950</v>
      </c>
      <c r="I240" s="155">
        <v>1000</v>
      </c>
    </row>
    <row r="241" spans="1:9" s="189" customFormat="1" ht="35.4" x14ac:dyDescent="0.6">
      <c r="A241" s="187"/>
      <c r="B241" s="154"/>
      <c r="C241" s="188"/>
      <c r="D241" s="153"/>
      <c r="E241" s="196"/>
      <c r="F241" s="155"/>
      <c r="G241" s="153">
        <v>45863</v>
      </c>
      <c r="H241" s="191" t="s">
        <v>1704</v>
      </c>
      <c r="I241" s="155">
        <v>2000</v>
      </c>
    </row>
    <row r="242" spans="1:9" s="189" customFormat="1" ht="35.4" x14ac:dyDescent="0.6">
      <c r="A242" s="187"/>
      <c r="B242" s="154"/>
      <c r="C242" s="188"/>
      <c r="D242" s="153"/>
      <c r="E242" s="196"/>
      <c r="F242" s="155"/>
      <c r="G242" s="153"/>
      <c r="H242" s="191" t="s">
        <v>1951</v>
      </c>
      <c r="I242" s="155">
        <v>1500</v>
      </c>
    </row>
    <row r="243" spans="1:9" s="189" customFormat="1" ht="35.4" x14ac:dyDescent="0.6">
      <c r="A243" s="187"/>
      <c r="B243" s="154"/>
      <c r="C243" s="188"/>
      <c r="D243" s="153"/>
      <c r="E243" s="196"/>
      <c r="F243" s="155"/>
      <c r="G243" s="153"/>
      <c r="H243" s="191" t="s">
        <v>1952</v>
      </c>
      <c r="I243" s="155">
        <v>1500</v>
      </c>
    </row>
    <row r="244" spans="1:9" s="189" customFormat="1" ht="35.4" x14ac:dyDescent="0.6">
      <c r="A244" s="187"/>
      <c r="B244" s="154"/>
      <c r="C244" s="188"/>
      <c r="D244" s="153"/>
      <c r="E244" s="196"/>
      <c r="F244" s="155"/>
      <c r="G244" s="153"/>
      <c r="H244" s="191" t="s">
        <v>1953</v>
      </c>
      <c r="I244" s="155">
        <v>45450</v>
      </c>
    </row>
    <row r="245" spans="1:9" s="189" customFormat="1" ht="35.4" x14ac:dyDescent="0.6">
      <c r="A245" s="187"/>
      <c r="B245" s="154"/>
      <c r="C245" s="188"/>
      <c r="D245" s="153"/>
      <c r="E245" s="196"/>
      <c r="F245" s="155"/>
      <c r="G245" s="153"/>
      <c r="H245" s="191" t="s">
        <v>1954</v>
      </c>
      <c r="I245" s="155">
        <v>1315</v>
      </c>
    </row>
    <row r="246" spans="1:9" s="189" customFormat="1" ht="35.4" x14ac:dyDescent="0.6">
      <c r="A246" s="187"/>
      <c r="B246" s="154"/>
      <c r="C246" s="188"/>
      <c r="D246" s="153"/>
      <c r="E246" s="196"/>
      <c r="F246" s="155"/>
      <c r="G246" s="153"/>
      <c r="H246" s="191" t="s">
        <v>1955</v>
      </c>
      <c r="I246" s="155">
        <v>115695</v>
      </c>
    </row>
    <row r="247" spans="1:9" s="189" customFormat="1" ht="35.4" x14ac:dyDescent="0.6">
      <c r="A247" s="187"/>
      <c r="B247" s="154"/>
      <c r="C247" s="188"/>
      <c r="D247" s="153"/>
      <c r="E247" s="196"/>
      <c r="F247" s="155"/>
      <c r="G247" s="153"/>
      <c r="H247" s="191" t="s">
        <v>1956</v>
      </c>
      <c r="I247" s="155">
        <v>196950</v>
      </c>
    </row>
    <row r="248" spans="1:9" s="189" customFormat="1" ht="35.4" x14ac:dyDescent="0.6">
      <c r="A248" s="187"/>
      <c r="B248" s="154"/>
      <c r="C248" s="188"/>
      <c r="D248" s="153"/>
      <c r="E248" s="196"/>
      <c r="F248" s="155"/>
      <c r="G248" s="153"/>
      <c r="H248" s="191" t="s">
        <v>1957</v>
      </c>
      <c r="I248" s="155">
        <v>8080</v>
      </c>
    </row>
    <row r="249" spans="1:9" s="189" customFormat="1" ht="35.4" x14ac:dyDescent="0.6">
      <c r="A249" s="187"/>
      <c r="B249" s="154"/>
      <c r="C249" s="188"/>
      <c r="D249" s="153"/>
      <c r="E249" s="196"/>
      <c r="F249" s="155"/>
      <c r="G249" s="153"/>
      <c r="H249" s="191" t="s">
        <v>1958</v>
      </c>
      <c r="I249" s="155">
        <v>40400</v>
      </c>
    </row>
    <row r="250" spans="1:9" s="189" customFormat="1" ht="35.4" x14ac:dyDescent="0.6">
      <c r="A250" s="187"/>
      <c r="B250" s="154"/>
      <c r="C250" s="188"/>
      <c r="D250" s="153"/>
      <c r="E250" s="196"/>
      <c r="F250" s="155"/>
      <c r="G250" s="153">
        <v>45864</v>
      </c>
      <c r="H250" s="191" t="s">
        <v>1959</v>
      </c>
      <c r="I250" s="155">
        <v>10100</v>
      </c>
    </row>
    <row r="251" spans="1:9" s="189" customFormat="1" ht="35.4" x14ac:dyDescent="0.6">
      <c r="A251" s="187"/>
      <c r="B251" s="154"/>
      <c r="C251" s="188"/>
      <c r="D251" s="153"/>
      <c r="E251" s="196"/>
      <c r="F251" s="155"/>
      <c r="G251" s="153"/>
      <c r="H251" s="191" t="s">
        <v>1960</v>
      </c>
      <c r="I251" s="155">
        <v>359560</v>
      </c>
    </row>
    <row r="252" spans="1:9" s="189" customFormat="1" ht="35.4" x14ac:dyDescent="0.6">
      <c r="A252" s="187"/>
      <c r="B252" s="154"/>
      <c r="C252" s="188"/>
      <c r="D252" s="153"/>
      <c r="E252" s="196"/>
      <c r="F252" s="155"/>
      <c r="G252" s="153"/>
      <c r="H252" s="191" t="s">
        <v>1446</v>
      </c>
      <c r="I252" s="155">
        <v>20200</v>
      </c>
    </row>
    <row r="253" spans="1:9" s="189" customFormat="1" ht="35.4" x14ac:dyDescent="0.6">
      <c r="A253" s="187"/>
      <c r="B253" s="154"/>
      <c r="C253" s="188"/>
      <c r="D253" s="153"/>
      <c r="E253" s="196"/>
      <c r="F253" s="155"/>
      <c r="G253" s="153">
        <v>45865</v>
      </c>
      <c r="H253" s="191" t="s">
        <v>1961</v>
      </c>
      <c r="I253" s="155">
        <v>40905</v>
      </c>
    </row>
    <row r="254" spans="1:9" s="189" customFormat="1" ht="35.4" x14ac:dyDescent="0.6">
      <c r="A254" s="187"/>
      <c r="B254" s="154"/>
      <c r="C254" s="188"/>
      <c r="D254" s="153"/>
      <c r="E254" s="196"/>
      <c r="F254" s="155"/>
      <c r="G254" s="153">
        <v>45866</v>
      </c>
      <c r="H254" s="191" t="s">
        <v>1962</v>
      </c>
      <c r="I254" s="155">
        <v>101000</v>
      </c>
    </row>
    <row r="255" spans="1:9" s="189" customFormat="1" ht="35.4" x14ac:dyDescent="0.6">
      <c r="A255" s="187"/>
      <c r="B255" s="154"/>
      <c r="C255" s="188"/>
      <c r="D255" s="153"/>
      <c r="E255" s="196"/>
      <c r="F255" s="155"/>
      <c r="G255" s="153"/>
      <c r="H255" s="191" t="s">
        <v>1963</v>
      </c>
      <c r="I255" s="155">
        <v>123220</v>
      </c>
    </row>
    <row r="256" spans="1:9" s="189" customFormat="1" ht="35.4" x14ac:dyDescent="0.6">
      <c r="A256" s="187"/>
      <c r="B256" s="154"/>
      <c r="C256" s="188"/>
      <c r="D256" s="153"/>
      <c r="E256" s="196"/>
      <c r="F256" s="155"/>
      <c r="G256" s="153"/>
      <c r="H256" s="191" t="s">
        <v>1964</v>
      </c>
      <c r="I256" s="155">
        <v>5000</v>
      </c>
    </row>
    <row r="257" spans="1:9" s="189" customFormat="1" ht="35.4" x14ac:dyDescent="0.6">
      <c r="A257" s="187"/>
      <c r="B257" s="154"/>
      <c r="C257" s="188"/>
      <c r="D257" s="153"/>
      <c r="E257" s="196"/>
      <c r="F257" s="155"/>
      <c r="G257" s="153"/>
      <c r="H257" s="191" t="s">
        <v>1965</v>
      </c>
      <c r="I257" s="155">
        <v>5050</v>
      </c>
    </row>
    <row r="258" spans="1:9" s="189" customFormat="1" ht="35.4" x14ac:dyDescent="0.6">
      <c r="A258" s="187"/>
      <c r="B258" s="154"/>
      <c r="C258" s="188"/>
      <c r="D258" s="153"/>
      <c r="E258" s="196"/>
      <c r="F258" s="155"/>
      <c r="G258" s="153"/>
      <c r="H258" s="191" t="s">
        <v>1966</v>
      </c>
      <c r="I258" s="155">
        <v>3230</v>
      </c>
    </row>
    <row r="259" spans="1:9" s="189" customFormat="1" ht="35.4" x14ac:dyDescent="0.6">
      <c r="A259" s="187"/>
      <c r="B259" s="154"/>
      <c r="C259" s="188"/>
      <c r="D259" s="153"/>
      <c r="E259" s="196"/>
      <c r="F259" s="155"/>
      <c r="G259" s="153"/>
      <c r="H259" s="191" t="s">
        <v>1967</v>
      </c>
      <c r="I259" s="155">
        <v>5050</v>
      </c>
    </row>
    <row r="260" spans="1:9" s="189" customFormat="1" ht="33.75" customHeight="1" x14ac:dyDescent="0.6">
      <c r="A260" s="187"/>
      <c r="B260" s="154"/>
      <c r="C260" s="188"/>
      <c r="D260" s="153"/>
      <c r="E260" s="196"/>
      <c r="F260" s="155"/>
      <c r="G260" s="153"/>
      <c r="H260" s="191" t="s">
        <v>1968</v>
      </c>
      <c r="I260" s="155">
        <v>10000</v>
      </c>
    </row>
    <row r="261" spans="1:9" s="189" customFormat="1" ht="33.75" customHeight="1" x14ac:dyDescent="0.6">
      <c r="A261" s="187"/>
      <c r="B261" s="154"/>
      <c r="C261" s="188"/>
      <c r="D261" s="153"/>
      <c r="E261" s="196"/>
      <c r="F261" s="155"/>
      <c r="G261" s="153">
        <v>45867</v>
      </c>
      <c r="H261" s="191" t="s">
        <v>1969</v>
      </c>
      <c r="I261" s="155">
        <v>4000</v>
      </c>
    </row>
    <row r="262" spans="1:9" s="189" customFormat="1" ht="35.4" x14ac:dyDescent="0.6">
      <c r="A262" s="187"/>
      <c r="B262" s="154"/>
      <c r="C262" s="188"/>
      <c r="D262" s="153"/>
      <c r="E262" s="196"/>
      <c r="F262" s="155"/>
      <c r="G262" s="153"/>
      <c r="H262" s="191" t="s">
        <v>1970</v>
      </c>
      <c r="I262" s="155">
        <v>16665</v>
      </c>
    </row>
    <row r="263" spans="1:9" s="189" customFormat="1" ht="35.4" x14ac:dyDescent="0.6">
      <c r="A263" s="187"/>
      <c r="B263" s="154"/>
      <c r="C263" s="188"/>
      <c r="D263" s="153"/>
      <c r="E263" s="196"/>
      <c r="F263" s="155"/>
      <c r="G263" s="153"/>
      <c r="H263" s="191" t="s">
        <v>1971</v>
      </c>
      <c r="I263" s="155">
        <v>20000</v>
      </c>
    </row>
    <row r="264" spans="1:9" s="189" customFormat="1" ht="35.4" x14ac:dyDescent="0.6">
      <c r="A264" s="187"/>
      <c r="B264" s="154"/>
      <c r="C264" s="188"/>
      <c r="D264" s="153"/>
      <c r="E264" s="196"/>
      <c r="F264" s="155"/>
      <c r="G264" s="153">
        <v>45868</v>
      </c>
      <c r="H264" s="191" t="s">
        <v>1972</v>
      </c>
      <c r="I264" s="155">
        <v>10100</v>
      </c>
    </row>
    <row r="265" spans="1:9" s="189" customFormat="1" ht="35.4" x14ac:dyDescent="0.6">
      <c r="A265" s="187"/>
      <c r="B265" s="154"/>
      <c r="C265" s="188"/>
      <c r="D265" s="153"/>
      <c r="E265" s="196"/>
      <c r="F265" s="155"/>
      <c r="G265" s="153"/>
      <c r="H265" s="191" t="s">
        <v>1973</v>
      </c>
      <c r="I265" s="155">
        <v>10100</v>
      </c>
    </row>
    <row r="266" spans="1:9" s="189" customFormat="1" ht="35.4" x14ac:dyDescent="0.6">
      <c r="A266" s="187"/>
      <c r="B266" s="154"/>
      <c r="C266" s="188"/>
      <c r="D266" s="153"/>
      <c r="E266" s="196"/>
      <c r="F266" s="155"/>
      <c r="G266" s="153"/>
      <c r="H266" s="191" t="s">
        <v>1974</v>
      </c>
      <c r="I266" s="155">
        <v>7070</v>
      </c>
    </row>
    <row r="267" spans="1:9" s="189" customFormat="1" ht="35.4" x14ac:dyDescent="0.6">
      <c r="A267" s="187"/>
      <c r="B267" s="154"/>
      <c r="C267" s="188"/>
      <c r="D267" s="153"/>
      <c r="E267" s="196"/>
      <c r="F267" s="155"/>
      <c r="G267" s="153"/>
      <c r="H267" s="191" t="s">
        <v>1923</v>
      </c>
      <c r="I267" s="155">
        <v>1000</v>
      </c>
    </row>
    <row r="268" spans="1:9" s="189" customFormat="1" ht="35.4" x14ac:dyDescent="0.6">
      <c r="A268" s="187"/>
      <c r="B268" s="154"/>
      <c r="C268" s="188"/>
      <c r="D268" s="153"/>
      <c r="E268" s="196"/>
      <c r="F268" s="155"/>
      <c r="G268" s="153"/>
      <c r="H268" s="191" t="s">
        <v>1975</v>
      </c>
      <c r="I268" s="155">
        <v>731340</v>
      </c>
    </row>
    <row r="269" spans="1:9" s="189" customFormat="1" ht="35.4" x14ac:dyDescent="0.6">
      <c r="A269" s="187"/>
      <c r="B269" s="154"/>
      <c r="C269" s="188"/>
      <c r="D269" s="153"/>
      <c r="E269" s="196"/>
      <c r="F269" s="155"/>
      <c r="G269" s="153"/>
      <c r="H269" s="191" t="s">
        <v>1976</v>
      </c>
      <c r="I269" s="155">
        <v>16160</v>
      </c>
    </row>
    <row r="270" spans="1:9" s="189" customFormat="1" ht="35.4" x14ac:dyDescent="0.6">
      <c r="A270" s="187"/>
      <c r="B270" s="154"/>
      <c r="C270" s="188"/>
      <c r="D270" s="153"/>
      <c r="E270" s="196"/>
      <c r="F270" s="155"/>
      <c r="G270" s="153"/>
      <c r="H270" s="191" t="s">
        <v>1977</v>
      </c>
      <c r="I270" s="155">
        <v>131890</v>
      </c>
    </row>
    <row r="271" spans="1:9" s="189" customFormat="1" ht="35.4" x14ac:dyDescent="0.6">
      <c r="A271" s="187"/>
      <c r="B271" s="154"/>
      <c r="C271" s="188"/>
      <c r="D271" s="153"/>
      <c r="E271" s="196"/>
      <c r="F271" s="155"/>
      <c r="G271" s="153"/>
      <c r="H271" s="191" t="s">
        <v>1978</v>
      </c>
      <c r="I271" s="155">
        <v>7575</v>
      </c>
    </row>
    <row r="272" spans="1:9" s="189" customFormat="1" ht="35.4" x14ac:dyDescent="0.6">
      <c r="A272" s="187"/>
      <c r="B272" s="154"/>
      <c r="C272" s="188"/>
      <c r="D272" s="153"/>
      <c r="E272" s="196"/>
      <c r="F272" s="155"/>
      <c r="G272" s="153"/>
      <c r="H272" s="191" t="s">
        <v>1979</v>
      </c>
      <c r="I272" s="155">
        <v>10100</v>
      </c>
    </row>
    <row r="273" spans="1:9" s="189" customFormat="1" ht="35.4" x14ac:dyDescent="0.6">
      <c r="A273" s="187"/>
      <c r="B273" s="154"/>
      <c r="C273" s="188"/>
      <c r="D273" s="153"/>
      <c r="E273" s="196"/>
      <c r="F273" s="155"/>
      <c r="G273" s="153"/>
      <c r="H273" s="191" t="s">
        <v>1980</v>
      </c>
      <c r="I273" s="155">
        <v>10100</v>
      </c>
    </row>
    <row r="274" spans="1:9" s="189" customFormat="1" ht="35.4" x14ac:dyDescent="0.6">
      <c r="A274" s="187"/>
      <c r="B274" s="154"/>
      <c r="C274" s="188"/>
      <c r="D274" s="153"/>
      <c r="E274" s="196"/>
      <c r="F274" s="155"/>
      <c r="G274" s="153"/>
      <c r="H274" s="191" t="s">
        <v>1981</v>
      </c>
      <c r="I274" s="155">
        <v>181800</v>
      </c>
    </row>
    <row r="275" spans="1:9" s="189" customFormat="1" ht="35.4" x14ac:dyDescent="0.6">
      <c r="A275" s="187"/>
      <c r="B275" s="154"/>
      <c r="C275" s="188"/>
      <c r="D275" s="217"/>
      <c r="E275" s="218"/>
      <c r="F275" s="219"/>
      <c r="G275" s="153"/>
      <c r="H275" s="191" t="s">
        <v>1510</v>
      </c>
      <c r="I275" s="155">
        <v>10100</v>
      </c>
    </row>
    <row r="276" spans="1:9" s="189" customFormat="1" ht="35.4" x14ac:dyDescent="0.6">
      <c r="A276" s="187"/>
      <c r="B276" s="154"/>
      <c r="C276" s="188"/>
      <c r="D276" s="217"/>
      <c r="E276" s="218"/>
      <c r="F276" s="219"/>
      <c r="G276" s="153"/>
      <c r="H276" s="191" t="s">
        <v>1982</v>
      </c>
      <c r="I276" s="155">
        <v>393900</v>
      </c>
    </row>
    <row r="277" spans="1:9" s="189" customFormat="1" ht="35.4" x14ac:dyDescent="0.6">
      <c r="A277" s="187"/>
      <c r="B277" s="154"/>
      <c r="C277" s="188"/>
      <c r="D277" s="150"/>
      <c r="E277" s="151"/>
      <c r="F277" s="152"/>
      <c r="G277" s="153"/>
      <c r="H277" s="191" t="s">
        <v>1983</v>
      </c>
      <c r="I277" s="155">
        <v>3500</v>
      </c>
    </row>
    <row r="278" spans="1:9" s="189" customFormat="1" ht="35.4" x14ac:dyDescent="0.6">
      <c r="A278" s="187"/>
      <c r="B278" s="154"/>
      <c r="C278" s="188"/>
      <c r="D278" s="150"/>
      <c r="E278" s="151"/>
      <c r="F278" s="152"/>
      <c r="G278" s="153"/>
      <c r="H278" s="191" t="s">
        <v>1984</v>
      </c>
      <c r="I278" s="155">
        <v>1000</v>
      </c>
    </row>
    <row r="279" spans="1:9" s="189" customFormat="1" ht="35.4" x14ac:dyDescent="0.6">
      <c r="A279" s="187"/>
      <c r="B279" s="154"/>
      <c r="C279" s="188"/>
      <c r="D279" s="150"/>
      <c r="E279" s="151"/>
      <c r="F279" s="152"/>
      <c r="G279" s="153"/>
      <c r="H279" s="191" t="s">
        <v>1985</v>
      </c>
      <c r="I279" s="155">
        <v>175135</v>
      </c>
    </row>
    <row r="280" spans="1:9" s="189" customFormat="1" ht="35.4" x14ac:dyDescent="0.6">
      <c r="A280" s="187"/>
      <c r="B280" s="154"/>
      <c r="C280" s="188"/>
      <c r="D280" s="150"/>
      <c r="E280" s="151"/>
      <c r="F280" s="152"/>
      <c r="G280" s="153">
        <v>45869</v>
      </c>
      <c r="H280" s="191" t="s">
        <v>1986</v>
      </c>
      <c r="I280" s="155">
        <v>1000</v>
      </c>
    </row>
    <row r="281" spans="1:9" s="189" customFormat="1" ht="35.4" x14ac:dyDescent="0.6">
      <c r="A281" s="187"/>
      <c r="B281" s="154"/>
      <c r="C281" s="188"/>
      <c r="D281" s="150"/>
      <c r="E281" s="151"/>
      <c r="F281" s="152"/>
      <c r="G281" s="153"/>
      <c r="H281" s="191" t="s">
        <v>1987</v>
      </c>
      <c r="I281" s="155">
        <v>360000</v>
      </c>
    </row>
    <row r="282" spans="1:9" s="189" customFormat="1" ht="35.4" x14ac:dyDescent="0.6">
      <c r="A282" s="187"/>
      <c r="B282" s="154"/>
      <c r="C282" s="188"/>
      <c r="D282" s="150"/>
      <c r="E282" s="151"/>
      <c r="F282" s="152"/>
      <c r="G282" s="153"/>
      <c r="H282" s="191" t="s">
        <v>1988</v>
      </c>
      <c r="I282" s="155">
        <v>20200</v>
      </c>
    </row>
    <row r="283" spans="1:9" s="189" customFormat="1" ht="35.4" x14ac:dyDescent="0.6">
      <c r="A283" s="187"/>
      <c r="B283" s="154"/>
      <c r="C283" s="188"/>
      <c r="D283" s="150"/>
      <c r="E283" s="151"/>
      <c r="F283" s="152"/>
      <c r="G283" s="153"/>
      <c r="H283" s="191" t="s">
        <v>1989</v>
      </c>
      <c r="I283" s="155">
        <v>70700</v>
      </c>
    </row>
    <row r="284" spans="1:9" s="189" customFormat="1" ht="35.4" x14ac:dyDescent="0.6">
      <c r="A284" s="187"/>
      <c r="B284" s="154"/>
      <c r="C284" s="188"/>
      <c r="D284" s="150"/>
      <c r="E284" s="151"/>
      <c r="F284" s="152"/>
      <c r="G284" s="153"/>
      <c r="H284" s="191" t="s">
        <v>1990</v>
      </c>
      <c r="I284" s="155">
        <v>202000</v>
      </c>
    </row>
    <row r="285" spans="1:9" s="189" customFormat="1" ht="35.4" x14ac:dyDescent="0.6">
      <c r="A285" s="147"/>
      <c r="B285" s="148"/>
      <c r="C285" s="149"/>
      <c r="D285" s="150"/>
      <c r="E285" s="151"/>
      <c r="F285" s="152"/>
      <c r="G285" s="153"/>
      <c r="H285" s="191" t="s">
        <v>1991</v>
      </c>
      <c r="I285" s="155">
        <v>6500</v>
      </c>
    </row>
    <row r="286" spans="1:9" s="189" customFormat="1" ht="35.4" x14ac:dyDescent="0.6">
      <c r="A286" s="147"/>
      <c r="B286" s="148"/>
      <c r="C286" s="149"/>
      <c r="D286" s="150"/>
      <c r="E286" s="151"/>
      <c r="F286" s="152"/>
      <c r="G286" s="153"/>
      <c r="H286" s="191" t="s">
        <v>1992</v>
      </c>
      <c r="I286" s="155">
        <v>1920</v>
      </c>
    </row>
    <row r="287" spans="1:9" s="220" customFormat="1" ht="35.4" x14ac:dyDescent="0.6">
      <c r="A287" s="147"/>
      <c r="B287" s="148"/>
      <c r="C287" s="149"/>
      <c r="D287" s="150"/>
      <c r="E287" s="151"/>
      <c r="F287" s="152"/>
      <c r="G287" s="153"/>
      <c r="H287" s="185"/>
      <c r="I287" s="155"/>
    </row>
    <row r="288" spans="1:9" s="220" customFormat="1" ht="35.4" x14ac:dyDescent="0.6">
      <c r="A288" s="147" t="s">
        <v>7</v>
      </c>
      <c r="B288" s="134"/>
      <c r="C288" s="20">
        <f>SUM(C4:C287)</f>
        <v>44301351</v>
      </c>
      <c r="D288" s="136" t="s">
        <v>7</v>
      </c>
      <c r="E288" s="139"/>
      <c r="F288" s="138">
        <f>SUM(F4:F287)</f>
        <v>19403425</v>
      </c>
      <c r="G288" s="221" t="s">
        <v>7</v>
      </c>
      <c r="I288" s="30">
        <f>SUM(I4:I287)</f>
        <v>24049646</v>
      </c>
    </row>
    <row r="289" spans="1:10" s="156" customFormat="1" ht="45.6" x14ac:dyDescent="0.6">
      <c r="A289" s="147" t="s">
        <v>13</v>
      </c>
      <c r="B289" s="135"/>
      <c r="C289" s="18">
        <f>+C288</f>
        <v>44301351</v>
      </c>
      <c r="D289" s="137"/>
      <c r="E289" s="140"/>
      <c r="F289" s="29"/>
      <c r="G289" s="69"/>
      <c r="H289" s="70" t="s">
        <v>20</v>
      </c>
      <c r="I289" s="192">
        <f>+F288+I288</f>
        <v>43453071</v>
      </c>
    </row>
    <row r="290" spans="1:10" s="156" customFormat="1" ht="45.6" x14ac:dyDescent="0.6">
      <c r="A290" s="1"/>
      <c r="B290" s="7"/>
      <c r="C290" s="93"/>
      <c r="D290" s="29"/>
      <c r="E290" s="7"/>
      <c r="F290" s="194"/>
      <c r="G290" s="66"/>
      <c r="H290" s="67" t="s">
        <v>10</v>
      </c>
      <c r="I290" s="25">
        <f>+C288-F288-I288</f>
        <v>848280</v>
      </c>
    </row>
    <row r="291" spans="1:10" s="156" customFormat="1" ht="91.8" x14ac:dyDescent="0.6">
      <c r="A291" s="1"/>
      <c r="B291" s="7"/>
      <c r="C291" s="93"/>
      <c r="D291" s="29"/>
      <c r="E291" s="7"/>
      <c r="F291" s="93"/>
      <c r="G291" s="65"/>
      <c r="H291" s="1"/>
      <c r="I291" s="40">
        <f>+C289-I289</f>
        <v>848280</v>
      </c>
    </row>
    <row r="292" spans="1:10" s="156" customFormat="1" ht="91.8" x14ac:dyDescent="0.6">
      <c r="A292" s="1"/>
      <c r="B292" s="7"/>
      <c r="C292" s="96"/>
      <c r="D292" s="7"/>
      <c r="E292" s="7"/>
      <c r="F292" s="33"/>
      <c r="G292" s="65" t="s">
        <v>22</v>
      </c>
      <c r="H292" s="65"/>
      <c r="I292" s="40">
        <f>+I290-I291</f>
        <v>0</v>
      </c>
    </row>
    <row r="293" spans="1:10" s="156" customFormat="1" ht="91.8" x14ac:dyDescent="0.6">
      <c r="A293" s="1"/>
      <c r="B293" s="7"/>
      <c r="C293" s="96"/>
      <c r="D293" s="1"/>
      <c r="E293" s="7"/>
      <c r="F293" s="93"/>
      <c r="G293" s="65"/>
      <c r="H293" s="65"/>
    </row>
    <row r="294" spans="1:10" s="156" customFormat="1" ht="61.2" x14ac:dyDescent="1.05">
      <c r="A294" s="58"/>
      <c r="B294" s="57"/>
      <c r="C294" s="97"/>
      <c r="D294" s="8"/>
      <c r="E294" s="195"/>
      <c r="F294" s="93"/>
      <c r="G294" s="52" t="s">
        <v>3</v>
      </c>
      <c r="H294" s="55">
        <f>+C289</f>
        <v>44301351</v>
      </c>
    </row>
    <row r="295" spans="1:10" s="156" customFormat="1" ht="61.2" x14ac:dyDescent="1.05">
      <c r="A295" s="1"/>
      <c r="B295" s="7"/>
      <c r="C295" s="96"/>
      <c r="D295" s="17"/>
      <c r="E295" s="40"/>
      <c r="F295" s="93"/>
      <c r="G295" s="52" t="s">
        <v>23</v>
      </c>
      <c r="H295" s="55">
        <f>+F288</f>
        <v>19403425</v>
      </c>
    </row>
    <row r="296" spans="1:10" s="156" customFormat="1" ht="61.2" x14ac:dyDescent="1.05">
      <c r="A296" s="1"/>
      <c r="B296" s="7"/>
      <c r="C296" s="96"/>
      <c r="D296" s="1"/>
      <c r="E296" s="7"/>
      <c r="F296" s="93"/>
      <c r="G296" s="52" t="s">
        <v>24</v>
      </c>
      <c r="H296" s="53">
        <f>+I288</f>
        <v>24049646</v>
      </c>
    </row>
    <row r="297" spans="1:10" s="156" customFormat="1" ht="61.2" x14ac:dyDescent="1.05">
      <c r="A297" s="1"/>
      <c r="B297" s="7"/>
      <c r="C297" s="96"/>
      <c r="D297" s="1"/>
      <c r="E297" s="7"/>
      <c r="F297" s="93"/>
      <c r="G297" s="52" t="s">
        <v>69</v>
      </c>
      <c r="H297" s="107">
        <v>0</v>
      </c>
    </row>
    <row r="298" spans="1:10" s="156" customFormat="1" ht="61.2" x14ac:dyDescent="1.05">
      <c r="A298" s="1"/>
      <c r="B298" s="7"/>
      <c r="C298" s="96"/>
      <c r="D298" s="1"/>
      <c r="E298" s="7"/>
      <c r="F298" s="93"/>
      <c r="G298" s="52" t="s">
        <v>25</v>
      </c>
      <c r="H298" s="54">
        <f>+H294-H295-H296-H297</f>
        <v>848280</v>
      </c>
    </row>
    <row r="299" spans="1:10" s="156" customFormat="1" ht="35.4" x14ac:dyDescent="0.6">
      <c r="A299" s="1"/>
      <c r="B299" s="7"/>
      <c r="C299" s="96"/>
      <c r="D299" s="1"/>
      <c r="E299" s="7"/>
      <c r="F299" s="93"/>
      <c r="G299" s="1"/>
      <c r="H299" s="1"/>
    </row>
    <row r="300" spans="1:10" s="156" customFormat="1" ht="35.4" x14ac:dyDescent="0.6">
      <c r="A300" s="1"/>
      <c r="B300" s="7"/>
      <c r="C300" s="96"/>
      <c r="D300" s="1"/>
      <c r="E300" s="7"/>
      <c r="F300" s="93"/>
      <c r="G300" s="1"/>
      <c r="H300" s="1"/>
    </row>
    <row r="301" spans="1:10" s="186" customFormat="1" ht="35.4" x14ac:dyDescent="0.6">
      <c r="A301" s="1"/>
      <c r="B301" s="7"/>
      <c r="C301" s="96"/>
      <c r="D301" s="1"/>
      <c r="E301" s="7"/>
      <c r="F301" s="93"/>
      <c r="G301" s="1"/>
      <c r="H301" s="1"/>
      <c r="I301" s="156"/>
    </row>
    <row r="302" spans="1:10" s="156" customFormat="1" ht="35.4" x14ac:dyDescent="0.6">
      <c r="A302" s="1"/>
      <c r="B302" s="7"/>
      <c r="C302" s="96"/>
      <c r="D302" s="1"/>
      <c r="E302" s="7"/>
      <c r="F302" s="93"/>
      <c r="G302" s="1"/>
      <c r="J302" s="193"/>
    </row>
    <row r="303" spans="1:10" s="156" customFormat="1" ht="35.4" x14ac:dyDescent="0.6">
      <c r="A303" s="1"/>
      <c r="B303" s="7"/>
      <c r="C303" s="96"/>
      <c r="D303" s="1"/>
      <c r="E303" s="7"/>
      <c r="F303" s="1"/>
      <c r="G303" s="1"/>
      <c r="H303" s="7"/>
    </row>
    <row r="304" spans="1:10" s="156" customFormat="1" ht="35.4" x14ac:dyDescent="0.6">
      <c r="A304" s="1"/>
      <c r="B304" s="7"/>
      <c r="C304" s="96"/>
      <c r="D304" s="1"/>
      <c r="E304" s="7"/>
      <c r="F304" s="1"/>
      <c r="G304" s="1"/>
      <c r="H304" s="7"/>
    </row>
    <row r="305" spans="1:9" s="156" customFormat="1" ht="35.4" x14ac:dyDescent="0.6">
      <c r="A305" s="7"/>
      <c r="B305" s="96"/>
      <c r="C305" s="1"/>
      <c r="D305" s="7"/>
      <c r="E305" s="93"/>
      <c r="F305" s="7"/>
      <c r="G305" s="1"/>
      <c r="H305" s="7"/>
    </row>
    <row r="306" spans="1:9" s="156" customFormat="1" ht="35.4" x14ac:dyDescent="0.6">
      <c r="A306" s="7"/>
      <c r="B306" s="96"/>
      <c r="C306" s="1"/>
      <c r="D306" s="7"/>
      <c r="E306" s="93"/>
      <c r="F306" s="7"/>
      <c r="G306" s="1"/>
      <c r="H306" s="7"/>
    </row>
    <row r="307" spans="1:9" s="156" customFormat="1" ht="35.4" x14ac:dyDescent="0.6">
      <c r="A307" s="7"/>
      <c r="B307" s="1"/>
      <c r="C307" s="7"/>
      <c r="D307" s="96"/>
      <c r="E307" s="1"/>
      <c r="F307" s="7"/>
      <c r="G307" s="7"/>
      <c r="H307" s="50"/>
      <c r="I307" s="50"/>
    </row>
    <row r="308" spans="1:9" s="156" customFormat="1" ht="35.4" x14ac:dyDescent="0.6">
      <c r="A308" s="7"/>
      <c r="B308" s="1"/>
      <c r="C308" s="7"/>
      <c r="D308" s="96"/>
      <c r="E308" s="1"/>
      <c r="F308" s="7"/>
      <c r="G308" s="7"/>
      <c r="H308" s="50"/>
      <c r="I308" s="50"/>
    </row>
    <row r="309" spans="1:9" s="156" customFormat="1" ht="35.4" x14ac:dyDescent="0.6">
      <c r="A309" s="7"/>
      <c r="B309" s="1"/>
      <c r="C309" s="7"/>
      <c r="D309" s="96"/>
      <c r="E309" s="1"/>
      <c r="F309" s="7"/>
      <c r="G309" s="93"/>
      <c r="H309" s="1"/>
      <c r="I309" s="7"/>
    </row>
    <row r="310" spans="1:9" s="156" customFormat="1" ht="35.4" x14ac:dyDescent="0.6">
      <c r="A310" s="7"/>
      <c r="B310" s="1"/>
      <c r="C310" s="7"/>
      <c r="D310" s="96"/>
      <c r="E310" s="1"/>
      <c r="F310" s="7"/>
      <c r="G310" s="93"/>
      <c r="H310" s="1"/>
      <c r="I310" s="7"/>
    </row>
    <row r="311" spans="1:9" s="156" customFormat="1" ht="35.4" x14ac:dyDescent="0.6">
      <c r="A311" s="57"/>
      <c r="B311" s="1"/>
      <c r="C311" s="7"/>
      <c r="D311" s="96"/>
      <c r="E311" s="1"/>
      <c r="F311" s="7"/>
      <c r="G311" s="93"/>
      <c r="H311" s="1"/>
      <c r="I311" s="7"/>
    </row>
    <row r="312" spans="1:9" s="156" customFormat="1" ht="35.4" x14ac:dyDescent="0.6">
      <c r="A312" s="7"/>
      <c r="B312" s="1"/>
      <c r="C312" s="7"/>
      <c r="D312" s="96"/>
      <c r="E312" s="1"/>
      <c r="F312" s="7"/>
      <c r="G312" s="93"/>
      <c r="H312" s="1"/>
      <c r="I312" s="7"/>
    </row>
    <row r="313" spans="1:9" s="156" customFormat="1" ht="35.4" x14ac:dyDescent="0.6">
      <c r="A313" s="7"/>
      <c r="B313" s="1"/>
      <c r="C313" s="7"/>
      <c r="D313" s="96"/>
      <c r="E313" s="1"/>
      <c r="F313" s="7"/>
      <c r="G313" s="93"/>
      <c r="H313" s="1"/>
      <c r="I313" s="7"/>
    </row>
    <row r="314" spans="1:9" s="156" customFormat="1" ht="35.4" x14ac:dyDescent="0.6">
      <c r="A314" s="7"/>
      <c r="B314" s="1"/>
      <c r="C314" s="7"/>
      <c r="D314" s="96"/>
      <c r="E314" s="1"/>
      <c r="F314" s="7"/>
      <c r="G314" s="93"/>
      <c r="H314" s="1"/>
      <c r="I314" s="7"/>
    </row>
    <row r="315" spans="1:9" s="156" customFormat="1" ht="35.4" x14ac:dyDescent="0.6">
      <c r="A315" s="7"/>
      <c r="B315" s="1"/>
      <c r="C315" s="7"/>
      <c r="D315" s="96"/>
      <c r="E315" s="1"/>
      <c r="F315" s="7"/>
      <c r="G315" s="93"/>
      <c r="H315" s="1"/>
      <c r="I315" s="7"/>
    </row>
    <row r="316" spans="1:9" s="156" customFormat="1" ht="35.4" x14ac:dyDescent="0.6">
      <c r="A316" s="7"/>
      <c r="B316" s="1"/>
      <c r="C316" s="7"/>
      <c r="D316" s="96"/>
      <c r="E316" s="1"/>
      <c r="F316" s="7"/>
      <c r="G316" s="93"/>
      <c r="H316" s="1"/>
      <c r="I316" s="7"/>
    </row>
    <row r="317" spans="1:9" s="156" customFormat="1" ht="35.4" x14ac:dyDescent="0.6">
      <c r="A317" s="7"/>
      <c r="B317" s="1"/>
      <c r="C317" s="7"/>
      <c r="D317" s="96"/>
      <c r="E317" s="1"/>
      <c r="F317" s="7"/>
      <c r="G317" s="93"/>
      <c r="H317" s="1"/>
      <c r="I317" s="7"/>
    </row>
    <row r="318" spans="1:9" s="156" customFormat="1" ht="35.4" x14ac:dyDescent="0.6">
      <c r="A318" s="7"/>
      <c r="B318" s="1"/>
      <c r="C318" s="7"/>
      <c r="D318" s="96"/>
      <c r="E318" s="1"/>
      <c r="F318" s="7"/>
      <c r="G318" s="93"/>
      <c r="H318" s="1"/>
      <c r="I318" s="7"/>
    </row>
    <row r="319" spans="1:9" s="156" customFormat="1" ht="35.4" x14ac:dyDescent="0.6">
      <c r="A319" s="7"/>
      <c r="B319" s="1"/>
      <c r="C319" s="7"/>
      <c r="D319" s="96"/>
      <c r="E319" s="1"/>
      <c r="F319" s="7"/>
      <c r="G319" s="93"/>
      <c r="H319" s="1"/>
      <c r="I319" s="7"/>
    </row>
    <row r="320" spans="1:9" s="156" customFormat="1" ht="35.4" x14ac:dyDescent="0.6">
      <c r="A320" s="7"/>
      <c r="B320" s="1"/>
      <c r="C320" s="7"/>
      <c r="D320" s="96"/>
      <c r="E320" s="1"/>
      <c r="F320" s="7"/>
      <c r="G320" s="93"/>
      <c r="H320" s="1"/>
      <c r="I320" s="7"/>
    </row>
    <row r="321" spans="1:13" s="156" customFormat="1" ht="35.4" x14ac:dyDescent="0.6">
      <c r="A321" s="7"/>
      <c r="B321" s="1"/>
      <c r="C321" s="7"/>
      <c r="D321" s="96"/>
      <c r="E321" s="1"/>
      <c r="F321" s="7"/>
      <c r="G321" s="93"/>
      <c r="H321" s="1"/>
      <c r="I321" s="7"/>
    </row>
    <row r="322" spans="1:13" s="156" customFormat="1" ht="35.4" x14ac:dyDescent="0.6">
      <c r="A322" s="7"/>
      <c r="B322" s="1"/>
      <c r="C322" s="7"/>
      <c r="D322" s="96"/>
      <c r="E322" s="1"/>
      <c r="F322" s="7"/>
      <c r="G322" s="93"/>
      <c r="H322" s="1"/>
      <c r="I322" s="7"/>
    </row>
    <row r="323" spans="1:13" s="156" customFormat="1" ht="35.4" x14ac:dyDescent="0.6">
      <c r="A323" s="7"/>
      <c r="B323" s="1"/>
      <c r="C323" s="7"/>
      <c r="D323" s="96"/>
      <c r="E323" s="1"/>
      <c r="F323" s="7"/>
      <c r="G323" s="93"/>
      <c r="H323" s="1"/>
      <c r="I323" s="7"/>
    </row>
    <row r="324" spans="1:13" s="50" customFormat="1" x14ac:dyDescent="0.6">
      <c r="A324" s="7"/>
      <c r="B324" s="1"/>
      <c r="C324" s="7"/>
      <c r="D324" s="96"/>
      <c r="E324" s="1"/>
      <c r="F324" s="7"/>
      <c r="G324" s="93"/>
      <c r="H324" s="1"/>
      <c r="I324" s="7"/>
    </row>
    <row r="325" spans="1:13" s="50" customFormat="1" x14ac:dyDescent="0.6">
      <c r="A325" s="7"/>
      <c r="B325" s="1"/>
      <c r="C325" s="7"/>
      <c r="D325" s="96"/>
      <c r="E325" s="1"/>
      <c r="F325" s="7"/>
      <c r="G325" s="93"/>
      <c r="H325" s="1"/>
      <c r="I325" s="7"/>
    </row>
    <row r="326" spans="1:13" s="50" customFormat="1" x14ac:dyDescent="0.6">
      <c r="A326" s="7"/>
      <c r="B326" s="1"/>
      <c r="C326" s="7"/>
      <c r="D326" s="96"/>
      <c r="E326" s="1"/>
      <c r="F326" s="7"/>
      <c r="G326" s="93"/>
      <c r="H326" s="1"/>
      <c r="I326" s="7"/>
    </row>
    <row r="327" spans="1:13" s="50" customFormat="1" x14ac:dyDescent="0.6">
      <c r="A327" s="7"/>
      <c r="B327" s="1"/>
      <c r="C327" s="7"/>
      <c r="D327" s="96"/>
      <c r="E327" s="1"/>
      <c r="F327" s="7"/>
      <c r="G327" s="93"/>
      <c r="H327" s="1"/>
      <c r="I327" s="7"/>
    </row>
    <row r="328" spans="1:13" s="50" customFormat="1" x14ac:dyDescent="0.6">
      <c r="A328" s="7"/>
      <c r="B328" s="1"/>
      <c r="C328" s="7"/>
      <c r="D328" s="96"/>
      <c r="E328" s="1"/>
      <c r="F328" s="7"/>
      <c r="G328" s="93"/>
      <c r="H328" s="1"/>
      <c r="I328" s="7"/>
    </row>
    <row r="329" spans="1:13" s="50" customFormat="1" x14ac:dyDescent="0.6">
      <c r="A329" s="7"/>
      <c r="B329" s="1"/>
      <c r="C329" s="7"/>
      <c r="D329" s="96"/>
      <c r="E329" s="1"/>
      <c r="F329" s="7"/>
      <c r="G329" s="93"/>
      <c r="H329" s="1"/>
      <c r="I329" s="7"/>
    </row>
    <row r="330" spans="1:13" s="50" customFormat="1" x14ac:dyDescent="0.6">
      <c r="A330" s="7"/>
      <c r="B330" s="1"/>
      <c r="C330" s="7"/>
      <c r="D330" s="96"/>
      <c r="E330" s="1"/>
      <c r="F330" s="7"/>
      <c r="G330" s="93"/>
      <c r="H330" s="1"/>
      <c r="I330" s="7"/>
    </row>
    <row r="331" spans="1:13" s="50" customFormat="1" x14ac:dyDescent="0.6">
      <c r="A331" s="7"/>
      <c r="B331" s="1"/>
      <c r="C331" s="7"/>
      <c r="D331" s="96"/>
      <c r="E331" s="1"/>
      <c r="F331" s="7"/>
      <c r="G331" s="93"/>
      <c r="H331" s="1"/>
      <c r="I331" s="7"/>
      <c r="K331" s="1"/>
      <c r="L331" s="1"/>
      <c r="M331" s="1"/>
    </row>
    <row r="332" spans="1:13" s="50" customFormat="1" x14ac:dyDescent="0.6">
      <c r="A332" s="7"/>
      <c r="B332" s="1"/>
      <c r="C332" s="7"/>
      <c r="D332" s="96"/>
      <c r="E332" s="1"/>
      <c r="F332" s="7"/>
      <c r="G332" s="93"/>
      <c r="H332" s="1"/>
      <c r="I332" s="7"/>
      <c r="K332" s="1"/>
      <c r="L332" s="1"/>
      <c r="M332" s="1"/>
    </row>
    <row r="333" spans="1:13" s="50" customFormat="1" x14ac:dyDescent="0.6">
      <c r="A333" s="7"/>
      <c r="B333" s="1"/>
      <c r="C333" s="7"/>
      <c r="D333" s="96"/>
      <c r="E333" s="1"/>
      <c r="F333" s="7"/>
      <c r="G333" s="93"/>
      <c r="H333" s="1"/>
      <c r="I333" s="7"/>
      <c r="K333" s="1"/>
      <c r="L333" s="1"/>
      <c r="M333" s="1"/>
    </row>
    <row r="334" spans="1:13" s="50" customFormat="1" x14ac:dyDescent="0.6">
      <c r="A334" s="7"/>
      <c r="B334" s="1"/>
      <c r="C334" s="7"/>
      <c r="D334" s="96"/>
      <c r="E334" s="1"/>
      <c r="F334" s="7"/>
      <c r="G334" s="93"/>
      <c r="H334" s="1"/>
      <c r="I334" s="7"/>
      <c r="K334" s="1"/>
      <c r="L334" s="1"/>
      <c r="M334" s="1"/>
    </row>
    <row r="335" spans="1:13" s="50" customFormat="1" x14ac:dyDescent="0.6">
      <c r="A335" s="7"/>
      <c r="B335" s="1"/>
      <c r="C335" s="7"/>
      <c r="D335" s="96"/>
      <c r="E335" s="1"/>
      <c r="F335" s="7"/>
      <c r="G335" s="93"/>
      <c r="H335" s="1"/>
      <c r="I335" s="7"/>
      <c r="K335" s="1"/>
      <c r="L335" s="1"/>
      <c r="M335" s="1"/>
    </row>
    <row r="336" spans="1:13" s="50" customFormat="1" x14ac:dyDescent="0.6">
      <c r="A336" s="7"/>
      <c r="B336" s="1"/>
      <c r="C336" s="7"/>
      <c r="D336" s="96"/>
      <c r="E336" s="1"/>
      <c r="F336" s="7"/>
      <c r="G336" s="93"/>
      <c r="H336" s="1"/>
      <c r="I336" s="7"/>
      <c r="K336" s="1"/>
      <c r="L336" s="1"/>
      <c r="M336" s="1"/>
    </row>
    <row r="337" spans="1:13" s="50" customFormat="1" x14ac:dyDescent="0.6">
      <c r="A337" s="7"/>
      <c r="B337" s="1"/>
      <c r="C337" s="7"/>
      <c r="D337" s="96"/>
      <c r="E337" s="1"/>
      <c r="F337" s="7"/>
      <c r="G337" s="93"/>
      <c r="H337" s="1"/>
      <c r="I337" s="7"/>
      <c r="K337" s="1"/>
      <c r="L337" s="1"/>
      <c r="M337" s="1"/>
    </row>
    <row r="338" spans="1:13" s="50" customFormat="1" x14ac:dyDescent="0.6">
      <c r="A338" s="7"/>
      <c r="B338" s="1"/>
      <c r="C338" s="7"/>
      <c r="D338" s="96"/>
      <c r="E338" s="1"/>
      <c r="F338" s="7"/>
      <c r="G338" s="93"/>
      <c r="H338" s="1"/>
      <c r="I338" s="7"/>
      <c r="K338" s="1"/>
      <c r="L338" s="1"/>
      <c r="M338" s="1"/>
    </row>
    <row r="339" spans="1:13" s="50" customFormat="1" x14ac:dyDescent="0.6">
      <c r="A339" s="7"/>
      <c r="B339" s="1"/>
      <c r="C339" s="7"/>
      <c r="D339" s="96"/>
      <c r="E339" s="1"/>
      <c r="F339" s="7"/>
      <c r="G339" s="93"/>
      <c r="H339" s="1"/>
      <c r="I339" s="7"/>
      <c r="K339" s="1"/>
      <c r="L339" s="1"/>
      <c r="M339" s="1"/>
    </row>
  </sheetData>
  <autoFilter ref="A3:J61" xr:uid="{C27F9055-AF1A-4DFB-ADB2-58AB89720241}">
    <sortState xmlns:xlrd2="http://schemas.microsoft.com/office/spreadsheetml/2017/richdata2" ref="A4:J4">
      <sortCondition sortBy="cellColor" ref="I3:I4" dxfId="77"/>
    </sortState>
  </autoFilter>
  <pageMargins left="0.7" right="0.7" top="0.75" bottom="0.75" header="0.3" footer="0.3"/>
  <pageSetup paperSize="9" scale="12" orientation="landscape" horizontalDpi="4294967293" r:id="rId1"/>
  <rowBreaks count="1" manualBreakCount="1">
    <brk id="203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3E23-72F8-4FD8-BD57-1B97ABB7A917}">
  <dimension ref="A1:M289"/>
  <sheetViews>
    <sheetView tabSelected="1" topLeftCell="C239" zoomScale="20" zoomScaleNormal="20" workbookViewId="0">
      <selection sqref="A1:I269"/>
    </sheetView>
  </sheetViews>
  <sheetFormatPr baseColWidth="10" defaultColWidth="11.5546875" defaultRowHeight="31.2" x14ac:dyDescent="0.6"/>
  <cols>
    <col min="1" max="1" width="46.109375" style="7" customWidth="1"/>
    <col min="2" max="2" width="146.5546875" style="1" customWidth="1"/>
    <col min="3" max="3" width="59.33203125" style="7" customWidth="1"/>
    <col min="4" max="4" width="42.109375" style="96" customWidth="1"/>
    <col min="5" max="5" width="255.5546875" style="1" customWidth="1"/>
    <col min="6" max="6" width="35.88671875" style="7" customWidth="1"/>
    <col min="7" max="7" width="68" style="270" customWidth="1"/>
    <col min="8" max="8" width="255.6640625" style="1" customWidth="1"/>
    <col min="9" max="9" width="145.109375" style="56" customWidth="1"/>
    <col min="10" max="10" width="40.5546875" style="50" customWidth="1"/>
    <col min="11" max="11" width="24.6640625" style="1" customWidth="1"/>
    <col min="12" max="12" width="11.5546875" style="1"/>
    <col min="13" max="13" width="24.33203125" style="1" customWidth="1"/>
    <col min="14" max="14" width="26.6640625" style="1" customWidth="1"/>
    <col min="15" max="16384" width="11.5546875" style="1"/>
  </cols>
  <sheetData>
    <row r="1" spans="1:10" s="17" customFormat="1" ht="61.95" customHeight="1" thickBot="1" x14ac:dyDescent="0.35">
      <c r="A1" s="108" t="s">
        <v>1993</v>
      </c>
      <c r="B1" s="109"/>
      <c r="C1" s="109"/>
      <c r="D1" s="109"/>
      <c r="E1" s="109"/>
      <c r="F1" s="109"/>
      <c r="G1" s="223"/>
      <c r="H1" s="109"/>
      <c r="I1" s="224"/>
      <c r="J1" s="47"/>
    </row>
    <row r="2" spans="1:10" s="8" customFormat="1" ht="51.6" customHeight="1" thickBot="1" x14ac:dyDescent="0.35">
      <c r="A2" s="131" t="s">
        <v>4</v>
      </c>
      <c r="B2" s="132"/>
      <c r="C2" s="113"/>
      <c r="D2" s="111" t="s">
        <v>5</v>
      </c>
      <c r="E2" s="112"/>
      <c r="F2" s="112"/>
      <c r="G2" s="112"/>
      <c r="H2" s="112"/>
      <c r="I2" s="225"/>
      <c r="J2" s="48"/>
    </row>
    <row r="3" spans="1:10" s="33" customFormat="1" ht="103.2" customHeight="1" x14ac:dyDescent="0.55000000000000004">
      <c r="A3" s="133" t="s">
        <v>0</v>
      </c>
      <c r="B3" s="177" t="s">
        <v>1</v>
      </c>
      <c r="C3" s="178" t="s">
        <v>2</v>
      </c>
      <c r="D3" s="179" t="s">
        <v>0</v>
      </c>
      <c r="E3" s="180" t="s">
        <v>8</v>
      </c>
      <c r="F3" s="180" t="s">
        <v>2</v>
      </c>
      <c r="G3" s="181" t="s">
        <v>0</v>
      </c>
      <c r="H3" s="180" t="s">
        <v>9</v>
      </c>
      <c r="I3" s="226" t="s">
        <v>2</v>
      </c>
      <c r="J3" s="49"/>
    </row>
    <row r="4" spans="1:10" s="146" customFormat="1" ht="44.25" customHeight="1" x14ac:dyDescent="1.05">
      <c r="A4" s="141"/>
      <c r="B4" s="227" t="s">
        <v>1994</v>
      </c>
      <c r="C4" s="228">
        <v>848280</v>
      </c>
      <c r="D4" s="229">
        <v>45870</v>
      </c>
      <c r="E4" s="165" t="s">
        <v>1995</v>
      </c>
      <c r="F4" s="230">
        <v>30766</v>
      </c>
      <c r="G4" s="231">
        <v>45870</v>
      </c>
      <c r="H4" s="144" t="s">
        <v>1540</v>
      </c>
      <c r="I4" s="232">
        <v>20000</v>
      </c>
      <c r="J4" s="48"/>
    </row>
    <row r="5" spans="1:10" s="189" customFormat="1" ht="61.2" x14ac:dyDescent="1.05">
      <c r="A5" s="271">
        <v>45871</v>
      </c>
      <c r="B5" s="185" t="s">
        <v>1996</v>
      </c>
      <c r="C5" s="272">
        <v>2000000</v>
      </c>
      <c r="D5" s="273">
        <v>45870</v>
      </c>
      <c r="E5" s="205" t="s">
        <v>1997</v>
      </c>
      <c r="F5" s="230">
        <v>131300</v>
      </c>
      <c r="G5" s="238">
        <v>45870</v>
      </c>
      <c r="H5" s="154" t="s">
        <v>1998</v>
      </c>
      <c r="I5" s="236">
        <v>3800</v>
      </c>
      <c r="J5" s="274"/>
    </row>
    <row r="6" spans="1:10" s="189" customFormat="1" ht="61.2" x14ac:dyDescent="1.05">
      <c r="A6" s="271">
        <v>45871</v>
      </c>
      <c r="B6" s="185" t="s">
        <v>1999</v>
      </c>
      <c r="C6" s="272">
        <v>280000</v>
      </c>
      <c r="D6" s="273">
        <v>45870</v>
      </c>
      <c r="E6" s="205" t="s">
        <v>2000</v>
      </c>
      <c r="F6" s="230">
        <v>202000</v>
      </c>
      <c r="G6" s="238">
        <v>45870</v>
      </c>
      <c r="H6" s="154" t="s">
        <v>2001</v>
      </c>
      <c r="I6" s="236">
        <v>1700</v>
      </c>
      <c r="J6" s="274"/>
    </row>
    <row r="7" spans="1:10" s="189" customFormat="1" ht="61.2" x14ac:dyDescent="1.05">
      <c r="A7" s="271">
        <v>45873</v>
      </c>
      <c r="B7" s="185" t="s">
        <v>2002</v>
      </c>
      <c r="C7" s="272">
        <v>2192320</v>
      </c>
      <c r="D7" s="273">
        <v>45871</v>
      </c>
      <c r="E7" s="205" t="s">
        <v>2003</v>
      </c>
      <c r="F7" s="230">
        <v>101000</v>
      </c>
      <c r="G7" s="238">
        <v>45870</v>
      </c>
      <c r="H7" s="154" t="s">
        <v>2004</v>
      </c>
      <c r="I7" s="236">
        <v>98945</v>
      </c>
      <c r="J7" s="275"/>
    </row>
    <row r="8" spans="1:10" s="189" customFormat="1" ht="61.2" x14ac:dyDescent="1.05">
      <c r="A8" s="271">
        <v>45873</v>
      </c>
      <c r="B8" s="185" t="s">
        <v>2005</v>
      </c>
      <c r="C8" s="272">
        <v>1427284</v>
      </c>
      <c r="D8" s="273">
        <v>45871</v>
      </c>
      <c r="E8" s="205" t="s">
        <v>2006</v>
      </c>
      <c r="F8" s="230">
        <v>50500</v>
      </c>
      <c r="G8" s="238">
        <v>45870</v>
      </c>
      <c r="H8" s="154" t="s">
        <v>2007</v>
      </c>
      <c r="I8" s="236">
        <v>1500</v>
      </c>
      <c r="J8" s="275"/>
    </row>
    <row r="9" spans="1:10" s="189" customFormat="1" ht="61.2" x14ac:dyDescent="1.05">
      <c r="A9" s="271">
        <v>45874</v>
      </c>
      <c r="B9" s="185" t="s">
        <v>2008</v>
      </c>
      <c r="C9" s="272">
        <v>6570000</v>
      </c>
      <c r="D9" s="273">
        <v>45871</v>
      </c>
      <c r="E9" s="205" t="s">
        <v>2009</v>
      </c>
      <c r="F9" s="230">
        <f>30300+212100</f>
        <v>242400</v>
      </c>
      <c r="G9" s="238">
        <v>45870</v>
      </c>
      <c r="H9" s="154" t="s">
        <v>2010</v>
      </c>
      <c r="I9" s="236">
        <v>15000</v>
      </c>
      <c r="J9" s="275"/>
    </row>
    <row r="10" spans="1:10" s="189" customFormat="1" ht="61.2" x14ac:dyDescent="1.05">
      <c r="A10" s="271">
        <v>45875</v>
      </c>
      <c r="B10" s="185" t="s">
        <v>2011</v>
      </c>
      <c r="C10" s="272">
        <v>3000000</v>
      </c>
      <c r="D10" s="273">
        <v>45873</v>
      </c>
      <c r="E10" s="205" t="s">
        <v>2012</v>
      </c>
      <c r="F10" s="230">
        <v>303000</v>
      </c>
      <c r="G10" s="238">
        <v>45870</v>
      </c>
      <c r="H10" s="154" t="s">
        <v>2013</v>
      </c>
      <c r="I10" s="236">
        <v>135645</v>
      </c>
      <c r="J10" s="275"/>
    </row>
    <row r="11" spans="1:10" s="189" customFormat="1" ht="61.2" x14ac:dyDescent="1.05">
      <c r="A11" s="271">
        <v>45879</v>
      </c>
      <c r="B11" s="185" t="s">
        <v>2014</v>
      </c>
      <c r="C11" s="272">
        <v>346000</v>
      </c>
      <c r="D11" s="241">
        <v>45873</v>
      </c>
      <c r="E11" s="276" t="s">
        <v>2015</v>
      </c>
      <c r="F11" s="202">
        <v>800000</v>
      </c>
      <c r="G11" s="238">
        <v>45870</v>
      </c>
      <c r="H11" s="154" t="s">
        <v>2016</v>
      </c>
      <c r="I11" s="236">
        <v>16160</v>
      </c>
      <c r="J11" s="275"/>
    </row>
    <row r="12" spans="1:10" s="189" customFormat="1" ht="61.2" x14ac:dyDescent="1.05">
      <c r="A12" s="271">
        <v>45880</v>
      </c>
      <c r="B12" s="185" t="s">
        <v>2017</v>
      </c>
      <c r="C12" s="272">
        <v>50000</v>
      </c>
      <c r="D12" s="241">
        <v>45873</v>
      </c>
      <c r="E12" s="276" t="s">
        <v>2018</v>
      </c>
      <c r="F12" s="202">
        <v>505000</v>
      </c>
      <c r="G12" s="238">
        <v>45870</v>
      </c>
      <c r="H12" s="154" t="s">
        <v>1704</v>
      </c>
      <c r="I12" s="236">
        <v>2000</v>
      </c>
      <c r="J12" s="275"/>
    </row>
    <row r="13" spans="1:10" s="189" customFormat="1" ht="61.2" x14ac:dyDescent="1.05">
      <c r="A13" s="271">
        <v>45880</v>
      </c>
      <c r="B13" s="185" t="s">
        <v>2019</v>
      </c>
      <c r="C13" s="272">
        <v>50000</v>
      </c>
      <c r="D13" s="241">
        <v>45873</v>
      </c>
      <c r="E13" s="196" t="s">
        <v>2020</v>
      </c>
      <c r="F13" s="155">
        <v>111100</v>
      </c>
      <c r="G13" s="238">
        <v>45871</v>
      </c>
      <c r="H13" s="154" t="s">
        <v>2021</v>
      </c>
      <c r="I13" s="236">
        <v>2800</v>
      </c>
      <c r="J13" s="275"/>
    </row>
    <row r="14" spans="1:10" s="189" customFormat="1" ht="61.2" x14ac:dyDescent="1.05">
      <c r="A14" s="271">
        <v>45880</v>
      </c>
      <c r="B14" s="185" t="s">
        <v>2022</v>
      </c>
      <c r="C14" s="272">
        <v>2000000</v>
      </c>
      <c r="D14" s="241">
        <v>45874</v>
      </c>
      <c r="E14" s="196" t="s">
        <v>2023</v>
      </c>
      <c r="F14" s="155">
        <v>150000</v>
      </c>
      <c r="G14" s="238">
        <v>45871</v>
      </c>
      <c r="H14" s="154" t="s">
        <v>2024</v>
      </c>
      <c r="I14" s="236">
        <v>3030</v>
      </c>
      <c r="J14" s="275"/>
    </row>
    <row r="15" spans="1:10" s="189" customFormat="1" ht="61.2" x14ac:dyDescent="1.05">
      <c r="A15" s="271">
        <v>45880</v>
      </c>
      <c r="B15" s="185" t="s">
        <v>2025</v>
      </c>
      <c r="C15" s="272">
        <v>1400000</v>
      </c>
      <c r="D15" s="241">
        <v>45874</v>
      </c>
      <c r="E15" s="196" t="s">
        <v>2026</v>
      </c>
      <c r="F15" s="155">
        <v>492320</v>
      </c>
      <c r="G15" s="238">
        <v>45871</v>
      </c>
      <c r="H15" s="154" t="s">
        <v>2027</v>
      </c>
      <c r="I15" s="236">
        <v>28280</v>
      </c>
      <c r="J15" s="275"/>
    </row>
    <row r="16" spans="1:10" s="189" customFormat="1" ht="61.2" x14ac:dyDescent="1.05">
      <c r="A16" s="271">
        <v>45881</v>
      </c>
      <c r="B16" s="185" t="s">
        <v>959</v>
      </c>
      <c r="C16" s="272">
        <v>1000000</v>
      </c>
      <c r="D16" s="241">
        <v>45874</v>
      </c>
      <c r="E16" s="196" t="s">
        <v>2028</v>
      </c>
      <c r="F16" s="155">
        <v>550000</v>
      </c>
      <c r="G16" s="238">
        <v>45871</v>
      </c>
      <c r="H16" s="154" t="s">
        <v>2029</v>
      </c>
      <c r="I16" s="236">
        <v>29290</v>
      </c>
      <c r="J16" s="275"/>
    </row>
    <row r="17" spans="1:10" s="189" customFormat="1" ht="61.2" x14ac:dyDescent="1.05">
      <c r="A17" s="271">
        <v>45882</v>
      </c>
      <c r="B17" s="185" t="s">
        <v>2030</v>
      </c>
      <c r="C17" s="272">
        <v>2000000</v>
      </c>
      <c r="D17" s="241">
        <v>45874</v>
      </c>
      <c r="E17" s="196" t="s">
        <v>2031</v>
      </c>
      <c r="F17" s="155">
        <v>200000</v>
      </c>
      <c r="G17" s="238">
        <v>45871</v>
      </c>
      <c r="H17" s="154" t="s">
        <v>2032</v>
      </c>
      <c r="I17" s="236">
        <v>10000</v>
      </c>
      <c r="J17" s="275"/>
    </row>
    <row r="18" spans="1:10" s="189" customFormat="1" ht="61.2" x14ac:dyDescent="1.05">
      <c r="A18" s="271">
        <v>45883</v>
      </c>
      <c r="B18" s="185" t="s">
        <v>959</v>
      </c>
      <c r="C18" s="272">
        <v>2000000</v>
      </c>
      <c r="D18" s="241">
        <v>45880</v>
      </c>
      <c r="E18" s="196" t="s">
        <v>2033</v>
      </c>
      <c r="F18" s="155">
        <v>878400</v>
      </c>
      <c r="G18" s="238">
        <v>45871</v>
      </c>
      <c r="H18" s="154" t="s">
        <v>2034</v>
      </c>
      <c r="I18" s="236">
        <v>103020</v>
      </c>
      <c r="J18" s="275"/>
    </row>
    <row r="19" spans="1:10" s="189" customFormat="1" ht="61.2" x14ac:dyDescent="1.05">
      <c r="A19" s="271">
        <v>45883</v>
      </c>
      <c r="B19" s="185" t="s">
        <v>2035</v>
      </c>
      <c r="C19" s="272">
        <v>4500000</v>
      </c>
      <c r="D19" s="241">
        <v>45880</v>
      </c>
      <c r="E19" s="196" t="s">
        <v>2036</v>
      </c>
      <c r="F19" s="155">
        <v>1010000</v>
      </c>
      <c r="G19" s="238">
        <v>45871</v>
      </c>
      <c r="H19" s="154" t="s">
        <v>2037</v>
      </c>
      <c r="I19" s="236">
        <v>212100</v>
      </c>
      <c r="J19" s="275"/>
    </row>
    <row r="20" spans="1:10" s="189" customFormat="1" ht="61.2" x14ac:dyDescent="1.05">
      <c r="A20" s="271">
        <v>45885</v>
      </c>
      <c r="B20" s="185" t="s">
        <v>2038</v>
      </c>
      <c r="C20" s="272">
        <v>1000000</v>
      </c>
      <c r="D20" s="241">
        <v>45880</v>
      </c>
      <c r="E20" s="196" t="s">
        <v>2039</v>
      </c>
      <c r="F20" s="155">
        <v>924000</v>
      </c>
      <c r="G20" s="238">
        <v>45871</v>
      </c>
      <c r="H20" s="154" t="s">
        <v>2040</v>
      </c>
      <c r="I20" s="236">
        <v>35350</v>
      </c>
      <c r="J20" s="275"/>
    </row>
    <row r="21" spans="1:10" s="189" customFormat="1" ht="61.2" x14ac:dyDescent="1.05">
      <c r="A21" s="271">
        <v>45887</v>
      </c>
      <c r="B21" s="185" t="s">
        <v>2041</v>
      </c>
      <c r="C21" s="272">
        <v>4000000</v>
      </c>
      <c r="D21" s="241">
        <v>45880</v>
      </c>
      <c r="E21" s="196" t="s">
        <v>2042</v>
      </c>
      <c r="F21" s="155">
        <v>202000</v>
      </c>
      <c r="G21" s="238">
        <v>45871</v>
      </c>
      <c r="H21" s="154" t="s">
        <v>2043</v>
      </c>
      <c r="I21" s="236">
        <v>13200</v>
      </c>
      <c r="J21" s="275"/>
    </row>
    <row r="22" spans="1:10" s="189" customFormat="1" ht="61.2" x14ac:dyDescent="1.05">
      <c r="A22" s="271">
        <v>45889</v>
      </c>
      <c r="B22" s="185" t="s">
        <v>2044</v>
      </c>
      <c r="C22" s="272">
        <v>3000000</v>
      </c>
      <c r="D22" s="241">
        <v>45881</v>
      </c>
      <c r="E22" s="196" t="s">
        <v>2045</v>
      </c>
      <c r="F22" s="155">
        <v>909000</v>
      </c>
      <c r="G22" s="238">
        <v>45873</v>
      </c>
      <c r="H22" s="154" t="s">
        <v>2046</v>
      </c>
      <c r="I22" s="236">
        <v>4500</v>
      </c>
      <c r="J22" s="275"/>
    </row>
    <row r="23" spans="1:10" s="189" customFormat="1" ht="61.2" x14ac:dyDescent="1.05">
      <c r="A23" s="271">
        <v>45889</v>
      </c>
      <c r="B23" s="185" t="s">
        <v>2047</v>
      </c>
      <c r="C23" s="272">
        <v>2123500</v>
      </c>
      <c r="D23" s="241">
        <v>45883</v>
      </c>
      <c r="E23" s="196" t="s">
        <v>2048</v>
      </c>
      <c r="F23" s="155">
        <v>1000000</v>
      </c>
      <c r="G23" s="238">
        <v>45873</v>
      </c>
      <c r="H23" s="240" t="s">
        <v>2049</v>
      </c>
      <c r="I23" s="236">
        <v>605000</v>
      </c>
      <c r="J23" s="275"/>
    </row>
    <row r="24" spans="1:10" s="189" customFormat="1" ht="61.2" x14ac:dyDescent="1.05">
      <c r="A24" s="271">
        <v>45890</v>
      </c>
      <c r="B24" s="185" t="s">
        <v>2050</v>
      </c>
      <c r="C24" s="272">
        <v>800000</v>
      </c>
      <c r="D24" s="241">
        <v>45883</v>
      </c>
      <c r="E24" s="196" t="s">
        <v>2051</v>
      </c>
      <c r="F24" s="155">
        <v>136350</v>
      </c>
      <c r="G24" s="238">
        <v>45873</v>
      </c>
      <c r="H24" s="240" t="s">
        <v>2052</v>
      </c>
      <c r="I24" s="236">
        <v>1427284</v>
      </c>
      <c r="J24" s="275"/>
    </row>
    <row r="25" spans="1:10" s="189" customFormat="1" ht="61.2" x14ac:dyDescent="1.05">
      <c r="A25" s="271">
        <v>45891</v>
      </c>
      <c r="B25" s="185" t="s">
        <v>959</v>
      </c>
      <c r="C25" s="272">
        <v>2000000</v>
      </c>
      <c r="D25" s="241">
        <v>45887</v>
      </c>
      <c r="E25" s="196" t="s">
        <v>2053</v>
      </c>
      <c r="F25" s="155">
        <v>2000000</v>
      </c>
      <c r="G25" s="238">
        <v>45873</v>
      </c>
      <c r="H25" s="240" t="s">
        <v>2054</v>
      </c>
      <c r="I25" s="236">
        <v>106050</v>
      </c>
      <c r="J25" s="275"/>
    </row>
    <row r="26" spans="1:10" s="189" customFormat="1" ht="61.2" x14ac:dyDescent="1.05">
      <c r="A26" s="271">
        <v>45891</v>
      </c>
      <c r="B26" s="185" t="s">
        <v>2055</v>
      </c>
      <c r="C26" s="272">
        <v>3739697</v>
      </c>
      <c r="D26" s="241">
        <v>45891</v>
      </c>
      <c r="E26" s="196" t="s">
        <v>2056</v>
      </c>
      <c r="F26" s="155">
        <v>400010</v>
      </c>
      <c r="G26" s="238">
        <v>45874</v>
      </c>
      <c r="H26" s="240" t="s">
        <v>2057</v>
      </c>
      <c r="I26" s="236">
        <v>31600</v>
      </c>
      <c r="J26" s="275"/>
    </row>
    <row r="27" spans="1:10" s="189" customFormat="1" ht="61.2" x14ac:dyDescent="1.05">
      <c r="A27" s="271">
        <v>45894</v>
      </c>
      <c r="B27" s="185" t="s">
        <v>959</v>
      </c>
      <c r="C27" s="272">
        <v>2500000</v>
      </c>
      <c r="D27" s="241">
        <v>45891</v>
      </c>
      <c r="E27" s="196" t="s">
        <v>2058</v>
      </c>
      <c r="F27" s="155">
        <v>707687</v>
      </c>
      <c r="G27" s="238">
        <v>45874</v>
      </c>
      <c r="H27" s="240" t="s">
        <v>2059</v>
      </c>
      <c r="I27" s="236">
        <v>75000</v>
      </c>
      <c r="J27" s="275"/>
    </row>
    <row r="28" spans="1:10" s="189" customFormat="1" ht="61.2" x14ac:dyDescent="1.05">
      <c r="A28" s="271">
        <v>45896</v>
      </c>
      <c r="B28" s="185" t="s">
        <v>2060</v>
      </c>
      <c r="C28" s="272">
        <v>2000000</v>
      </c>
      <c r="D28" s="241">
        <v>45891</v>
      </c>
      <c r="E28" s="196" t="s">
        <v>2061</v>
      </c>
      <c r="F28" s="155">
        <v>840000</v>
      </c>
      <c r="G28" s="238">
        <v>45874</v>
      </c>
      <c r="H28" s="240" t="s">
        <v>2062</v>
      </c>
      <c r="I28" s="236">
        <v>350000</v>
      </c>
      <c r="J28" s="275"/>
    </row>
    <row r="29" spans="1:10" s="189" customFormat="1" ht="61.2" x14ac:dyDescent="1.05">
      <c r="A29" s="271">
        <v>45899</v>
      </c>
      <c r="B29" s="185" t="s">
        <v>2063</v>
      </c>
      <c r="C29" s="272">
        <v>1000000</v>
      </c>
      <c r="D29" s="241">
        <v>45891</v>
      </c>
      <c r="E29" s="196" t="s">
        <v>2064</v>
      </c>
      <c r="F29" s="155">
        <v>732000</v>
      </c>
      <c r="G29" s="238">
        <v>45874</v>
      </c>
      <c r="H29" s="240" t="s">
        <v>2065</v>
      </c>
      <c r="I29" s="236">
        <v>130000</v>
      </c>
      <c r="J29" s="275"/>
    </row>
    <row r="30" spans="1:10" s="189" customFormat="1" ht="61.2" x14ac:dyDescent="1.05">
      <c r="A30" s="271">
        <v>45900</v>
      </c>
      <c r="B30" s="185" t="s">
        <v>2066</v>
      </c>
      <c r="C30" s="272">
        <v>1000000</v>
      </c>
      <c r="D30" s="241">
        <v>45892</v>
      </c>
      <c r="E30" s="196" t="s">
        <v>2067</v>
      </c>
      <c r="F30" s="155">
        <v>1060000</v>
      </c>
      <c r="G30" s="238">
        <v>45874</v>
      </c>
      <c r="H30" s="240" t="s">
        <v>2068</v>
      </c>
      <c r="I30" s="236">
        <v>151500</v>
      </c>
      <c r="J30" s="275"/>
    </row>
    <row r="31" spans="1:10" s="189" customFormat="1" ht="61.2" x14ac:dyDescent="1.05">
      <c r="A31" s="271"/>
      <c r="B31" s="185"/>
      <c r="C31" s="272"/>
      <c r="D31" s="241">
        <v>45894</v>
      </c>
      <c r="E31" s="196" t="s">
        <v>2069</v>
      </c>
      <c r="F31" s="155">
        <v>600000</v>
      </c>
      <c r="G31" s="238">
        <v>45874</v>
      </c>
      <c r="H31" s="240" t="s">
        <v>2070</v>
      </c>
      <c r="I31" s="236">
        <v>80800</v>
      </c>
      <c r="J31" s="275"/>
    </row>
    <row r="32" spans="1:10" s="189" customFormat="1" ht="61.2" x14ac:dyDescent="1.05">
      <c r="A32" s="271"/>
      <c r="B32" s="185"/>
      <c r="C32" s="272"/>
      <c r="D32" s="241">
        <v>45894</v>
      </c>
      <c r="E32" s="196" t="s">
        <v>2071</v>
      </c>
      <c r="F32" s="155">
        <v>550000</v>
      </c>
      <c r="G32" s="238">
        <v>45874</v>
      </c>
      <c r="H32" s="240" t="s">
        <v>2072</v>
      </c>
      <c r="I32" s="236">
        <v>202000</v>
      </c>
      <c r="J32" s="275"/>
    </row>
    <row r="33" spans="1:10" s="189" customFormat="1" ht="61.2" x14ac:dyDescent="1.05">
      <c r="A33" s="271"/>
      <c r="B33" s="185"/>
      <c r="C33" s="272"/>
      <c r="D33" s="241"/>
      <c r="E33" s="277"/>
      <c r="F33" s="278"/>
      <c r="G33" s="238">
        <v>45874</v>
      </c>
      <c r="H33" s="240" t="s">
        <v>2073</v>
      </c>
      <c r="I33" s="236">
        <v>252500</v>
      </c>
      <c r="J33" s="275"/>
    </row>
    <row r="34" spans="1:10" s="189" customFormat="1" ht="61.2" x14ac:dyDescent="1.05">
      <c r="A34" s="271"/>
      <c r="B34" s="185"/>
      <c r="C34" s="272"/>
      <c r="D34" s="241"/>
      <c r="E34" s="277"/>
      <c r="F34" s="278" t="s">
        <v>6</v>
      </c>
      <c r="G34" s="238">
        <v>45874</v>
      </c>
      <c r="H34" s="240" t="s">
        <v>2074</v>
      </c>
      <c r="I34" s="236">
        <v>252500</v>
      </c>
      <c r="J34" s="275"/>
    </row>
    <row r="35" spans="1:10" s="189" customFormat="1" ht="61.2" x14ac:dyDescent="1.05">
      <c r="A35" s="271"/>
      <c r="B35" s="185"/>
      <c r="C35" s="272"/>
      <c r="D35" s="241"/>
      <c r="E35" s="277"/>
      <c r="F35" s="278"/>
      <c r="G35" s="238">
        <v>45874</v>
      </c>
      <c r="H35" s="240" t="s">
        <v>2075</v>
      </c>
      <c r="I35" s="236">
        <v>202000</v>
      </c>
      <c r="J35" s="275"/>
    </row>
    <row r="36" spans="1:10" s="189" customFormat="1" ht="61.2" x14ac:dyDescent="1.05">
      <c r="A36" s="271"/>
      <c r="B36" s="185"/>
      <c r="C36" s="272"/>
      <c r="D36" s="241"/>
      <c r="E36" s="277"/>
      <c r="F36" s="278"/>
      <c r="G36" s="238">
        <v>45874</v>
      </c>
      <c r="H36" s="240" t="s">
        <v>2076</v>
      </c>
      <c r="I36" s="236">
        <v>181800</v>
      </c>
      <c r="J36" s="275"/>
    </row>
    <row r="37" spans="1:10" s="189" customFormat="1" ht="61.2" x14ac:dyDescent="1.05">
      <c r="A37" s="271"/>
      <c r="B37" s="185"/>
      <c r="C37" s="272"/>
      <c r="D37" s="241"/>
      <c r="E37" s="277"/>
      <c r="F37" s="278"/>
      <c r="G37" s="238">
        <v>45874</v>
      </c>
      <c r="H37" s="240" t="s">
        <v>2077</v>
      </c>
      <c r="I37" s="236">
        <v>151500</v>
      </c>
      <c r="J37" s="275"/>
    </row>
    <row r="38" spans="1:10" s="189" customFormat="1" ht="61.2" x14ac:dyDescent="1.05">
      <c r="A38" s="271"/>
      <c r="B38" s="185"/>
      <c r="C38" s="272"/>
      <c r="D38" s="241"/>
      <c r="E38" s="277"/>
      <c r="F38" s="278"/>
      <c r="G38" s="238">
        <v>45874</v>
      </c>
      <c r="H38" s="240" t="s">
        <v>2078</v>
      </c>
      <c r="I38" s="236">
        <v>151500</v>
      </c>
      <c r="J38" s="275"/>
    </row>
    <row r="39" spans="1:10" s="189" customFormat="1" ht="61.2" x14ac:dyDescent="1.05">
      <c r="A39" s="271"/>
      <c r="B39" s="185"/>
      <c r="C39" s="272"/>
      <c r="D39" s="241"/>
      <c r="E39" s="277"/>
      <c r="F39" s="278"/>
      <c r="G39" s="238">
        <v>45874</v>
      </c>
      <c r="H39" s="240" t="s">
        <v>2079</v>
      </c>
      <c r="I39" s="236">
        <v>202000</v>
      </c>
      <c r="J39" s="275"/>
    </row>
    <row r="40" spans="1:10" s="189" customFormat="1" ht="61.2" x14ac:dyDescent="1.05">
      <c r="A40" s="271"/>
      <c r="B40" s="185"/>
      <c r="C40" s="272"/>
      <c r="D40" s="241"/>
      <c r="E40" s="277"/>
      <c r="F40" s="278"/>
      <c r="G40" s="238">
        <v>45874</v>
      </c>
      <c r="H40" s="240" t="s">
        <v>2080</v>
      </c>
      <c r="I40" s="236">
        <v>151500</v>
      </c>
      <c r="J40" s="275"/>
    </row>
    <row r="41" spans="1:10" s="189" customFormat="1" ht="61.2" x14ac:dyDescent="1.05">
      <c r="A41" s="271"/>
      <c r="B41" s="185"/>
      <c r="C41" s="272"/>
      <c r="D41" s="241"/>
      <c r="E41" s="277"/>
      <c r="F41" s="278"/>
      <c r="G41" s="238">
        <v>45874</v>
      </c>
      <c r="H41" s="240" t="s">
        <v>2081</v>
      </c>
      <c r="I41" s="236">
        <v>74590</v>
      </c>
      <c r="J41" s="275"/>
    </row>
    <row r="42" spans="1:10" s="189" customFormat="1" ht="61.2" x14ac:dyDescent="1.05">
      <c r="A42" s="271"/>
      <c r="B42" s="185"/>
      <c r="C42" s="272"/>
      <c r="D42" s="241"/>
      <c r="E42" s="277"/>
      <c r="F42" s="278"/>
      <c r="G42" s="238">
        <v>45874</v>
      </c>
      <c r="H42" s="240" t="s">
        <v>2082</v>
      </c>
      <c r="I42" s="236">
        <v>136655</v>
      </c>
      <c r="J42" s="275"/>
    </row>
    <row r="43" spans="1:10" s="189" customFormat="1" ht="61.2" x14ac:dyDescent="1.05">
      <c r="A43" s="271"/>
      <c r="B43" s="185"/>
      <c r="C43" s="272"/>
      <c r="D43" s="241"/>
      <c r="E43" s="277"/>
      <c r="F43" s="278"/>
      <c r="G43" s="238">
        <v>45874</v>
      </c>
      <c r="H43" s="240" t="s">
        <v>2083</v>
      </c>
      <c r="I43" s="236">
        <v>202000</v>
      </c>
      <c r="J43" s="275"/>
    </row>
    <row r="44" spans="1:10" s="189" customFormat="1" ht="61.2" x14ac:dyDescent="1.05">
      <c r="A44" s="271"/>
      <c r="B44" s="185"/>
      <c r="C44" s="272"/>
      <c r="D44" s="241"/>
      <c r="E44" s="277"/>
      <c r="F44" s="278"/>
      <c r="G44" s="238">
        <v>45874</v>
      </c>
      <c r="H44" s="240" t="s">
        <v>2084</v>
      </c>
      <c r="I44" s="236">
        <v>202000</v>
      </c>
      <c r="J44" s="275"/>
    </row>
    <row r="45" spans="1:10" s="189" customFormat="1" ht="61.2" x14ac:dyDescent="1.05">
      <c r="A45" s="271"/>
      <c r="B45" s="185"/>
      <c r="C45" s="272"/>
      <c r="D45" s="241"/>
      <c r="E45" s="277"/>
      <c r="F45" s="278"/>
      <c r="G45" s="238">
        <v>45874</v>
      </c>
      <c r="H45" s="240" t="s">
        <v>2085</v>
      </c>
      <c r="I45" s="236">
        <v>252500</v>
      </c>
      <c r="J45" s="275"/>
    </row>
    <row r="46" spans="1:10" s="189" customFormat="1" ht="61.2" x14ac:dyDescent="1.05">
      <c r="A46" s="271"/>
      <c r="B46" s="185"/>
      <c r="C46" s="272"/>
      <c r="D46" s="241"/>
      <c r="E46" s="277"/>
      <c r="F46" s="278"/>
      <c r="G46" s="238">
        <v>45874</v>
      </c>
      <c r="H46" s="240" t="s">
        <v>2086</v>
      </c>
      <c r="I46" s="236">
        <v>151500</v>
      </c>
      <c r="J46" s="275"/>
    </row>
    <row r="47" spans="1:10" s="189" customFormat="1" ht="61.2" x14ac:dyDescent="1.05">
      <c r="A47" s="271"/>
      <c r="B47" s="185"/>
      <c r="C47" s="272"/>
      <c r="D47" s="241"/>
      <c r="E47" s="277"/>
      <c r="F47" s="278"/>
      <c r="G47" s="238">
        <v>45874</v>
      </c>
      <c r="H47" s="240" t="s">
        <v>2087</v>
      </c>
      <c r="I47" s="236">
        <v>151500</v>
      </c>
      <c r="J47" s="275"/>
    </row>
    <row r="48" spans="1:10" s="189" customFormat="1" ht="61.2" x14ac:dyDescent="1.05">
      <c r="A48" s="271"/>
      <c r="B48" s="185"/>
      <c r="C48" s="272"/>
      <c r="D48" s="241"/>
      <c r="E48" s="277"/>
      <c r="F48" s="278"/>
      <c r="G48" s="238">
        <v>45874</v>
      </c>
      <c r="H48" s="240" t="s">
        <v>2088</v>
      </c>
      <c r="I48" s="236">
        <v>151500</v>
      </c>
      <c r="J48" s="275"/>
    </row>
    <row r="49" spans="1:10" s="189" customFormat="1" ht="61.2" x14ac:dyDescent="1.05">
      <c r="A49" s="271"/>
      <c r="B49" s="185"/>
      <c r="C49" s="272"/>
      <c r="D49" s="241"/>
      <c r="E49" s="277"/>
      <c r="F49" s="278"/>
      <c r="G49" s="238">
        <v>45874</v>
      </c>
      <c r="H49" s="240" t="s">
        <v>2089</v>
      </c>
      <c r="I49" s="236">
        <v>46615</v>
      </c>
      <c r="J49" s="275"/>
    </row>
    <row r="50" spans="1:10" s="189" customFormat="1" ht="61.2" x14ac:dyDescent="1.05">
      <c r="A50" s="271"/>
      <c r="B50" s="185"/>
      <c r="C50" s="272"/>
      <c r="D50" s="241"/>
      <c r="E50" s="277"/>
      <c r="F50" s="278"/>
      <c r="G50" s="238">
        <v>45874</v>
      </c>
      <c r="H50" s="240" t="s">
        <v>2090</v>
      </c>
      <c r="I50" s="236">
        <v>202000</v>
      </c>
      <c r="J50" s="275"/>
    </row>
    <row r="51" spans="1:10" s="189" customFormat="1" ht="61.2" x14ac:dyDescent="1.05">
      <c r="A51" s="271"/>
      <c r="B51" s="185"/>
      <c r="C51" s="272"/>
      <c r="D51" s="241"/>
      <c r="E51" s="277"/>
      <c r="F51" s="278"/>
      <c r="G51" s="238">
        <v>45874</v>
      </c>
      <c r="H51" s="240" t="s">
        <v>2091</v>
      </c>
      <c r="I51" s="236">
        <v>151500</v>
      </c>
      <c r="J51" s="275"/>
    </row>
    <row r="52" spans="1:10" s="189" customFormat="1" ht="61.2" x14ac:dyDescent="1.05">
      <c r="A52" s="271"/>
      <c r="B52" s="185"/>
      <c r="C52" s="272"/>
      <c r="D52" s="241"/>
      <c r="E52" s="277"/>
      <c r="F52" s="278"/>
      <c r="G52" s="238">
        <v>45874</v>
      </c>
      <c r="H52" s="240" t="s">
        <v>2092</v>
      </c>
      <c r="I52" s="236">
        <v>30300</v>
      </c>
      <c r="J52" s="275"/>
    </row>
    <row r="53" spans="1:10" s="189" customFormat="1" ht="61.2" x14ac:dyDescent="1.05">
      <c r="A53" s="271"/>
      <c r="B53" s="185"/>
      <c r="C53" s="272"/>
      <c r="D53" s="241"/>
      <c r="E53" s="277"/>
      <c r="F53" s="278"/>
      <c r="G53" s="238">
        <v>45874</v>
      </c>
      <c r="H53" s="240" t="s">
        <v>2093</v>
      </c>
      <c r="I53" s="236">
        <v>12120</v>
      </c>
      <c r="J53" s="275"/>
    </row>
    <row r="54" spans="1:10" s="189" customFormat="1" ht="61.2" x14ac:dyDescent="1.05">
      <c r="A54" s="271"/>
      <c r="B54" s="185"/>
      <c r="C54" s="272"/>
      <c r="D54" s="241"/>
      <c r="E54" s="277"/>
      <c r="F54" s="278"/>
      <c r="G54" s="238">
        <v>45874</v>
      </c>
      <c r="H54" s="240" t="s">
        <v>2094</v>
      </c>
      <c r="I54" s="236">
        <v>30300</v>
      </c>
      <c r="J54" s="275"/>
    </row>
    <row r="55" spans="1:10" s="189" customFormat="1" ht="61.2" x14ac:dyDescent="1.05">
      <c r="A55" s="271"/>
      <c r="B55" s="185"/>
      <c r="C55" s="272"/>
      <c r="D55" s="241"/>
      <c r="E55" s="277"/>
      <c r="F55" s="278"/>
      <c r="G55" s="238">
        <v>45874</v>
      </c>
      <c r="H55" s="240" t="s">
        <v>2013</v>
      </c>
      <c r="I55" s="236">
        <v>304615</v>
      </c>
      <c r="J55" s="275"/>
    </row>
    <row r="56" spans="1:10" s="189" customFormat="1" ht="61.2" x14ac:dyDescent="1.05">
      <c r="A56" s="271"/>
      <c r="B56" s="185"/>
      <c r="C56" s="272"/>
      <c r="D56" s="241"/>
      <c r="E56" s="277"/>
      <c r="F56" s="278"/>
      <c r="G56" s="238">
        <v>45874</v>
      </c>
      <c r="H56" s="240" t="s">
        <v>2095</v>
      </c>
      <c r="I56" s="236">
        <v>3280</v>
      </c>
      <c r="J56" s="275"/>
    </row>
    <row r="57" spans="1:10" s="189" customFormat="1" ht="61.2" x14ac:dyDescent="1.05">
      <c r="A57" s="271"/>
      <c r="B57" s="185"/>
      <c r="C57" s="272"/>
      <c r="D57" s="241"/>
      <c r="E57" s="277"/>
      <c r="F57" s="278"/>
      <c r="G57" s="238">
        <v>45874</v>
      </c>
      <c r="H57" s="240" t="s">
        <v>2096</v>
      </c>
      <c r="I57" s="236">
        <v>1000</v>
      </c>
      <c r="J57" s="275"/>
    </row>
    <row r="58" spans="1:10" s="189" customFormat="1" ht="61.2" x14ac:dyDescent="1.05">
      <c r="A58" s="271"/>
      <c r="B58" s="185"/>
      <c r="C58" s="272"/>
      <c r="D58" s="241"/>
      <c r="E58" s="277"/>
      <c r="F58" s="278"/>
      <c r="G58" s="238">
        <v>45874</v>
      </c>
      <c r="H58" s="240" t="s">
        <v>1510</v>
      </c>
      <c r="I58" s="236">
        <v>10100</v>
      </c>
      <c r="J58" s="275"/>
    </row>
    <row r="59" spans="1:10" s="189" customFormat="1" ht="61.2" x14ac:dyDescent="1.05">
      <c r="A59" s="271"/>
      <c r="B59" s="185"/>
      <c r="C59" s="272"/>
      <c r="D59" s="241"/>
      <c r="E59" s="277"/>
      <c r="F59" s="278"/>
      <c r="G59" s="238">
        <v>45874</v>
      </c>
      <c r="H59" s="240" t="s">
        <v>2097</v>
      </c>
      <c r="I59" s="236">
        <v>30000</v>
      </c>
      <c r="J59" s="275"/>
    </row>
    <row r="60" spans="1:10" s="189" customFormat="1" ht="61.2" x14ac:dyDescent="1.05">
      <c r="A60" s="271"/>
      <c r="B60" s="185"/>
      <c r="C60" s="272"/>
      <c r="D60" s="241"/>
      <c r="E60" s="277"/>
      <c r="F60" s="278"/>
      <c r="G60" s="238">
        <v>45875</v>
      </c>
      <c r="H60" s="240" t="s">
        <v>2098</v>
      </c>
      <c r="I60" s="236">
        <v>7000</v>
      </c>
      <c r="J60" s="275"/>
    </row>
    <row r="61" spans="1:10" s="189" customFormat="1" ht="55.2" customHeight="1" x14ac:dyDescent="1.05">
      <c r="A61" s="271"/>
      <c r="B61" s="185"/>
      <c r="C61" s="272"/>
      <c r="D61" s="241"/>
      <c r="E61" s="277"/>
      <c r="F61" s="278"/>
      <c r="G61" s="238">
        <v>45875</v>
      </c>
      <c r="H61" s="240" t="s">
        <v>2099</v>
      </c>
      <c r="I61" s="236">
        <v>101000</v>
      </c>
      <c r="J61" s="275"/>
    </row>
    <row r="62" spans="1:10" s="189" customFormat="1" ht="47.4" customHeight="1" x14ac:dyDescent="1.05">
      <c r="A62" s="271"/>
      <c r="B62" s="185"/>
      <c r="C62" s="272"/>
      <c r="D62" s="241"/>
      <c r="E62" s="277"/>
      <c r="F62" s="278"/>
      <c r="G62" s="238">
        <v>45875</v>
      </c>
      <c r="H62" s="240" t="s">
        <v>2100</v>
      </c>
      <c r="I62" s="236">
        <v>3535</v>
      </c>
      <c r="J62" s="275"/>
    </row>
    <row r="63" spans="1:10" s="189" customFormat="1" ht="54.6" customHeight="1" x14ac:dyDescent="1.05">
      <c r="A63" s="271"/>
      <c r="B63" s="185"/>
      <c r="C63" s="272"/>
      <c r="D63" s="241"/>
      <c r="E63" s="277"/>
      <c r="F63" s="278"/>
      <c r="G63" s="238">
        <v>45875</v>
      </c>
      <c r="H63" s="240" t="s">
        <v>2101</v>
      </c>
      <c r="I63" s="236">
        <v>121200</v>
      </c>
      <c r="J63" s="275"/>
    </row>
    <row r="64" spans="1:10" s="189" customFormat="1" ht="52.8" customHeight="1" x14ac:dyDescent="1.05">
      <c r="A64" s="271"/>
      <c r="B64" s="185"/>
      <c r="C64" s="272"/>
      <c r="D64" s="241"/>
      <c r="E64" s="277"/>
      <c r="F64" s="278"/>
      <c r="G64" s="238">
        <v>45875</v>
      </c>
      <c r="H64" s="240" t="s">
        <v>2102</v>
      </c>
      <c r="I64" s="236">
        <v>101000</v>
      </c>
      <c r="J64" s="275"/>
    </row>
    <row r="65" spans="1:10" s="189" customFormat="1" ht="54.6" customHeight="1" x14ac:dyDescent="1.05">
      <c r="A65" s="271"/>
      <c r="B65" s="185"/>
      <c r="C65" s="272"/>
      <c r="D65" s="241"/>
      <c r="E65" s="277"/>
      <c r="F65" s="278"/>
      <c r="G65" s="238">
        <v>45875</v>
      </c>
      <c r="H65" s="240" t="s">
        <v>2103</v>
      </c>
      <c r="I65" s="236">
        <v>202000</v>
      </c>
      <c r="J65" s="275"/>
    </row>
    <row r="66" spans="1:10" s="189" customFormat="1" ht="61.2" x14ac:dyDescent="1.05">
      <c r="A66" s="271"/>
      <c r="B66" s="185"/>
      <c r="C66" s="272"/>
      <c r="D66" s="241"/>
      <c r="E66" s="277"/>
      <c r="F66" s="278"/>
      <c r="G66" s="238">
        <v>45875</v>
      </c>
      <c r="H66" s="240" t="s">
        <v>2104</v>
      </c>
      <c r="I66" s="236">
        <v>151500</v>
      </c>
      <c r="J66" s="275"/>
    </row>
    <row r="67" spans="1:10" s="189" customFormat="1" ht="61.2" x14ac:dyDescent="1.05">
      <c r="A67" s="271"/>
      <c r="B67" s="185"/>
      <c r="C67" s="272"/>
      <c r="D67" s="241"/>
      <c r="E67" s="277"/>
      <c r="F67" s="278"/>
      <c r="G67" s="238">
        <v>45875</v>
      </c>
      <c r="H67" s="240" t="s">
        <v>2105</v>
      </c>
      <c r="I67" s="236">
        <v>151500</v>
      </c>
      <c r="J67" s="275"/>
    </row>
    <row r="68" spans="1:10" s="189" customFormat="1" ht="61.2" x14ac:dyDescent="1.05">
      <c r="A68" s="271"/>
      <c r="B68" s="185"/>
      <c r="C68" s="272"/>
      <c r="D68" s="241"/>
      <c r="E68" s="277"/>
      <c r="F68" s="278"/>
      <c r="G68" s="238">
        <v>45875</v>
      </c>
      <c r="H68" s="240" t="s">
        <v>2106</v>
      </c>
      <c r="I68" s="236">
        <v>121200</v>
      </c>
      <c r="J68" s="275"/>
    </row>
    <row r="69" spans="1:10" s="189" customFormat="1" ht="61.2" x14ac:dyDescent="1.05">
      <c r="A69" s="271"/>
      <c r="B69" s="185"/>
      <c r="C69" s="272"/>
      <c r="D69" s="241"/>
      <c r="E69" s="277"/>
      <c r="F69" s="278"/>
      <c r="G69" s="238">
        <v>45875</v>
      </c>
      <c r="H69" s="240" t="s">
        <v>2107</v>
      </c>
      <c r="I69" s="236">
        <v>52695</v>
      </c>
      <c r="J69" s="275"/>
    </row>
    <row r="70" spans="1:10" s="189" customFormat="1" ht="61.2" x14ac:dyDescent="1.05">
      <c r="A70" s="271"/>
      <c r="B70" s="185"/>
      <c r="C70" s="272"/>
      <c r="D70" s="241"/>
      <c r="E70" s="277"/>
      <c r="F70" s="278"/>
      <c r="G70" s="238">
        <v>45875</v>
      </c>
      <c r="H70" s="240" t="s">
        <v>2108</v>
      </c>
      <c r="I70" s="236">
        <v>151500</v>
      </c>
      <c r="J70" s="275"/>
    </row>
    <row r="71" spans="1:10" s="189" customFormat="1" ht="61.2" x14ac:dyDescent="1.05">
      <c r="A71" s="271"/>
      <c r="B71" s="185"/>
      <c r="C71" s="272"/>
      <c r="D71" s="241"/>
      <c r="E71" s="277"/>
      <c r="F71" s="278"/>
      <c r="G71" s="238">
        <v>45875</v>
      </c>
      <c r="H71" s="240" t="s">
        <v>2109</v>
      </c>
      <c r="I71" s="236">
        <v>10000</v>
      </c>
      <c r="J71" s="275"/>
    </row>
    <row r="72" spans="1:10" s="189" customFormat="1" ht="61.2" x14ac:dyDescent="1.05">
      <c r="A72" s="271"/>
      <c r="B72" s="185"/>
      <c r="C72" s="272"/>
      <c r="D72" s="241"/>
      <c r="E72" s="277"/>
      <c r="F72" s="278"/>
      <c r="G72" s="238">
        <v>45875</v>
      </c>
      <c r="H72" s="240" t="s">
        <v>2110</v>
      </c>
      <c r="I72" s="236">
        <v>2000</v>
      </c>
      <c r="J72" s="275"/>
    </row>
    <row r="73" spans="1:10" s="189" customFormat="1" ht="61.2" x14ac:dyDescent="1.05">
      <c r="A73" s="271"/>
      <c r="B73" s="185"/>
      <c r="C73" s="272"/>
      <c r="D73" s="241"/>
      <c r="E73" s="277"/>
      <c r="F73" s="278"/>
      <c r="G73" s="238">
        <v>45875</v>
      </c>
      <c r="H73" s="240" t="s">
        <v>2111</v>
      </c>
      <c r="I73" s="236">
        <v>3000</v>
      </c>
      <c r="J73" s="275"/>
    </row>
    <row r="74" spans="1:10" s="189" customFormat="1" ht="61.2" x14ac:dyDescent="1.05">
      <c r="A74" s="271"/>
      <c r="B74" s="185"/>
      <c r="C74" s="272"/>
      <c r="D74" s="241"/>
      <c r="E74" s="277"/>
      <c r="F74" s="278"/>
      <c r="G74" s="238">
        <v>45875</v>
      </c>
      <c r="H74" s="240" t="s">
        <v>2112</v>
      </c>
      <c r="I74" s="236">
        <v>1820</v>
      </c>
      <c r="J74" s="275"/>
    </row>
    <row r="75" spans="1:10" s="189" customFormat="1" ht="61.2" x14ac:dyDescent="1.05">
      <c r="A75" s="271"/>
      <c r="B75" s="185"/>
      <c r="C75" s="272"/>
      <c r="D75" s="241"/>
      <c r="E75" s="277"/>
      <c r="F75" s="278"/>
      <c r="G75" s="238">
        <v>45875</v>
      </c>
      <c r="H75" s="240" t="s">
        <v>2113</v>
      </c>
      <c r="I75" s="236">
        <v>1000</v>
      </c>
      <c r="J75" s="275"/>
    </row>
    <row r="76" spans="1:10" s="189" customFormat="1" ht="61.2" x14ac:dyDescent="1.05">
      <c r="A76" s="271"/>
      <c r="B76" s="185"/>
      <c r="C76" s="272"/>
      <c r="D76" s="241"/>
      <c r="E76" s="277"/>
      <c r="F76" s="278"/>
      <c r="G76" s="238">
        <v>45876</v>
      </c>
      <c r="H76" s="240" t="s">
        <v>2114</v>
      </c>
      <c r="I76" s="236">
        <v>353500</v>
      </c>
      <c r="J76" s="275"/>
    </row>
    <row r="77" spans="1:10" s="189" customFormat="1" ht="61.2" x14ac:dyDescent="1.05">
      <c r="A77" s="271"/>
      <c r="B77" s="185"/>
      <c r="C77" s="272"/>
      <c r="D77" s="241"/>
      <c r="E77" s="277"/>
      <c r="F77" s="278"/>
      <c r="G77" s="238">
        <v>45877</v>
      </c>
      <c r="H77" s="240" t="s">
        <v>2115</v>
      </c>
      <c r="I77" s="236">
        <v>1355500</v>
      </c>
      <c r="J77" s="275"/>
    </row>
    <row r="78" spans="1:10" s="189" customFormat="1" ht="61.2" x14ac:dyDescent="1.05">
      <c r="A78" s="271"/>
      <c r="B78" s="185"/>
      <c r="C78" s="272"/>
      <c r="D78" s="241"/>
      <c r="E78" s="277"/>
      <c r="F78" s="278"/>
      <c r="G78" s="238">
        <v>45877</v>
      </c>
      <c r="H78" s="240" t="s">
        <v>2116</v>
      </c>
      <c r="I78" s="236">
        <v>4000</v>
      </c>
      <c r="J78" s="275"/>
    </row>
    <row r="79" spans="1:10" s="189" customFormat="1" ht="61.2" x14ac:dyDescent="1.05">
      <c r="A79" s="271"/>
      <c r="B79" s="185"/>
      <c r="C79" s="272"/>
      <c r="D79" s="241"/>
      <c r="E79" s="277"/>
      <c r="F79" s="278"/>
      <c r="G79" s="238">
        <v>45877</v>
      </c>
      <c r="H79" s="240" t="s">
        <v>2117</v>
      </c>
      <c r="I79" s="236">
        <v>15655</v>
      </c>
      <c r="J79" s="275"/>
    </row>
    <row r="80" spans="1:10" s="189" customFormat="1" ht="61.2" x14ac:dyDescent="1.05">
      <c r="A80" s="271"/>
      <c r="B80" s="185"/>
      <c r="C80" s="272"/>
      <c r="D80" s="241"/>
      <c r="E80" s="277"/>
      <c r="F80" s="278"/>
      <c r="G80" s="238">
        <v>45877</v>
      </c>
      <c r="H80" s="240" t="s">
        <v>2118</v>
      </c>
      <c r="I80" s="236">
        <v>3700</v>
      </c>
      <c r="J80" s="275"/>
    </row>
    <row r="81" spans="1:10" s="189" customFormat="1" ht="61.2" x14ac:dyDescent="1.05">
      <c r="A81" s="271"/>
      <c r="B81" s="185"/>
      <c r="C81" s="272"/>
      <c r="D81" s="241"/>
      <c r="E81" s="277"/>
      <c r="F81" s="278"/>
      <c r="G81" s="238">
        <v>45877</v>
      </c>
      <c r="H81" s="240" t="s">
        <v>2119</v>
      </c>
      <c r="I81" s="236">
        <v>193000</v>
      </c>
      <c r="J81" s="275"/>
    </row>
    <row r="82" spans="1:10" s="189" customFormat="1" ht="61.2" x14ac:dyDescent="1.05">
      <c r="A82" s="271"/>
      <c r="B82" s="185"/>
      <c r="C82" s="272"/>
      <c r="D82" s="241"/>
      <c r="E82" s="277"/>
      <c r="F82" s="278"/>
      <c r="G82" s="238">
        <v>45877</v>
      </c>
      <c r="H82" s="240" t="s">
        <v>2120</v>
      </c>
      <c r="I82" s="236">
        <v>1500</v>
      </c>
      <c r="J82" s="275"/>
    </row>
    <row r="83" spans="1:10" s="189" customFormat="1" ht="61.2" x14ac:dyDescent="1.05">
      <c r="A83" s="271"/>
      <c r="B83" s="185"/>
      <c r="C83" s="272"/>
      <c r="D83" s="241"/>
      <c r="E83" s="277"/>
      <c r="F83" s="278"/>
      <c r="G83" s="238">
        <v>45877</v>
      </c>
      <c r="H83" s="240" t="s">
        <v>2121</v>
      </c>
      <c r="I83" s="236">
        <f>202000+101000+202000+50000</f>
        <v>555000</v>
      </c>
      <c r="J83" s="275"/>
    </row>
    <row r="84" spans="1:10" s="189" customFormat="1" ht="61.2" x14ac:dyDescent="1.05">
      <c r="A84" s="271"/>
      <c r="B84" s="185"/>
      <c r="C84" s="272"/>
      <c r="D84" s="241"/>
      <c r="E84" s="277"/>
      <c r="F84" s="278"/>
      <c r="G84" s="238">
        <v>45877</v>
      </c>
      <c r="H84" s="240" t="s">
        <v>2122</v>
      </c>
      <c r="I84" s="236">
        <v>1000</v>
      </c>
      <c r="J84" s="275"/>
    </row>
    <row r="85" spans="1:10" s="189" customFormat="1" ht="61.2" x14ac:dyDescent="1.05">
      <c r="A85" s="271"/>
      <c r="B85" s="185"/>
      <c r="C85" s="272"/>
      <c r="D85" s="241"/>
      <c r="E85" s="277"/>
      <c r="F85" s="278"/>
      <c r="G85" s="238">
        <v>45877</v>
      </c>
      <c r="H85" s="240" t="s">
        <v>2123</v>
      </c>
      <c r="I85" s="236">
        <v>10000</v>
      </c>
      <c r="J85" s="275"/>
    </row>
    <row r="86" spans="1:10" s="189" customFormat="1" ht="61.2" x14ac:dyDescent="1.05">
      <c r="A86" s="271"/>
      <c r="B86" s="185"/>
      <c r="C86" s="272"/>
      <c r="D86" s="241"/>
      <c r="E86" s="277"/>
      <c r="F86" s="278"/>
      <c r="G86" s="238">
        <v>45877</v>
      </c>
      <c r="H86" s="240" t="s">
        <v>2124</v>
      </c>
      <c r="I86" s="236">
        <v>105000</v>
      </c>
      <c r="J86" s="275"/>
    </row>
    <row r="87" spans="1:10" s="189" customFormat="1" ht="61.2" x14ac:dyDescent="1.05">
      <c r="A87" s="271"/>
      <c r="B87" s="185"/>
      <c r="C87" s="272"/>
      <c r="D87" s="241"/>
      <c r="E87" s="277"/>
      <c r="F87" s="278"/>
      <c r="G87" s="238">
        <v>45877</v>
      </c>
      <c r="H87" s="240" t="s">
        <v>2125</v>
      </c>
      <c r="I87" s="236">
        <v>3000</v>
      </c>
      <c r="J87" s="275"/>
    </row>
    <row r="88" spans="1:10" s="189" customFormat="1" ht="61.2" x14ac:dyDescent="1.05">
      <c r="A88" s="271"/>
      <c r="B88" s="185"/>
      <c r="C88" s="272"/>
      <c r="D88" s="241"/>
      <c r="E88" s="277"/>
      <c r="F88" s="278"/>
      <c r="G88" s="238">
        <v>45877</v>
      </c>
      <c r="H88" s="240" t="s">
        <v>2126</v>
      </c>
      <c r="I88" s="236">
        <v>4000</v>
      </c>
      <c r="J88" s="275"/>
    </row>
    <row r="89" spans="1:10" s="189" customFormat="1" ht="61.2" x14ac:dyDescent="1.05">
      <c r="A89" s="271"/>
      <c r="B89" s="185"/>
      <c r="C89" s="272"/>
      <c r="D89" s="241"/>
      <c r="E89" s="277"/>
      <c r="F89" s="278"/>
      <c r="G89" s="238">
        <v>45877</v>
      </c>
      <c r="H89" s="240" t="s">
        <v>2127</v>
      </c>
      <c r="I89" s="236">
        <v>25000</v>
      </c>
      <c r="J89" s="275"/>
    </row>
    <row r="90" spans="1:10" s="189" customFormat="1" ht="61.2" x14ac:dyDescent="1.05">
      <c r="A90" s="271"/>
      <c r="B90" s="185"/>
      <c r="C90" s="272"/>
      <c r="D90" s="241"/>
      <c r="E90" s="277"/>
      <c r="F90" s="278"/>
      <c r="G90" s="238">
        <v>45878</v>
      </c>
      <c r="H90" s="240" t="s">
        <v>2128</v>
      </c>
      <c r="I90" s="236">
        <v>2000</v>
      </c>
      <c r="J90" s="275"/>
    </row>
    <row r="91" spans="1:10" s="189" customFormat="1" ht="61.2" x14ac:dyDescent="1.05">
      <c r="A91" s="271"/>
      <c r="B91" s="185"/>
      <c r="C91" s="272"/>
      <c r="D91" s="241"/>
      <c r="E91" s="277"/>
      <c r="F91" s="278"/>
      <c r="G91" s="238">
        <v>45878</v>
      </c>
      <c r="H91" s="240" t="s">
        <v>2129</v>
      </c>
      <c r="I91" s="236">
        <f>35350+25250</f>
        <v>60600</v>
      </c>
      <c r="J91" s="275"/>
    </row>
    <row r="92" spans="1:10" s="189" customFormat="1" ht="61.2" x14ac:dyDescent="1.05">
      <c r="A92" s="271"/>
      <c r="B92" s="185"/>
      <c r="C92" s="272"/>
      <c r="D92" s="241"/>
      <c r="E92" s="277"/>
      <c r="F92" s="278"/>
      <c r="G92" s="238">
        <v>45878</v>
      </c>
      <c r="H92" s="240" t="s">
        <v>2130</v>
      </c>
      <c r="I92" s="236">
        <v>114130</v>
      </c>
      <c r="J92" s="275"/>
    </row>
    <row r="93" spans="1:10" s="189" customFormat="1" ht="61.2" x14ac:dyDescent="1.05">
      <c r="A93" s="271"/>
      <c r="B93" s="185"/>
      <c r="C93" s="272"/>
      <c r="D93" s="241"/>
      <c r="E93" s="277"/>
      <c r="F93" s="278"/>
      <c r="G93" s="238">
        <v>45878</v>
      </c>
      <c r="H93" s="240" t="s">
        <v>2131</v>
      </c>
      <c r="I93" s="236">
        <v>1100</v>
      </c>
      <c r="J93" s="275"/>
    </row>
    <row r="94" spans="1:10" s="189" customFormat="1" ht="61.2" x14ac:dyDescent="1.05">
      <c r="A94" s="271"/>
      <c r="B94" s="185"/>
      <c r="C94" s="272"/>
      <c r="D94" s="241"/>
      <c r="E94" s="277"/>
      <c r="F94" s="278"/>
      <c r="G94" s="238">
        <v>45879</v>
      </c>
      <c r="H94" s="240" t="s">
        <v>2132</v>
      </c>
      <c r="I94" s="236">
        <v>346000</v>
      </c>
      <c r="J94" s="275"/>
    </row>
    <row r="95" spans="1:10" s="189" customFormat="1" ht="61.2" x14ac:dyDescent="1.05">
      <c r="A95" s="271"/>
      <c r="B95" s="185"/>
      <c r="C95" s="272"/>
      <c r="D95" s="241"/>
      <c r="E95" s="277"/>
      <c r="F95" s="278"/>
      <c r="G95" s="238">
        <v>45880</v>
      </c>
      <c r="H95" s="240" t="s">
        <v>2133</v>
      </c>
      <c r="I95" s="236">
        <v>1110</v>
      </c>
      <c r="J95" s="275"/>
    </row>
    <row r="96" spans="1:10" s="189" customFormat="1" ht="61.2" x14ac:dyDescent="1.05">
      <c r="A96" s="271"/>
      <c r="B96" s="185"/>
      <c r="C96" s="272"/>
      <c r="D96" s="241"/>
      <c r="E96" s="277"/>
      <c r="F96" s="278"/>
      <c r="G96" s="238">
        <v>45880</v>
      </c>
      <c r="H96" s="240" t="s">
        <v>2134</v>
      </c>
      <c r="I96" s="236">
        <v>7880</v>
      </c>
      <c r="J96" s="275"/>
    </row>
    <row r="97" spans="1:10" s="189" customFormat="1" ht="61.2" x14ac:dyDescent="1.05">
      <c r="A97" s="271"/>
      <c r="B97" s="185"/>
      <c r="C97" s="272"/>
      <c r="D97" s="241"/>
      <c r="E97" s="277"/>
      <c r="F97" s="278"/>
      <c r="G97" s="238">
        <v>45880</v>
      </c>
      <c r="H97" s="240" t="s">
        <v>2135</v>
      </c>
      <c r="I97" s="236">
        <v>1500</v>
      </c>
      <c r="J97" s="275"/>
    </row>
    <row r="98" spans="1:10" s="189" customFormat="1" ht="61.2" x14ac:dyDescent="1.05">
      <c r="A98" s="271"/>
      <c r="B98" s="185"/>
      <c r="C98" s="272"/>
      <c r="D98" s="241"/>
      <c r="E98" s="277"/>
      <c r="F98" s="278"/>
      <c r="G98" s="238">
        <v>45880</v>
      </c>
      <c r="H98" s="240" t="s">
        <v>1540</v>
      </c>
      <c r="I98" s="236">
        <v>20000</v>
      </c>
      <c r="J98" s="275"/>
    </row>
    <row r="99" spans="1:10" s="189" customFormat="1" ht="61.2" x14ac:dyDescent="1.05">
      <c r="A99" s="271"/>
      <c r="B99" s="185"/>
      <c r="C99" s="272"/>
      <c r="D99" s="241"/>
      <c r="E99" s="277"/>
      <c r="F99" s="278"/>
      <c r="G99" s="238">
        <v>45880</v>
      </c>
      <c r="H99" s="240" t="s">
        <v>2136</v>
      </c>
      <c r="I99" s="236">
        <v>28000</v>
      </c>
      <c r="J99" s="275"/>
    </row>
    <row r="100" spans="1:10" s="189" customFormat="1" ht="61.2" x14ac:dyDescent="1.05">
      <c r="A100" s="271"/>
      <c r="B100" s="185"/>
      <c r="C100" s="272"/>
      <c r="D100" s="241"/>
      <c r="E100" s="277"/>
      <c r="F100" s="278"/>
      <c r="G100" s="238">
        <v>45880</v>
      </c>
      <c r="H100" s="240" t="s">
        <v>2137</v>
      </c>
      <c r="I100" s="236">
        <v>1000</v>
      </c>
      <c r="J100" s="275"/>
    </row>
    <row r="101" spans="1:10" s="189" customFormat="1" ht="61.2" x14ac:dyDescent="1.05">
      <c r="A101" s="271"/>
      <c r="B101" s="185"/>
      <c r="C101" s="272"/>
      <c r="D101" s="241"/>
      <c r="E101" s="277"/>
      <c r="F101" s="278"/>
      <c r="G101" s="238">
        <v>45880</v>
      </c>
      <c r="H101" s="240" t="s">
        <v>2138</v>
      </c>
      <c r="I101" s="236">
        <v>11500</v>
      </c>
      <c r="J101" s="275"/>
    </row>
    <row r="102" spans="1:10" s="189" customFormat="1" ht="61.2" x14ac:dyDescent="1.05">
      <c r="A102" s="271"/>
      <c r="B102" s="185"/>
      <c r="C102" s="272"/>
      <c r="D102" s="241"/>
      <c r="E102" s="277"/>
      <c r="F102" s="278"/>
      <c r="G102" s="238">
        <v>45880</v>
      </c>
      <c r="H102" s="240" t="s">
        <v>2139</v>
      </c>
      <c r="I102" s="236">
        <v>175000</v>
      </c>
      <c r="J102" s="275"/>
    </row>
    <row r="103" spans="1:10" s="189" customFormat="1" ht="61.2" x14ac:dyDescent="1.05">
      <c r="A103" s="271"/>
      <c r="B103" s="185"/>
      <c r="C103" s="272"/>
      <c r="D103" s="241"/>
      <c r="E103" s="277"/>
      <c r="F103" s="278"/>
      <c r="G103" s="238">
        <v>45880</v>
      </c>
      <c r="H103" s="240" t="s">
        <v>2140</v>
      </c>
      <c r="I103" s="236">
        <v>30300</v>
      </c>
      <c r="J103" s="275"/>
    </row>
    <row r="104" spans="1:10" s="189" customFormat="1" ht="61.2" x14ac:dyDescent="1.05">
      <c r="A104" s="271"/>
      <c r="B104" s="185"/>
      <c r="C104" s="272"/>
      <c r="D104" s="241"/>
      <c r="E104" s="277"/>
      <c r="F104" s="278"/>
      <c r="G104" s="238">
        <v>45880</v>
      </c>
      <c r="H104" s="240" t="s">
        <v>2141</v>
      </c>
      <c r="I104" s="236">
        <v>12000</v>
      </c>
      <c r="J104" s="275"/>
    </row>
    <row r="105" spans="1:10" s="189" customFormat="1" ht="61.2" x14ac:dyDescent="1.05">
      <c r="A105" s="271"/>
      <c r="B105" s="185"/>
      <c r="C105" s="272"/>
      <c r="D105" s="241"/>
      <c r="E105" s="277"/>
      <c r="F105" s="278"/>
      <c r="G105" s="238">
        <v>45880</v>
      </c>
      <c r="H105" s="240" t="s">
        <v>2142</v>
      </c>
      <c r="I105" s="236">
        <v>6060</v>
      </c>
      <c r="J105" s="275"/>
    </row>
    <row r="106" spans="1:10" s="189" customFormat="1" ht="61.2" x14ac:dyDescent="1.05">
      <c r="A106" s="271"/>
      <c r="B106" s="185"/>
      <c r="C106" s="272"/>
      <c r="D106" s="241"/>
      <c r="E106" s="277"/>
      <c r="F106" s="278"/>
      <c r="G106" s="238">
        <v>45881</v>
      </c>
      <c r="H106" s="240" t="s">
        <v>1027</v>
      </c>
      <c r="I106" s="236">
        <v>3030</v>
      </c>
      <c r="J106" s="275"/>
    </row>
    <row r="107" spans="1:10" s="189" customFormat="1" ht="61.2" x14ac:dyDescent="1.05">
      <c r="A107" s="271"/>
      <c r="B107" s="185"/>
      <c r="C107" s="272"/>
      <c r="D107" s="241"/>
      <c r="E107" s="277"/>
      <c r="F107" s="278"/>
      <c r="G107" s="238">
        <v>45881</v>
      </c>
      <c r="H107" s="240" t="s">
        <v>2143</v>
      </c>
      <c r="I107" s="236">
        <v>2000</v>
      </c>
      <c r="J107" s="275"/>
    </row>
    <row r="108" spans="1:10" s="189" customFormat="1" ht="61.2" x14ac:dyDescent="1.05">
      <c r="A108" s="271"/>
      <c r="B108" s="185"/>
      <c r="C108" s="272"/>
      <c r="D108" s="241"/>
      <c r="E108" s="277"/>
      <c r="F108" s="278"/>
      <c r="G108" s="238">
        <v>45881</v>
      </c>
      <c r="H108" s="240" t="s">
        <v>2144</v>
      </c>
      <c r="I108" s="236">
        <v>35000</v>
      </c>
      <c r="J108" s="275"/>
    </row>
    <row r="109" spans="1:10" s="189" customFormat="1" ht="61.2" x14ac:dyDescent="1.05">
      <c r="A109" s="271"/>
      <c r="B109" s="185"/>
      <c r="C109" s="272"/>
      <c r="D109" s="241"/>
      <c r="E109" s="277"/>
      <c r="F109" s="278"/>
      <c r="G109" s="238">
        <v>45881</v>
      </c>
      <c r="H109" s="240" t="s">
        <v>2145</v>
      </c>
      <c r="I109" s="236">
        <v>30300</v>
      </c>
      <c r="J109" s="275"/>
    </row>
    <row r="110" spans="1:10" s="189" customFormat="1" ht="61.2" x14ac:dyDescent="1.05">
      <c r="A110" s="271"/>
      <c r="B110" s="185"/>
      <c r="C110" s="272"/>
      <c r="D110" s="241"/>
      <c r="E110" s="277"/>
      <c r="F110" s="278"/>
      <c r="G110" s="238">
        <v>45881</v>
      </c>
      <c r="H110" s="240" t="s">
        <v>2146</v>
      </c>
      <c r="I110" s="236">
        <v>2020</v>
      </c>
      <c r="J110" s="275"/>
    </row>
    <row r="111" spans="1:10" s="189" customFormat="1" ht="61.2" x14ac:dyDescent="1.05">
      <c r="A111" s="271"/>
      <c r="B111" s="185"/>
      <c r="C111" s="272"/>
      <c r="D111" s="241"/>
      <c r="E111" s="277"/>
      <c r="F111" s="278"/>
      <c r="G111" s="238">
        <v>45881</v>
      </c>
      <c r="H111" s="240" t="s">
        <v>2147</v>
      </c>
      <c r="I111" s="236">
        <v>3030</v>
      </c>
      <c r="J111" s="275"/>
    </row>
    <row r="112" spans="1:10" s="189" customFormat="1" ht="61.2" x14ac:dyDescent="1.05">
      <c r="A112" s="271"/>
      <c r="B112" s="185"/>
      <c r="C112" s="272"/>
      <c r="D112" s="241"/>
      <c r="E112" s="277"/>
      <c r="F112" s="278"/>
      <c r="G112" s="238">
        <v>45881</v>
      </c>
      <c r="H112" s="240" t="s">
        <v>2148</v>
      </c>
      <c r="I112" s="236">
        <v>2000</v>
      </c>
      <c r="J112" s="275"/>
    </row>
    <row r="113" spans="1:10" s="189" customFormat="1" ht="61.2" x14ac:dyDescent="1.05">
      <c r="A113" s="271"/>
      <c r="B113" s="185"/>
      <c r="C113" s="272"/>
      <c r="D113" s="241"/>
      <c r="E113" s="277"/>
      <c r="F113" s="278"/>
      <c r="G113" s="238">
        <v>45881</v>
      </c>
      <c r="H113" s="240" t="s">
        <v>2149</v>
      </c>
      <c r="I113" s="236">
        <v>10100</v>
      </c>
      <c r="J113" s="275"/>
    </row>
    <row r="114" spans="1:10" s="189" customFormat="1" ht="61.2" x14ac:dyDescent="1.05">
      <c r="A114" s="271"/>
      <c r="B114" s="185"/>
      <c r="C114" s="272"/>
      <c r="D114" s="241"/>
      <c r="E114" s="277"/>
      <c r="F114" s="278"/>
      <c r="G114" s="238">
        <v>45881</v>
      </c>
      <c r="H114" s="240" t="s">
        <v>2150</v>
      </c>
      <c r="I114" s="236">
        <v>12120</v>
      </c>
      <c r="J114" s="275"/>
    </row>
    <row r="115" spans="1:10" s="189" customFormat="1" ht="61.2" x14ac:dyDescent="1.05">
      <c r="A115" s="271"/>
      <c r="B115" s="185"/>
      <c r="C115" s="272"/>
      <c r="D115" s="241"/>
      <c r="E115" s="277"/>
      <c r="F115" s="278"/>
      <c r="G115" s="238">
        <v>45882</v>
      </c>
      <c r="H115" s="240" t="s">
        <v>2151</v>
      </c>
      <c r="I115" s="236">
        <v>100000</v>
      </c>
      <c r="J115" s="275"/>
    </row>
    <row r="116" spans="1:10" s="189" customFormat="1" ht="61.2" x14ac:dyDescent="1.05">
      <c r="A116" s="271"/>
      <c r="B116" s="185"/>
      <c r="C116" s="272"/>
      <c r="D116" s="241"/>
      <c r="E116" s="277"/>
      <c r="F116" s="278"/>
      <c r="G116" s="238">
        <v>45882</v>
      </c>
      <c r="H116" s="240" t="s">
        <v>2152</v>
      </c>
      <c r="I116" s="236">
        <v>2000</v>
      </c>
      <c r="J116" s="275"/>
    </row>
    <row r="117" spans="1:10" s="189" customFormat="1" ht="61.2" x14ac:dyDescent="1.05">
      <c r="A117" s="271"/>
      <c r="B117" s="185"/>
      <c r="C117" s="272"/>
      <c r="D117" s="241"/>
      <c r="E117" s="277"/>
      <c r="F117" s="278"/>
      <c r="G117" s="238">
        <v>45882</v>
      </c>
      <c r="H117" s="240" t="s">
        <v>2153</v>
      </c>
      <c r="I117" s="236">
        <v>100000</v>
      </c>
      <c r="J117" s="275"/>
    </row>
    <row r="118" spans="1:10" s="189" customFormat="1" ht="61.2" x14ac:dyDescent="1.05">
      <c r="A118" s="271"/>
      <c r="B118" s="185"/>
      <c r="C118" s="272"/>
      <c r="D118" s="241"/>
      <c r="E118" s="277"/>
      <c r="F118" s="278"/>
      <c r="G118" s="238">
        <v>45882</v>
      </c>
      <c r="H118" s="240" t="s">
        <v>2154</v>
      </c>
      <c r="I118" s="236">
        <v>200000</v>
      </c>
      <c r="J118" s="275"/>
    </row>
    <row r="119" spans="1:10" s="189" customFormat="1" ht="61.2" x14ac:dyDescent="1.05">
      <c r="A119" s="271"/>
      <c r="B119" s="185"/>
      <c r="C119" s="272"/>
      <c r="D119" s="241"/>
      <c r="E119" s="277"/>
      <c r="F119" s="278"/>
      <c r="G119" s="238">
        <v>45882</v>
      </c>
      <c r="H119" s="240" t="s">
        <v>2155</v>
      </c>
      <c r="I119" s="236">
        <v>400000</v>
      </c>
      <c r="J119" s="275"/>
    </row>
    <row r="120" spans="1:10" s="189" customFormat="1" ht="61.2" x14ac:dyDescent="1.05">
      <c r="A120" s="271"/>
      <c r="B120" s="185"/>
      <c r="C120" s="272"/>
      <c r="D120" s="241"/>
      <c r="E120" s="277"/>
      <c r="F120" s="278"/>
      <c r="G120" s="238">
        <v>45882</v>
      </c>
      <c r="H120" s="240" t="s">
        <v>2156</v>
      </c>
      <c r="I120" s="236">
        <v>400000</v>
      </c>
      <c r="J120" s="275"/>
    </row>
    <row r="121" spans="1:10" s="189" customFormat="1" ht="61.2" x14ac:dyDescent="1.05">
      <c r="A121" s="271"/>
      <c r="B121" s="185"/>
      <c r="C121" s="272"/>
      <c r="D121" s="241"/>
      <c r="E121" s="277"/>
      <c r="F121" s="278"/>
      <c r="G121" s="238">
        <v>45882</v>
      </c>
      <c r="H121" s="240" t="s">
        <v>1920</v>
      </c>
      <c r="I121" s="236">
        <v>50500</v>
      </c>
      <c r="J121" s="275"/>
    </row>
    <row r="122" spans="1:10" s="189" customFormat="1" ht="61.2" x14ac:dyDescent="1.05">
      <c r="A122" s="271"/>
      <c r="B122" s="185"/>
      <c r="C122" s="272"/>
      <c r="D122" s="241"/>
      <c r="E122" s="277"/>
      <c r="F122" s="278"/>
      <c r="G122" s="238">
        <v>45882</v>
      </c>
      <c r="H122" s="240" t="s">
        <v>2157</v>
      </c>
      <c r="I122" s="236">
        <v>120000</v>
      </c>
      <c r="J122" s="275"/>
    </row>
    <row r="123" spans="1:10" s="189" customFormat="1" ht="61.2" x14ac:dyDescent="1.05">
      <c r="A123" s="271"/>
      <c r="B123" s="185"/>
      <c r="C123" s="272"/>
      <c r="D123" s="241"/>
      <c r="E123" s="277"/>
      <c r="F123" s="278"/>
      <c r="G123" s="238">
        <v>45882</v>
      </c>
      <c r="H123" s="240" t="s">
        <v>2158</v>
      </c>
      <c r="I123" s="236">
        <v>100000</v>
      </c>
      <c r="J123" s="275"/>
    </row>
    <row r="124" spans="1:10" s="189" customFormat="1" ht="61.2" x14ac:dyDescent="1.05">
      <c r="A124" s="271"/>
      <c r="B124" s="185"/>
      <c r="C124" s="272"/>
      <c r="D124" s="241"/>
      <c r="E124" s="277"/>
      <c r="F124" s="278"/>
      <c r="G124" s="238">
        <v>45882</v>
      </c>
      <c r="H124" s="240" t="s">
        <v>2159</v>
      </c>
      <c r="I124" s="236">
        <v>151500</v>
      </c>
      <c r="J124" s="275"/>
    </row>
    <row r="125" spans="1:10" s="189" customFormat="1" ht="61.2" x14ac:dyDescent="1.05">
      <c r="A125" s="271"/>
      <c r="B125" s="185"/>
      <c r="C125" s="272"/>
      <c r="D125" s="241"/>
      <c r="E125" s="277"/>
      <c r="F125" s="278"/>
      <c r="G125" s="238">
        <v>45882</v>
      </c>
      <c r="H125" s="240" t="s">
        <v>2160</v>
      </c>
      <c r="I125" s="236">
        <v>101000</v>
      </c>
      <c r="J125" s="275"/>
    </row>
    <row r="126" spans="1:10" s="189" customFormat="1" ht="61.2" x14ac:dyDescent="1.05">
      <c r="A126" s="271"/>
      <c r="B126" s="185"/>
      <c r="C126" s="272"/>
      <c r="D126" s="241"/>
      <c r="E126" s="277"/>
      <c r="F126" s="278"/>
      <c r="G126" s="238">
        <v>45882</v>
      </c>
      <c r="H126" s="240" t="s">
        <v>2161</v>
      </c>
      <c r="I126" s="236">
        <v>6000</v>
      </c>
      <c r="J126" s="275"/>
    </row>
    <row r="127" spans="1:10" s="189" customFormat="1" ht="61.2" x14ac:dyDescent="1.05">
      <c r="A127" s="271"/>
      <c r="B127" s="185"/>
      <c r="C127" s="272"/>
      <c r="D127" s="241"/>
      <c r="E127" s="277"/>
      <c r="F127" s="278"/>
      <c r="G127" s="238">
        <v>45882</v>
      </c>
      <c r="H127" s="240" t="s">
        <v>2162</v>
      </c>
      <c r="I127" s="236">
        <v>5000</v>
      </c>
      <c r="J127" s="275"/>
    </row>
    <row r="128" spans="1:10" s="189" customFormat="1" ht="61.2" x14ac:dyDescent="1.05">
      <c r="A128" s="271"/>
      <c r="B128" s="185"/>
      <c r="C128" s="272"/>
      <c r="D128" s="241"/>
      <c r="E128" s="277"/>
      <c r="F128" s="278"/>
      <c r="G128" s="238">
        <v>45882</v>
      </c>
      <c r="H128" s="240" t="s">
        <v>2163</v>
      </c>
      <c r="I128" s="236">
        <v>186850</v>
      </c>
      <c r="J128" s="275"/>
    </row>
    <row r="129" spans="1:10" s="189" customFormat="1" ht="61.2" x14ac:dyDescent="1.05">
      <c r="A129" s="271"/>
      <c r="B129" s="185"/>
      <c r="C129" s="272"/>
      <c r="D129" s="241"/>
      <c r="E129" s="277"/>
      <c r="F129" s="278"/>
      <c r="G129" s="238">
        <v>45883</v>
      </c>
      <c r="H129" s="240" t="s">
        <v>2164</v>
      </c>
      <c r="I129" s="236">
        <v>20000</v>
      </c>
      <c r="J129" s="275"/>
    </row>
    <row r="130" spans="1:10" s="189" customFormat="1" ht="61.2" x14ac:dyDescent="1.05">
      <c r="A130" s="271"/>
      <c r="B130" s="185"/>
      <c r="C130" s="272"/>
      <c r="D130" s="241"/>
      <c r="E130" s="277"/>
      <c r="F130" s="278"/>
      <c r="G130" s="238">
        <v>45883</v>
      </c>
      <c r="H130" s="240" t="s">
        <v>2165</v>
      </c>
      <c r="I130" s="236">
        <v>100000</v>
      </c>
      <c r="J130" s="275"/>
    </row>
    <row r="131" spans="1:10" s="189" customFormat="1" ht="61.2" x14ac:dyDescent="1.05">
      <c r="A131" s="271"/>
      <c r="B131" s="185"/>
      <c r="C131" s="272"/>
      <c r="D131" s="241"/>
      <c r="E131" s="277"/>
      <c r="F131" s="278"/>
      <c r="G131" s="238">
        <v>45883</v>
      </c>
      <c r="H131" s="240" t="s">
        <v>2166</v>
      </c>
      <c r="I131" s="236">
        <v>130000</v>
      </c>
      <c r="J131" s="275"/>
    </row>
    <row r="132" spans="1:10" s="189" customFormat="1" ht="61.2" x14ac:dyDescent="1.05">
      <c r="A132" s="271"/>
      <c r="B132" s="185"/>
      <c r="C132" s="272"/>
      <c r="D132" s="241"/>
      <c r="E132" s="277"/>
      <c r="F132" s="278"/>
      <c r="G132" s="238">
        <v>45883</v>
      </c>
      <c r="H132" s="240" t="s">
        <v>2167</v>
      </c>
      <c r="I132" s="236">
        <v>120000</v>
      </c>
      <c r="J132" s="275"/>
    </row>
    <row r="133" spans="1:10" s="189" customFormat="1" ht="61.2" x14ac:dyDescent="1.05">
      <c r="A133" s="271"/>
      <c r="B133" s="185"/>
      <c r="C133" s="272"/>
      <c r="D133" s="241"/>
      <c r="E133" s="277"/>
      <c r="F133" s="278"/>
      <c r="G133" s="238">
        <v>45883</v>
      </c>
      <c r="H133" s="240" t="s">
        <v>2168</v>
      </c>
      <c r="I133" s="236">
        <v>120000</v>
      </c>
      <c r="J133" s="275"/>
    </row>
    <row r="134" spans="1:10" s="189" customFormat="1" ht="61.2" x14ac:dyDescent="1.05">
      <c r="A134" s="271"/>
      <c r="B134" s="185"/>
      <c r="C134" s="272"/>
      <c r="D134" s="241"/>
      <c r="E134" s="277"/>
      <c r="F134" s="278"/>
      <c r="G134" s="238">
        <v>45883</v>
      </c>
      <c r="H134" s="240" t="s">
        <v>2169</v>
      </c>
      <c r="I134" s="236">
        <v>150000</v>
      </c>
      <c r="J134" s="275"/>
    </row>
    <row r="135" spans="1:10" s="189" customFormat="1" ht="61.2" x14ac:dyDescent="1.05">
      <c r="A135" s="271"/>
      <c r="B135" s="185"/>
      <c r="C135" s="272"/>
      <c r="D135" s="241"/>
      <c r="E135" s="277"/>
      <c r="F135" s="278"/>
      <c r="G135" s="238">
        <v>45883</v>
      </c>
      <c r="H135" s="240" t="s">
        <v>2170</v>
      </c>
      <c r="I135" s="236">
        <v>101000</v>
      </c>
      <c r="J135" s="275"/>
    </row>
    <row r="136" spans="1:10" s="189" customFormat="1" ht="61.2" x14ac:dyDescent="1.05">
      <c r="A136" s="271"/>
      <c r="B136" s="185"/>
      <c r="C136" s="272"/>
      <c r="D136" s="241"/>
      <c r="E136" s="277"/>
      <c r="F136" s="278"/>
      <c r="G136" s="238">
        <v>45883</v>
      </c>
      <c r="H136" s="240" t="s">
        <v>2171</v>
      </c>
      <c r="I136" s="236">
        <v>1500</v>
      </c>
      <c r="J136" s="275"/>
    </row>
    <row r="137" spans="1:10" s="189" customFormat="1" ht="61.2" x14ac:dyDescent="1.05">
      <c r="A137" s="271"/>
      <c r="B137" s="185"/>
      <c r="C137" s="272"/>
      <c r="D137" s="241"/>
      <c r="E137" s="277"/>
      <c r="F137" s="278"/>
      <c r="G137" s="238">
        <v>45883</v>
      </c>
      <c r="H137" s="240" t="s">
        <v>2172</v>
      </c>
      <c r="I137" s="236">
        <v>45450</v>
      </c>
      <c r="J137" s="275"/>
    </row>
    <row r="138" spans="1:10" s="189" customFormat="1" ht="61.2" x14ac:dyDescent="1.05">
      <c r="A138" s="271"/>
      <c r="B138" s="185"/>
      <c r="C138" s="272"/>
      <c r="D138" s="241"/>
      <c r="E138" s="277"/>
      <c r="F138" s="278"/>
      <c r="G138" s="238">
        <v>45883</v>
      </c>
      <c r="H138" s="240" t="s">
        <v>2173</v>
      </c>
      <c r="I138" s="236">
        <v>10000</v>
      </c>
      <c r="J138" s="275"/>
    </row>
    <row r="139" spans="1:10" s="189" customFormat="1" ht="61.2" x14ac:dyDescent="1.05">
      <c r="A139" s="271"/>
      <c r="B139" s="185"/>
      <c r="C139" s="272"/>
      <c r="D139" s="241"/>
      <c r="E139" s="277"/>
      <c r="F139" s="278"/>
      <c r="G139" s="238">
        <v>45883</v>
      </c>
      <c r="H139" s="240" t="s">
        <v>2174</v>
      </c>
      <c r="I139" s="236">
        <v>3000</v>
      </c>
      <c r="J139" s="275"/>
    </row>
    <row r="140" spans="1:10" s="189" customFormat="1" ht="61.2" x14ac:dyDescent="1.05">
      <c r="A140" s="271"/>
      <c r="B140" s="185"/>
      <c r="C140" s="272"/>
      <c r="D140" s="241"/>
      <c r="E140" s="277"/>
      <c r="F140" s="278"/>
      <c r="G140" s="238">
        <v>45883</v>
      </c>
      <c r="H140" s="240" t="s">
        <v>2175</v>
      </c>
      <c r="I140" s="236">
        <v>690455</v>
      </c>
      <c r="J140" s="275"/>
    </row>
    <row r="141" spans="1:10" s="189" customFormat="1" ht="61.2" x14ac:dyDescent="1.05">
      <c r="A141" s="271"/>
      <c r="B141" s="185"/>
      <c r="C141" s="272"/>
      <c r="D141" s="241"/>
      <c r="E141" s="277"/>
      <c r="F141" s="278"/>
      <c r="G141" s="238">
        <v>45883</v>
      </c>
      <c r="H141" s="240" t="s">
        <v>2176</v>
      </c>
      <c r="I141" s="236">
        <v>120000</v>
      </c>
      <c r="J141" s="275"/>
    </row>
    <row r="142" spans="1:10" s="189" customFormat="1" ht="61.2" x14ac:dyDescent="1.05">
      <c r="A142" s="271"/>
      <c r="B142" s="185"/>
      <c r="C142" s="272"/>
      <c r="D142" s="241"/>
      <c r="E142" s="277"/>
      <c r="F142" s="278"/>
      <c r="G142" s="238">
        <v>45883</v>
      </c>
      <c r="H142" s="240" t="s">
        <v>2177</v>
      </c>
      <c r="I142" s="236">
        <v>350470</v>
      </c>
      <c r="J142" s="275"/>
    </row>
    <row r="143" spans="1:10" s="189" customFormat="1" ht="61.2" x14ac:dyDescent="1.05">
      <c r="A143" s="271"/>
      <c r="B143" s="185"/>
      <c r="C143" s="272"/>
      <c r="D143" s="241"/>
      <c r="E143" s="277"/>
      <c r="F143" s="278"/>
      <c r="G143" s="238">
        <v>45883</v>
      </c>
      <c r="H143" s="240" t="s">
        <v>2178</v>
      </c>
      <c r="I143" s="236">
        <v>4500000</v>
      </c>
      <c r="J143" s="275"/>
    </row>
    <row r="144" spans="1:10" s="189" customFormat="1" ht="61.2" x14ac:dyDescent="1.05">
      <c r="A144" s="271"/>
      <c r="B144" s="185"/>
      <c r="C144" s="272"/>
      <c r="D144" s="241"/>
      <c r="E144" s="277"/>
      <c r="F144" s="278"/>
      <c r="G144" s="238">
        <v>45884</v>
      </c>
      <c r="H144" s="240" t="s">
        <v>2179</v>
      </c>
      <c r="I144" s="236">
        <v>30300</v>
      </c>
      <c r="J144" s="275"/>
    </row>
    <row r="145" spans="1:10" s="189" customFormat="1" ht="61.2" x14ac:dyDescent="1.05">
      <c r="A145" s="271"/>
      <c r="B145" s="185"/>
      <c r="C145" s="272"/>
      <c r="D145" s="241"/>
      <c r="E145" s="277"/>
      <c r="F145" s="278"/>
      <c r="G145" s="238">
        <v>45884</v>
      </c>
      <c r="H145" s="240" t="s">
        <v>2180</v>
      </c>
      <c r="I145" s="236">
        <v>2020</v>
      </c>
      <c r="J145" s="275"/>
    </row>
    <row r="146" spans="1:10" s="189" customFormat="1" ht="61.2" x14ac:dyDescent="1.05">
      <c r="A146" s="271"/>
      <c r="B146" s="185"/>
      <c r="C146" s="272"/>
      <c r="D146" s="241"/>
      <c r="E146" s="277"/>
      <c r="F146" s="278"/>
      <c r="G146" s="238">
        <v>45884</v>
      </c>
      <c r="H146" s="240" t="s">
        <v>2181</v>
      </c>
      <c r="I146" s="236">
        <v>40400</v>
      </c>
      <c r="J146" s="275"/>
    </row>
    <row r="147" spans="1:10" s="189" customFormat="1" ht="61.2" x14ac:dyDescent="1.05">
      <c r="A147" s="271"/>
      <c r="B147" s="185"/>
      <c r="C147" s="272"/>
      <c r="D147" s="241"/>
      <c r="E147" s="277"/>
      <c r="F147" s="278"/>
      <c r="G147" s="238">
        <v>45885</v>
      </c>
      <c r="H147" s="240" t="s">
        <v>2182</v>
      </c>
      <c r="I147" s="236">
        <v>25250</v>
      </c>
      <c r="J147" s="275"/>
    </row>
    <row r="148" spans="1:10" s="189" customFormat="1" ht="61.2" x14ac:dyDescent="1.05">
      <c r="A148" s="271"/>
      <c r="B148" s="185"/>
      <c r="C148" s="272"/>
      <c r="D148" s="241"/>
      <c r="E148" s="277"/>
      <c r="F148" s="278"/>
      <c r="G148" s="238">
        <v>45885</v>
      </c>
      <c r="H148" s="240" t="s">
        <v>2183</v>
      </c>
      <c r="I148" s="236">
        <v>9900</v>
      </c>
      <c r="J148" s="275"/>
    </row>
    <row r="149" spans="1:10" s="189" customFormat="1" ht="61.2" x14ac:dyDescent="1.05">
      <c r="A149" s="271"/>
      <c r="B149" s="185"/>
      <c r="C149" s="272"/>
      <c r="D149" s="241"/>
      <c r="E149" s="277"/>
      <c r="F149" s="278"/>
      <c r="G149" s="238">
        <v>45885</v>
      </c>
      <c r="H149" s="240" t="s">
        <v>2184</v>
      </c>
      <c r="I149" s="236">
        <v>55550</v>
      </c>
      <c r="J149" s="275"/>
    </row>
    <row r="150" spans="1:10" s="189" customFormat="1" ht="61.2" x14ac:dyDescent="1.05">
      <c r="A150" s="271"/>
      <c r="B150" s="185"/>
      <c r="C150" s="272"/>
      <c r="D150" s="241"/>
      <c r="E150" s="277"/>
      <c r="F150" s="278"/>
      <c r="G150" s="238">
        <v>45884</v>
      </c>
      <c r="H150" s="240" t="s">
        <v>2185</v>
      </c>
      <c r="I150" s="236">
        <v>20200</v>
      </c>
      <c r="J150" s="275"/>
    </row>
    <row r="151" spans="1:10" s="189" customFormat="1" ht="61.2" x14ac:dyDescent="1.05">
      <c r="A151" s="271"/>
      <c r="B151" s="185"/>
      <c r="C151" s="272"/>
      <c r="D151" s="241"/>
      <c r="E151" s="277"/>
      <c r="F151" s="278"/>
      <c r="G151" s="238">
        <v>45886</v>
      </c>
      <c r="H151" s="240" t="s">
        <v>2186</v>
      </c>
      <c r="I151" s="236">
        <v>30300</v>
      </c>
      <c r="J151" s="275"/>
    </row>
    <row r="152" spans="1:10" s="189" customFormat="1" ht="61.2" x14ac:dyDescent="1.05">
      <c r="A152" s="271"/>
      <c r="B152" s="185"/>
      <c r="C152" s="272"/>
      <c r="D152" s="241"/>
      <c r="E152" s="277"/>
      <c r="F152" s="278"/>
      <c r="G152" s="238">
        <v>45886</v>
      </c>
      <c r="H152" s="240" t="s">
        <v>2187</v>
      </c>
      <c r="I152" s="236">
        <v>75750</v>
      </c>
      <c r="J152" s="275"/>
    </row>
    <row r="153" spans="1:10" s="189" customFormat="1" ht="61.2" x14ac:dyDescent="1.05">
      <c r="A153" s="271"/>
      <c r="B153" s="185"/>
      <c r="C153" s="272"/>
      <c r="D153" s="241"/>
      <c r="E153" s="277"/>
      <c r="F153" s="278"/>
      <c r="G153" s="238">
        <v>45887</v>
      </c>
      <c r="H153" s="240" t="s">
        <v>2188</v>
      </c>
      <c r="I153" s="236">
        <v>300000</v>
      </c>
      <c r="J153" s="275"/>
    </row>
    <row r="154" spans="1:10" s="189" customFormat="1" ht="61.2" x14ac:dyDescent="1.05">
      <c r="A154" s="271"/>
      <c r="B154" s="185"/>
      <c r="C154" s="272"/>
      <c r="D154" s="241"/>
      <c r="E154" s="277"/>
      <c r="F154" s="278"/>
      <c r="G154" s="238">
        <v>45887</v>
      </c>
      <c r="H154" s="240" t="s">
        <v>2189</v>
      </c>
      <c r="I154" s="236">
        <v>1000000</v>
      </c>
      <c r="J154" s="275"/>
    </row>
    <row r="155" spans="1:10" s="189" customFormat="1" ht="61.2" x14ac:dyDescent="1.05">
      <c r="A155" s="271"/>
      <c r="B155" s="185"/>
      <c r="C155" s="272"/>
      <c r="D155" s="241"/>
      <c r="E155" s="277"/>
      <c r="F155" s="278"/>
      <c r="G155" s="238">
        <v>45887</v>
      </c>
      <c r="H155" s="240" t="s">
        <v>2190</v>
      </c>
      <c r="I155" s="236">
        <v>1400</v>
      </c>
      <c r="J155" s="275"/>
    </row>
    <row r="156" spans="1:10" s="189" customFormat="1" ht="61.2" x14ac:dyDescent="1.05">
      <c r="A156" s="271"/>
      <c r="B156" s="185"/>
      <c r="C156" s="272"/>
      <c r="D156" s="241"/>
      <c r="E156" s="277"/>
      <c r="F156" s="278"/>
      <c r="G156" s="238">
        <v>45887</v>
      </c>
      <c r="H156" s="240" t="s">
        <v>2191</v>
      </c>
      <c r="I156" s="236">
        <v>3535</v>
      </c>
      <c r="J156" s="275"/>
    </row>
    <row r="157" spans="1:10" s="189" customFormat="1" ht="61.2" x14ac:dyDescent="1.05">
      <c r="A157" s="271"/>
      <c r="B157" s="185"/>
      <c r="C157" s="272"/>
      <c r="D157" s="241"/>
      <c r="E157" s="277"/>
      <c r="F157" s="278"/>
      <c r="G157" s="238">
        <v>45887</v>
      </c>
      <c r="H157" s="240" t="s">
        <v>2192</v>
      </c>
      <c r="I157" s="236">
        <v>63630</v>
      </c>
      <c r="J157" s="275"/>
    </row>
    <row r="158" spans="1:10" s="189" customFormat="1" ht="61.2" x14ac:dyDescent="1.05">
      <c r="A158" s="271"/>
      <c r="B158" s="185"/>
      <c r="C158" s="272"/>
      <c r="D158" s="241"/>
      <c r="E158" s="277"/>
      <c r="F158" s="278"/>
      <c r="G158" s="238">
        <v>45888</v>
      </c>
      <c r="H158" s="240" t="s">
        <v>2193</v>
      </c>
      <c r="I158" s="236">
        <v>4000</v>
      </c>
      <c r="J158" s="275"/>
    </row>
    <row r="159" spans="1:10" s="189" customFormat="1" ht="61.2" x14ac:dyDescent="1.05">
      <c r="A159" s="271"/>
      <c r="B159" s="185"/>
      <c r="C159" s="272"/>
      <c r="D159" s="241"/>
      <c r="E159" s="277"/>
      <c r="F159" s="278"/>
      <c r="G159" s="238">
        <v>45888</v>
      </c>
      <c r="H159" s="240" t="s">
        <v>2194</v>
      </c>
      <c r="I159" s="236">
        <v>20200</v>
      </c>
      <c r="J159" s="275"/>
    </row>
    <row r="160" spans="1:10" s="189" customFormat="1" ht="61.2" x14ac:dyDescent="1.05">
      <c r="A160" s="271"/>
      <c r="B160" s="185"/>
      <c r="C160" s="272"/>
      <c r="D160" s="241"/>
      <c r="E160" s="277"/>
      <c r="F160" s="278"/>
      <c r="G160" s="238">
        <v>45888</v>
      </c>
      <c r="H160" s="240" t="s">
        <v>2195</v>
      </c>
      <c r="I160" s="236">
        <v>176923</v>
      </c>
      <c r="J160" s="275"/>
    </row>
    <row r="161" spans="1:10" s="189" customFormat="1" ht="61.2" x14ac:dyDescent="1.05">
      <c r="A161" s="271"/>
      <c r="B161" s="185"/>
      <c r="C161" s="272"/>
      <c r="D161" s="241"/>
      <c r="E161" s="277"/>
      <c r="F161" s="278"/>
      <c r="G161" s="238">
        <v>45888</v>
      </c>
      <c r="H161" s="240" t="s">
        <v>2196</v>
      </c>
      <c r="I161" s="236">
        <v>5000</v>
      </c>
      <c r="J161" s="275"/>
    </row>
    <row r="162" spans="1:10" s="189" customFormat="1" ht="61.2" x14ac:dyDescent="1.05">
      <c r="A162" s="271"/>
      <c r="B162" s="185"/>
      <c r="C162" s="272"/>
      <c r="D162" s="241"/>
      <c r="E162" s="277"/>
      <c r="F162" s="278"/>
      <c r="G162" s="238">
        <v>45888</v>
      </c>
      <c r="H162" s="240" t="s">
        <v>1704</v>
      </c>
      <c r="I162" s="236">
        <v>2000</v>
      </c>
      <c r="J162" s="275"/>
    </row>
    <row r="163" spans="1:10" s="189" customFormat="1" ht="61.2" x14ac:dyDescent="1.05">
      <c r="A163" s="271"/>
      <c r="B163" s="185"/>
      <c r="C163" s="272"/>
      <c r="D163" s="241"/>
      <c r="E163" s="277"/>
      <c r="F163" s="278"/>
      <c r="G163" s="238">
        <v>45888</v>
      </c>
      <c r="H163" s="240" t="s">
        <v>2197</v>
      </c>
      <c r="I163" s="236">
        <v>2000</v>
      </c>
      <c r="J163" s="275"/>
    </row>
    <row r="164" spans="1:10" s="189" customFormat="1" ht="61.2" x14ac:dyDescent="1.05">
      <c r="A164" s="271"/>
      <c r="B164" s="185"/>
      <c r="C164" s="272"/>
      <c r="D164" s="241"/>
      <c r="E164" s="277"/>
      <c r="F164" s="278"/>
      <c r="G164" s="238">
        <v>45888</v>
      </c>
      <c r="H164" s="240" t="s">
        <v>2198</v>
      </c>
      <c r="I164" s="236">
        <v>15150</v>
      </c>
      <c r="J164" s="275"/>
    </row>
    <row r="165" spans="1:10" s="189" customFormat="1" ht="61.2" x14ac:dyDescent="1.05">
      <c r="A165" s="271"/>
      <c r="B165" s="185"/>
      <c r="C165" s="272"/>
      <c r="D165" s="241"/>
      <c r="E165" s="277"/>
      <c r="F165" s="278"/>
      <c r="G165" s="238">
        <v>45888</v>
      </c>
      <c r="H165" s="240" t="s">
        <v>2199</v>
      </c>
      <c r="I165" s="236">
        <v>30300</v>
      </c>
      <c r="J165" s="275"/>
    </row>
    <row r="166" spans="1:10" s="189" customFormat="1" ht="61.2" x14ac:dyDescent="1.05">
      <c r="A166" s="271"/>
      <c r="B166" s="185"/>
      <c r="C166" s="272"/>
      <c r="D166" s="241"/>
      <c r="E166" s="277"/>
      <c r="F166" s="278"/>
      <c r="G166" s="238">
        <v>45888</v>
      </c>
      <c r="H166" s="240" t="s">
        <v>2200</v>
      </c>
      <c r="I166" s="236">
        <v>150000</v>
      </c>
      <c r="J166" s="275"/>
    </row>
    <row r="167" spans="1:10" s="189" customFormat="1" ht="61.2" x14ac:dyDescent="1.05">
      <c r="A167" s="271"/>
      <c r="B167" s="185"/>
      <c r="C167" s="272"/>
      <c r="D167" s="241"/>
      <c r="E167" s="277"/>
      <c r="F167" s="278"/>
      <c r="G167" s="238">
        <v>45888</v>
      </c>
      <c r="H167" s="240" t="s">
        <v>2201</v>
      </c>
      <c r="I167" s="236">
        <v>60640</v>
      </c>
      <c r="J167" s="275"/>
    </row>
    <row r="168" spans="1:10" s="189" customFormat="1" ht="61.2" x14ac:dyDescent="1.05">
      <c r="A168" s="271"/>
      <c r="B168" s="185"/>
      <c r="C168" s="272"/>
      <c r="D168" s="241"/>
      <c r="E168" s="277"/>
      <c r="F168" s="278"/>
      <c r="G168" s="238">
        <v>45888</v>
      </c>
      <c r="H168" s="240" t="s">
        <v>2202</v>
      </c>
      <c r="I168" s="236">
        <v>42420</v>
      </c>
      <c r="J168" s="275"/>
    </row>
    <row r="169" spans="1:10" s="189" customFormat="1" ht="61.2" x14ac:dyDescent="1.05">
      <c r="A169" s="271"/>
      <c r="B169" s="185"/>
      <c r="C169" s="272"/>
      <c r="D169" s="241"/>
      <c r="E169" s="277"/>
      <c r="F169" s="278"/>
      <c r="G169" s="238">
        <v>45888</v>
      </c>
      <c r="H169" s="240" t="s">
        <v>2203</v>
      </c>
      <c r="I169" s="236">
        <v>16160</v>
      </c>
      <c r="J169" s="275"/>
    </row>
    <row r="170" spans="1:10" s="189" customFormat="1" ht="61.2" x14ac:dyDescent="1.05">
      <c r="A170" s="271"/>
      <c r="B170" s="185"/>
      <c r="C170" s="272"/>
      <c r="D170" s="241"/>
      <c r="E170" s="277"/>
      <c r="F170" s="278"/>
      <c r="G170" s="238">
        <v>45888</v>
      </c>
      <c r="H170" s="240" t="s">
        <v>2204</v>
      </c>
      <c r="I170" s="236">
        <v>40400</v>
      </c>
      <c r="J170" s="275"/>
    </row>
    <row r="171" spans="1:10" s="189" customFormat="1" ht="61.2" x14ac:dyDescent="1.05">
      <c r="A171" s="271"/>
      <c r="B171" s="185"/>
      <c r="C171" s="272"/>
      <c r="D171" s="241"/>
      <c r="E171" s="277"/>
      <c r="F171" s="278"/>
      <c r="G171" s="238">
        <v>45889</v>
      </c>
      <c r="H171" s="240" t="s">
        <v>2205</v>
      </c>
      <c r="I171" s="236">
        <v>18600</v>
      </c>
      <c r="J171" s="275"/>
    </row>
    <row r="172" spans="1:10" s="189" customFormat="1" ht="61.2" x14ac:dyDescent="1.05">
      <c r="A172" s="271"/>
      <c r="B172" s="185"/>
      <c r="C172" s="272"/>
      <c r="D172" s="241"/>
      <c r="E172" s="277"/>
      <c r="F172" s="278"/>
      <c r="G172" s="238">
        <v>45889</v>
      </c>
      <c r="H172" s="240" t="s">
        <v>2206</v>
      </c>
      <c r="I172" s="236">
        <v>1000000</v>
      </c>
      <c r="J172" s="275"/>
    </row>
    <row r="173" spans="1:10" s="189" customFormat="1" ht="61.2" x14ac:dyDescent="1.05">
      <c r="A173" s="271"/>
      <c r="B173" s="185"/>
      <c r="C173" s="272"/>
      <c r="D173" s="241"/>
      <c r="E173" s="277"/>
      <c r="F173" s="278"/>
      <c r="G173" s="238">
        <v>45889</v>
      </c>
      <c r="H173" s="240" t="s">
        <v>2207</v>
      </c>
      <c r="I173" s="236">
        <v>1500</v>
      </c>
      <c r="J173" s="275"/>
    </row>
    <row r="174" spans="1:10" s="189" customFormat="1" ht="61.2" x14ac:dyDescent="1.05">
      <c r="A174" s="271"/>
      <c r="B174" s="185"/>
      <c r="C174" s="272"/>
      <c r="D174" s="241"/>
      <c r="E174" s="277"/>
      <c r="F174" s="278"/>
      <c r="G174" s="238">
        <v>45889</v>
      </c>
      <c r="H174" s="240" t="s">
        <v>2208</v>
      </c>
      <c r="I174" s="236">
        <v>2123500</v>
      </c>
      <c r="J174" s="275"/>
    </row>
    <row r="175" spans="1:10" s="189" customFormat="1" ht="61.2" x14ac:dyDescent="1.05">
      <c r="A175" s="271"/>
      <c r="B175" s="185"/>
      <c r="C175" s="272"/>
      <c r="D175" s="241"/>
      <c r="E175" s="277"/>
      <c r="F175" s="278"/>
      <c r="G175" s="238">
        <v>45889</v>
      </c>
      <c r="H175" s="240" t="s">
        <v>2209</v>
      </c>
      <c r="I175" s="236">
        <v>1500000</v>
      </c>
      <c r="J175" s="275"/>
    </row>
    <row r="176" spans="1:10" s="189" customFormat="1" ht="61.2" x14ac:dyDescent="1.05">
      <c r="A176" s="271"/>
      <c r="B176" s="185"/>
      <c r="C176" s="272"/>
      <c r="D176" s="241"/>
      <c r="E176" s="277"/>
      <c r="F176" s="278"/>
      <c r="G176" s="238">
        <v>45889</v>
      </c>
      <c r="H176" s="240" t="s">
        <v>2210</v>
      </c>
      <c r="I176" s="236">
        <v>227250</v>
      </c>
      <c r="J176" s="275"/>
    </row>
    <row r="177" spans="1:10" s="189" customFormat="1" ht="61.2" x14ac:dyDescent="1.05">
      <c r="A177" s="271"/>
      <c r="B177" s="185"/>
      <c r="C177" s="272"/>
      <c r="D177" s="241"/>
      <c r="E177" s="277"/>
      <c r="F177" s="278"/>
      <c r="G177" s="238">
        <v>45889</v>
      </c>
      <c r="H177" s="240" t="s">
        <v>2211</v>
      </c>
      <c r="I177" s="236">
        <v>237350</v>
      </c>
      <c r="J177" s="275"/>
    </row>
    <row r="178" spans="1:10" s="189" customFormat="1" ht="61.2" x14ac:dyDescent="1.05">
      <c r="A178" s="271"/>
      <c r="B178" s="185"/>
      <c r="C178" s="272"/>
      <c r="D178" s="241"/>
      <c r="E178" s="277"/>
      <c r="F178" s="278"/>
      <c r="G178" s="238">
        <v>45889</v>
      </c>
      <c r="H178" s="240" t="s">
        <v>2212</v>
      </c>
      <c r="I178" s="236">
        <v>363600</v>
      </c>
      <c r="J178" s="275"/>
    </row>
    <row r="179" spans="1:10" s="189" customFormat="1" ht="61.2" x14ac:dyDescent="1.05">
      <c r="A179" s="271"/>
      <c r="B179" s="185"/>
      <c r="C179" s="272"/>
      <c r="D179" s="241"/>
      <c r="E179" s="277"/>
      <c r="F179" s="278"/>
      <c r="G179" s="238">
        <v>45889</v>
      </c>
      <c r="H179" s="240" t="s">
        <v>2213</v>
      </c>
      <c r="I179" s="236">
        <v>191900</v>
      </c>
      <c r="J179" s="275"/>
    </row>
    <row r="180" spans="1:10" s="189" customFormat="1" ht="61.2" x14ac:dyDescent="1.05">
      <c r="A180" s="271"/>
      <c r="B180" s="185"/>
      <c r="C180" s="272"/>
      <c r="D180" s="241"/>
      <c r="E180" s="277"/>
      <c r="F180" s="278"/>
      <c r="G180" s="238">
        <v>45889</v>
      </c>
      <c r="H180" s="240" t="s">
        <v>2214</v>
      </c>
      <c r="I180" s="236">
        <v>60600</v>
      </c>
      <c r="J180" s="275"/>
    </row>
    <row r="181" spans="1:10" s="189" customFormat="1" ht="61.2" x14ac:dyDescent="1.05">
      <c r="A181" s="271"/>
      <c r="B181" s="185"/>
      <c r="C181" s="272"/>
      <c r="D181" s="241"/>
      <c r="E181" s="277"/>
      <c r="F181" s="278"/>
      <c r="G181" s="238">
        <v>45889</v>
      </c>
      <c r="H181" s="240" t="s">
        <v>2215</v>
      </c>
      <c r="I181" s="236">
        <v>181800</v>
      </c>
      <c r="J181" s="275"/>
    </row>
    <row r="182" spans="1:10" s="189" customFormat="1" ht="61.2" x14ac:dyDescent="1.05">
      <c r="A182" s="271"/>
      <c r="B182" s="185"/>
      <c r="C182" s="272"/>
      <c r="D182" s="241"/>
      <c r="E182" s="277"/>
      <c r="F182" s="278"/>
      <c r="G182" s="238">
        <v>45889</v>
      </c>
      <c r="H182" s="240" t="s">
        <v>2216</v>
      </c>
      <c r="I182" s="236">
        <v>30300</v>
      </c>
      <c r="J182" s="275"/>
    </row>
    <row r="183" spans="1:10" s="189" customFormat="1" ht="61.2" x14ac:dyDescent="1.05">
      <c r="A183" s="271"/>
      <c r="B183" s="185"/>
      <c r="C183" s="272"/>
      <c r="D183" s="241"/>
      <c r="E183" s="277"/>
      <c r="F183" s="278"/>
      <c r="G183" s="238">
        <v>45889</v>
      </c>
      <c r="H183" s="240" t="s">
        <v>2217</v>
      </c>
      <c r="I183" s="236">
        <v>10100</v>
      </c>
      <c r="J183" s="275"/>
    </row>
    <row r="184" spans="1:10" s="189" customFormat="1" ht="61.2" x14ac:dyDescent="1.05">
      <c r="A184" s="271"/>
      <c r="B184" s="185"/>
      <c r="C184" s="272"/>
      <c r="D184" s="241"/>
      <c r="E184" s="277"/>
      <c r="F184" s="278"/>
      <c r="G184" s="238">
        <v>45889</v>
      </c>
      <c r="H184" s="240" t="s">
        <v>2218</v>
      </c>
      <c r="I184" s="236">
        <v>2000</v>
      </c>
      <c r="J184" s="275"/>
    </row>
    <row r="185" spans="1:10" s="189" customFormat="1" ht="61.2" x14ac:dyDescent="1.05">
      <c r="A185" s="271"/>
      <c r="B185" s="185"/>
      <c r="C185" s="272"/>
      <c r="D185" s="241"/>
      <c r="E185" s="277"/>
      <c r="F185" s="278"/>
      <c r="G185" s="238">
        <v>45889</v>
      </c>
      <c r="H185" s="240" t="s">
        <v>2219</v>
      </c>
      <c r="I185" s="236">
        <v>2500</v>
      </c>
      <c r="J185" s="275"/>
    </row>
    <row r="186" spans="1:10" s="189" customFormat="1" ht="61.2" x14ac:dyDescent="1.05">
      <c r="A186" s="271"/>
      <c r="B186" s="185"/>
      <c r="C186" s="272"/>
      <c r="D186" s="241"/>
      <c r="E186" s="277"/>
      <c r="F186" s="278"/>
      <c r="G186" s="238">
        <v>45890</v>
      </c>
      <c r="H186" s="240" t="s">
        <v>2220</v>
      </c>
      <c r="I186" s="236">
        <v>1500</v>
      </c>
      <c r="J186" s="275"/>
    </row>
    <row r="187" spans="1:10" s="189" customFormat="1" ht="61.2" x14ac:dyDescent="1.05">
      <c r="A187" s="271"/>
      <c r="B187" s="185"/>
      <c r="C187" s="272"/>
      <c r="D187" s="241"/>
      <c r="E187" s="277"/>
      <c r="F187" s="278"/>
      <c r="G187" s="238">
        <v>45890</v>
      </c>
      <c r="H187" s="240" t="s">
        <v>2221</v>
      </c>
      <c r="I187" s="236">
        <v>2500</v>
      </c>
      <c r="J187" s="275"/>
    </row>
    <row r="188" spans="1:10" s="189" customFormat="1" ht="61.2" x14ac:dyDescent="1.05">
      <c r="A188" s="271"/>
      <c r="B188" s="185"/>
      <c r="C188" s="272"/>
      <c r="D188" s="241"/>
      <c r="E188" s="277"/>
      <c r="F188" s="278"/>
      <c r="G188" s="238">
        <v>45890</v>
      </c>
      <c r="H188" s="240" t="s">
        <v>2222</v>
      </c>
      <c r="I188" s="236">
        <v>12120</v>
      </c>
      <c r="J188" s="275"/>
    </row>
    <row r="189" spans="1:10" s="189" customFormat="1" ht="61.2" x14ac:dyDescent="1.05">
      <c r="A189" s="271"/>
      <c r="B189" s="185"/>
      <c r="C189" s="272"/>
      <c r="D189" s="241"/>
      <c r="E189" s="277"/>
      <c r="F189" s="278"/>
      <c r="G189" s="238">
        <v>45890</v>
      </c>
      <c r="H189" s="240" t="s">
        <v>2223</v>
      </c>
      <c r="I189" s="236">
        <v>35350</v>
      </c>
      <c r="J189" s="275"/>
    </row>
    <row r="190" spans="1:10" s="189" customFormat="1" ht="61.2" x14ac:dyDescent="1.05">
      <c r="A190" s="271"/>
      <c r="B190" s="185"/>
      <c r="C190" s="272"/>
      <c r="D190" s="241"/>
      <c r="E190" s="277"/>
      <c r="F190" s="278"/>
      <c r="G190" s="238">
        <v>45890</v>
      </c>
      <c r="H190" s="240" t="s">
        <v>2224</v>
      </c>
      <c r="I190" s="236">
        <v>3000</v>
      </c>
      <c r="J190" s="275"/>
    </row>
    <row r="191" spans="1:10" s="189" customFormat="1" ht="61.2" x14ac:dyDescent="1.05">
      <c r="A191" s="271"/>
      <c r="B191" s="185"/>
      <c r="C191" s="272"/>
      <c r="D191" s="241"/>
      <c r="E191" s="277"/>
      <c r="F191" s="278"/>
      <c r="G191" s="238">
        <v>45890</v>
      </c>
      <c r="H191" s="240" t="s">
        <v>2225</v>
      </c>
      <c r="I191" s="236">
        <v>75750</v>
      </c>
      <c r="J191" s="275"/>
    </row>
    <row r="192" spans="1:10" s="189" customFormat="1" ht="61.2" x14ac:dyDescent="1.05">
      <c r="A192" s="271"/>
      <c r="B192" s="185"/>
      <c r="C192" s="272"/>
      <c r="D192" s="241"/>
      <c r="E192" s="277"/>
      <c r="F192" s="278"/>
      <c r="G192" s="238">
        <v>45890</v>
      </c>
      <c r="H192" s="240" t="s">
        <v>2226</v>
      </c>
      <c r="I192" s="236">
        <v>101000</v>
      </c>
      <c r="J192" s="275"/>
    </row>
    <row r="193" spans="1:10" s="189" customFormat="1" ht="61.2" x14ac:dyDescent="1.05">
      <c r="A193" s="271"/>
      <c r="B193" s="185"/>
      <c r="C193" s="272"/>
      <c r="D193" s="241"/>
      <c r="E193" s="277"/>
      <c r="F193" s="278"/>
      <c r="G193" s="238">
        <v>45890</v>
      </c>
      <c r="H193" s="240" t="s">
        <v>1510</v>
      </c>
      <c r="I193" s="236">
        <v>18180</v>
      </c>
      <c r="J193" s="275"/>
    </row>
    <row r="194" spans="1:10" s="189" customFormat="1" ht="61.2" x14ac:dyDescent="1.05">
      <c r="A194" s="271"/>
      <c r="B194" s="185"/>
      <c r="C194" s="272"/>
      <c r="D194" s="241"/>
      <c r="E194" s="277"/>
      <c r="F194" s="278"/>
      <c r="G194" s="238">
        <v>45890</v>
      </c>
      <c r="H194" s="240" t="s">
        <v>2227</v>
      </c>
      <c r="I194" s="236">
        <v>20200</v>
      </c>
      <c r="J194" s="275"/>
    </row>
    <row r="195" spans="1:10" s="189" customFormat="1" ht="61.2" x14ac:dyDescent="1.05">
      <c r="A195" s="271"/>
      <c r="B195" s="185"/>
      <c r="C195" s="272"/>
      <c r="D195" s="241"/>
      <c r="E195" s="277"/>
      <c r="F195" s="278"/>
      <c r="G195" s="238">
        <v>45890</v>
      </c>
      <c r="H195" s="240" t="s">
        <v>2228</v>
      </c>
      <c r="I195" s="236">
        <v>239370</v>
      </c>
    </row>
    <row r="196" spans="1:10" s="189" customFormat="1" ht="61.2" x14ac:dyDescent="1.05">
      <c r="A196" s="271"/>
      <c r="B196" s="185"/>
      <c r="C196" s="272"/>
      <c r="D196" s="241"/>
      <c r="E196" s="277"/>
      <c r="F196" s="278"/>
      <c r="G196" s="238">
        <v>45891</v>
      </c>
      <c r="H196" s="240" t="s">
        <v>2229</v>
      </c>
      <c r="I196" s="236">
        <v>500</v>
      </c>
    </row>
    <row r="197" spans="1:10" s="189" customFormat="1" ht="61.2" x14ac:dyDescent="1.05">
      <c r="A197" s="271"/>
      <c r="B197" s="185"/>
      <c r="C197" s="272"/>
      <c r="D197" s="241"/>
      <c r="E197" s="277"/>
      <c r="F197" s="278"/>
      <c r="G197" s="238">
        <v>45891</v>
      </c>
      <c r="H197" s="240" t="s">
        <v>2230</v>
      </c>
      <c r="I197" s="236">
        <v>608180</v>
      </c>
    </row>
    <row r="198" spans="1:10" s="189" customFormat="1" ht="61.2" x14ac:dyDescent="1.05">
      <c r="A198" s="271"/>
      <c r="B198" s="185"/>
      <c r="C198" s="272"/>
      <c r="D198" s="241"/>
      <c r="E198" s="277"/>
      <c r="F198" s="278"/>
      <c r="G198" s="238">
        <v>45891</v>
      </c>
      <c r="H198" s="240" t="s">
        <v>2231</v>
      </c>
      <c r="I198" s="236">
        <v>3000</v>
      </c>
    </row>
    <row r="199" spans="1:10" s="189" customFormat="1" ht="61.2" x14ac:dyDescent="1.05">
      <c r="A199" s="271"/>
      <c r="B199" s="185"/>
      <c r="C199" s="272"/>
      <c r="D199" s="241"/>
      <c r="E199" s="277"/>
      <c r="F199" s="278"/>
      <c r="G199" s="238">
        <v>45891</v>
      </c>
      <c r="H199" s="240" t="s">
        <v>2232</v>
      </c>
      <c r="I199" s="236">
        <v>2400</v>
      </c>
    </row>
    <row r="200" spans="1:10" s="189" customFormat="1" ht="61.2" x14ac:dyDescent="1.05">
      <c r="A200" s="271"/>
      <c r="B200" s="185"/>
      <c r="C200" s="272"/>
      <c r="D200" s="241"/>
      <c r="E200" s="277"/>
      <c r="F200" s="278"/>
      <c r="G200" s="238">
        <v>45891</v>
      </c>
      <c r="H200" s="240" t="s">
        <v>2233</v>
      </c>
      <c r="I200" s="236">
        <v>88000</v>
      </c>
    </row>
    <row r="201" spans="1:10" s="189" customFormat="1" ht="61.2" x14ac:dyDescent="1.05">
      <c r="A201" s="271"/>
      <c r="B201" s="185"/>
      <c r="C201" s="272"/>
      <c r="D201" s="241"/>
      <c r="E201" s="277"/>
      <c r="F201" s="278"/>
      <c r="G201" s="238">
        <v>45891</v>
      </c>
      <c r="H201" s="240" t="s">
        <v>2234</v>
      </c>
      <c r="I201" s="236">
        <v>6000</v>
      </c>
      <c r="J201" s="279"/>
    </row>
    <row r="202" spans="1:10" s="189" customFormat="1" ht="61.2" x14ac:dyDescent="1.05">
      <c r="A202" s="271"/>
      <c r="B202" s="185"/>
      <c r="C202" s="272"/>
      <c r="D202" s="241"/>
      <c r="E202" s="277"/>
      <c r="F202" s="278"/>
      <c r="G202" s="238">
        <v>45891</v>
      </c>
      <c r="H202" s="240" t="s">
        <v>2235</v>
      </c>
      <c r="I202" s="236">
        <f>60600+307545</f>
        <v>368145</v>
      </c>
    </row>
    <row r="203" spans="1:10" s="189" customFormat="1" ht="61.2" x14ac:dyDescent="1.05">
      <c r="A203" s="271"/>
      <c r="B203" s="185"/>
      <c r="C203" s="272"/>
      <c r="D203" s="241"/>
      <c r="E203" s="277"/>
      <c r="F203" s="278"/>
      <c r="G203" s="238">
        <v>45891</v>
      </c>
      <c r="H203" s="240" t="s">
        <v>2236</v>
      </c>
      <c r="I203" s="236">
        <v>2000</v>
      </c>
    </row>
    <row r="204" spans="1:10" s="189" customFormat="1" ht="61.2" x14ac:dyDescent="1.05">
      <c r="A204" s="271"/>
      <c r="B204" s="185"/>
      <c r="C204" s="272"/>
      <c r="D204" s="241"/>
      <c r="E204" s="277"/>
      <c r="F204" s="278"/>
      <c r="G204" s="238">
        <v>45891</v>
      </c>
      <c r="H204" s="240" t="s">
        <v>2237</v>
      </c>
      <c r="I204" s="236">
        <v>2500</v>
      </c>
    </row>
    <row r="205" spans="1:10" s="189" customFormat="1" ht="61.2" x14ac:dyDescent="1.05">
      <c r="A205" s="271"/>
      <c r="B205" s="185"/>
      <c r="C205" s="272"/>
      <c r="D205" s="241"/>
      <c r="E205" s="277"/>
      <c r="F205" s="278"/>
      <c r="G205" s="238">
        <v>45892</v>
      </c>
      <c r="H205" s="240" t="s">
        <v>2238</v>
      </c>
      <c r="I205" s="236">
        <v>73000</v>
      </c>
    </row>
    <row r="206" spans="1:10" s="189" customFormat="1" ht="61.2" x14ac:dyDescent="1.05">
      <c r="A206" s="271"/>
      <c r="B206" s="185"/>
      <c r="C206" s="272"/>
      <c r="D206" s="241"/>
      <c r="E206" s="277"/>
      <c r="F206" s="278"/>
      <c r="G206" s="238">
        <v>45892</v>
      </c>
      <c r="H206" s="240" t="s">
        <v>2239</v>
      </c>
      <c r="I206" s="236">
        <v>79790</v>
      </c>
    </row>
    <row r="207" spans="1:10" s="189" customFormat="1" ht="61.2" x14ac:dyDescent="1.05">
      <c r="A207" s="271"/>
      <c r="B207" s="185"/>
      <c r="C207" s="272"/>
      <c r="D207" s="241"/>
      <c r="E207" s="277"/>
      <c r="F207" s="278"/>
      <c r="G207" s="238">
        <v>45892</v>
      </c>
      <c r="H207" s="240" t="s">
        <v>2240</v>
      </c>
      <c r="I207" s="236">
        <v>17170</v>
      </c>
    </row>
    <row r="208" spans="1:10" s="189" customFormat="1" ht="61.2" x14ac:dyDescent="1.05">
      <c r="A208" s="271"/>
      <c r="B208" s="185"/>
      <c r="C208" s="272"/>
      <c r="D208" s="241"/>
      <c r="E208" s="277"/>
      <c r="F208" s="278"/>
      <c r="G208" s="238">
        <v>45892</v>
      </c>
      <c r="H208" s="240" t="s">
        <v>2241</v>
      </c>
      <c r="I208" s="236">
        <v>65145</v>
      </c>
    </row>
    <row r="209" spans="1:9" s="189" customFormat="1" ht="61.2" x14ac:dyDescent="1.05">
      <c r="A209" s="271"/>
      <c r="B209" s="185"/>
      <c r="C209" s="272"/>
      <c r="D209" s="241"/>
      <c r="E209" s="277"/>
      <c r="F209" s="278"/>
      <c r="G209" s="238">
        <v>45892</v>
      </c>
      <c r="H209" s="240" t="s">
        <v>2242</v>
      </c>
      <c r="I209" s="236">
        <v>117160</v>
      </c>
    </row>
    <row r="210" spans="1:9" s="189" customFormat="1" ht="61.2" x14ac:dyDescent="1.05">
      <c r="A210" s="271"/>
      <c r="B210" s="185"/>
      <c r="C210" s="272"/>
      <c r="D210" s="241"/>
      <c r="E210" s="277"/>
      <c r="F210" s="278"/>
      <c r="G210" s="238">
        <v>45892</v>
      </c>
      <c r="H210" s="240" t="s">
        <v>2243</v>
      </c>
      <c r="I210" s="236">
        <v>4000</v>
      </c>
    </row>
    <row r="211" spans="1:9" s="189" customFormat="1" ht="61.2" x14ac:dyDescent="1.05">
      <c r="A211" s="271"/>
      <c r="B211" s="185"/>
      <c r="C211" s="272"/>
      <c r="D211" s="241"/>
      <c r="E211" s="277"/>
      <c r="F211" s="278"/>
      <c r="G211" s="238">
        <v>45892</v>
      </c>
      <c r="H211" s="240" t="s">
        <v>2244</v>
      </c>
      <c r="I211" s="236">
        <v>5000</v>
      </c>
    </row>
    <row r="212" spans="1:9" s="189" customFormat="1" ht="61.2" x14ac:dyDescent="1.05">
      <c r="A212" s="271"/>
      <c r="B212" s="185"/>
      <c r="C212" s="272"/>
      <c r="D212" s="241"/>
      <c r="E212" s="277"/>
      <c r="F212" s="278"/>
      <c r="G212" s="238">
        <v>45892</v>
      </c>
      <c r="H212" s="240" t="s">
        <v>2245</v>
      </c>
      <c r="I212" s="236">
        <v>50500</v>
      </c>
    </row>
    <row r="213" spans="1:9" s="189" customFormat="1" ht="61.2" x14ac:dyDescent="1.05">
      <c r="A213" s="271"/>
      <c r="B213" s="185"/>
      <c r="C213" s="272"/>
      <c r="D213" s="241"/>
      <c r="E213" s="277"/>
      <c r="F213" s="278"/>
      <c r="G213" s="238">
        <v>45894</v>
      </c>
      <c r="H213" s="240" t="s">
        <v>2246</v>
      </c>
      <c r="I213" s="236">
        <v>85000</v>
      </c>
    </row>
    <row r="214" spans="1:9" s="189" customFormat="1" ht="61.2" x14ac:dyDescent="1.05">
      <c r="A214" s="271"/>
      <c r="B214" s="185"/>
      <c r="C214" s="272"/>
      <c r="D214" s="241"/>
      <c r="E214" s="277"/>
      <c r="F214" s="278"/>
      <c r="G214" s="238">
        <v>45894</v>
      </c>
      <c r="H214" s="240" t="s">
        <v>2247</v>
      </c>
      <c r="I214" s="236">
        <v>18180</v>
      </c>
    </row>
    <row r="215" spans="1:9" s="189" customFormat="1" ht="61.2" x14ac:dyDescent="1.05">
      <c r="A215" s="271"/>
      <c r="B215" s="185"/>
      <c r="C215" s="272"/>
      <c r="D215" s="241"/>
      <c r="E215" s="277"/>
      <c r="F215" s="278"/>
      <c r="G215" s="238">
        <v>45894</v>
      </c>
      <c r="H215" s="240" t="s">
        <v>2248</v>
      </c>
      <c r="I215" s="236">
        <v>32320</v>
      </c>
    </row>
    <row r="216" spans="1:9" s="189" customFormat="1" ht="61.2" x14ac:dyDescent="1.05">
      <c r="A216" s="271"/>
      <c r="B216" s="185"/>
      <c r="C216" s="272"/>
      <c r="D216" s="241"/>
      <c r="E216" s="277"/>
      <c r="F216" s="278"/>
      <c r="G216" s="238">
        <v>45894</v>
      </c>
      <c r="H216" s="240" t="s">
        <v>2249</v>
      </c>
      <c r="I216" s="236">
        <v>1800</v>
      </c>
    </row>
    <row r="217" spans="1:9" s="189" customFormat="1" ht="61.2" x14ac:dyDescent="1.05">
      <c r="A217" s="271"/>
      <c r="B217" s="185"/>
      <c r="C217" s="272"/>
      <c r="D217" s="241"/>
      <c r="E217" s="277"/>
      <c r="F217" s="278"/>
      <c r="G217" s="238">
        <v>45894</v>
      </c>
      <c r="H217" s="240" t="s">
        <v>2250</v>
      </c>
      <c r="I217" s="236">
        <v>5050</v>
      </c>
    </row>
    <row r="218" spans="1:9" s="189" customFormat="1" ht="61.2" x14ac:dyDescent="1.05">
      <c r="A218" s="271"/>
      <c r="B218" s="185"/>
      <c r="C218" s="272"/>
      <c r="D218" s="241"/>
      <c r="E218" s="277"/>
      <c r="F218" s="278"/>
      <c r="G218" s="238">
        <v>45894</v>
      </c>
      <c r="H218" s="240" t="s">
        <v>2251</v>
      </c>
      <c r="I218" s="236">
        <v>5000</v>
      </c>
    </row>
    <row r="219" spans="1:9" s="189" customFormat="1" ht="61.2" x14ac:dyDescent="1.05">
      <c r="A219" s="271"/>
      <c r="B219" s="185"/>
      <c r="C219" s="272"/>
      <c r="D219" s="241"/>
      <c r="E219" s="277"/>
      <c r="F219" s="278"/>
      <c r="G219" s="238">
        <v>45894</v>
      </c>
      <c r="H219" s="240" t="s">
        <v>2252</v>
      </c>
      <c r="I219" s="236">
        <v>5000</v>
      </c>
    </row>
    <row r="220" spans="1:9" s="189" customFormat="1" ht="61.2" x14ac:dyDescent="1.05">
      <c r="A220" s="271"/>
      <c r="B220" s="185"/>
      <c r="C220" s="272"/>
      <c r="D220" s="241"/>
      <c r="E220" s="277"/>
      <c r="F220" s="278"/>
      <c r="G220" s="238">
        <v>45894</v>
      </c>
      <c r="H220" s="240" t="s">
        <v>2253</v>
      </c>
      <c r="I220" s="236">
        <v>17170</v>
      </c>
    </row>
    <row r="221" spans="1:9" s="189" customFormat="1" ht="61.2" x14ac:dyDescent="1.05">
      <c r="A221" s="271"/>
      <c r="B221" s="185"/>
      <c r="C221" s="272"/>
      <c r="D221" s="241"/>
      <c r="E221" s="277"/>
      <c r="F221" s="278"/>
      <c r="G221" s="238">
        <v>45894</v>
      </c>
      <c r="H221" s="240" t="s">
        <v>2254</v>
      </c>
      <c r="I221" s="236">
        <v>10100</v>
      </c>
    </row>
    <row r="222" spans="1:9" s="189" customFormat="1" ht="61.2" x14ac:dyDescent="1.05">
      <c r="A222" s="271"/>
      <c r="B222" s="185"/>
      <c r="C222" s="272"/>
      <c r="D222" s="241"/>
      <c r="E222" s="277"/>
      <c r="F222" s="278"/>
      <c r="G222" s="238">
        <v>45894</v>
      </c>
      <c r="H222" s="240" t="s">
        <v>1510</v>
      </c>
      <c r="I222" s="236">
        <v>10100</v>
      </c>
    </row>
    <row r="223" spans="1:9" s="207" customFormat="1" ht="61.2" x14ac:dyDescent="1.05">
      <c r="A223" s="271"/>
      <c r="B223" s="185"/>
      <c r="C223" s="272"/>
      <c r="D223" s="241"/>
      <c r="E223" s="277"/>
      <c r="F223" s="278"/>
      <c r="G223" s="238">
        <v>45894</v>
      </c>
      <c r="H223" s="240" t="s">
        <v>2255</v>
      </c>
      <c r="I223" s="236">
        <v>2000</v>
      </c>
    </row>
    <row r="224" spans="1:9" s="207" customFormat="1" ht="61.2" x14ac:dyDescent="1.05">
      <c r="A224" s="271"/>
      <c r="B224" s="185"/>
      <c r="C224" s="272"/>
      <c r="D224" s="241"/>
      <c r="E224" s="277"/>
      <c r="F224" s="278"/>
      <c r="G224" s="238">
        <v>45895</v>
      </c>
      <c r="H224" s="240" t="s">
        <v>2256</v>
      </c>
      <c r="I224" s="236">
        <v>120000</v>
      </c>
    </row>
    <row r="225" spans="1:9" s="207" customFormat="1" ht="61.2" x14ac:dyDescent="1.05">
      <c r="A225" s="187"/>
      <c r="B225" s="185"/>
      <c r="C225" s="272"/>
      <c r="D225" s="241"/>
      <c r="E225" s="277"/>
      <c r="F225" s="278"/>
      <c r="G225" s="238">
        <v>45895</v>
      </c>
      <c r="H225" s="240" t="s">
        <v>2257</v>
      </c>
      <c r="I225" s="236">
        <v>7070</v>
      </c>
    </row>
    <row r="226" spans="1:9" s="207" customFormat="1" ht="61.2" x14ac:dyDescent="1.05">
      <c r="A226" s="187"/>
      <c r="B226" s="185"/>
      <c r="C226" s="272"/>
      <c r="D226" s="241"/>
      <c r="E226" s="277"/>
      <c r="F226" s="278"/>
      <c r="G226" s="238">
        <v>45895</v>
      </c>
      <c r="H226" s="240" t="s">
        <v>2258</v>
      </c>
      <c r="I226" s="236">
        <v>24750</v>
      </c>
    </row>
    <row r="227" spans="1:9" s="207" customFormat="1" ht="61.2" x14ac:dyDescent="1.05">
      <c r="A227" s="187"/>
      <c r="B227" s="185"/>
      <c r="C227" s="272"/>
      <c r="D227" s="241"/>
      <c r="E227" s="277"/>
      <c r="F227" s="278"/>
      <c r="G227" s="238">
        <v>45895</v>
      </c>
      <c r="H227" s="240" t="s">
        <v>2259</v>
      </c>
      <c r="I227" s="236">
        <v>2500000</v>
      </c>
    </row>
    <row r="228" spans="1:9" s="207" customFormat="1" ht="61.2" x14ac:dyDescent="1.05">
      <c r="A228" s="187"/>
      <c r="B228" s="185"/>
      <c r="C228" s="272"/>
      <c r="D228" s="241"/>
      <c r="E228" s="277"/>
      <c r="F228" s="278"/>
      <c r="G228" s="238">
        <v>45895</v>
      </c>
      <c r="H228" s="240" t="s">
        <v>2260</v>
      </c>
      <c r="I228" s="236">
        <v>1000</v>
      </c>
    </row>
    <row r="229" spans="1:9" s="207" customFormat="1" ht="61.2" x14ac:dyDescent="1.05">
      <c r="A229" s="187"/>
      <c r="B229" s="185"/>
      <c r="C229" s="272"/>
      <c r="D229" s="241"/>
      <c r="E229" s="277"/>
      <c r="F229" s="278"/>
      <c r="G229" s="238">
        <v>45895</v>
      </c>
      <c r="H229" s="240" t="s">
        <v>2261</v>
      </c>
      <c r="I229" s="236">
        <v>64640</v>
      </c>
    </row>
    <row r="230" spans="1:9" s="207" customFormat="1" ht="61.2" x14ac:dyDescent="1.05">
      <c r="A230" s="187"/>
      <c r="B230" s="185"/>
      <c r="C230" s="272"/>
      <c r="D230" s="241"/>
      <c r="E230" s="277"/>
      <c r="F230" s="278"/>
      <c r="G230" s="238">
        <v>45895</v>
      </c>
      <c r="H230" s="154" t="s">
        <v>2262</v>
      </c>
      <c r="I230" s="236">
        <v>36360</v>
      </c>
    </row>
    <row r="231" spans="1:9" s="207" customFormat="1" ht="61.2" x14ac:dyDescent="1.05">
      <c r="A231" s="187"/>
      <c r="B231" s="185"/>
      <c r="C231" s="272"/>
      <c r="D231" s="241"/>
      <c r="E231" s="277"/>
      <c r="F231" s="278"/>
      <c r="G231" s="238">
        <v>45895</v>
      </c>
      <c r="H231" s="154" t="s">
        <v>2263</v>
      </c>
      <c r="I231" s="236">
        <v>192305</v>
      </c>
    </row>
    <row r="232" spans="1:9" s="207" customFormat="1" ht="61.2" x14ac:dyDescent="1.05">
      <c r="A232" s="187"/>
      <c r="B232" s="185"/>
      <c r="C232" s="272"/>
      <c r="D232" s="241"/>
      <c r="E232" s="277"/>
      <c r="F232" s="278"/>
      <c r="G232" s="238">
        <v>45895</v>
      </c>
      <c r="H232" s="154" t="s">
        <v>2264</v>
      </c>
      <c r="I232" s="246">
        <v>10100</v>
      </c>
    </row>
    <row r="233" spans="1:9" s="207" customFormat="1" ht="61.2" x14ac:dyDescent="1.05">
      <c r="A233" s="187"/>
      <c r="B233" s="185"/>
      <c r="C233" s="272"/>
      <c r="D233" s="241"/>
      <c r="E233" s="277"/>
      <c r="F233" s="278"/>
      <c r="G233" s="238">
        <v>45895</v>
      </c>
      <c r="H233" s="154" t="s">
        <v>2265</v>
      </c>
      <c r="I233" s="246">
        <v>20200</v>
      </c>
    </row>
    <row r="234" spans="1:9" s="207" customFormat="1" ht="61.2" x14ac:dyDescent="1.05">
      <c r="A234" s="187"/>
      <c r="B234" s="185"/>
      <c r="C234" s="272"/>
      <c r="D234" s="241"/>
      <c r="E234" s="277"/>
      <c r="F234" s="278"/>
      <c r="G234" s="238">
        <v>45895</v>
      </c>
      <c r="H234" s="154" t="s">
        <v>2266</v>
      </c>
      <c r="I234" s="246">
        <v>1000</v>
      </c>
    </row>
    <row r="235" spans="1:9" s="207" customFormat="1" ht="61.2" x14ac:dyDescent="1.05">
      <c r="A235" s="187"/>
      <c r="B235" s="185"/>
      <c r="C235" s="272"/>
      <c r="D235" s="241"/>
      <c r="E235" s="277"/>
      <c r="F235" s="278"/>
      <c r="G235" s="238">
        <v>45895</v>
      </c>
      <c r="H235" s="154" t="s">
        <v>2267</v>
      </c>
      <c r="I235" s="246">
        <v>6500</v>
      </c>
    </row>
    <row r="236" spans="1:9" s="207" customFormat="1" ht="61.2" x14ac:dyDescent="1.05">
      <c r="A236" s="187"/>
      <c r="B236" s="185"/>
      <c r="C236" s="272"/>
      <c r="D236" s="241"/>
      <c r="E236" s="277"/>
      <c r="F236" s="278"/>
      <c r="G236" s="238">
        <v>45896</v>
      </c>
      <c r="H236" s="154" t="s">
        <v>2268</v>
      </c>
      <c r="I236" s="246">
        <v>4000</v>
      </c>
    </row>
    <row r="237" spans="1:9" s="207" customFormat="1" ht="61.2" x14ac:dyDescent="1.05">
      <c r="A237" s="187"/>
      <c r="B237" s="185"/>
      <c r="C237" s="272"/>
      <c r="D237" s="241"/>
      <c r="E237" s="277"/>
      <c r="F237" s="278"/>
      <c r="G237" s="238">
        <v>45896</v>
      </c>
      <c r="H237" s="154" t="s">
        <v>2269</v>
      </c>
      <c r="I237" s="246">
        <v>823300</v>
      </c>
    </row>
    <row r="238" spans="1:9" s="207" customFormat="1" ht="61.2" x14ac:dyDescent="1.05">
      <c r="A238" s="187"/>
      <c r="B238" s="185"/>
      <c r="C238" s="272"/>
      <c r="D238" s="241"/>
      <c r="E238" s="277"/>
      <c r="F238" s="278"/>
      <c r="G238" s="238">
        <v>45896</v>
      </c>
      <c r="H238" s="154" t="s">
        <v>2270</v>
      </c>
      <c r="I238" s="246">
        <v>50500</v>
      </c>
    </row>
    <row r="239" spans="1:9" s="207" customFormat="1" ht="61.2" x14ac:dyDescent="1.05">
      <c r="A239" s="187"/>
      <c r="B239" s="185"/>
      <c r="C239" s="272"/>
      <c r="D239" s="241"/>
      <c r="E239" s="277"/>
      <c r="F239" s="278"/>
      <c r="G239" s="238">
        <v>45896</v>
      </c>
      <c r="H239" s="154" t="s">
        <v>2271</v>
      </c>
      <c r="I239" s="246">
        <v>7070</v>
      </c>
    </row>
    <row r="240" spans="1:9" s="207" customFormat="1" ht="61.2" x14ac:dyDescent="1.05">
      <c r="A240" s="187"/>
      <c r="B240" s="185"/>
      <c r="C240" s="272"/>
      <c r="D240" s="241"/>
      <c r="E240" s="277"/>
      <c r="F240" s="278"/>
      <c r="G240" s="238">
        <v>45897</v>
      </c>
      <c r="H240" s="154" t="s">
        <v>2272</v>
      </c>
      <c r="I240" s="246">
        <v>5000</v>
      </c>
    </row>
    <row r="241" spans="1:9" s="207" customFormat="1" ht="61.2" x14ac:dyDescent="1.05">
      <c r="A241" s="187"/>
      <c r="B241" s="185"/>
      <c r="C241" s="272"/>
      <c r="D241" s="241"/>
      <c r="E241" s="277"/>
      <c r="F241" s="278"/>
      <c r="G241" s="238">
        <v>45897</v>
      </c>
      <c r="H241" s="154" t="s">
        <v>2273</v>
      </c>
      <c r="I241" s="246">
        <v>2000</v>
      </c>
    </row>
    <row r="242" spans="1:9" s="207" customFormat="1" ht="61.2" x14ac:dyDescent="1.05">
      <c r="A242" s="187"/>
      <c r="B242" s="185"/>
      <c r="C242" s="272"/>
      <c r="D242" s="241"/>
      <c r="E242" s="277"/>
      <c r="F242" s="278"/>
      <c r="G242" s="238">
        <v>45897</v>
      </c>
      <c r="H242" s="154" t="s">
        <v>2274</v>
      </c>
      <c r="I242" s="246">
        <v>202000</v>
      </c>
    </row>
    <row r="243" spans="1:9" s="207" customFormat="1" ht="61.2" x14ac:dyDescent="1.05">
      <c r="A243" s="187"/>
      <c r="B243" s="185"/>
      <c r="C243" s="272"/>
      <c r="D243" s="241"/>
      <c r="E243" s="277"/>
      <c r="F243" s="278"/>
      <c r="G243" s="238">
        <v>45897</v>
      </c>
      <c r="H243" s="154" t="s">
        <v>2275</v>
      </c>
      <c r="I243" s="246">
        <v>144430</v>
      </c>
    </row>
    <row r="244" spans="1:9" s="207" customFormat="1" ht="61.2" x14ac:dyDescent="1.05">
      <c r="A244" s="187"/>
      <c r="B244" s="185"/>
      <c r="C244" s="272"/>
      <c r="D244" s="241"/>
      <c r="E244" s="277"/>
      <c r="F244" s="278"/>
      <c r="G244" s="238">
        <v>45897</v>
      </c>
      <c r="H244" s="154" t="s">
        <v>2276</v>
      </c>
      <c r="I244" s="246">
        <v>15150</v>
      </c>
    </row>
    <row r="245" spans="1:9" s="207" customFormat="1" ht="61.2" x14ac:dyDescent="1.05">
      <c r="A245" s="187"/>
      <c r="B245" s="185"/>
      <c r="C245" s="272"/>
      <c r="D245" s="241"/>
      <c r="E245" s="277"/>
      <c r="F245" s="278"/>
      <c r="G245" s="238">
        <v>45897</v>
      </c>
      <c r="H245" s="154" t="s">
        <v>2277</v>
      </c>
      <c r="I245" s="246">
        <v>30300</v>
      </c>
    </row>
    <row r="246" spans="1:9" s="207" customFormat="1" ht="61.2" x14ac:dyDescent="1.05">
      <c r="A246" s="187"/>
      <c r="B246" s="185"/>
      <c r="C246" s="272"/>
      <c r="D246" s="241"/>
      <c r="E246" s="277"/>
      <c r="F246" s="278"/>
      <c r="G246" s="238">
        <v>45897</v>
      </c>
      <c r="H246" s="154" t="s">
        <v>2278</v>
      </c>
      <c r="I246" s="246">
        <v>1000</v>
      </c>
    </row>
    <row r="247" spans="1:9" s="207" customFormat="1" ht="61.2" x14ac:dyDescent="1.05">
      <c r="A247" s="187"/>
      <c r="B247" s="185"/>
      <c r="C247" s="272"/>
      <c r="D247" s="241"/>
      <c r="E247" s="277"/>
      <c r="F247" s="278"/>
      <c r="G247" s="238">
        <v>45897</v>
      </c>
      <c r="H247" s="154" t="s">
        <v>2279</v>
      </c>
      <c r="I247" s="246">
        <v>1000</v>
      </c>
    </row>
    <row r="248" spans="1:9" s="207" customFormat="1" ht="61.2" x14ac:dyDescent="1.05">
      <c r="A248" s="187"/>
      <c r="B248" s="185"/>
      <c r="C248" s="272"/>
      <c r="D248" s="241"/>
      <c r="E248" s="277"/>
      <c r="F248" s="278"/>
      <c r="G248" s="238">
        <v>45897</v>
      </c>
      <c r="H248" s="154" t="s">
        <v>2280</v>
      </c>
      <c r="I248" s="246">
        <v>10100</v>
      </c>
    </row>
    <row r="249" spans="1:9" s="207" customFormat="1" ht="61.2" x14ac:dyDescent="1.05">
      <c r="A249" s="187"/>
      <c r="B249" s="185"/>
      <c r="C249" s="272"/>
      <c r="D249" s="241"/>
      <c r="E249" s="277"/>
      <c r="F249" s="278"/>
      <c r="G249" s="238">
        <v>45897</v>
      </c>
      <c r="H249" s="154" t="s">
        <v>2281</v>
      </c>
      <c r="I249" s="246">
        <v>115150</v>
      </c>
    </row>
    <row r="250" spans="1:9" s="207" customFormat="1" ht="61.2" x14ac:dyDescent="1.05">
      <c r="A250" s="187"/>
      <c r="B250" s="185"/>
      <c r="C250" s="272"/>
      <c r="D250" s="241"/>
      <c r="E250" s="277"/>
      <c r="F250" s="278"/>
      <c r="G250" s="238">
        <v>45897</v>
      </c>
      <c r="H250" s="154" t="s">
        <v>2282</v>
      </c>
      <c r="I250" s="246">
        <v>10000</v>
      </c>
    </row>
    <row r="251" spans="1:9" s="207" customFormat="1" ht="61.2" x14ac:dyDescent="1.05">
      <c r="A251" s="187"/>
      <c r="B251" s="185"/>
      <c r="C251" s="272"/>
      <c r="D251" s="241"/>
      <c r="E251" s="277"/>
      <c r="F251" s="278"/>
      <c r="G251" s="238">
        <v>45898</v>
      </c>
      <c r="H251" s="154" t="s">
        <v>2283</v>
      </c>
      <c r="I251" s="246">
        <v>5050</v>
      </c>
    </row>
    <row r="252" spans="1:9" s="207" customFormat="1" ht="61.2" x14ac:dyDescent="1.05">
      <c r="A252" s="187"/>
      <c r="B252" s="185"/>
      <c r="C252" s="272"/>
      <c r="D252" s="241"/>
      <c r="E252" s="277"/>
      <c r="F252" s="278"/>
      <c r="G252" s="238">
        <v>45898</v>
      </c>
      <c r="H252" s="154" t="s">
        <v>2284</v>
      </c>
      <c r="I252" s="246">
        <v>10100</v>
      </c>
    </row>
    <row r="253" spans="1:9" s="207" customFormat="1" ht="61.2" x14ac:dyDescent="1.05">
      <c r="A253" s="187"/>
      <c r="B253" s="185"/>
      <c r="C253" s="272"/>
      <c r="D253" s="241"/>
      <c r="E253" s="277"/>
      <c r="F253" s="278"/>
      <c r="G253" s="238">
        <v>45898</v>
      </c>
      <c r="H253" s="154" t="s">
        <v>2285</v>
      </c>
      <c r="I253" s="246">
        <v>151500</v>
      </c>
    </row>
    <row r="254" spans="1:9" s="207" customFormat="1" ht="61.2" x14ac:dyDescent="1.05">
      <c r="A254" s="187"/>
      <c r="B254" s="185"/>
      <c r="C254" s="272"/>
      <c r="D254" s="241"/>
      <c r="E254" s="277"/>
      <c r="F254" s="278"/>
      <c r="G254" s="238">
        <v>45898</v>
      </c>
      <c r="H254" s="154" t="s">
        <v>2286</v>
      </c>
      <c r="I254" s="246">
        <v>9090</v>
      </c>
    </row>
    <row r="255" spans="1:9" s="207" customFormat="1" ht="61.2" x14ac:dyDescent="1.05">
      <c r="A255" s="187"/>
      <c r="B255" s="185"/>
      <c r="C255" s="272"/>
      <c r="D255" s="241"/>
      <c r="E255" s="277"/>
      <c r="F255" s="278"/>
      <c r="G255" s="238">
        <v>45898</v>
      </c>
      <c r="H255" s="154" t="s">
        <v>2287</v>
      </c>
      <c r="I255" s="246">
        <v>101000</v>
      </c>
    </row>
    <row r="256" spans="1:9" s="207" customFormat="1" ht="61.2" x14ac:dyDescent="1.05">
      <c r="A256" s="187"/>
      <c r="B256" s="185"/>
      <c r="C256" s="272"/>
      <c r="D256" s="241"/>
      <c r="E256" s="277"/>
      <c r="F256" s="278"/>
      <c r="G256" s="238">
        <v>45898</v>
      </c>
      <c r="H256" s="154" t="s">
        <v>2288</v>
      </c>
      <c r="I256" s="246">
        <v>50500</v>
      </c>
    </row>
    <row r="257" spans="1:13" s="207" customFormat="1" ht="61.2" x14ac:dyDescent="1.05">
      <c r="A257" s="187"/>
      <c r="B257" s="185"/>
      <c r="C257" s="272"/>
      <c r="D257" s="241"/>
      <c r="E257" s="277"/>
      <c r="F257" s="278"/>
      <c r="G257" s="238">
        <v>45899</v>
      </c>
      <c r="H257" s="154" t="s">
        <v>2289</v>
      </c>
      <c r="I257" s="246">
        <v>25250</v>
      </c>
    </row>
    <row r="258" spans="1:13" s="207" customFormat="1" ht="61.2" x14ac:dyDescent="1.05">
      <c r="A258" s="187"/>
      <c r="B258" s="185"/>
      <c r="C258" s="272"/>
      <c r="D258" s="241"/>
      <c r="E258" s="277"/>
      <c r="F258" s="278"/>
      <c r="G258" s="238">
        <v>45899</v>
      </c>
      <c r="H258" s="154" t="s">
        <v>2290</v>
      </c>
      <c r="I258" s="246">
        <v>151500</v>
      </c>
    </row>
    <row r="259" spans="1:13" s="207" customFormat="1" ht="61.2" x14ac:dyDescent="1.05">
      <c r="A259" s="187"/>
      <c r="B259" s="185"/>
      <c r="C259" s="272"/>
      <c r="D259" s="241"/>
      <c r="E259" s="277"/>
      <c r="F259" s="280"/>
      <c r="G259" s="238">
        <v>45899</v>
      </c>
      <c r="H259" s="154" t="s">
        <v>2291</v>
      </c>
      <c r="I259" s="246">
        <v>1500</v>
      </c>
      <c r="K259" s="87"/>
      <c r="L259" s="87"/>
      <c r="M259" s="87"/>
    </row>
    <row r="260" spans="1:13" s="207" customFormat="1" ht="61.2" x14ac:dyDescent="1.05">
      <c r="A260" s="187"/>
      <c r="B260" s="185"/>
      <c r="C260" s="272"/>
      <c r="D260" s="241"/>
      <c r="E260" s="277"/>
      <c r="F260" s="280"/>
      <c r="G260" s="238">
        <v>45899</v>
      </c>
      <c r="H260" s="240" t="s">
        <v>2292</v>
      </c>
      <c r="I260" s="246">
        <v>2000</v>
      </c>
      <c r="K260" s="87"/>
      <c r="L260" s="87"/>
      <c r="M260" s="87"/>
    </row>
    <row r="261" spans="1:13" s="207" customFormat="1" ht="61.2" x14ac:dyDescent="1.05">
      <c r="A261" s="187"/>
      <c r="B261" s="185"/>
      <c r="C261" s="272"/>
      <c r="D261" s="241"/>
      <c r="E261" s="277"/>
      <c r="F261" s="280"/>
      <c r="G261" s="238">
        <v>45899</v>
      </c>
      <c r="H261" s="240" t="s">
        <v>2264</v>
      </c>
      <c r="I261" s="246">
        <v>10100</v>
      </c>
      <c r="K261" s="87"/>
      <c r="L261" s="87"/>
      <c r="M261" s="87"/>
    </row>
    <row r="262" spans="1:13" s="207" customFormat="1" ht="61.2" x14ac:dyDescent="1.05">
      <c r="A262" s="187"/>
      <c r="B262" s="185"/>
      <c r="C262" s="272"/>
      <c r="D262" s="241"/>
      <c r="E262" s="277"/>
      <c r="F262" s="280"/>
      <c r="G262" s="238">
        <v>45899</v>
      </c>
      <c r="H262" s="240" t="s">
        <v>2293</v>
      </c>
      <c r="I262" s="246">
        <v>868600</v>
      </c>
      <c r="K262" s="87"/>
      <c r="L262" s="87"/>
      <c r="M262" s="87"/>
    </row>
    <row r="263" spans="1:13" s="207" customFormat="1" ht="61.2" x14ac:dyDescent="1.05">
      <c r="A263" s="187"/>
      <c r="B263" s="185"/>
      <c r="C263" s="272"/>
      <c r="D263" s="241"/>
      <c r="E263" s="277"/>
      <c r="F263" s="281">
        <f>SUM(F4:F219)</f>
        <v>15818833</v>
      </c>
      <c r="G263" s="238">
        <v>45899</v>
      </c>
      <c r="H263" s="240" t="s">
        <v>2294</v>
      </c>
      <c r="I263" s="246">
        <v>10000</v>
      </c>
      <c r="K263" s="87"/>
      <c r="L263" s="87"/>
      <c r="M263" s="87"/>
    </row>
    <row r="264" spans="1:13" s="207" customFormat="1" ht="61.2" x14ac:dyDescent="1.05">
      <c r="A264" s="187"/>
      <c r="B264" s="185"/>
      <c r="C264" s="272"/>
      <c r="D264" s="241"/>
      <c r="E264" s="277"/>
      <c r="F264" s="281"/>
      <c r="G264" s="238">
        <v>45900</v>
      </c>
      <c r="H264" s="240" t="s">
        <v>2295</v>
      </c>
      <c r="I264" s="246">
        <v>135340</v>
      </c>
      <c r="K264" s="87"/>
      <c r="L264" s="87"/>
      <c r="M264" s="87"/>
    </row>
    <row r="265" spans="1:13" s="50" customFormat="1" ht="35.4" x14ac:dyDescent="0.6">
      <c r="A265" s="147"/>
      <c r="B265" s="234"/>
      <c r="C265" s="242"/>
      <c r="D265" s="239"/>
      <c r="E265" s="234"/>
      <c r="F265" s="247"/>
      <c r="G265" s="241"/>
      <c r="H265" s="222" t="s">
        <v>2296</v>
      </c>
      <c r="I265" s="244"/>
      <c r="K265" s="1"/>
      <c r="L265" s="1"/>
      <c r="M265" s="1"/>
    </row>
    <row r="266" spans="1:13" s="50" customFormat="1" ht="35.4" x14ac:dyDescent="0.6">
      <c r="A266" s="147" t="s">
        <v>7</v>
      </c>
      <c r="B266" s="234"/>
      <c r="C266" s="242"/>
      <c r="D266" s="239"/>
      <c r="E266" s="243"/>
      <c r="F266" s="248"/>
      <c r="G266" s="241"/>
      <c r="H266" s="222"/>
      <c r="I266" s="249"/>
      <c r="K266" s="1"/>
      <c r="L266" s="1"/>
      <c r="M266" s="1"/>
    </row>
    <row r="267" spans="1:13" s="50" customFormat="1" ht="91.8" x14ac:dyDescent="0.6">
      <c r="A267" s="147" t="s">
        <v>13</v>
      </c>
      <c r="B267" s="250"/>
      <c r="C267" s="251">
        <f>SUM(C4:C132)</f>
        <v>52827081</v>
      </c>
      <c r="D267" s="252" t="s">
        <v>7</v>
      </c>
      <c r="E267" s="253"/>
      <c r="F267" s="254"/>
      <c r="G267" s="255" t="s">
        <v>7</v>
      </c>
      <c r="H267" s="156"/>
      <c r="I267" s="102">
        <f>SUM(I4:I266)</f>
        <v>37003302</v>
      </c>
      <c r="K267" s="1"/>
      <c r="L267" s="1"/>
      <c r="M267" s="1"/>
    </row>
    <row r="268" spans="1:13" ht="36.6" x14ac:dyDescent="0.6">
      <c r="A268" s="1"/>
      <c r="B268" s="256"/>
      <c r="C268" s="257">
        <f>+C267</f>
        <v>52827081</v>
      </c>
      <c r="D268" s="258"/>
      <c r="E268" s="259"/>
      <c r="F268" s="260"/>
      <c r="G268"/>
      <c r="H268" s="70" t="s">
        <v>20</v>
      </c>
      <c r="I268" s="192">
        <f>+F263+I267</f>
        <v>52822135</v>
      </c>
    </row>
    <row r="269" spans="1:13" ht="45.6" x14ac:dyDescent="0.6">
      <c r="A269" s="1"/>
      <c r="B269" s="261"/>
      <c r="C269" s="254"/>
      <c r="D269" s="262"/>
      <c r="E269" s="261"/>
      <c r="F269" s="254"/>
      <c r="G269"/>
      <c r="H269" s="67" t="s">
        <v>10</v>
      </c>
      <c r="I269" s="25">
        <f>+C267-F263-I267</f>
        <v>4946</v>
      </c>
    </row>
    <row r="270" spans="1:13" x14ac:dyDescent="0.6">
      <c r="A270" s="1"/>
      <c r="B270" s="261"/>
      <c r="C270" s="254"/>
      <c r="D270" s="262"/>
      <c r="E270" s="261"/>
      <c r="F270" s="254"/>
      <c r="G270"/>
      <c r="I270" s="56">
        <f>+C268-I268</f>
        <v>4946</v>
      </c>
    </row>
    <row r="271" spans="1:13" ht="91.8" x14ac:dyDescent="0.6">
      <c r="A271" s="1"/>
      <c r="B271" s="261"/>
      <c r="C271" s="254"/>
      <c r="D271" s="261"/>
      <c r="E271" s="261"/>
      <c r="F271" s="254"/>
      <c r="G271" s="263" t="s">
        <v>22</v>
      </c>
      <c r="H271" s="65"/>
      <c r="I271" s="56">
        <f>+I269-I270</f>
        <v>0</v>
      </c>
    </row>
    <row r="272" spans="1:13" ht="91.8" x14ac:dyDescent="0.6">
      <c r="A272" s="58"/>
      <c r="B272" s="261"/>
      <c r="C272" s="264"/>
      <c r="D272" s="265"/>
      <c r="E272" s="261"/>
      <c r="F272" s="254"/>
      <c r="G272" s="263"/>
      <c r="H272" s="65"/>
      <c r="I272" s="193"/>
    </row>
    <row r="273" spans="1:9" ht="61.2" x14ac:dyDescent="1.05">
      <c r="A273" s="1"/>
      <c r="B273" s="261"/>
      <c r="C273" s="264"/>
      <c r="D273" s="8"/>
      <c r="E273" s="195"/>
      <c r="F273" s="93"/>
      <c r="G273" s="266" t="s">
        <v>3</v>
      </c>
      <c r="H273" s="55">
        <f>+C268</f>
        <v>52827081</v>
      </c>
      <c r="I273" s="193"/>
    </row>
    <row r="274" spans="1:9" ht="61.2" x14ac:dyDescent="1.05">
      <c r="A274" s="1"/>
      <c r="B274" s="267"/>
      <c r="C274" s="268"/>
      <c r="D274" s="17"/>
      <c r="E274" s="40"/>
      <c r="F274" s="93"/>
      <c r="G274" s="266" t="s">
        <v>23</v>
      </c>
      <c r="H274" s="55">
        <f>+F263</f>
        <v>15818833</v>
      </c>
      <c r="I274" s="193"/>
    </row>
    <row r="275" spans="1:9" ht="61.2" x14ac:dyDescent="1.05">
      <c r="A275" s="1"/>
      <c r="B275" s="261"/>
      <c r="C275" s="264"/>
      <c r="D275" s="1"/>
      <c r="E275" s="7"/>
      <c r="F275" s="93"/>
      <c r="G275" s="266" t="s">
        <v>24</v>
      </c>
      <c r="H275" s="53">
        <f>+I267</f>
        <v>37003302</v>
      </c>
      <c r="I275" s="193"/>
    </row>
    <row r="276" spans="1:9" ht="61.2" x14ac:dyDescent="1.05">
      <c r="A276" s="1"/>
      <c r="B276" s="261"/>
      <c r="C276" s="264"/>
      <c r="D276" s="1"/>
      <c r="E276" s="7"/>
      <c r="F276" s="93"/>
      <c r="G276" s="266" t="s">
        <v>69</v>
      </c>
      <c r="H276" s="107">
        <v>0</v>
      </c>
      <c r="I276" s="193"/>
    </row>
    <row r="277" spans="1:9" ht="61.2" x14ac:dyDescent="1.05">
      <c r="A277" s="1"/>
      <c r="B277" s="261"/>
      <c r="C277" s="264"/>
      <c r="D277" s="1"/>
      <c r="E277" s="7"/>
      <c r="F277" s="93"/>
      <c r="G277" s="266" t="s">
        <v>25</v>
      </c>
      <c r="H277" s="54">
        <f>+H273-H274-H275-H276</f>
        <v>4946</v>
      </c>
      <c r="I277" s="193"/>
    </row>
    <row r="278" spans="1:9" ht="35.4" x14ac:dyDescent="0.6">
      <c r="A278" s="1"/>
      <c r="B278" s="261"/>
      <c r="C278" s="264"/>
      <c r="D278" s="1"/>
      <c r="E278" s="7"/>
      <c r="F278" s="93"/>
      <c r="G278" s="23"/>
      <c r="I278" s="193"/>
    </row>
    <row r="279" spans="1:9" ht="35.4" x14ac:dyDescent="0.6">
      <c r="A279" s="1"/>
      <c r="B279" s="261"/>
      <c r="C279" s="264"/>
      <c r="D279" s="1"/>
      <c r="E279" s="7"/>
      <c r="F279" s="1"/>
      <c r="G279" s="23"/>
      <c r="I279" s="193"/>
    </row>
    <row r="280" spans="1:9" ht="35.4" x14ac:dyDescent="0.6">
      <c r="A280" s="1"/>
      <c r="B280" s="7"/>
      <c r="C280" s="96"/>
      <c r="D280" s="1"/>
      <c r="E280" s="7"/>
      <c r="F280" s="1"/>
      <c r="G280" s="23"/>
      <c r="I280" s="193"/>
    </row>
    <row r="281" spans="1:9" ht="35.4" x14ac:dyDescent="0.6">
      <c r="A281" s="1"/>
      <c r="B281" s="7"/>
      <c r="C281" s="96"/>
      <c r="D281" s="1"/>
      <c r="E281" s="7"/>
      <c r="G281" s="23"/>
      <c r="H281" s="156"/>
      <c r="I281" s="193"/>
    </row>
    <row r="282" spans="1:9" ht="35.4" x14ac:dyDescent="0.6">
      <c r="A282" s="1"/>
      <c r="B282" s="7"/>
      <c r="C282" s="96"/>
      <c r="D282" s="1"/>
      <c r="E282" s="7"/>
      <c r="G282" s="23"/>
      <c r="H282" s="7"/>
      <c r="I282" s="193"/>
    </row>
    <row r="283" spans="1:9" ht="35.4" x14ac:dyDescent="0.6">
      <c r="B283" s="7"/>
      <c r="C283" s="96"/>
      <c r="D283" s="1"/>
      <c r="E283" s="7"/>
      <c r="G283" s="23"/>
      <c r="H283" s="7"/>
      <c r="I283" s="193"/>
    </row>
    <row r="284" spans="1:9" ht="35.4" x14ac:dyDescent="0.6">
      <c r="B284" s="7"/>
      <c r="C284" s="96"/>
      <c r="D284" s="7"/>
      <c r="E284" s="93"/>
      <c r="G284" s="23"/>
      <c r="H284" s="7"/>
      <c r="I284" s="193"/>
    </row>
    <row r="285" spans="1:9" ht="35.4" x14ac:dyDescent="0.6">
      <c r="B285" s="96"/>
      <c r="C285" s="1"/>
      <c r="D285" s="7"/>
      <c r="E285" s="93"/>
      <c r="G285" s="23"/>
      <c r="H285" s="7"/>
      <c r="I285" s="193"/>
    </row>
    <row r="286" spans="1:9" x14ac:dyDescent="0.6">
      <c r="B286" s="96"/>
      <c r="C286" s="1"/>
      <c r="G286" s="269"/>
      <c r="H286" s="50"/>
      <c r="I286" s="51"/>
    </row>
    <row r="287" spans="1:9" x14ac:dyDescent="0.6">
      <c r="G287" s="269"/>
      <c r="H287" s="50"/>
      <c r="I287" s="51"/>
    </row>
    <row r="289" spans="1:1" x14ac:dyDescent="0.6">
      <c r="A289" s="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E2FB-4D94-44D1-B5B9-A9D8F310398F}">
  <dimension ref="A1:M562"/>
  <sheetViews>
    <sheetView topLeftCell="C321" zoomScale="20" zoomScaleNormal="20" workbookViewId="0">
      <selection activeCell="F357" sqref="F357"/>
    </sheetView>
  </sheetViews>
  <sheetFormatPr baseColWidth="10" defaultColWidth="11.5546875" defaultRowHeight="31.2" x14ac:dyDescent="0.6"/>
  <cols>
    <col min="1" max="1" width="46.109375" style="7" customWidth="1"/>
    <col min="2" max="2" width="146.5546875" style="1" customWidth="1"/>
    <col min="3" max="3" width="59.33203125" style="7" customWidth="1"/>
    <col min="4" max="4" width="42.109375" style="96" customWidth="1"/>
    <col min="5" max="5" width="255.5546875" style="1" customWidth="1"/>
    <col min="6" max="6" width="45" style="7" customWidth="1"/>
    <col min="7" max="7" width="35.88671875" style="7" customWidth="1"/>
    <col min="8" max="8" width="72.33203125" style="270" customWidth="1"/>
    <col min="9" max="9" width="255.33203125" style="1" customWidth="1"/>
    <col min="10" max="10" width="145.109375" style="56" customWidth="1"/>
    <col min="11" max="11" width="24.6640625" style="1" customWidth="1"/>
    <col min="12" max="12" width="11.5546875" style="1"/>
    <col min="13" max="13" width="24.33203125" style="1" customWidth="1"/>
    <col min="14" max="14" width="26.6640625" style="1" customWidth="1"/>
    <col min="15" max="16384" width="11.5546875" style="1"/>
  </cols>
  <sheetData>
    <row r="1" spans="1:10" s="17" customFormat="1" ht="61.95" customHeight="1" thickBot="1" x14ac:dyDescent="0.35">
      <c r="A1" s="108" t="s">
        <v>2297</v>
      </c>
      <c r="B1" s="109"/>
      <c r="C1" s="109"/>
      <c r="D1" s="109"/>
      <c r="E1" s="109"/>
      <c r="F1" s="109"/>
      <c r="G1" s="109"/>
      <c r="H1" s="223"/>
      <c r="I1" s="109"/>
      <c r="J1" s="224"/>
    </row>
    <row r="2" spans="1:10" s="8" customFormat="1" ht="51.6" customHeight="1" thickBot="1" x14ac:dyDescent="0.35">
      <c r="A2" s="131" t="s">
        <v>4</v>
      </c>
      <c r="B2" s="132"/>
      <c r="C2" s="113"/>
      <c r="D2" s="111" t="s">
        <v>5</v>
      </c>
      <c r="E2" s="112"/>
      <c r="F2" s="112"/>
      <c r="G2" s="112"/>
      <c r="H2" s="112"/>
      <c r="I2" s="112"/>
      <c r="J2" s="225"/>
    </row>
    <row r="3" spans="1:10" s="33" customFormat="1" ht="103.2" customHeight="1" x14ac:dyDescent="0.3">
      <c r="A3" s="133" t="s">
        <v>0</v>
      </c>
      <c r="B3" s="177" t="s">
        <v>1</v>
      </c>
      <c r="C3" s="178" t="s">
        <v>2</v>
      </c>
      <c r="D3" s="179" t="s">
        <v>0</v>
      </c>
      <c r="E3" s="180" t="s">
        <v>8</v>
      </c>
      <c r="F3" s="180" t="s">
        <v>2</v>
      </c>
      <c r="G3" s="180"/>
      <c r="H3" s="282" t="s">
        <v>0</v>
      </c>
      <c r="I3" s="180" t="s">
        <v>9</v>
      </c>
      <c r="J3" s="226" t="s">
        <v>2</v>
      </c>
    </row>
    <row r="4" spans="1:10" s="146" customFormat="1" ht="44.25" customHeight="1" x14ac:dyDescent="0.8">
      <c r="A4" s="141"/>
      <c r="B4" s="227" t="s">
        <v>1994</v>
      </c>
      <c r="C4" s="325">
        <v>4946</v>
      </c>
      <c r="D4" s="238">
        <v>45901</v>
      </c>
      <c r="E4" s="63" t="s">
        <v>2298</v>
      </c>
      <c r="F4" s="283">
        <v>1214000</v>
      </c>
      <c r="G4" s="283"/>
      <c r="H4" s="231">
        <v>45901</v>
      </c>
      <c r="I4" s="184" t="s">
        <v>2299</v>
      </c>
      <c r="J4" s="284">
        <v>1000000</v>
      </c>
    </row>
    <row r="5" spans="1:10" s="156" customFormat="1" ht="46.2" x14ac:dyDescent="0.8">
      <c r="A5" s="233">
        <v>45901</v>
      </c>
      <c r="B5" s="234" t="s">
        <v>2300</v>
      </c>
      <c r="C5" s="285">
        <v>2000000</v>
      </c>
      <c r="D5" s="326">
        <v>45903</v>
      </c>
      <c r="E5" s="327" t="s">
        <v>2301</v>
      </c>
      <c r="F5" s="328">
        <v>300000</v>
      </c>
      <c r="G5" s="328"/>
      <c r="H5" s="231">
        <v>45901</v>
      </c>
      <c r="I5" s="185" t="s">
        <v>2302</v>
      </c>
      <c r="J5" s="244">
        <v>20000</v>
      </c>
    </row>
    <row r="6" spans="1:10" s="156" customFormat="1" ht="46.2" x14ac:dyDescent="0.8">
      <c r="A6" s="233">
        <v>45901</v>
      </c>
      <c r="B6" s="234" t="s">
        <v>2303</v>
      </c>
      <c r="C6" s="285">
        <v>1214000</v>
      </c>
      <c r="D6" s="326">
        <v>45905</v>
      </c>
      <c r="E6" s="63" t="s">
        <v>2304</v>
      </c>
      <c r="F6" s="328">
        <v>630000</v>
      </c>
      <c r="G6" s="328"/>
      <c r="H6" s="231">
        <v>45901</v>
      </c>
      <c r="I6" s="185" t="s">
        <v>2305</v>
      </c>
      <c r="J6" s="244">
        <v>5000</v>
      </c>
    </row>
    <row r="7" spans="1:10" s="156" customFormat="1" ht="46.2" x14ac:dyDescent="0.8">
      <c r="A7" s="233">
        <v>45902</v>
      </c>
      <c r="B7" s="234" t="s">
        <v>959</v>
      </c>
      <c r="C7" s="285">
        <v>600000</v>
      </c>
      <c r="D7" s="326">
        <v>45905</v>
      </c>
      <c r="E7" s="63" t="s">
        <v>2306</v>
      </c>
      <c r="F7" s="328">
        <v>720000</v>
      </c>
      <c r="G7" s="328"/>
      <c r="H7" s="231">
        <v>45901</v>
      </c>
      <c r="I7" s="185" t="s">
        <v>2307</v>
      </c>
      <c r="J7" s="244">
        <v>280275</v>
      </c>
    </row>
    <row r="8" spans="1:10" s="156" customFormat="1" ht="46.2" x14ac:dyDescent="0.8">
      <c r="A8" s="233">
        <v>45903</v>
      </c>
      <c r="B8" s="234" t="s">
        <v>959</v>
      </c>
      <c r="C8" s="285">
        <v>300000</v>
      </c>
      <c r="D8" s="326">
        <v>45908</v>
      </c>
      <c r="E8" s="327" t="s">
        <v>2308</v>
      </c>
      <c r="F8" s="328">
        <v>550000</v>
      </c>
      <c r="G8" s="328"/>
      <c r="H8" s="231">
        <v>45901</v>
      </c>
      <c r="I8" s="190" t="s">
        <v>2309</v>
      </c>
      <c r="J8" s="244">
        <v>15000</v>
      </c>
    </row>
    <row r="9" spans="1:10" s="156" customFormat="1" ht="46.2" x14ac:dyDescent="0.8">
      <c r="A9" s="233">
        <v>45903</v>
      </c>
      <c r="B9" s="234" t="s">
        <v>2310</v>
      </c>
      <c r="C9" s="285">
        <v>30000</v>
      </c>
      <c r="D9" s="326">
        <v>45909</v>
      </c>
      <c r="E9" s="327" t="s">
        <v>2311</v>
      </c>
      <c r="F9" s="286">
        <v>1050000</v>
      </c>
      <c r="G9" s="286"/>
      <c r="H9" s="231">
        <v>45901</v>
      </c>
      <c r="I9" s="185" t="s">
        <v>2312</v>
      </c>
      <c r="J9" s="244">
        <v>24240</v>
      </c>
    </row>
    <row r="10" spans="1:10" s="156" customFormat="1" ht="46.2" x14ac:dyDescent="0.8">
      <c r="A10" s="233">
        <v>45905</v>
      </c>
      <c r="B10" s="234" t="s">
        <v>2313</v>
      </c>
      <c r="C10" s="285">
        <v>2000000</v>
      </c>
      <c r="D10" s="326">
        <v>45909</v>
      </c>
      <c r="E10" s="86" t="s">
        <v>2314</v>
      </c>
      <c r="F10" s="328">
        <v>80800</v>
      </c>
      <c r="G10" s="328"/>
      <c r="H10" s="231">
        <v>45901</v>
      </c>
      <c r="I10" s="185" t="s">
        <v>2315</v>
      </c>
      <c r="J10" s="244">
        <v>10100</v>
      </c>
    </row>
    <row r="11" spans="1:10" s="156" customFormat="1" ht="46.2" x14ac:dyDescent="0.8">
      <c r="A11" s="233">
        <v>45905</v>
      </c>
      <c r="B11" s="234" t="s">
        <v>959</v>
      </c>
      <c r="C11" s="285">
        <v>720000</v>
      </c>
      <c r="D11" s="326">
        <v>45910</v>
      </c>
      <c r="E11" s="144" t="s">
        <v>2316</v>
      </c>
      <c r="F11" s="286">
        <v>202000</v>
      </c>
      <c r="G11" s="286"/>
      <c r="H11" s="231">
        <v>45901</v>
      </c>
      <c r="I11" s="185" t="s">
        <v>2317</v>
      </c>
      <c r="J11" s="244">
        <v>10100</v>
      </c>
    </row>
    <row r="12" spans="1:10" s="156" customFormat="1" ht="46.2" x14ac:dyDescent="0.8">
      <c r="A12" s="233">
        <v>45906</v>
      </c>
      <c r="B12" s="234" t="s">
        <v>959</v>
      </c>
      <c r="C12" s="285">
        <v>1000000</v>
      </c>
      <c r="D12" s="326">
        <v>45915</v>
      </c>
      <c r="E12" s="151" t="s">
        <v>2318</v>
      </c>
      <c r="F12" s="286">
        <v>70000</v>
      </c>
      <c r="G12" s="286"/>
      <c r="H12" s="231">
        <v>45901</v>
      </c>
      <c r="I12" s="185" t="s">
        <v>2319</v>
      </c>
      <c r="J12" s="244">
        <v>30000</v>
      </c>
    </row>
    <row r="13" spans="1:10" s="156" customFormat="1" ht="46.2" x14ac:dyDescent="0.8">
      <c r="A13" s="233">
        <v>45906</v>
      </c>
      <c r="B13" s="234" t="s">
        <v>2320</v>
      </c>
      <c r="C13" s="285">
        <v>1000000</v>
      </c>
      <c r="D13" s="326">
        <v>45920</v>
      </c>
      <c r="E13" s="287" t="s">
        <v>2321</v>
      </c>
      <c r="F13" s="288">
        <v>959500</v>
      </c>
      <c r="G13" s="288"/>
      <c r="H13" s="231">
        <v>45901</v>
      </c>
      <c r="I13" s="185" t="s">
        <v>2322</v>
      </c>
      <c r="J13" s="244">
        <v>9191</v>
      </c>
    </row>
    <row r="14" spans="1:10" s="156" customFormat="1" ht="46.2" x14ac:dyDescent="0.8">
      <c r="A14" s="233">
        <v>45907</v>
      </c>
      <c r="B14" s="234" t="s">
        <v>2323</v>
      </c>
      <c r="C14" s="285">
        <v>5873000</v>
      </c>
      <c r="D14" s="237">
        <v>45924</v>
      </c>
      <c r="E14" s="151" t="s">
        <v>2324</v>
      </c>
      <c r="F14" s="289">
        <v>3950000</v>
      </c>
      <c r="G14" s="288"/>
      <c r="H14" s="231">
        <v>45901</v>
      </c>
      <c r="I14" s="185" t="s">
        <v>2325</v>
      </c>
      <c r="J14" s="244">
        <v>15150</v>
      </c>
    </row>
    <row r="15" spans="1:10" s="156" customFormat="1" ht="46.2" x14ac:dyDescent="0.8">
      <c r="A15" s="233">
        <v>45908</v>
      </c>
      <c r="B15" s="234" t="s">
        <v>2326</v>
      </c>
      <c r="C15" s="285">
        <v>1050000</v>
      </c>
      <c r="D15" s="237">
        <v>45924</v>
      </c>
      <c r="E15" s="75" t="s">
        <v>2327</v>
      </c>
      <c r="F15" s="288">
        <v>150000</v>
      </c>
      <c r="G15" s="288"/>
      <c r="H15" s="231">
        <v>45901</v>
      </c>
      <c r="I15" s="185" t="s">
        <v>2328</v>
      </c>
      <c r="J15" s="278">
        <v>50500</v>
      </c>
    </row>
    <row r="16" spans="1:10" s="156" customFormat="1" ht="46.2" x14ac:dyDescent="0.8">
      <c r="A16" s="233">
        <v>45909</v>
      </c>
      <c r="B16" s="234" t="s">
        <v>2329</v>
      </c>
      <c r="C16" s="290">
        <v>2000000</v>
      </c>
      <c r="D16" s="237">
        <v>45924</v>
      </c>
      <c r="E16" s="75" t="s">
        <v>2330</v>
      </c>
      <c r="F16" s="288">
        <v>252500</v>
      </c>
      <c r="G16" s="288"/>
      <c r="H16" s="231">
        <v>45901</v>
      </c>
      <c r="I16" s="185" t="s">
        <v>2331</v>
      </c>
      <c r="J16" s="244">
        <v>4000</v>
      </c>
    </row>
    <row r="17" spans="1:10" s="156" customFormat="1" ht="46.2" x14ac:dyDescent="0.8">
      <c r="A17" s="233">
        <v>45910</v>
      </c>
      <c r="B17" s="234" t="s">
        <v>959</v>
      </c>
      <c r="C17" s="285">
        <v>2000000</v>
      </c>
      <c r="D17" s="237">
        <v>45924</v>
      </c>
      <c r="E17" s="151" t="s">
        <v>2332</v>
      </c>
      <c r="F17" s="288">
        <v>885500</v>
      </c>
      <c r="G17" s="288"/>
      <c r="H17" s="238">
        <v>45902</v>
      </c>
      <c r="I17" s="185" t="s">
        <v>2333</v>
      </c>
      <c r="J17" s="244">
        <v>2000</v>
      </c>
    </row>
    <row r="18" spans="1:10" s="156" customFormat="1" ht="46.2" x14ac:dyDescent="0.8">
      <c r="A18" s="233">
        <v>45912</v>
      </c>
      <c r="B18" s="234" t="s">
        <v>2334</v>
      </c>
      <c r="C18" s="285">
        <v>1000000</v>
      </c>
      <c r="D18" s="237">
        <v>45924</v>
      </c>
      <c r="E18" s="151" t="s">
        <v>2335</v>
      </c>
      <c r="F18" s="288">
        <v>1600000</v>
      </c>
      <c r="G18" s="288"/>
      <c r="H18" s="238"/>
      <c r="I18" s="185" t="s">
        <v>2336</v>
      </c>
      <c r="J18" s="244">
        <v>3000</v>
      </c>
    </row>
    <row r="19" spans="1:10" s="156" customFormat="1" ht="46.2" x14ac:dyDescent="0.8">
      <c r="A19" s="233">
        <v>45913</v>
      </c>
      <c r="B19" s="234" t="s">
        <v>959</v>
      </c>
      <c r="C19" s="285">
        <v>3000000</v>
      </c>
      <c r="D19" s="237">
        <v>45924</v>
      </c>
      <c r="E19" s="151" t="s">
        <v>2337</v>
      </c>
      <c r="F19" s="288">
        <v>846200</v>
      </c>
      <c r="G19" s="288"/>
      <c r="H19" s="238"/>
      <c r="I19" s="185" t="s">
        <v>2338</v>
      </c>
      <c r="J19" s="244">
        <v>500000</v>
      </c>
    </row>
    <row r="20" spans="1:10" s="156" customFormat="1" ht="46.2" x14ac:dyDescent="0.8">
      <c r="A20" s="233">
        <v>45913</v>
      </c>
      <c r="B20" s="234" t="s">
        <v>2339</v>
      </c>
      <c r="C20" s="285">
        <v>28500</v>
      </c>
      <c r="D20" s="237">
        <v>45924</v>
      </c>
      <c r="E20" s="151" t="s">
        <v>2340</v>
      </c>
      <c r="F20" s="288">
        <v>599940</v>
      </c>
      <c r="G20" s="288"/>
      <c r="H20" s="238"/>
      <c r="I20" s="185" t="s">
        <v>2341</v>
      </c>
      <c r="J20" s="244">
        <v>107500</v>
      </c>
    </row>
    <row r="21" spans="1:10" s="156" customFormat="1" ht="46.2" x14ac:dyDescent="0.8">
      <c r="A21" s="233">
        <v>45913</v>
      </c>
      <c r="B21" s="234" t="s">
        <v>959</v>
      </c>
      <c r="C21" s="285">
        <v>300000</v>
      </c>
      <c r="D21" s="237">
        <v>45924</v>
      </c>
      <c r="E21" s="75" t="s">
        <v>2342</v>
      </c>
      <c r="F21" s="288">
        <v>3000000</v>
      </c>
      <c r="G21" s="288"/>
      <c r="H21" s="238"/>
      <c r="I21" s="185" t="s">
        <v>2343</v>
      </c>
      <c r="J21" s="244">
        <v>10000</v>
      </c>
    </row>
    <row r="22" spans="1:10" s="156" customFormat="1" ht="46.2" x14ac:dyDescent="0.8">
      <c r="A22" s="233">
        <v>45916</v>
      </c>
      <c r="B22" s="234" t="s">
        <v>2344</v>
      </c>
      <c r="C22" s="291">
        <v>1000000</v>
      </c>
      <c r="D22" s="237">
        <v>45925</v>
      </c>
      <c r="E22" s="151" t="s">
        <v>2345</v>
      </c>
      <c r="F22" s="288">
        <v>300000</v>
      </c>
      <c r="G22" s="288"/>
      <c r="H22" s="238"/>
      <c r="I22" s="185" t="s">
        <v>2346</v>
      </c>
      <c r="J22" s="244">
        <v>18180</v>
      </c>
    </row>
    <row r="23" spans="1:10" s="156" customFormat="1" ht="46.2" x14ac:dyDescent="0.8">
      <c r="A23" s="233">
        <v>45917</v>
      </c>
      <c r="B23" s="234" t="s">
        <v>2347</v>
      </c>
      <c r="C23" s="291">
        <v>1000000</v>
      </c>
      <c r="D23" s="237">
        <v>45925</v>
      </c>
      <c r="E23" s="151" t="s">
        <v>2348</v>
      </c>
      <c r="F23" s="288">
        <v>505000</v>
      </c>
      <c r="G23" s="288"/>
      <c r="H23" s="238"/>
      <c r="I23" s="185" t="s">
        <v>2349</v>
      </c>
      <c r="J23" s="244">
        <v>50500</v>
      </c>
    </row>
    <row r="24" spans="1:10" s="156" customFormat="1" ht="46.2" x14ac:dyDescent="0.8">
      <c r="A24" s="233">
        <v>45919</v>
      </c>
      <c r="B24" s="234" t="s">
        <v>2350</v>
      </c>
      <c r="C24" s="292">
        <v>20000</v>
      </c>
      <c r="D24" s="237">
        <v>45925</v>
      </c>
      <c r="E24" s="293" t="s">
        <v>2351</v>
      </c>
      <c r="F24" s="288">
        <v>744000</v>
      </c>
      <c r="G24" s="288"/>
      <c r="H24" s="238"/>
      <c r="I24" s="185" t="s">
        <v>2352</v>
      </c>
      <c r="J24" s="244">
        <v>5050</v>
      </c>
    </row>
    <row r="25" spans="1:10" s="156" customFormat="1" ht="46.2" x14ac:dyDescent="0.8">
      <c r="A25" s="233">
        <v>45919</v>
      </c>
      <c r="B25" s="234" t="s">
        <v>2353</v>
      </c>
      <c r="C25" s="292">
        <v>24255</v>
      </c>
      <c r="D25" s="237">
        <v>45925</v>
      </c>
      <c r="E25" s="151" t="s">
        <v>2354</v>
      </c>
      <c r="F25" s="288">
        <v>530000</v>
      </c>
      <c r="G25" s="288"/>
      <c r="H25" s="238"/>
      <c r="I25" s="185" t="s">
        <v>2355</v>
      </c>
      <c r="J25" s="244">
        <v>20200</v>
      </c>
    </row>
    <row r="26" spans="1:10" s="156" customFormat="1" ht="46.2" x14ac:dyDescent="0.8">
      <c r="A26" s="233">
        <v>45920</v>
      </c>
      <c r="B26" s="234" t="s">
        <v>2356</v>
      </c>
      <c r="C26" s="292">
        <v>1000000</v>
      </c>
      <c r="D26" s="237">
        <v>45926</v>
      </c>
      <c r="E26" s="287" t="s">
        <v>2357</v>
      </c>
      <c r="F26" s="288">
        <v>950000</v>
      </c>
      <c r="G26" s="288"/>
      <c r="H26" s="238"/>
      <c r="I26" s="185" t="s">
        <v>2358</v>
      </c>
      <c r="J26" s="244">
        <v>2525</v>
      </c>
    </row>
    <row r="27" spans="1:10" s="156" customFormat="1" ht="46.2" x14ac:dyDescent="0.8">
      <c r="A27" s="233">
        <v>45921</v>
      </c>
      <c r="B27" s="234" t="s">
        <v>2356</v>
      </c>
      <c r="C27" s="292">
        <v>500000</v>
      </c>
      <c r="D27" s="237">
        <v>45927</v>
      </c>
      <c r="E27" s="151" t="s">
        <v>2359</v>
      </c>
      <c r="F27" s="288">
        <v>692303</v>
      </c>
      <c r="G27" s="294"/>
      <c r="H27" s="238"/>
      <c r="I27" s="190" t="s">
        <v>2360</v>
      </c>
      <c r="J27" s="244">
        <v>32320</v>
      </c>
    </row>
    <row r="28" spans="1:10" s="156" customFormat="1" ht="46.2" x14ac:dyDescent="0.8">
      <c r="A28" s="233">
        <v>45922</v>
      </c>
      <c r="B28" s="234" t="s">
        <v>2361</v>
      </c>
      <c r="C28" s="292">
        <v>1000000</v>
      </c>
      <c r="D28" s="237">
        <v>45927</v>
      </c>
      <c r="E28" s="151" t="s">
        <v>2362</v>
      </c>
      <c r="F28" s="288">
        <v>50500</v>
      </c>
      <c r="G28" s="294"/>
      <c r="H28" s="238"/>
      <c r="I28" s="190" t="s">
        <v>2363</v>
      </c>
      <c r="J28" s="295">
        <v>28280</v>
      </c>
    </row>
    <row r="29" spans="1:10" s="156" customFormat="1" ht="46.2" x14ac:dyDescent="0.8">
      <c r="A29" s="233">
        <v>45923</v>
      </c>
      <c r="B29" s="234" t="s">
        <v>959</v>
      </c>
      <c r="C29" s="329">
        <v>300000</v>
      </c>
      <c r="D29" s="237">
        <v>45927</v>
      </c>
      <c r="E29" s="151" t="s">
        <v>2364</v>
      </c>
      <c r="F29" s="294">
        <v>151500</v>
      </c>
      <c r="G29" s="294"/>
      <c r="H29" s="238">
        <v>45903</v>
      </c>
      <c r="I29" s="185" t="s">
        <v>2365</v>
      </c>
      <c r="J29" s="296">
        <v>5000</v>
      </c>
    </row>
    <row r="30" spans="1:10" s="156" customFormat="1" ht="46.2" x14ac:dyDescent="0.8">
      <c r="A30" s="233">
        <v>45923</v>
      </c>
      <c r="B30" s="234" t="s">
        <v>2366</v>
      </c>
      <c r="C30" s="289">
        <v>380000</v>
      </c>
      <c r="D30" s="237">
        <v>45927</v>
      </c>
      <c r="E30" s="151" t="s">
        <v>2367</v>
      </c>
      <c r="F30" s="294">
        <v>505000</v>
      </c>
      <c r="G30" s="294"/>
      <c r="H30" s="238"/>
      <c r="I30" s="190" t="s">
        <v>2368</v>
      </c>
      <c r="J30" s="295">
        <v>5000</v>
      </c>
    </row>
    <row r="31" spans="1:10" s="156" customFormat="1" ht="46.2" x14ac:dyDescent="0.8">
      <c r="A31" s="233">
        <v>45923</v>
      </c>
      <c r="B31" s="234" t="s">
        <v>2369</v>
      </c>
      <c r="C31" s="289">
        <v>6150</v>
      </c>
      <c r="D31" s="237">
        <v>45927</v>
      </c>
      <c r="E31" s="151" t="s">
        <v>2370</v>
      </c>
      <c r="F31" s="294">
        <v>45450</v>
      </c>
      <c r="G31" s="294"/>
      <c r="H31" s="297"/>
      <c r="I31" s="185" t="s">
        <v>2371</v>
      </c>
      <c r="J31" s="296">
        <v>90900</v>
      </c>
    </row>
    <row r="32" spans="1:10" s="156" customFormat="1" ht="46.2" x14ac:dyDescent="0.8">
      <c r="A32" s="233">
        <v>45924</v>
      </c>
      <c r="B32" s="234" t="s">
        <v>959</v>
      </c>
      <c r="C32" s="289">
        <v>3950000</v>
      </c>
      <c r="D32" s="237">
        <v>45929</v>
      </c>
      <c r="E32" s="151" t="s">
        <v>2372</v>
      </c>
      <c r="F32" s="294">
        <v>492304</v>
      </c>
      <c r="G32" s="294"/>
      <c r="H32" s="238"/>
      <c r="I32" s="190" t="s">
        <v>2373</v>
      </c>
      <c r="J32" s="295">
        <v>77770</v>
      </c>
    </row>
    <row r="33" spans="1:10" s="156" customFormat="1" ht="46.2" x14ac:dyDescent="0.8">
      <c r="A33" s="233">
        <v>45924</v>
      </c>
      <c r="B33" s="234" t="s">
        <v>959</v>
      </c>
      <c r="C33" s="289">
        <v>4274000</v>
      </c>
      <c r="D33" s="237">
        <v>45929</v>
      </c>
      <c r="E33" s="151" t="s">
        <v>2348</v>
      </c>
      <c r="F33" s="294">
        <v>505000</v>
      </c>
      <c r="G33" s="294"/>
      <c r="H33" s="238"/>
      <c r="I33" s="190" t="s">
        <v>2374</v>
      </c>
      <c r="J33" s="295">
        <v>30000</v>
      </c>
    </row>
    <row r="34" spans="1:10" s="156" customFormat="1" ht="46.2" x14ac:dyDescent="0.8">
      <c r="A34" s="233">
        <v>45924</v>
      </c>
      <c r="B34" s="234" t="s">
        <v>959</v>
      </c>
      <c r="C34" s="289">
        <v>1000000</v>
      </c>
      <c r="D34" s="237">
        <v>45930</v>
      </c>
      <c r="E34" s="298" t="s">
        <v>2375</v>
      </c>
      <c r="F34" s="294">
        <v>15150</v>
      </c>
      <c r="G34" s="294"/>
      <c r="H34" s="238"/>
      <c r="I34" s="190" t="s">
        <v>2376</v>
      </c>
      <c r="J34" s="295">
        <v>25250</v>
      </c>
    </row>
    <row r="35" spans="1:10" s="156" customFormat="1" ht="46.8" x14ac:dyDescent="0.85">
      <c r="A35" s="233">
        <v>45924</v>
      </c>
      <c r="B35" s="234" t="s">
        <v>959</v>
      </c>
      <c r="C35" s="289">
        <v>700000</v>
      </c>
      <c r="D35" s="299"/>
      <c r="E35" s="300"/>
      <c r="F35" s="301"/>
      <c r="G35" s="294"/>
      <c r="H35" s="302"/>
      <c r="I35" s="303" t="s">
        <v>2377</v>
      </c>
      <c r="J35" s="304">
        <v>10100</v>
      </c>
    </row>
    <row r="36" spans="1:10" s="156" customFormat="1" ht="46.8" x14ac:dyDescent="0.85">
      <c r="A36" s="233">
        <v>45924</v>
      </c>
      <c r="B36" s="234" t="s">
        <v>959</v>
      </c>
      <c r="C36" s="289">
        <v>3000000</v>
      </c>
      <c r="D36" s="330"/>
      <c r="E36" s="331"/>
      <c r="F36" s="332"/>
      <c r="G36" s="294"/>
      <c r="H36" s="302"/>
      <c r="I36" s="303" t="s">
        <v>2378</v>
      </c>
      <c r="J36" s="304">
        <v>30000</v>
      </c>
    </row>
    <row r="37" spans="1:10" s="156" customFormat="1" ht="46.2" x14ac:dyDescent="0.8">
      <c r="A37" s="233">
        <v>45924</v>
      </c>
      <c r="B37" s="234" t="s">
        <v>2379</v>
      </c>
      <c r="C37" s="289">
        <v>3000000</v>
      </c>
      <c r="D37" s="330"/>
      <c r="E37" s="333"/>
      <c r="F37" s="334"/>
      <c r="G37" s="294"/>
      <c r="H37" s="302"/>
      <c r="I37" s="303" t="s">
        <v>2380</v>
      </c>
      <c r="J37" s="304">
        <v>101000</v>
      </c>
    </row>
    <row r="38" spans="1:10" s="156" customFormat="1" ht="46.2" x14ac:dyDescent="0.8">
      <c r="A38" s="233">
        <v>45925</v>
      </c>
      <c r="B38" s="234" t="s">
        <v>959</v>
      </c>
      <c r="C38" s="289">
        <v>500000</v>
      </c>
      <c r="D38" s="333"/>
      <c r="E38" s="333"/>
      <c r="F38" s="334"/>
      <c r="G38" s="294"/>
      <c r="H38" s="302"/>
      <c r="I38" s="303" t="s">
        <v>2381</v>
      </c>
      <c r="J38" s="304">
        <v>4000</v>
      </c>
    </row>
    <row r="39" spans="1:10" s="156" customFormat="1" ht="46.2" x14ac:dyDescent="0.8">
      <c r="A39" s="233">
        <v>45925</v>
      </c>
      <c r="B39" s="234" t="s">
        <v>2382</v>
      </c>
      <c r="C39" s="289">
        <v>1000000</v>
      </c>
      <c r="D39" s="335"/>
      <c r="E39" s="333"/>
      <c r="F39" s="334"/>
      <c r="G39" s="294"/>
      <c r="H39" s="302"/>
      <c r="I39" s="303" t="s">
        <v>2383</v>
      </c>
      <c r="J39" s="304">
        <v>4040</v>
      </c>
    </row>
    <row r="40" spans="1:10" s="156" customFormat="1" ht="46.2" x14ac:dyDescent="0.8">
      <c r="A40" s="233">
        <v>45926</v>
      </c>
      <c r="B40" s="234" t="s">
        <v>2384</v>
      </c>
      <c r="C40" s="289">
        <v>2000000</v>
      </c>
      <c r="D40" s="336"/>
      <c r="E40" s="337"/>
      <c r="F40" s="334"/>
      <c r="G40" s="294"/>
      <c r="H40" s="238"/>
      <c r="I40" s="190" t="s">
        <v>2385</v>
      </c>
      <c r="J40" s="295">
        <v>3030</v>
      </c>
    </row>
    <row r="41" spans="1:10" s="156" customFormat="1" ht="46.2" x14ac:dyDescent="0.8">
      <c r="A41" s="233">
        <v>45926</v>
      </c>
      <c r="B41" s="234" t="s">
        <v>959</v>
      </c>
      <c r="C41" s="289">
        <v>909000</v>
      </c>
      <c r="D41" s="338"/>
      <c r="E41" s="339"/>
      <c r="F41" s="340"/>
      <c r="G41" s="294"/>
      <c r="H41" s="238"/>
      <c r="I41" s="190" t="s">
        <v>2386</v>
      </c>
      <c r="J41" s="295">
        <v>4000</v>
      </c>
    </row>
    <row r="42" spans="1:10" s="156" customFormat="1" ht="46.2" x14ac:dyDescent="0.8">
      <c r="A42" s="233">
        <v>45927</v>
      </c>
      <c r="B42" s="234" t="s">
        <v>959</v>
      </c>
      <c r="C42" s="289">
        <v>2160000</v>
      </c>
      <c r="D42" s="341"/>
      <c r="E42" s="342"/>
      <c r="F42" s="340"/>
      <c r="G42" s="294"/>
      <c r="H42" s="238">
        <v>45905</v>
      </c>
      <c r="I42" s="190" t="s">
        <v>2387</v>
      </c>
      <c r="J42" s="295">
        <v>12000</v>
      </c>
    </row>
    <row r="43" spans="1:10" s="156" customFormat="1" ht="46.2" x14ac:dyDescent="0.8">
      <c r="A43" s="233">
        <v>45929</v>
      </c>
      <c r="B43" s="234" t="s">
        <v>2388</v>
      </c>
      <c r="C43" s="289">
        <v>2000000</v>
      </c>
      <c r="D43" s="341"/>
      <c r="E43" s="342"/>
      <c r="F43" s="340"/>
      <c r="G43" s="294"/>
      <c r="H43" s="238"/>
      <c r="I43" s="190" t="s">
        <v>2389</v>
      </c>
      <c r="J43" s="295">
        <v>181800</v>
      </c>
    </row>
    <row r="44" spans="1:10" s="156" customFormat="1" ht="46.2" x14ac:dyDescent="0.8">
      <c r="A44" s="233">
        <v>45930</v>
      </c>
      <c r="B44" s="234" t="s">
        <v>2390</v>
      </c>
      <c r="C44" s="289">
        <v>500000</v>
      </c>
      <c r="D44" s="341"/>
      <c r="E44" s="342"/>
      <c r="F44" s="340"/>
      <c r="G44" s="294"/>
      <c r="H44" s="238"/>
      <c r="I44" s="190" t="s">
        <v>2391</v>
      </c>
      <c r="J44" s="295">
        <v>30300</v>
      </c>
    </row>
    <row r="45" spans="1:10" s="156" customFormat="1" ht="46.2" x14ac:dyDescent="0.8">
      <c r="A45" s="305"/>
      <c r="B45" s="306"/>
      <c r="C45" s="307"/>
      <c r="D45" s="341"/>
      <c r="E45" s="342"/>
      <c r="F45" s="340"/>
      <c r="G45" s="294"/>
      <c r="H45" s="238"/>
      <c r="I45" s="190" t="s">
        <v>2392</v>
      </c>
      <c r="J45" s="295">
        <v>545400</v>
      </c>
    </row>
    <row r="46" spans="1:10" s="156" customFormat="1" ht="46.2" x14ac:dyDescent="0.8">
      <c r="A46" s="305"/>
      <c r="B46" s="308"/>
      <c r="C46" s="307"/>
      <c r="D46" s="341"/>
      <c r="E46" s="342"/>
      <c r="F46" s="340"/>
      <c r="G46" s="294"/>
      <c r="H46" s="238"/>
      <c r="I46" s="190" t="s">
        <v>2393</v>
      </c>
      <c r="J46" s="295">
        <v>2000</v>
      </c>
    </row>
    <row r="47" spans="1:10" s="156" customFormat="1" ht="46.8" x14ac:dyDescent="0.85">
      <c r="A47" s="343"/>
      <c r="B47" s="343"/>
      <c r="C47" s="307"/>
      <c r="D47" s="341"/>
      <c r="E47" s="345"/>
      <c r="F47" s="341"/>
      <c r="G47" s="294"/>
      <c r="H47" s="238"/>
      <c r="I47" s="190" t="s">
        <v>2394</v>
      </c>
      <c r="J47" s="295">
        <v>36360</v>
      </c>
    </row>
    <row r="48" spans="1:10" s="156" customFormat="1" ht="46.8" x14ac:dyDescent="0.85">
      <c r="A48" s="343"/>
      <c r="B48" s="343"/>
      <c r="C48" s="344"/>
      <c r="D48" s="342"/>
      <c r="E48" s="345"/>
      <c r="F48" s="341"/>
      <c r="G48" s="294"/>
      <c r="H48" s="297"/>
      <c r="I48" s="190" t="s">
        <v>2395</v>
      </c>
      <c r="J48" s="295">
        <v>1700</v>
      </c>
    </row>
    <row r="49" spans="1:10" s="156" customFormat="1" ht="46.8" x14ac:dyDescent="0.85">
      <c r="A49" s="343"/>
      <c r="B49" s="343"/>
      <c r="C49" s="344"/>
      <c r="D49" s="342"/>
      <c r="E49" s="345"/>
      <c r="F49" s="341"/>
      <c r="G49" s="294"/>
      <c r="H49" s="238"/>
      <c r="I49" s="185" t="s">
        <v>2396</v>
      </c>
      <c r="J49" s="296">
        <v>80800</v>
      </c>
    </row>
    <row r="50" spans="1:10" s="156" customFormat="1" ht="46.8" x14ac:dyDescent="0.85">
      <c r="A50" s="343"/>
      <c r="B50" s="343"/>
      <c r="C50" s="344"/>
      <c r="D50" s="342"/>
      <c r="E50" s="345"/>
      <c r="F50" s="148"/>
      <c r="G50" s="294"/>
      <c r="H50" s="238"/>
      <c r="I50" s="190" t="s">
        <v>2397</v>
      </c>
      <c r="J50" s="295">
        <v>35450</v>
      </c>
    </row>
    <row r="51" spans="1:10" s="156" customFormat="1" ht="46.8" x14ac:dyDescent="0.85">
      <c r="A51" s="343"/>
      <c r="B51" s="343"/>
      <c r="C51" s="344"/>
      <c r="D51" s="342"/>
      <c r="E51" s="345"/>
      <c r="F51" s="342"/>
      <c r="G51" s="294"/>
      <c r="H51" s="238"/>
      <c r="I51" s="190" t="s">
        <v>2398</v>
      </c>
      <c r="J51" s="295">
        <v>9600</v>
      </c>
    </row>
    <row r="52" spans="1:10" s="156" customFormat="1" ht="46.8" x14ac:dyDescent="0.85">
      <c r="A52" s="343"/>
      <c r="B52" s="343"/>
      <c r="C52" s="344"/>
      <c r="D52" s="342"/>
      <c r="E52" s="345"/>
      <c r="F52" s="342"/>
      <c r="G52" s="294"/>
      <c r="H52" s="238"/>
      <c r="I52" s="190" t="s">
        <v>2399</v>
      </c>
      <c r="J52" s="295">
        <v>10000</v>
      </c>
    </row>
    <row r="53" spans="1:10" s="156" customFormat="1" ht="46.8" x14ac:dyDescent="0.85">
      <c r="A53" s="343"/>
      <c r="B53" s="343"/>
      <c r="C53" s="344"/>
      <c r="D53" s="342"/>
      <c r="E53" s="345"/>
      <c r="F53" s="342"/>
      <c r="G53" s="294"/>
      <c r="H53" s="238"/>
      <c r="I53" s="190" t="s">
        <v>2400</v>
      </c>
      <c r="J53" s="295">
        <v>25250</v>
      </c>
    </row>
    <row r="54" spans="1:10" s="156" customFormat="1" ht="46.2" x14ac:dyDescent="0.8">
      <c r="A54" s="346"/>
      <c r="B54" s="346"/>
      <c r="C54" s="334"/>
      <c r="D54" s="342"/>
      <c r="E54" s="347"/>
      <c r="F54" s="342"/>
      <c r="G54" s="294"/>
      <c r="H54" s="238">
        <v>45906</v>
      </c>
      <c r="I54" s="190" t="s">
        <v>2401</v>
      </c>
      <c r="J54" s="295">
        <v>303000</v>
      </c>
    </row>
    <row r="55" spans="1:10" s="156" customFormat="1" ht="46.2" x14ac:dyDescent="0.8">
      <c r="A55" s="346"/>
      <c r="B55" s="346"/>
      <c r="C55" s="348"/>
      <c r="D55" s="349"/>
      <c r="E55" s="347"/>
      <c r="F55" s="350"/>
      <c r="G55" s="294"/>
      <c r="H55" s="238"/>
      <c r="I55" s="190" t="s">
        <v>2402</v>
      </c>
      <c r="J55" s="295">
        <v>10100</v>
      </c>
    </row>
    <row r="56" spans="1:10" s="156" customFormat="1" ht="46.2" x14ac:dyDescent="0.8">
      <c r="A56" s="346"/>
      <c r="B56" s="346"/>
      <c r="C56" s="348"/>
      <c r="D56" s="342"/>
      <c r="E56" s="341"/>
      <c r="F56" s="342"/>
      <c r="G56" s="294"/>
      <c r="H56" s="238"/>
      <c r="I56" s="190" t="s">
        <v>2403</v>
      </c>
      <c r="J56" s="295">
        <v>20000</v>
      </c>
    </row>
    <row r="57" spans="1:10" s="156" customFormat="1" ht="46.2" x14ac:dyDescent="0.8">
      <c r="A57" s="346"/>
      <c r="B57" s="346"/>
      <c r="C57" s="351"/>
      <c r="D57" s="342"/>
      <c r="E57" s="352"/>
      <c r="F57" s="341"/>
      <c r="G57" s="294"/>
      <c r="H57" s="238"/>
      <c r="I57" s="190" t="s">
        <v>2404</v>
      </c>
      <c r="J57" s="295">
        <v>10100</v>
      </c>
    </row>
    <row r="58" spans="1:10" s="156" customFormat="1" ht="46.2" x14ac:dyDescent="0.8">
      <c r="A58" s="346"/>
      <c r="B58" s="346"/>
      <c r="C58" s="348"/>
      <c r="D58" s="342"/>
      <c r="E58" s="352"/>
      <c r="F58" s="341"/>
      <c r="G58" s="294"/>
      <c r="H58" s="238"/>
      <c r="I58" s="190" t="s">
        <v>2405</v>
      </c>
      <c r="J58" s="295">
        <v>25250</v>
      </c>
    </row>
    <row r="59" spans="1:10" s="156" customFormat="1" ht="46.2" x14ac:dyDescent="0.8">
      <c r="A59" s="346"/>
      <c r="B59" s="346"/>
      <c r="C59" s="348"/>
      <c r="D59" s="342"/>
      <c r="E59" s="352"/>
      <c r="F59" s="341"/>
      <c r="G59" s="294"/>
      <c r="H59" s="238"/>
      <c r="I59" s="190" t="s">
        <v>2406</v>
      </c>
      <c r="J59" s="295">
        <v>3000</v>
      </c>
    </row>
    <row r="60" spans="1:10" s="156" customFormat="1" ht="46.2" x14ac:dyDescent="0.8">
      <c r="A60" s="346"/>
      <c r="B60" s="346"/>
      <c r="C60" s="348"/>
      <c r="D60" s="342"/>
      <c r="E60" s="352"/>
      <c r="F60" s="341"/>
      <c r="G60" s="294"/>
      <c r="H60" s="238">
        <v>45908</v>
      </c>
      <c r="I60" s="190" t="s">
        <v>2407</v>
      </c>
      <c r="J60" s="295">
        <v>5000</v>
      </c>
    </row>
    <row r="61" spans="1:10" s="156" customFormat="1" ht="46.2" x14ac:dyDescent="0.8">
      <c r="A61" s="349"/>
      <c r="B61" s="341"/>
      <c r="C61" s="348"/>
      <c r="D61" s="342"/>
      <c r="E61" s="352"/>
      <c r="F61" s="341"/>
      <c r="G61" s="294"/>
      <c r="H61" s="238"/>
      <c r="I61" s="190" t="s">
        <v>2408</v>
      </c>
      <c r="J61" s="295">
        <v>4000</v>
      </c>
    </row>
    <row r="62" spans="1:10" s="156" customFormat="1" ht="46.2" x14ac:dyDescent="0.8">
      <c r="A62" s="349"/>
      <c r="B62" s="341"/>
      <c r="C62" s="348"/>
      <c r="D62" s="342"/>
      <c r="E62" s="352"/>
      <c r="F62" s="341"/>
      <c r="G62" s="294"/>
      <c r="H62" s="238"/>
      <c r="I62" s="185" t="s">
        <v>2409</v>
      </c>
      <c r="J62" s="295">
        <v>30300</v>
      </c>
    </row>
    <row r="63" spans="1:10" s="156" customFormat="1" ht="46.2" x14ac:dyDescent="0.8">
      <c r="A63" s="349"/>
      <c r="B63" s="341"/>
      <c r="C63" s="349"/>
      <c r="D63" s="342"/>
      <c r="E63" s="352"/>
      <c r="F63" s="341"/>
      <c r="G63" s="294"/>
      <c r="H63" s="238"/>
      <c r="I63" s="185" t="s">
        <v>2317</v>
      </c>
      <c r="J63" s="295">
        <v>10100</v>
      </c>
    </row>
    <row r="64" spans="1:10" s="156" customFormat="1" ht="46.2" x14ac:dyDescent="0.8">
      <c r="A64" s="349"/>
      <c r="B64" s="341"/>
      <c r="C64" s="342"/>
      <c r="D64" s="342"/>
      <c r="E64" s="352"/>
      <c r="F64" s="341"/>
      <c r="G64" s="294"/>
      <c r="H64" s="238"/>
      <c r="I64" s="190" t="s">
        <v>2410</v>
      </c>
      <c r="J64" s="295">
        <v>3000</v>
      </c>
    </row>
    <row r="65" spans="1:10" s="156" customFormat="1" ht="46.2" x14ac:dyDescent="0.8">
      <c r="A65" s="341"/>
      <c r="B65" s="341"/>
      <c r="C65" s="342"/>
      <c r="D65" s="342"/>
      <c r="E65" s="352"/>
      <c r="F65" s="341"/>
      <c r="G65" s="294"/>
      <c r="H65" s="238"/>
      <c r="I65" s="190" t="s">
        <v>2343</v>
      </c>
      <c r="J65" s="295">
        <v>5050</v>
      </c>
    </row>
    <row r="66" spans="1:10" s="156" customFormat="1" ht="46.2" x14ac:dyDescent="0.8">
      <c r="A66" s="341"/>
      <c r="B66" s="342"/>
      <c r="C66" s="342"/>
      <c r="D66" s="342"/>
      <c r="E66" s="352"/>
      <c r="F66" s="341"/>
      <c r="G66" s="294"/>
      <c r="H66" s="238"/>
      <c r="I66" s="190" t="s">
        <v>2411</v>
      </c>
      <c r="J66" s="295">
        <v>59590</v>
      </c>
    </row>
    <row r="67" spans="1:10" s="156" customFormat="1" ht="46.2" x14ac:dyDescent="0.8">
      <c r="A67" s="342"/>
      <c r="B67" s="342"/>
      <c r="C67" s="342"/>
      <c r="D67" s="342"/>
      <c r="E67" s="352"/>
      <c r="F67" s="341"/>
      <c r="G67" s="294"/>
      <c r="H67" s="238"/>
      <c r="I67" s="190" t="s">
        <v>2312</v>
      </c>
      <c r="J67" s="295">
        <v>10100</v>
      </c>
    </row>
    <row r="68" spans="1:10" s="156" customFormat="1" ht="46.2" x14ac:dyDescent="0.8">
      <c r="A68" s="342"/>
      <c r="B68" s="349"/>
      <c r="C68" s="340"/>
      <c r="D68" s="349"/>
      <c r="E68" s="352"/>
      <c r="F68" s="341"/>
      <c r="G68" s="294"/>
      <c r="H68" s="238"/>
      <c r="I68" s="185" t="s">
        <v>2412</v>
      </c>
      <c r="J68" s="296">
        <v>20200</v>
      </c>
    </row>
    <row r="69" spans="1:10" s="156" customFormat="1" ht="45.75" customHeight="1" x14ac:dyDescent="0.8">
      <c r="A69" s="342"/>
      <c r="B69" s="349"/>
      <c r="C69" s="340"/>
      <c r="D69" s="349"/>
      <c r="E69" s="341"/>
      <c r="F69" s="342"/>
      <c r="G69" s="294"/>
      <c r="H69" s="238"/>
      <c r="I69" s="309" t="s">
        <v>2413</v>
      </c>
      <c r="J69" s="310">
        <v>75000</v>
      </c>
    </row>
    <row r="70" spans="1:10" s="156" customFormat="1" ht="48" customHeight="1" x14ac:dyDescent="0.8">
      <c r="A70" s="342"/>
      <c r="B70" s="349"/>
      <c r="C70" s="341"/>
      <c r="D70" s="349"/>
      <c r="E70" s="341"/>
      <c r="F70" s="342"/>
      <c r="G70" s="294"/>
      <c r="H70" s="238"/>
      <c r="I70" s="309" t="s">
        <v>2414</v>
      </c>
      <c r="J70" s="310">
        <v>151500</v>
      </c>
    </row>
    <row r="71" spans="1:10" s="156" customFormat="1" ht="38.25" customHeight="1" x14ac:dyDescent="0.8">
      <c r="A71" s="342"/>
      <c r="B71" s="349"/>
      <c r="C71" s="341"/>
      <c r="D71" s="349"/>
      <c r="E71" s="341"/>
      <c r="F71" s="342"/>
      <c r="G71" s="294"/>
      <c r="H71" s="238"/>
      <c r="I71" s="309" t="s">
        <v>2415</v>
      </c>
      <c r="J71" s="310">
        <v>151500</v>
      </c>
    </row>
    <row r="72" spans="1:10" s="156" customFormat="1" ht="42.75" customHeight="1" x14ac:dyDescent="0.8">
      <c r="A72" s="342"/>
      <c r="B72" s="349"/>
      <c r="C72" s="341"/>
      <c r="D72" s="349"/>
      <c r="E72" s="341"/>
      <c r="F72" s="342"/>
      <c r="G72" s="294"/>
      <c r="H72" s="238"/>
      <c r="I72" s="309" t="s">
        <v>2416</v>
      </c>
      <c r="J72" s="310">
        <v>151500</v>
      </c>
    </row>
    <row r="73" spans="1:10" s="156" customFormat="1" ht="37.5" customHeight="1" x14ac:dyDescent="0.8">
      <c r="A73" s="342"/>
      <c r="B73" s="349"/>
      <c r="C73" s="342"/>
      <c r="D73" s="349"/>
      <c r="E73" s="341"/>
      <c r="F73" s="342"/>
      <c r="G73" s="294"/>
      <c r="H73" s="238"/>
      <c r="I73" s="309" t="s">
        <v>2417</v>
      </c>
      <c r="J73" s="310">
        <v>151500</v>
      </c>
    </row>
    <row r="74" spans="1:10" s="156" customFormat="1" ht="33" customHeight="1" x14ac:dyDescent="0.8">
      <c r="A74" s="342"/>
      <c r="B74" s="349"/>
      <c r="C74" s="341"/>
      <c r="D74" s="349"/>
      <c r="E74" s="341"/>
      <c r="F74" s="342"/>
      <c r="G74" s="294"/>
      <c r="H74" s="238"/>
      <c r="I74" s="309" t="s">
        <v>2418</v>
      </c>
      <c r="J74" s="310">
        <v>101000</v>
      </c>
    </row>
    <row r="75" spans="1:10" s="156" customFormat="1" ht="33" customHeight="1" x14ac:dyDescent="0.8">
      <c r="A75" s="342"/>
      <c r="B75" s="349"/>
      <c r="C75" s="341"/>
      <c r="D75" s="349"/>
      <c r="E75" s="341"/>
      <c r="F75" s="342"/>
      <c r="G75" s="294"/>
      <c r="H75" s="238"/>
      <c r="I75" s="309" t="s">
        <v>2419</v>
      </c>
      <c r="J75" s="310">
        <v>171700</v>
      </c>
    </row>
    <row r="76" spans="1:10" s="156" customFormat="1" ht="33" customHeight="1" x14ac:dyDescent="0.8">
      <c r="A76" s="342"/>
      <c r="B76" s="349"/>
      <c r="C76" s="341"/>
      <c r="D76" s="349"/>
      <c r="E76" s="341"/>
      <c r="F76" s="342"/>
      <c r="G76" s="294"/>
      <c r="H76" s="238"/>
      <c r="I76" s="309" t="s">
        <v>2420</v>
      </c>
      <c r="J76" s="310">
        <v>202000</v>
      </c>
    </row>
    <row r="77" spans="1:10" s="156" customFormat="1" ht="33" customHeight="1" x14ac:dyDescent="0.8">
      <c r="A77" s="342"/>
      <c r="B77" s="349"/>
      <c r="C77" s="341"/>
      <c r="D77" s="349"/>
      <c r="E77" s="341"/>
      <c r="F77" s="342"/>
      <c r="G77" s="294"/>
      <c r="H77" s="238"/>
      <c r="I77" s="309" t="s">
        <v>2421</v>
      </c>
      <c r="J77" s="310">
        <v>202000</v>
      </c>
    </row>
    <row r="78" spans="1:10" s="156" customFormat="1" ht="33" customHeight="1" x14ac:dyDescent="0.8">
      <c r="A78" s="342"/>
      <c r="B78" s="349"/>
      <c r="C78" s="341"/>
      <c r="D78" s="349"/>
      <c r="E78" s="341"/>
      <c r="F78" s="342"/>
      <c r="G78" s="294"/>
      <c r="H78" s="238"/>
      <c r="I78" s="309" t="s">
        <v>2422</v>
      </c>
      <c r="J78" s="310">
        <v>101000</v>
      </c>
    </row>
    <row r="79" spans="1:10" s="156" customFormat="1" ht="33" customHeight="1" x14ac:dyDescent="0.8">
      <c r="A79" s="342"/>
      <c r="B79" s="349"/>
      <c r="C79" s="341"/>
      <c r="D79" s="349"/>
      <c r="E79" s="341"/>
      <c r="F79" s="342"/>
      <c r="G79" s="294"/>
      <c r="H79" s="238"/>
      <c r="I79" s="309" t="s">
        <v>2423</v>
      </c>
      <c r="J79" s="310">
        <v>121200</v>
      </c>
    </row>
    <row r="80" spans="1:10" s="156" customFormat="1" ht="33" customHeight="1" x14ac:dyDescent="0.8">
      <c r="A80" s="342"/>
      <c r="B80" s="349"/>
      <c r="C80" s="341"/>
      <c r="D80" s="349"/>
      <c r="E80" s="341"/>
      <c r="F80" s="342"/>
      <c r="G80" s="294"/>
      <c r="H80" s="238"/>
      <c r="I80" s="309" t="s">
        <v>2424</v>
      </c>
      <c r="J80" s="310">
        <v>121200</v>
      </c>
    </row>
    <row r="81" spans="1:10" s="156" customFormat="1" ht="33" customHeight="1" x14ac:dyDescent="0.8">
      <c r="A81" s="342"/>
      <c r="B81" s="349"/>
      <c r="C81" s="341"/>
      <c r="D81" s="349"/>
      <c r="E81" s="341"/>
      <c r="F81" s="342"/>
      <c r="G81" s="294"/>
      <c r="H81" s="238"/>
      <c r="I81" s="309" t="s">
        <v>2425</v>
      </c>
      <c r="J81" s="310">
        <v>252500</v>
      </c>
    </row>
    <row r="82" spans="1:10" s="156" customFormat="1" ht="33" customHeight="1" x14ac:dyDescent="0.8">
      <c r="A82" s="346"/>
      <c r="B82" s="346"/>
      <c r="C82" s="341"/>
      <c r="D82" s="349"/>
      <c r="E82" s="341"/>
      <c r="F82" s="342"/>
      <c r="G82" s="294"/>
      <c r="H82" s="238"/>
      <c r="I82" s="309" t="s">
        <v>2426</v>
      </c>
      <c r="J82" s="310">
        <v>151500</v>
      </c>
    </row>
    <row r="83" spans="1:10" s="156" customFormat="1" ht="33" customHeight="1" x14ac:dyDescent="0.8">
      <c r="A83" s="346"/>
      <c r="B83" s="346"/>
      <c r="C83" s="341"/>
      <c r="D83" s="349"/>
      <c r="E83" s="341"/>
      <c r="F83" s="342"/>
      <c r="G83" s="294"/>
      <c r="H83" s="238"/>
      <c r="I83" s="309" t="s">
        <v>2427</v>
      </c>
      <c r="J83" s="310">
        <v>80800</v>
      </c>
    </row>
    <row r="84" spans="1:10" s="156" customFormat="1" ht="33" customHeight="1" x14ac:dyDescent="0.8">
      <c r="A84" s="346"/>
      <c r="B84" s="346"/>
      <c r="C84" s="341"/>
      <c r="D84" s="349"/>
      <c r="E84" s="341"/>
      <c r="F84" s="342"/>
      <c r="G84" s="294"/>
      <c r="H84" s="238"/>
      <c r="I84" s="309" t="s">
        <v>2428</v>
      </c>
      <c r="J84" s="310">
        <v>202000</v>
      </c>
    </row>
    <row r="85" spans="1:10" s="156" customFormat="1" ht="33" customHeight="1" x14ac:dyDescent="0.8">
      <c r="A85" s="346"/>
      <c r="B85" s="346"/>
      <c r="C85" s="341"/>
      <c r="D85" s="349"/>
      <c r="E85" s="341"/>
      <c r="F85" s="342"/>
      <c r="G85" s="294"/>
      <c r="H85" s="238"/>
      <c r="I85" s="309" t="s">
        <v>2429</v>
      </c>
      <c r="J85" s="310">
        <v>202000</v>
      </c>
    </row>
    <row r="86" spans="1:10" s="156" customFormat="1" ht="30.75" customHeight="1" x14ac:dyDescent="0.8">
      <c r="A86" s="346"/>
      <c r="B86" s="346"/>
      <c r="C86" s="342"/>
      <c r="D86" s="349"/>
      <c r="E86" s="341"/>
      <c r="F86" s="342"/>
      <c r="G86" s="294"/>
      <c r="H86" s="238"/>
      <c r="I86" s="309" t="s">
        <v>2430</v>
      </c>
      <c r="J86" s="310">
        <v>252500</v>
      </c>
    </row>
    <row r="87" spans="1:10" s="156" customFormat="1" ht="33" customHeight="1" x14ac:dyDescent="0.8">
      <c r="A87" s="346"/>
      <c r="B87" s="346"/>
      <c r="C87" s="342"/>
      <c r="D87" s="349"/>
      <c r="E87" s="341"/>
      <c r="F87" s="342"/>
      <c r="G87" s="294"/>
      <c r="H87" s="238"/>
      <c r="I87" s="309" t="s">
        <v>2431</v>
      </c>
      <c r="J87" s="310">
        <v>202000</v>
      </c>
    </row>
    <row r="88" spans="1:10" s="156" customFormat="1" ht="35.25" customHeight="1" x14ac:dyDescent="0.8">
      <c r="A88" s="346"/>
      <c r="B88" s="346"/>
      <c r="C88" s="342"/>
      <c r="D88" s="349"/>
      <c r="E88" s="341"/>
      <c r="F88" s="342"/>
      <c r="G88" s="294"/>
      <c r="H88" s="238"/>
      <c r="I88" s="309" t="s">
        <v>2432</v>
      </c>
      <c r="J88" s="310">
        <v>151500</v>
      </c>
    </row>
    <row r="89" spans="1:10" s="156" customFormat="1" ht="33" customHeight="1" x14ac:dyDescent="0.8">
      <c r="A89" s="346"/>
      <c r="B89" s="346"/>
      <c r="C89" s="342"/>
      <c r="D89" s="349"/>
      <c r="E89" s="341"/>
      <c r="F89" s="342"/>
      <c r="G89" s="294"/>
      <c r="H89" s="238"/>
      <c r="I89" s="309" t="s">
        <v>2433</v>
      </c>
      <c r="J89" s="310">
        <v>202000</v>
      </c>
    </row>
    <row r="90" spans="1:10" s="156" customFormat="1" ht="45" customHeight="1" x14ac:dyDescent="0.8">
      <c r="A90" s="346"/>
      <c r="B90" s="346"/>
      <c r="C90" s="342"/>
      <c r="D90" s="349"/>
      <c r="E90" s="341"/>
      <c r="F90" s="342"/>
      <c r="G90" s="294"/>
      <c r="H90" s="238"/>
      <c r="I90" s="309" t="s">
        <v>2434</v>
      </c>
      <c r="J90" s="310">
        <v>202000</v>
      </c>
    </row>
    <row r="91" spans="1:10" s="156" customFormat="1" ht="33" customHeight="1" x14ac:dyDescent="0.8">
      <c r="A91" s="346"/>
      <c r="B91" s="346"/>
      <c r="C91" s="342"/>
      <c r="D91" s="349"/>
      <c r="E91" s="341"/>
      <c r="F91" s="342"/>
      <c r="G91" s="294"/>
      <c r="H91" s="238"/>
      <c r="I91" s="309" t="s">
        <v>2435</v>
      </c>
      <c r="J91" s="310">
        <v>202000</v>
      </c>
    </row>
    <row r="92" spans="1:10" s="156" customFormat="1" ht="33" customHeight="1" x14ac:dyDescent="0.8">
      <c r="A92" s="346"/>
      <c r="B92" s="346"/>
      <c r="C92" s="342"/>
      <c r="D92" s="349"/>
      <c r="E92" s="341"/>
      <c r="F92" s="342"/>
      <c r="G92" s="294"/>
      <c r="H92" s="238"/>
      <c r="I92" s="309" t="s">
        <v>2436</v>
      </c>
      <c r="J92" s="310">
        <v>121200</v>
      </c>
    </row>
    <row r="93" spans="1:10" s="156" customFormat="1" ht="33" customHeight="1" x14ac:dyDescent="0.8">
      <c r="A93" s="346"/>
      <c r="B93" s="346"/>
      <c r="C93" s="342"/>
      <c r="D93" s="349"/>
      <c r="E93" s="341"/>
      <c r="F93" s="342"/>
      <c r="G93" s="294"/>
      <c r="H93" s="238"/>
      <c r="I93" s="309" t="s">
        <v>2437</v>
      </c>
      <c r="J93" s="310">
        <v>151500</v>
      </c>
    </row>
    <row r="94" spans="1:10" s="156" customFormat="1" ht="33" customHeight="1" x14ac:dyDescent="0.8">
      <c r="A94" s="346"/>
      <c r="B94" s="346"/>
      <c r="C94" s="342"/>
      <c r="D94" s="349"/>
      <c r="E94" s="341"/>
      <c r="F94" s="342"/>
      <c r="G94" s="294"/>
      <c r="H94" s="238"/>
      <c r="I94" s="309" t="s">
        <v>2438</v>
      </c>
      <c r="J94" s="310">
        <v>151500</v>
      </c>
    </row>
    <row r="95" spans="1:10" s="156" customFormat="1" ht="33" customHeight="1" x14ac:dyDescent="0.8">
      <c r="A95" s="346"/>
      <c r="B95" s="346"/>
      <c r="C95" s="342"/>
      <c r="D95" s="349"/>
      <c r="E95" s="341"/>
      <c r="F95" s="342"/>
      <c r="G95" s="294"/>
      <c r="H95" s="238"/>
      <c r="I95" s="309" t="s">
        <v>2439</v>
      </c>
      <c r="J95" s="310">
        <v>151500</v>
      </c>
    </row>
    <row r="96" spans="1:10" s="156" customFormat="1" ht="42.75" customHeight="1" x14ac:dyDescent="0.8">
      <c r="A96" s="346"/>
      <c r="B96" s="346"/>
      <c r="C96" s="342"/>
      <c r="D96" s="349"/>
      <c r="E96" s="341"/>
      <c r="F96" s="342"/>
      <c r="G96" s="294"/>
      <c r="H96" s="238"/>
      <c r="I96" s="309" t="s">
        <v>2440</v>
      </c>
      <c r="J96" s="310">
        <v>101000</v>
      </c>
    </row>
    <row r="97" spans="1:10" s="156" customFormat="1" ht="43.5" customHeight="1" x14ac:dyDescent="0.8">
      <c r="A97" s="346"/>
      <c r="B97" s="346"/>
      <c r="C97" s="342"/>
      <c r="D97" s="349"/>
      <c r="E97" s="341"/>
      <c r="F97" s="342"/>
      <c r="G97" s="294"/>
      <c r="H97" s="238"/>
      <c r="I97" s="309" t="s">
        <v>2086</v>
      </c>
      <c r="J97" s="310">
        <v>202000</v>
      </c>
    </row>
    <row r="98" spans="1:10" s="156" customFormat="1" ht="46.2" x14ac:dyDescent="0.8">
      <c r="A98" s="346"/>
      <c r="B98" s="346"/>
      <c r="C98" s="342"/>
      <c r="D98" s="349"/>
      <c r="E98" s="341"/>
      <c r="F98" s="342"/>
      <c r="G98" s="294"/>
      <c r="H98" s="238"/>
      <c r="I98" s="185" t="s">
        <v>2441</v>
      </c>
      <c r="J98" s="278">
        <f>30000*8</f>
        <v>240000</v>
      </c>
    </row>
    <row r="99" spans="1:10" s="156" customFormat="1" ht="46.2" x14ac:dyDescent="0.8">
      <c r="A99" s="346"/>
      <c r="B99" s="346"/>
      <c r="C99" s="342"/>
      <c r="D99" s="349"/>
      <c r="E99" s="341"/>
      <c r="F99" s="342"/>
      <c r="G99" s="294"/>
      <c r="H99" s="238"/>
      <c r="I99" s="190" t="s">
        <v>2442</v>
      </c>
      <c r="J99" s="295">
        <v>2500</v>
      </c>
    </row>
    <row r="100" spans="1:10" s="156" customFormat="1" ht="46.2" x14ac:dyDescent="0.8">
      <c r="A100" s="346"/>
      <c r="B100" s="346"/>
      <c r="C100" s="342"/>
      <c r="D100" s="349"/>
      <c r="E100" s="341"/>
      <c r="F100" s="342"/>
      <c r="G100" s="294"/>
      <c r="H100" s="238">
        <v>45909</v>
      </c>
      <c r="I100" s="190" t="s">
        <v>2443</v>
      </c>
      <c r="J100" s="295">
        <v>5000</v>
      </c>
    </row>
    <row r="101" spans="1:10" s="156" customFormat="1" ht="46.2" x14ac:dyDescent="0.8">
      <c r="A101" s="346"/>
      <c r="B101" s="346"/>
      <c r="C101" s="342"/>
      <c r="D101" s="349"/>
      <c r="E101" s="341"/>
      <c r="F101" s="342"/>
      <c r="G101" s="294"/>
      <c r="H101" s="238"/>
      <c r="I101" s="190" t="s">
        <v>2444</v>
      </c>
      <c r="J101" s="295">
        <v>2500</v>
      </c>
    </row>
    <row r="102" spans="1:10" s="156" customFormat="1" ht="46.2" x14ac:dyDescent="0.8">
      <c r="A102" s="346"/>
      <c r="B102" s="346"/>
      <c r="C102" s="342"/>
      <c r="D102" s="349"/>
      <c r="E102" s="341"/>
      <c r="F102" s="342"/>
      <c r="G102" s="283"/>
      <c r="H102" s="238"/>
      <c r="I102" s="190" t="s">
        <v>2312</v>
      </c>
      <c r="J102" s="295">
        <v>10100</v>
      </c>
    </row>
    <row r="103" spans="1:10" s="156" customFormat="1" ht="46.2" x14ac:dyDescent="0.8">
      <c r="A103" s="346"/>
      <c r="B103" s="346"/>
      <c r="C103" s="342"/>
      <c r="D103" s="349"/>
      <c r="E103" s="341"/>
      <c r="F103" s="342"/>
      <c r="G103" s="353"/>
      <c r="H103" s="238"/>
      <c r="I103" s="185" t="s">
        <v>2445</v>
      </c>
      <c r="J103" s="278">
        <v>65650</v>
      </c>
    </row>
    <row r="104" spans="1:10" s="156" customFormat="1" ht="46.2" x14ac:dyDescent="0.8">
      <c r="A104" s="346"/>
      <c r="B104" s="346"/>
      <c r="C104" s="342"/>
      <c r="D104" s="349"/>
      <c r="E104" s="341"/>
      <c r="F104" s="342"/>
      <c r="G104" s="354"/>
      <c r="H104" s="238"/>
      <c r="I104" s="190" t="s">
        <v>2446</v>
      </c>
      <c r="J104" s="278">
        <v>200000</v>
      </c>
    </row>
    <row r="105" spans="1:10" s="156" customFormat="1" ht="46.2" x14ac:dyDescent="0.8">
      <c r="A105" s="346"/>
      <c r="B105" s="346"/>
      <c r="C105" s="342"/>
      <c r="D105" s="349"/>
      <c r="E105" s="341"/>
      <c r="F105" s="342"/>
      <c r="G105" s="354"/>
      <c r="H105" s="238"/>
      <c r="I105" s="190" t="s">
        <v>2447</v>
      </c>
      <c r="J105" s="278">
        <v>200000</v>
      </c>
    </row>
    <row r="106" spans="1:10" s="156" customFormat="1" ht="46.2" x14ac:dyDescent="0.8">
      <c r="A106" s="346"/>
      <c r="B106" s="346"/>
      <c r="C106" s="342"/>
      <c r="D106" s="349"/>
      <c r="E106" s="341"/>
      <c r="F106" s="342"/>
      <c r="G106" s="311"/>
      <c r="H106" s="238"/>
      <c r="I106" s="190" t="s">
        <v>2448</v>
      </c>
      <c r="J106" s="278">
        <v>5000</v>
      </c>
    </row>
    <row r="107" spans="1:10" s="156" customFormat="1" ht="46.2" x14ac:dyDescent="0.8">
      <c r="A107" s="346"/>
      <c r="B107" s="346"/>
      <c r="C107" s="342"/>
      <c r="D107" s="349"/>
      <c r="E107" s="341"/>
      <c r="F107" s="342"/>
      <c r="G107" s="311"/>
      <c r="H107" s="238"/>
      <c r="I107" s="190" t="s">
        <v>2449</v>
      </c>
      <c r="J107" s="278">
        <v>407880</v>
      </c>
    </row>
    <row r="108" spans="1:10" s="156" customFormat="1" ht="46.2" x14ac:dyDescent="0.8">
      <c r="A108" s="346"/>
      <c r="B108" s="346"/>
      <c r="C108" s="342"/>
      <c r="D108" s="349"/>
      <c r="E108" s="341"/>
      <c r="F108" s="342"/>
      <c r="G108" s="311"/>
      <c r="H108" s="238"/>
      <c r="I108" s="190" t="s">
        <v>2450</v>
      </c>
      <c r="J108" s="278">
        <v>78275</v>
      </c>
    </row>
    <row r="109" spans="1:10" s="156" customFormat="1" ht="46.2" x14ac:dyDescent="0.8">
      <c r="A109" s="346"/>
      <c r="B109" s="346"/>
      <c r="C109" s="342"/>
      <c r="D109" s="349"/>
      <c r="E109" s="341"/>
      <c r="F109" s="342"/>
      <c r="G109" s="311"/>
      <c r="H109" s="238"/>
      <c r="I109" s="190" t="s">
        <v>2451</v>
      </c>
      <c r="J109" s="278">
        <v>78275</v>
      </c>
    </row>
    <row r="110" spans="1:10" s="156" customFormat="1" ht="46.2" x14ac:dyDescent="0.8">
      <c r="A110" s="346"/>
      <c r="B110" s="346"/>
      <c r="C110" s="342"/>
      <c r="D110" s="349"/>
      <c r="E110" s="341"/>
      <c r="F110" s="342"/>
      <c r="G110" s="311"/>
      <c r="H110" s="238"/>
      <c r="I110" s="190" t="s">
        <v>2452</v>
      </c>
      <c r="J110" s="278">
        <v>36360</v>
      </c>
    </row>
    <row r="111" spans="1:10" s="156" customFormat="1" ht="46.2" x14ac:dyDescent="0.8">
      <c r="A111" s="346"/>
      <c r="B111" s="346"/>
      <c r="C111" s="342"/>
      <c r="D111" s="349"/>
      <c r="E111" s="341"/>
      <c r="F111" s="342"/>
      <c r="G111" s="311"/>
      <c r="H111" s="238"/>
      <c r="I111" s="190" t="s">
        <v>2121</v>
      </c>
      <c r="J111" s="278">
        <f>50000+202000+101000+202000</f>
        <v>555000</v>
      </c>
    </row>
    <row r="112" spans="1:10" s="156" customFormat="1" ht="46.2" x14ac:dyDescent="0.8">
      <c r="A112" s="346"/>
      <c r="B112" s="346"/>
      <c r="C112" s="342"/>
      <c r="D112" s="349"/>
      <c r="E112" s="341"/>
      <c r="F112" s="342"/>
      <c r="G112" s="311"/>
      <c r="H112" s="238"/>
      <c r="I112" s="312" t="s">
        <v>2453</v>
      </c>
      <c r="J112" s="313">
        <v>151500</v>
      </c>
    </row>
    <row r="113" spans="1:10" s="156" customFormat="1" ht="46.2" x14ac:dyDescent="0.8">
      <c r="A113" s="346"/>
      <c r="B113" s="346"/>
      <c r="C113" s="342"/>
      <c r="D113" s="349"/>
      <c r="E113" s="341"/>
      <c r="F113" s="342"/>
      <c r="G113" s="311"/>
      <c r="H113" s="238"/>
      <c r="I113" s="190" t="s">
        <v>2454</v>
      </c>
      <c r="J113" s="278">
        <v>60600</v>
      </c>
    </row>
    <row r="114" spans="1:10" s="156" customFormat="1" ht="46.2" x14ac:dyDescent="0.8">
      <c r="A114" s="346"/>
      <c r="B114" s="346"/>
      <c r="C114" s="342"/>
      <c r="D114" s="349"/>
      <c r="E114" s="341"/>
      <c r="F114" s="342"/>
      <c r="G114" s="311"/>
      <c r="H114" s="238"/>
      <c r="I114" s="190" t="s">
        <v>2455</v>
      </c>
      <c r="J114" s="278">
        <v>2500</v>
      </c>
    </row>
    <row r="115" spans="1:10" s="186" customFormat="1" ht="46.2" x14ac:dyDescent="0.8">
      <c r="A115" s="355"/>
      <c r="B115" s="355"/>
      <c r="C115" s="347"/>
      <c r="D115" s="356"/>
      <c r="E115" s="345"/>
      <c r="F115" s="347"/>
      <c r="G115" s="311"/>
      <c r="H115" s="238"/>
      <c r="I115" s="190" t="s">
        <v>2456</v>
      </c>
      <c r="J115" s="199">
        <f>1500+1050+15035+40680</f>
        <v>58265</v>
      </c>
    </row>
    <row r="116" spans="1:10" s="156" customFormat="1" ht="46.2" x14ac:dyDescent="0.8">
      <c r="A116" s="346"/>
      <c r="B116" s="346"/>
      <c r="C116" s="342"/>
      <c r="D116" s="349"/>
      <c r="E116" s="341"/>
      <c r="F116" s="342"/>
      <c r="G116" s="311"/>
      <c r="H116" s="238">
        <v>45910</v>
      </c>
      <c r="I116" s="190" t="s">
        <v>2457</v>
      </c>
      <c r="J116" s="278">
        <v>1500</v>
      </c>
    </row>
    <row r="117" spans="1:10" s="156" customFormat="1" ht="46.2" x14ac:dyDescent="0.8">
      <c r="A117" s="346"/>
      <c r="B117" s="346"/>
      <c r="C117" s="342"/>
      <c r="D117" s="349"/>
      <c r="E117" s="341"/>
      <c r="F117" s="342"/>
      <c r="G117" s="311"/>
      <c r="H117" s="238"/>
      <c r="I117" s="190" t="s">
        <v>2458</v>
      </c>
      <c r="J117" s="278">
        <v>727200</v>
      </c>
    </row>
    <row r="118" spans="1:10" s="156" customFormat="1" ht="46.2" x14ac:dyDescent="0.8">
      <c r="A118" s="346"/>
      <c r="B118" s="346"/>
      <c r="C118" s="342"/>
      <c r="D118" s="349"/>
      <c r="E118" s="341"/>
      <c r="F118" s="342"/>
      <c r="G118" s="311"/>
      <c r="H118" s="238"/>
      <c r="I118" s="190" t="s">
        <v>2459</v>
      </c>
      <c r="J118" s="278">
        <v>202000</v>
      </c>
    </row>
    <row r="119" spans="1:10" s="156" customFormat="1" ht="46.2" x14ac:dyDescent="0.8">
      <c r="A119" s="346"/>
      <c r="B119" s="346"/>
      <c r="C119" s="342"/>
      <c r="D119" s="349"/>
      <c r="E119" s="341"/>
      <c r="F119" s="342"/>
      <c r="G119" s="311"/>
      <c r="H119" s="238"/>
      <c r="I119" s="190" t="s">
        <v>2460</v>
      </c>
      <c r="J119" s="278">
        <v>500000</v>
      </c>
    </row>
    <row r="120" spans="1:10" s="156" customFormat="1" ht="46.2" x14ac:dyDescent="0.8">
      <c r="A120" s="346"/>
      <c r="B120" s="346"/>
      <c r="C120" s="342"/>
      <c r="D120" s="349"/>
      <c r="E120" s="341"/>
      <c r="F120" s="342"/>
      <c r="G120" s="311"/>
      <c r="H120" s="238"/>
      <c r="I120" s="190" t="s">
        <v>2461</v>
      </c>
      <c r="J120" s="278">
        <v>10100</v>
      </c>
    </row>
    <row r="121" spans="1:10" s="156" customFormat="1" ht="46.2" x14ac:dyDescent="0.8">
      <c r="A121" s="346"/>
      <c r="B121" s="346"/>
      <c r="C121" s="342"/>
      <c r="D121" s="349"/>
      <c r="E121" s="341"/>
      <c r="F121" s="342"/>
      <c r="G121" s="311"/>
      <c r="H121" s="238"/>
      <c r="I121" s="190" t="s">
        <v>2462</v>
      </c>
      <c r="J121" s="278">
        <v>121200</v>
      </c>
    </row>
    <row r="122" spans="1:10" s="156" customFormat="1" ht="46.2" x14ac:dyDescent="0.8">
      <c r="A122" s="346"/>
      <c r="B122" s="346"/>
      <c r="C122" s="342"/>
      <c r="D122" s="349"/>
      <c r="E122" s="341"/>
      <c r="F122" s="342"/>
      <c r="G122" s="311"/>
      <c r="H122" s="238"/>
      <c r="I122" s="190" t="s">
        <v>2463</v>
      </c>
      <c r="J122" s="278">
        <v>2020</v>
      </c>
    </row>
    <row r="123" spans="1:10" s="156" customFormat="1" ht="46.2" x14ac:dyDescent="0.8">
      <c r="A123" s="346"/>
      <c r="B123" s="346"/>
      <c r="C123" s="342"/>
      <c r="D123" s="349"/>
      <c r="E123" s="341"/>
      <c r="F123" s="342"/>
      <c r="G123" s="311"/>
      <c r="H123" s="238"/>
      <c r="I123" s="190" t="s">
        <v>2464</v>
      </c>
      <c r="J123" s="278">
        <f>231000+10700</f>
        <v>241700</v>
      </c>
    </row>
    <row r="124" spans="1:10" s="156" customFormat="1" ht="46.2" x14ac:dyDescent="0.8">
      <c r="A124" s="346"/>
      <c r="B124" s="346"/>
      <c r="C124" s="342"/>
      <c r="D124" s="349"/>
      <c r="E124" s="341"/>
      <c r="F124" s="342"/>
      <c r="G124" s="311"/>
      <c r="H124" s="238"/>
      <c r="I124" s="190" t="s">
        <v>2465</v>
      </c>
      <c r="J124" s="278">
        <v>11500</v>
      </c>
    </row>
    <row r="125" spans="1:10" s="156" customFormat="1" ht="42.75" customHeight="1" x14ac:dyDescent="0.8">
      <c r="A125" s="346"/>
      <c r="B125" s="346"/>
      <c r="C125" s="342"/>
      <c r="D125" s="349"/>
      <c r="E125" s="341"/>
      <c r="F125" s="342"/>
      <c r="G125" s="311"/>
      <c r="H125" s="238"/>
      <c r="I125" s="190" t="s">
        <v>2466</v>
      </c>
      <c r="J125" s="278">
        <v>3030</v>
      </c>
    </row>
    <row r="126" spans="1:10" s="156" customFormat="1" ht="46.2" x14ac:dyDescent="0.8">
      <c r="A126" s="346"/>
      <c r="B126" s="346"/>
      <c r="C126" s="342"/>
      <c r="D126" s="349"/>
      <c r="E126" s="341"/>
      <c r="F126" s="342"/>
      <c r="G126" s="311"/>
      <c r="H126" s="238"/>
      <c r="I126" s="190" t="s">
        <v>2467</v>
      </c>
      <c r="J126" s="278">
        <v>350000</v>
      </c>
    </row>
    <row r="127" spans="1:10" s="156" customFormat="1" ht="46.2" x14ac:dyDescent="0.8">
      <c r="A127" s="346"/>
      <c r="B127" s="346"/>
      <c r="C127" s="342"/>
      <c r="D127" s="349"/>
      <c r="E127" s="341"/>
      <c r="F127" s="342"/>
      <c r="G127" s="311"/>
      <c r="H127" s="238"/>
      <c r="I127" s="190" t="s">
        <v>2468</v>
      </c>
      <c r="J127" s="278">
        <v>252500</v>
      </c>
    </row>
    <row r="128" spans="1:10" s="156" customFormat="1" ht="46.2" x14ac:dyDescent="0.8">
      <c r="A128" s="346"/>
      <c r="B128" s="346"/>
      <c r="C128" s="342"/>
      <c r="D128" s="349"/>
      <c r="E128" s="341"/>
      <c r="F128" s="342"/>
      <c r="G128" s="311"/>
      <c r="H128" s="238"/>
      <c r="I128" s="190" t="s">
        <v>2469</v>
      </c>
      <c r="J128" s="278">
        <v>121200</v>
      </c>
    </row>
    <row r="129" spans="1:10" s="156" customFormat="1" ht="35.4" x14ac:dyDescent="0.6">
      <c r="A129" s="346"/>
      <c r="B129" s="346"/>
      <c r="C129" s="342"/>
      <c r="D129" s="349"/>
      <c r="E129" s="341"/>
      <c r="F129" s="342"/>
      <c r="G129" s="315"/>
      <c r="H129" s="241"/>
      <c r="I129" s="190" t="s">
        <v>2470</v>
      </c>
      <c r="J129" s="278">
        <v>17170</v>
      </c>
    </row>
    <row r="130" spans="1:10" s="156" customFormat="1" ht="35.4" x14ac:dyDescent="0.6">
      <c r="A130" s="346"/>
      <c r="B130" s="346"/>
      <c r="C130" s="342"/>
      <c r="D130" s="349"/>
      <c r="E130" s="341"/>
      <c r="F130" s="342"/>
      <c r="G130" s="315"/>
      <c r="H130" s="241"/>
      <c r="I130" s="190" t="s">
        <v>2471</v>
      </c>
      <c r="J130" s="278">
        <v>287850</v>
      </c>
    </row>
    <row r="131" spans="1:10" s="156" customFormat="1" ht="35.4" x14ac:dyDescent="0.6">
      <c r="A131" s="346"/>
      <c r="B131" s="346"/>
      <c r="C131" s="342"/>
      <c r="D131" s="349"/>
      <c r="E131" s="341"/>
      <c r="F131" s="342"/>
      <c r="G131" s="315"/>
      <c r="H131" s="241">
        <v>45911</v>
      </c>
      <c r="I131" s="190" t="s">
        <v>2472</v>
      </c>
      <c r="J131" s="278">
        <v>3030</v>
      </c>
    </row>
    <row r="132" spans="1:10" s="156" customFormat="1" ht="35.4" x14ac:dyDescent="0.6">
      <c r="A132" s="346"/>
      <c r="B132" s="346"/>
      <c r="C132" s="342"/>
      <c r="D132" s="349"/>
      <c r="E132" s="341"/>
      <c r="F132" s="342"/>
      <c r="G132" s="315"/>
      <c r="H132" s="241"/>
      <c r="I132" s="190" t="s">
        <v>2473</v>
      </c>
      <c r="J132" s="278">
        <v>80800</v>
      </c>
    </row>
    <row r="133" spans="1:10" s="156" customFormat="1" ht="35.4" x14ac:dyDescent="0.6">
      <c r="A133" s="346"/>
      <c r="B133" s="346"/>
      <c r="C133" s="342"/>
      <c r="D133" s="349"/>
      <c r="E133" s="341"/>
      <c r="F133" s="342"/>
      <c r="G133" s="315"/>
      <c r="H133" s="241"/>
      <c r="I133" s="190" t="s">
        <v>2474</v>
      </c>
      <c r="J133" s="278">
        <v>20200</v>
      </c>
    </row>
    <row r="134" spans="1:10" s="156" customFormat="1" ht="35.4" x14ac:dyDescent="0.6">
      <c r="A134" s="346"/>
      <c r="B134" s="346"/>
      <c r="C134" s="342"/>
      <c r="D134" s="349"/>
      <c r="E134" s="341"/>
      <c r="F134" s="342"/>
      <c r="G134" s="315"/>
      <c r="H134" s="241"/>
      <c r="I134" s="190" t="s">
        <v>2475</v>
      </c>
      <c r="J134" s="278">
        <v>3030</v>
      </c>
    </row>
    <row r="135" spans="1:10" s="156" customFormat="1" ht="35.4" x14ac:dyDescent="0.6">
      <c r="A135" s="346"/>
      <c r="B135" s="346"/>
      <c r="C135" s="342"/>
      <c r="D135" s="349"/>
      <c r="E135" s="341"/>
      <c r="F135" s="342"/>
      <c r="G135" s="315"/>
      <c r="H135" s="241"/>
      <c r="I135" s="190" t="s">
        <v>2476</v>
      </c>
      <c r="J135" s="278">
        <v>8080</v>
      </c>
    </row>
    <row r="136" spans="1:10" s="156" customFormat="1" ht="35.4" x14ac:dyDescent="0.6">
      <c r="A136" s="346"/>
      <c r="B136" s="346"/>
      <c r="C136" s="342"/>
      <c r="D136" s="349"/>
      <c r="E136" s="341"/>
      <c r="F136" s="342"/>
      <c r="G136" s="315"/>
      <c r="H136" s="241"/>
      <c r="I136" s="190" t="s">
        <v>2477</v>
      </c>
      <c r="J136" s="278">
        <v>2000</v>
      </c>
    </row>
    <row r="137" spans="1:10" s="156" customFormat="1" ht="35.4" x14ac:dyDescent="0.6">
      <c r="A137" s="346"/>
      <c r="B137" s="346"/>
      <c r="C137" s="342"/>
      <c r="D137" s="349"/>
      <c r="E137" s="341"/>
      <c r="F137" s="342"/>
      <c r="G137" s="315"/>
      <c r="H137" s="241">
        <v>45912</v>
      </c>
      <c r="I137" s="190" t="s">
        <v>2448</v>
      </c>
      <c r="J137" s="278">
        <v>3000</v>
      </c>
    </row>
    <row r="138" spans="1:10" s="156" customFormat="1" ht="35.4" x14ac:dyDescent="0.6">
      <c r="A138" s="346"/>
      <c r="B138" s="346"/>
      <c r="C138" s="342"/>
      <c r="D138" s="349"/>
      <c r="E138" s="341"/>
      <c r="F138" s="342"/>
      <c r="G138" s="315"/>
      <c r="H138" s="241"/>
      <c r="I138" s="190" t="s">
        <v>2478</v>
      </c>
      <c r="J138" s="278">
        <v>10000</v>
      </c>
    </row>
    <row r="139" spans="1:10" s="156" customFormat="1" ht="35.4" x14ac:dyDescent="0.6">
      <c r="A139" s="346"/>
      <c r="B139" s="346"/>
      <c r="C139" s="342"/>
      <c r="D139" s="349"/>
      <c r="E139" s="341"/>
      <c r="F139" s="342"/>
      <c r="G139" s="315"/>
      <c r="H139" s="241"/>
      <c r="I139" s="190" t="s">
        <v>2479</v>
      </c>
      <c r="J139" s="278">
        <v>31100</v>
      </c>
    </row>
    <row r="140" spans="1:10" s="156" customFormat="1" ht="35.4" x14ac:dyDescent="0.6">
      <c r="A140" s="346"/>
      <c r="B140" s="346"/>
      <c r="C140" s="342"/>
      <c r="D140" s="349"/>
      <c r="E140" s="341"/>
      <c r="F140" s="342"/>
      <c r="G140" s="315"/>
      <c r="H140" s="241"/>
      <c r="I140" s="190" t="s">
        <v>2264</v>
      </c>
      <c r="J140" s="278">
        <v>10100</v>
      </c>
    </row>
    <row r="141" spans="1:10" s="156" customFormat="1" ht="35.4" x14ac:dyDescent="0.6">
      <c r="A141" s="346"/>
      <c r="B141" s="346"/>
      <c r="C141" s="342"/>
      <c r="D141" s="349"/>
      <c r="E141" s="341"/>
      <c r="F141" s="342"/>
      <c r="G141" s="315"/>
      <c r="H141" s="241"/>
      <c r="I141" s="190" t="s">
        <v>2480</v>
      </c>
      <c r="J141" s="278">
        <f>70000+4745+67900</f>
        <v>142645</v>
      </c>
    </row>
    <row r="142" spans="1:10" s="156" customFormat="1" ht="35.4" x14ac:dyDescent="0.6">
      <c r="A142" s="346"/>
      <c r="B142" s="346"/>
      <c r="C142" s="342"/>
      <c r="D142" s="349"/>
      <c r="E142" s="341"/>
      <c r="F142" s="342"/>
      <c r="G142" s="315"/>
      <c r="H142" s="241"/>
      <c r="I142" s="190" t="s">
        <v>2481</v>
      </c>
      <c r="J142" s="278">
        <v>4040</v>
      </c>
    </row>
    <row r="143" spans="1:10" s="156" customFormat="1" ht="35.4" x14ac:dyDescent="0.6">
      <c r="A143" s="346"/>
      <c r="B143" s="346"/>
      <c r="C143" s="342"/>
      <c r="D143" s="349"/>
      <c r="E143" s="341"/>
      <c r="F143" s="342"/>
      <c r="G143" s="315"/>
      <c r="H143" s="241"/>
      <c r="I143" s="190" t="s">
        <v>2482</v>
      </c>
      <c r="J143" s="278">
        <v>211090</v>
      </c>
    </row>
    <row r="144" spans="1:10" s="156" customFormat="1" ht="35.4" x14ac:dyDescent="0.6">
      <c r="A144" s="346"/>
      <c r="B144" s="346"/>
      <c r="C144" s="342"/>
      <c r="D144" s="349"/>
      <c r="E144" s="341"/>
      <c r="F144" s="342"/>
      <c r="G144" s="315"/>
      <c r="H144" s="241"/>
      <c r="I144" s="190" t="s">
        <v>2483</v>
      </c>
      <c r="J144" s="278">
        <v>653935</v>
      </c>
    </row>
    <row r="145" spans="1:10" s="156" customFormat="1" ht="35.4" x14ac:dyDescent="0.6">
      <c r="A145" s="346"/>
      <c r="B145" s="346"/>
      <c r="C145" s="342"/>
      <c r="D145" s="349"/>
      <c r="E145" s="341"/>
      <c r="F145" s="342"/>
      <c r="G145" s="315"/>
      <c r="H145" s="241"/>
      <c r="I145" s="190" t="s">
        <v>2476</v>
      </c>
      <c r="J145" s="278">
        <v>7070</v>
      </c>
    </row>
    <row r="146" spans="1:10" s="156" customFormat="1" ht="35.4" x14ac:dyDescent="0.6">
      <c r="A146" s="346"/>
      <c r="B146" s="346"/>
      <c r="C146" s="342"/>
      <c r="D146" s="349"/>
      <c r="E146" s="341"/>
      <c r="F146" s="342"/>
      <c r="G146" s="315"/>
      <c r="H146" s="241"/>
      <c r="I146" s="190" t="s">
        <v>2484</v>
      </c>
      <c r="J146" s="278">
        <v>161600</v>
      </c>
    </row>
    <row r="147" spans="1:10" s="156" customFormat="1" ht="35.4" x14ac:dyDescent="0.6">
      <c r="A147" s="346"/>
      <c r="B147" s="346"/>
      <c r="C147" s="342"/>
      <c r="D147" s="349"/>
      <c r="E147" s="341"/>
      <c r="F147" s="342"/>
      <c r="G147" s="315"/>
      <c r="H147" s="241">
        <v>45913</v>
      </c>
      <c r="I147" s="190" t="s">
        <v>2485</v>
      </c>
      <c r="J147" s="278">
        <v>500</v>
      </c>
    </row>
    <row r="148" spans="1:10" s="156" customFormat="1" ht="35.4" x14ac:dyDescent="0.6">
      <c r="A148" s="346"/>
      <c r="B148" s="346"/>
      <c r="C148" s="342"/>
      <c r="D148" s="349"/>
      <c r="E148" s="341"/>
      <c r="F148" s="342"/>
      <c r="G148" s="315"/>
      <c r="H148" s="241"/>
      <c r="I148" s="190" t="s">
        <v>2486</v>
      </c>
      <c r="J148" s="278">
        <v>2020</v>
      </c>
    </row>
    <row r="149" spans="1:10" s="156" customFormat="1" ht="35.4" x14ac:dyDescent="0.6">
      <c r="A149" s="346"/>
      <c r="B149" s="346"/>
      <c r="C149" s="342"/>
      <c r="D149" s="349"/>
      <c r="E149" s="341"/>
      <c r="F149" s="342"/>
      <c r="G149" s="315"/>
      <c r="H149" s="241"/>
      <c r="I149" s="190" t="s">
        <v>2487</v>
      </c>
      <c r="J149" s="278">
        <v>25000</v>
      </c>
    </row>
    <row r="150" spans="1:10" s="156" customFormat="1" ht="35.4" x14ac:dyDescent="0.6">
      <c r="A150" s="346"/>
      <c r="B150" s="346"/>
      <c r="C150" s="342"/>
      <c r="D150" s="349"/>
      <c r="E150" s="341"/>
      <c r="F150" s="342"/>
      <c r="G150" s="315"/>
      <c r="H150" s="241"/>
      <c r="I150" s="190" t="s">
        <v>2488</v>
      </c>
      <c r="J150" s="278">
        <v>10000</v>
      </c>
    </row>
    <row r="151" spans="1:10" s="156" customFormat="1" ht="35.4" x14ac:dyDescent="0.6">
      <c r="A151" s="346"/>
      <c r="B151" s="346"/>
      <c r="C151" s="342"/>
      <c r="D151" s="349"/>
      <c r="E151" s="341"/>
      <c r="F151" s="342"/>
      <c r="G151" s="315"/>
      <c r="H151" s="166"/>
      <c r="I151" s="190" t="s">
        <v>2489</v>
      </c>
      <c r="J151" s="278">
        <v>130000</v>
      </c>
    </row>
    <row r="152" spans="1:10" s="156" customFormat="1" ht="35.4" x14ac:dyDescent="0.6">
      <c r="A152" s="346"/>
      <c r="B152" s="346"/>
      <c r="C152" s="342"/>
      <c r="D152" s="349"/>
      <c r="E152" s="341"/>
      <c r="F152" s="342"/>
      <c r="G152" s="315"/>
      <c r="H152" s="241"/>
      <c r="I152" s="190" t="s">
        <v>2490</v>
      </c>
      <c r="J152" s="278">
        <v>1061920</v>
      </c>
    </row>
    <row r="153" spans="1:10" s="156" customFormat="1" ht="35.4" x14ac:dyDescent="0.6">
      <c r="A153" s="346"/>
      <c r="B153" s="346"/>
      <c r="C153" s="342"/>
      <c r="D153" s="349"/>
      <c r="E153" s="341"/>
      <c r="F153" s="342"/>
      <c r="G153" s="315"/>
      <c r="H153" s="241"/>
      <c r="I153" s="190" t="s">
        <v>2491</v>
      </c>
      <c r="J153" s="278">
        <v>36360</v>
      </c>
    </row>
    <row r="154" spans="1:10" s="156" customFormat="1" ht="35.4" x14ac:dyDescent="0.6">
      <c r="A154" s="346"/>
      <c r="B154" s="346"/>
      <c r="C154" s="342"/>
      <c r="D154" s="349"/>
      <c r="E154" s="341"/>
      <c r="F154" s="342"/>
      <c r="G154" s="315"/>
      <c r="H154" s="241"/>
      <c r="I154" s="190" t="s">
        <v>2485</v>
      </c>
      <c r="J154" s="278">
        <v>500</v>
      </c>
    </row>
    <row r="155" spans="1:10" s="156" customFormat="1" ht="35.4" x14ac:dyDescent="0.6">
      <c r="A155" s="346"/>
      <c r="B155" s="346"/>
      <c r="C155" s="342"/>
      <c r="D155" s="349"/>
      <c r="E155" s="341"/>
      <c r="F155" s="342"/>
      <c r="G155" s="315"/>
      <c r="H155" s="241"/>
      <c r="I155" s="190" t="s">
        <v>2492</v>
      </c>
      <c r="J155" s="278">
        <v>25000</v>
      </c>
    </row>
    <row r="156" spans="1:10" s="156" customFormat="1" ht="35.4" x14ac:dyDescent="0.6">
      <c r="A156" s="346"/>
      <c r="B156" s="346"/>
      <c r="C156" s="342"/>
      <c r="D156" s="349"/>
      <c r="E156" s="341"/>
      <c r="F156" s="342"/>
      <c r="G156" s="315"/>
      <c r="H156" s="241">
        <v>45914</v>
      </c>
      <c r="I156" s="190" t="s">
        <v>2493</v>
      </c>
      <c r="J156" s="278">
        <v>20200</v>
      </c>
    </row>
    <row r="157" spans="1:10" s="156" customFormat="1" ht="35.4" x14ac:dyDescent="0.6">
      <c r="A157" s="346"/>
      <c r="B157" s="346"/>
      <c r="C157" s="342"/>
      <c r="D157" s="349"/>
      <c r="E157" s="341"/>
      <c r="F157" s="342"/>
      <c r="G157" s="315"/>
      <c r="H157" s="241"/>
      <c r="I157" s="190" t="s">
        <v>2494</v>
      </c>
      <c r="J157" s="278">
        <v>300000</v>
      </c>
    </row>
    <row r="158" spans="1:10" s="156" customFormat="1" ht="35.4" x14ac:dyDescent="0.6">
      <c r="A158" s="346"/>
      <c r="B158" s="346"/>
      <c r="C158" s="342"/>
      <c r="D158" s="349"/>
      <c r="E158" s="341"/>
      <c r="F158" s="342"/>
      <c r="G158" s="315"/>
      <c r="H158" s="241">
        <v>45915</v>
      </c>
      <c r="I158" s="190" t="s">
        <v>2495</v>
      </c>
      <c r="J158" s="278">
        <v>30300</v>
      </c>
    </row>
    <row r="159" spans="1:10" s="156" customFormat="1" ht="35.4" x14ac:dyDescent="0.6">
      <c r="A159" s="346"/>
      <c r="B159" s="346"/>
      <c r="C159" s="342"/>
      <c r="D159" s="349"/>
      <c r="E159" s="341"/>
      <c r="F159" s="342"/>
      <c r="G159" s="315"/>
      <c r="H159" s="241"/>
      <c r="I159" s="190" t="s">
        <v>2496</v>
      </c>
      <c r="J159" s="278">
        <v>50500</v>
      </c>
    </row>
    <row r="160" spans="1:10" s="156" customFormat="1" ht="35.4" x14ac:dyDescent="0.6">
      <c r="A160" s="346"/>
      <c r="B160" s="346"/>
      <c r="C160" s="342"/>
      <c r="D160" s="349"/>
      <c r="E160" s="341"/>
      <c r="F160" s="342"/>
      <c r="G160" s="315"/>
      <c r="H160" s="241"/>
      <c r="I160" s="190" t="s">
        <v>2497</v>
      </c>
      <c r="J160" s="278">
        <v>6060</v>
      </c>
    </row>
    <row r="161" spans="1:10" s="156" customFormat="1" ht="35.4" x14ac:dyDescent="0.6">
      <c r="A161" s="346"/>
      <c r="B161" s="346"/>
      <c r="C161" s="342"/>
      <c r="D161" s="349"/>
      <c r="E161" s="341"/>
      <c r="F161" s="342"/>
      <c r="G161" s="315"/>
      <c r="H161" s="241"/>
      <c r="I161" s="190" t="s">
        <v>2498</v>
      </c>
      <c r="J161" s="278">
        <v>15150</v>
      </c>
    </row>
    <row r="162" spans="1:10" s="156" customFormat="1" ht="35.4" x14ac:dyDescent="0.6">
      <c r="A162" s="346"/>
      <c r="B162" s="346"/>
      <c r="C162" s="342"/>
      <c r="D162" s="349"/>
      <c r="E162" s="341"/>
      <c r="F162" s="342"/>
      <c r="G162" s="315"/>
      <c r="H162" s="241"/>
      <c r="I162" s="190" t="s">
        <v>2499</v>
      </c>
      <c r="J162" s="278">
        <v>90000</v>
      </c>
    </row>
    <row r="163" spans="1:10" s="156" customFormat="1" ht="35.4" x14ac:dyDescent="0.6">
      <c r="A163" s="346"/>
      <c r="B163" s="346"/>
      <c r="C163" s="342"/>
      <c r="D163" s="349"/>
      <c r="E163" s="341"/>
      <c r="F163" s="342"/>
      <c r="G163" s="315"/>
      <c r="H163" s="241"/>
      <c r="I163" s="190" t="s">
        <v>2500</v>
      </c>
      <c r="J163" s="244">
        <v>53500</v>
      </c>
    </row>
    <row r="164" spans="1:10" s="156" customFormat="1" ht="35.4" x14ac:dyDescent="0.6">
      <c r="A164" s="346"/>
      <c r="B164" s="346"/>
      <c r="C164" s="342"/>
      <c r="D164" s="349"/>
      <c r="E164" s="341"/>
      <c r="F164" s="342"/>
      <c r="G164" s="315"/>
      <c r="H164" s="241"/>
      <c r="I164" s="190" t="s">
        <v>2501</v>
      </c>
      <c r="J164" s="278">
        <v>4000</v>
      </c>
    </row>
    <row r="165" spans="1:10" s="156" customFormat="1" ht="35.4" x14ac:dyDescent="0.6">
      <c r="A165" s="346"/>
      <c r="B165" s="346"/>
      <c r="C165" s="342"/>
      <c r="D165" s="349"/>
      <c r="E165" s="341"/>
      <c r="F165" s="342"/>
      <c r="G165" s="315"/>
      <c r="H165" s="241"/>
      <c r="I165" s="190" t="s">
        <v>2502</v>
      </c>
      <c r="J165" s="278">
        <v>60600</v>
      </c>
    </row>
    <row r="166" spans="1:10" s="156" customFormat="1" ht="35.4" x14ac:dyDescent="0.6">
      <c r="A166" s="346"/>
      <c r="B166" s="346"/>
      <c r="C166" s="342"/>
      <c r="D166" s="349"/>
      <c r="E166" s="341"/>
      <c r="F166" s="342"/>
      <c r="G166" s="315"/>
      <c r="H166" s="241"/>
      <c r="I166" s="190" t="s">
        <v>2503</v>
      </c>
      <c r="J166" s="278">
        <f>50500+360000</f>
        <v>410500</v>
      </c>
    </row>
    <row r="167" spans="1:10" s="156" customFormat="1" ht="35.4" x14ac:dyDescent="0.6">
      <c r="A167" s="346"/>
      <c r="B167" s="346"/>
      <c r="C167" s="342"/>
      <c r="D167" s="349"/>
      <c r="E167" s="341"/>
      <c r="F167" s="342"/>
      <c r="G167" s="315"/>
      <c r="H167" s="241"/>
      <c r="I167" s="190" t="s">
        <v>2504</v>
      </c>
      <c r="J167" s="278">
        <v>2500</v>
      </c>
    </row>
    <row r="168" spans="1:10" s="156" customFormat="1" ht="35.4" x14ac:dyDescent="0.6">
      <c r="A168" s="346"/>
      <c r="B168" s="346"/>
      <c r="C168" s="342"/>
      <c r="D168" s="349"/>
      <c r="E168" s="341"/>
      <c r="F168" s="342"/>
      <c r="G168" s="315"/>
      <c r="H168" s="241"/>
      <c r="I168" s="190" t="s">
        <v>2505</v>
      </c>
      <c r="J168" s="278">
        <v>111100</v>
      </c>
    </row>
    <row r="169" spans="1:10" s="156" customFormat="1" ht="35.4" x14ac:dyDescent="0.6">
      <c r="A169" s="346"/>
      <c r="B169" s="346"/>
      <c r="C169" s="342"/>
      <c r="D169" s="349"/>
      <c r="E169" s="341"/>
      <c r="F169" s="342"/>
      <c r="G169" s="315"/>
      <c r="H169" s="241"/>
      <c r="I169" s="190" t="s">
        <v>2506</v>
      </c>
      <c r="J169" s="278">
        <v>40400</v>
      </c>
    </row>
    <row r="170" spans="1:10" s="156" customFormat="1" ht="35.4" x14ac:dyDescent="0.6">
      <c r="A170" s="346"/>
      <c r="B170" s="346"/>
      <c r="C170" s="342"/>
      <c r="D170" s="349"/>
      <c r="E170" s="341"/>
      <c r="F170" s="342"/>
      <c r="G170" s="315"/>
      <c r="H170" s="241"/>
      <c r="I170" s="190" t="s">
        <v>2507</v>
      </c>
      <c r="J170" s="278">
        <v>45450</v>
      </c>
    </row>
    <row r="171" spans="1:10" s="156" customFormat="1" ht="35.4" x14ac:dyDescent="0.6">
      <c r="A171" s="346"/>
      <c r="B171" s="346"/>
      <c r="C171" s="342"/>
      <c r="D171" s="349"/>
      <c r="E171" s="341"/>
      <c r="F171" s="342"/>
      <c r="G171" s="315"/>
      <c r="H171" s="241"/>
      <c r="I171" s="190" t="s">
        <v>2508</v>
      </c>
      <c r="J171" s="278">
        <v>50500</v>
      </c>
    </row>
    <row r="172" spans="1:10" s="156" customFormat="1" ht="35.4" x14ac:dyDescent="0.6">
      <c r="A172" s="346"/>
      <c r="B172" s="346"/>
      <c r="C172" s="342"/>
      <c r="D172" s="349"/>
      <c r="E172" s="341"/>
      <c r="F172" s="342"/>
      <c r="G172" s="315"/>
      <c r="H172" s="241"/>
      <c r="I172" s="190" t="s">
        <v>2442</v>
      </c>
      <c r="J172" s="278">
        <v>2500</v>
      </c>
    </row>
    <row r="173" spans="1:10" s="156" customFormat="1" ht="35.4" x14ac:dyDescent="0.6">
      <c r="A173" s="346"/>
      <c r="B173" s="346"/>
      <c r="C173" s="342"/>
      <c r="D173" s="349"/>
      <c r="E173" s="341"/>
      <c r="F173" s="342"/>
      <c r="G173" s="315"/>
      <c r="H173" s="241"/>
      <c r="I173" s="185" t="s">
        <v>2509</v>
      </c>
      <c r="J173" s="278">
        <v>10100</v>
      </c>
    </row>
    <row r="174" spans="1:10" s="156" customFormat="1" ht="35.4" x14ac:dyDescent="0.6">
      <c r="A174" s="346"/>
      <c r="B174" s="346"/>
      <c r="C174" s="342"/>
      <c r="D174" s="349"/>
      <c r="E174" s="341"/>
      <c r="F174" s="342"/>
      <c r="G174" s="315"/>
      <c r="H174" s="241"/>
      <c r="I174" s="185" t="s">
        <v>2510</v>
      </c>
      <c r="J174" s="278">
        <v>10000</v>
      </c>
    </row>
    <row r="175" spans="1:10" s="156" customFormat="1" ht="35.4" x14ac:dyDescent="0.6">
      <c r="A175" s="346"/>
      <c r="B175" s="346"/>
      <c r="C175" s="342"/>
      <c r="D175" s="349"/>
      <c r="E175" s="341"/>
      <c r="F175" s="342"/>
      <c r="G175" s="315"/>
      <c r="H175" s="241"/>
      <c r="I175" s="185" t="s">
        <v>2511</v>
      </c>
      <c r="J175" s="278">
        <v>252500</v>
      </c>
    </row>
    <row r="176" spans="1:10" s="156" customFormat="1" ht="35.4" x14ac:dyDescent="0.6">
      <c r="A176" s="346"/>
      <c r="B176" s="346"/>
      <c r="C176" s="342"/>
      <c r="D176" s="349"/>
      <c r="E176" s="341"/>
      <c r="F176" s="342"/>
      <c r="G176" s="315"/>
      <c r="H176" s="241">
        <v>45916</v>
      </c>
      <c r="I176" s="185" t="s">
        <v>2512</v>
      </c>
      <c r="J176" s="278">
        <v>25250</v>
      </c>
    </row>
    <row r="177" spans="1:10" s="156" customFormat="1" ht="35.4" x14ac:dyDescent="0.6">
      <c r="A177" s="346"/>
      <c r="B177" s="346"/>
      <c r="C177" s="342"/>
      <c r="D177" s="349"/>
      <c r="E177" s="341"/>
      <c r="F177" s="342"/>
      <c r="G177" s="315"/>
      <c r="H177" s="241"/>
      <c r="I177" s="190" t="s">
        <v>2513</v>
      </c>
      <c r="J177" s="278">
        <v>6000</v>
      </c>
    </row>
    <row r="178" spans="1:10" s="156" customFormat="1" ht="35.4" x14ac:dyDescent="0.6">
      <c r="A178" s="346"/>
      <c r="B178" s="346"/>
      <c r="C178" s="342"/>
      <c r="D178" s="349"/>
      <c r="E178" s="341"/>
      <c r="F178" s="342"/>
      <c r="G178" s="315"/>
      <c r="H178" s="241"/>
      <c r="I178" s="190" t="s">
        <v>2514</v>
      </c>
      <c r="J178" s="278">
        <v>10000</v>
      </c>
    </row>
    <row r="179" spans="1:10" s="156" customFormat="1" ht="35.4" x14ac:dyDescent="0.6">
      <c r="A179" s="346"/>
      <c r="B179" s="346"/>
      <c r="C179" s="342"/>
      <c r="D179" s="349"/>
      <c r="E179" s="341"/>
      <c r="F179" s="342"/>
      <c r="G179" s="315"/>
      <c r="H179" s="241"/>
      <c r="I179" s="190" t="s">
        <v>2515</v>
      </c>
      <c r="J179" s="278">
        <v>20000</v>
      </c>
    </row>
    <row r="180" spans="1:10" s="156" customFormat="1" ht="35.4" x14ac:dyDescent="0.6">
      <c r="A180" s="346"/>
      <c r="B180" s="346"/>
      <c r="C180" s="342"/>
      <c r="D180" s="349"/>
      <c r="E180" s="341"/>
      <c r="F180" s="342"/>
      <c r="G180" s="315"/>
      <c r="H180" s="241"/>
      <c r="I180" s="190" t="s">
        <v>2516</v>
      </c>
      <c r="J180" s="278">
        <v>2000</v>
      </c>
    </row>
    <row r="181" spans="1:10" s="156" customFormat="1" ht="35.4" x14ac:dyDescent="0.6">
      <c r="A181" s="346"/>
      <c r="B181" s="346"/>
      <c r="C181" s="342"/>
      <c r="D181" s="349"/>
      <c r="E181" s="341"/>
      <c r="F181" s="342"/>
      <c r="G181" s="315"/>
      <c r="H181" s="241"/>
      <c r="I181" s="190" t="s">
        <v>2517</v>
      </c>
      <c r="J181" s="278">
        <v>1315</v>
      </c>
    </row>
    <row r="182" spans="1:10" s="156" customFormat="1" ht="35.4" x14ac:dyDescent="0.6">
      <c r="A182" s="346"/>
      <c r="B182" s="346"/>
      <c r="C182" s="342"/>
      <c r="D182" s="349"/>
      <c r="E182" s="341"/>
      <c r="F182" s="342"/>
      <c r="G182" s="315"/>
      <c r="H182" s="241"/>
      <c r="I182" s="190" t="s">
        <v>2317</v>
      </c>
      <c r="J182" s="278">
        <v>10100</v>
      </c>
    </row>
    <row r="183" spans="1:10" s="156" customFormat="1" ht="35.4" x14ac:dyDescent="0.6">
      <c r="A183" s="346"/>
      <c r="B183" s="346"/>
      <c r="C183" s="342"/>
      <c r="D183" s="349"/>
      <c r="E183" s="341"/>
      <c r="F183" s="342"/>
      <c r="G183" s="315"/>
      <c r="H183" s="241"/>
      <c r="I183" s="190" t="s">
        <v>2518</v>
      </c>
      <c r="J183" s="278">
        <v>19860</v>
      </c>
    </row>
    <row r="184" spans="1:10" s="156" customFormat="1" ht="35.4" x14ac:dyDescent="0.6">
      <c r="A184" s="346"/>
      <c r="B184" s="346"/>
      <c r="C184" s="342"/>
      <c r="D184" s="349"/>
      <c r="E184" s="341"/>
      <c r="F184" s="342"/>
      <c r="G184" s="315"/>
      <c r="H184" s="241"/>
      <c r="I184" s="190" t="s">
        <v>2519</v>
      </c>
      <c r="J184" s="278">
        <v>85000</v>
      </c>
    </row>
    <row r="185" spans="1:10" s="156" customFormat="1" ht="35.4" x14ac:dyDescent="0.6">
      <c r="A185" s="346"/>
      <c r="B185" s="346"/>
      <c r="C185" s="342"/>
      <c r="D185" s="349"/>
      <c r="E185" s="341"/>
      <c r="F185" s="342"/>
      <c r="G185" s="315"/>
      <c r="H185" s="241"/>
      <c r="I185" s="190" t="s">
        <v>2520</v>
      </c>
      <c r="J185" s="278">
        <v>5600</v>
      </c>
    </row>
    <row r="186" spans="1:10" s="156" customFormat="1" ht="35.4" x14ac:dyDescent="0.6">
      <c r="A186" s="346"/>
      <c r="B186" s="346"/>
      <c r="C186" s="342"/>
      <c r="D186" s="349"/>
      <c r="E186" s="341"/>
      <c r="F186" s="342"/>
      <c r="G186" s="315"/>
      <c r="H186" s="241"/>
      <c r="I186" s="190" t="s">
        <v>2521</v>
      </c>
      <c r="J186" s="278">
        <v>60000</v>
      </c>
    </row>
    <row r="187" spans="1:10" s="156" customFormat="1" ht="35.4" x14ac:dyDescent="0.6">
      <c r="A187" s="346"/>
      <c r="B187" s="346"/>
      <c r="C187" s="342"/>
      <c r="D187" s="349"/>
      <c r="E187" s="341"/>
      <c r="F187" s="342"/>
      <c r="G187" s="315"/>
      <c r="H187" s="241"/>
      <c r="I187" s="190" t="s">
        <v>2522</v>
      </c>
      <c r="J187" s="278">
        <v>212100</v>
      </c>
    </row>
    <row r="188" spans="1:10" s="156" customFormat="1" ht="35.4" x14ac:dyDescent="0.6">
      <c r="A188" s="346"/>
      <c r="B188" s="346"/>
      <c r="C188" s="342"/>
      <c r="D188" s="349"/>
      <c r="E188" s="341"/>
      <c r="F188" s="342"/>
      <c r="G188" s="315"/>
      <c r="H188" s="241"/>
      <c r="I188" s="190" t="s">
        <v>2523</v>
      </c>
      <c r="J188" s="278">
        <v>5000</v>
      </c>
    </row>
    <row r="189" spans="1:10" s="156" customFormat="1" ht="35.4" x14ac:dyDescent="0.6">
      <c r="A189" s="346"/>
      <c r="B189" s="346"/>
      <c r="C189" s="342"/>
      <c r="D189" s="349"/>
      <c r="E189" s="341"/>
      <c r="F189" s="342"/>
      <c r="G189" s="315"/>
      <c r="H189" s="241"/>
      <c r="I189" s="190" t="s">
        <v>2442</v>
      </c>
      <c r="J189" s="278">
        <v>2500</v>
      </c>
    </row>
    <row r="190" spans="1:10" s="156" customFormat="1" ht="35.4" x14ac:dyDescent="0.6">
      <c r="A190" s="346"/>
      <c r="B190" s="346"/>
      <c r="C190" s="342"/>
      <c r="D190" s="349"/>
      <c r="E190" s="341"/>
      <c r="F190" s="342"/>
      <c r="G190" s="315"/>
      <c r="H190" s="241"/>
      <c r="I190" s="190" t="s">
        <v>2524</v>
      </c>
      <c r="J190" s="278">
        <v>15150</v>
      </c>
    </row>
    <row r="191" spans="1:10" s="156" customFormat="1" ht="35.4" x14ac:dyDescent="0.6">
      <c r="A191" s="346"/>
      <c r="B191" s="346"/>
      <c r="C191" s="342"/>
      <c r="D191" s="349"/>
      <c r="E191" s="341"/>
      <c r="F191" s="342"/>
      <c r="G191" s="315"/>
      <c r="H191" s="241"/>
      <c r="I191" s="190" t="s">
        <v>2525</v>
      </c>
      <c r="J191" s="278">
        <f>131300+262600</f>
        <v>393900</v>
      </c>
    </row>
    <row r="192" spans="1:10" s="156" customFormat="1" ht="35.4" x14ac:dyDescent="0.6">
      <c r="A192" s="346"/>
      <c r="B192" s="346"/>
      <c r="C192" s="342"/>
      <c r="D192" s="349"/>
      <c r="E192" s="341"/>
      <c r="F192" s="342"/>
      <c r="G192" s="315"/>
      <c r="H192" s="241">
        <v>45917</v>
      </c>
      <c r="I192" s="190" t="s">
        <v>2526</v>
      </c>
      <c r="J192" s="278">
        <v>10000</v>
      </c>
    </row>
    <row r="193" spans="1:10" s="156" customFormat="1" ht="35.4" x14ac:dyDescent="0.6">
      <c r="A193" s="346"/>
      <c r="B193" s="346"/>
      <c r="C193" s="342"/>
      <c r="D193" s="349"/>
      <c r="E193" s="341"/>
      <c r="F193" s="342"/>
      <c r="G193" s="315"/>
      <c r="H193" s="241"/>
      <c r="I193" s="190" t="s">
        <v>2527</v>
      </c>
      <c r="J193" s="278">
        <v>381925</v>
      </c>
    </row>
    <row r="194" spans="1:10" s="156" customFormat="1" ht="35.4" x14ac:dyDescent="0.6">
      <c r="A194" s="346"/>
      <c r="B194" s="346"/>
      <c r="C194" s="342"/>
      <c r="D194" s="349"/>
      <c r="E194" s="341"/>
      <c r="F194" s="342"/>
      <c r="G194" s="315"/>
      <c r="H194" s="241"/>
      <c r="I194" s="190" t="s">
        <v>2528</v>
      </c>
      <c r="J194" s="278">
        <v>45450</v>
      </c>
    </row>
    <row r="195" spans="1:10" s="156" customFormat="1" ht="35.4" x14ac:dyDescent="0.6">
      <c r="A195" s="346"/>
      <c r="B195" s="346"/>
      <c r="C195" s="342"/>
      <c r="D195" s="349"/>
      <c r="E195" s="341"/>
      <c r="F195" s="342"/>
      <c r="G195" s="315"/>
      <c r="H195" s="241"/>
      <c r="I195" s="190" t="s">
        <v>2529</v>
      </c>
      <c r="J195" s="278">
        <v>20200</v>
      </c>
    </row>
    <row r="196" spans="1:10" s="156" customFormat="1" ht="35.4" x14ac:dyDescent="0.6">
      <c r="A196" s="346"/>
      <c r="B196" s="346"/>
      <c r="C196" s="342"/>
      <c r="D196" s="349"/>
      <c r="E196" s="341"/>
      <c r="F196" s="342"/>
      <c r="G196" s="315"/>
      <c r="H196" s="241"/>
      <c r="I196" s="190" t="s">
        <v>2530</v>
      </c>
      <c r="J196" s="278">
        <v>101000</v>
      </c>
    </row>
    <row r="197" spans="1:10" s="156" customFormat="1" ht="35.4" x14ac:dyDescent="0.6">
      <c r="A197" s="346"/>
      <c r="B197" s="346"/>
      <c r="C197" s="342"/>
      <c r="D197" s="349"/>
      <c r="E197" s="341"/>
      <c r="F197" s="342"/>
      <c r="G197" s="315"/>
      <c r="H197" s="241"/>
      <c r="I197" s="190" t="s">
        <v>2531</v>
      </c>
      <c r="J197" s="278">
        <v>242400</v>
      </c>
    </row>
    <row r="198" spans="1:10" s="156" customFormat="1" ht="35.4" x14ac:dyDescent="0.6">
      <c r="A198" s="346"/>
      <c r="B198" s="346"/>
      <c r="C198" s="342"/>
      <c r="D198" s="349"/>
      <c r="E198" s="341"/>
      <c r="F198" s="342"/>
      <c r="G198" s="315"/>
      <c r="H198" s="241"/>
      <c r="I198" s="190" t="s">
        <v>2532</v>
      </c>
      <c r="J198" s="278">
        <v>5000</v>
      </c>
    </row>
    <row r="199" spans="1:10" s="156" customFormat="1" ht="35.4" x14ac:dyDescent="0.6">
      <c r="A199" s="346"/>
      <c r="B199" s="346"/>
      <c r="C199" s="342"/>
      <c r="D199" s="349"/>
      <c r="E199" s="341"/>
      <c r="F199" s="342"/>
      <c r="G199" s="315"/>
      <c r="H199" s="241"/>
      <c r="I199" s="190" t="s">
        <v>2450</v>
      </c>
      <c r="J199" s="278">
        <v>78275</v>
      </c>
    </row>
    <row r="200" spans="1:10" s="156" customFormat="1" ht="35.4" x14ac:dyDescent="0.6">
      <c r="A200" s="346"/>
      <c r="B200" s="346"/>
      <c r="C200" s="342"/>
      <c r="D200" s="349"/>
      <c r="E200" s="341"/>
      <c r="F200" s="342"/>
      <c r="G200" s="315"/>
      <c r="H200" s="241">
        <v>45918</v>
      </c>
      <c r="I200" s="190" t="s">
        <v>2403</v>
      </c>
      <c r="J200" s="278">
        <v>20200</v>
      </c>
    </row>
    <row r="201" spans="1:10" s="156" customFormat="1" ht="35.4" x14ac:dyDescent="0.6">
      <c r="A201" s="346"/>
      <c r="B201" s="346"/>
      <c r="C201" s="342"/>
      <c r="D201" s="349"/>
      <c r="E201" s="341"/>
      <c r="F201" s="342"/>
      <c r="G201" s="315"/>
      <c r="H201" s="241"/>
      <c r="I201" s="190" t="s">
        <v>2533</v>
      </c>
      <c r="J201" s="278">
        <v>16565</v>
      </c>
    </row>
    <row r="202" spans="1:10" s="156" customFormat="1" ht="35.4" x14ac:dyDescent="0.6">
      <c r="A202" s="346"/>
      <c r="B202" s="346"/>
      <c r="C202" s="342"/>
      <c r="D202" s="349"/>
      <c r="E202" s="341"/>
      <c r="F202" s="342"/>
      <c r="G202" s="315"/>
      <c r="H202" s="241"/>
      <c r="I202" s="190" t="s">
        <v>2534</v>
      </c>
      <c r="J202" s="278">
        <v>2500</v>
      </c>
    </row>
    <row r="203" spans="1:10" s="156" customFormat="1" ht="35.4" x14ac:dyDescent="0.6">
      <c r="A203" s="346"/>
      <c r="B203" s="346"/>
      <c r="C203" s="342"/>
      <c r="D203" s="349"/>
      <c r="E203" s="341"/>
      <c r="F203" s="342"/>
      <c r="G203" s="315"/>
      <c r="H203" s="241"/>
      <c r="I203" s="190" t="s">
        <v>2535</v>
      </c>
      <c r="J203" s="278">
        <v>5050</v>
      </c>
    </row>
    <row r="204" spans="1:10" s="156" customFormat="1" ht="35.4" x14ac:dyDescent="0.6">
      <c r="A204" s="346"/>
      <c r="B204" s="346"/>
      <c r="C204" s="342"/>
      <c r="D204" s="349"/>
      <c r="E204" s="341"/>
      <c r="F204" s="342"/>
      <c r="G204" s="315"/>
      <c r="H204" s="241"/>
      <c r="I204" s="190" t="s">
        <v>2536</v>
      </c>
      <c r="J204" s="278">
        <v>222200</v>
      </c>
    </row>
    <row r="205" spans="1:10" s="156" customFormat="1" ht="35.4" x14ac:dyDescent="0.6">
      <c r="A205" s="346"/>
      <c r="B205" s="346"/>
      <c r="C205" s="342"/>
      <c r="D205" s="349"/>
      <c r="E205" s="341"/>
      <c r="F205" s="342"/>
      <c r="G205" s="315"/>
      <c r="H205" s="241"/>
      <c r="I205" s="190" t="s">
        <v>2537</v>
      </c>
      <c r="J205" s="278">
        <v>35300</v>
      </c>
    </row>
    <row r="206" spans="1:10" s="156" customFormat="1" ht="35.4" x14ac:dyDescent="0.6">
      <c r="A206" s="346"/>
      <c r="B206" s="346"/>
      <c r="C206" s="342"/>
      <c r="D206" s="349"/>
      <c r="E206" s="341"/>
      <c r="F206" s="342"/>
      <c r="G206" s="315"/>
      <c r="H206" s="241"/>
      <c r="I206" s="190" t="s">
        <v>2538</v>
      </c>
      <c r="J206" s="278">
        <v>15150</v>
      </c>
    </row>
    <row r="207" spans="1:10" s="156" customFormat="1" ht="35.4" x14ac:dyDescent="0.6">
      <c r="A207" s="346"/>
      <c r="B207" s="346"/>
      <c r="C207" s="342"/>
      <c r="D207" s="349"/>
      <c r="E207" s="341"/>
      <c r="F207" s="342"/>
      <c r="G207" s="315"/>
      <c r="H207" s="241"/>
      <c r="I207" s="190" t="s">
        <v>2539</v>
      </c>
      <c r="J207" s="278">
        <v>4505</v>
      </c>
    </row>
    <row r="208" spans="1:10" s="156" customFormat="1" ht="35.4" x14ac:dyDescent="0.6">
      <c r="A208" s="346"/>
      <c r="B208" s="346"/>
      <c r="C208" s="342"/>
      <c r="D208" s="349"/>
      <c r="E208" s="341"/>
      <c r="F208" s="342"/>
      <c r="G208" s="315"/>
      <c r="H208" s="241"/>
      <c r="I208" s="190" t="s">
        <v>2540</v>
      </c>
      <c r="J208" s="278">
        <v>60600</v>
      </c>
    </row>
    <row r="209" spans="1:10" s="156" customFormat="1" ht="35.4" x14ac:dyDescent="0.6">
      <c r="A209" s="346"/>
      <c r="B209" s="346"/>
      <c r="C209" s="342"/>
      <c r="D209" s="349"/>
      <c r="E209" s="341"/>
      <c r="F209" s="342"/>
      <c r="G209" s="315"/>
      <c r="H209" s="241"/>
      <c r="I209" s="190" t="s">
        <v>2541</v>
      </c>
      <c r="J209" s="278">
        <v>4000</v>
      </c>
    </row>
    <row r="210" spans="1:10" s="156" customFormat="1" ht="35.4" x14ac:dyDescent="0.6">
      <c r="A210" s="346"/>
      <c r="B210" s="346"/>
      <c r="C210" s="342"/>
      <c r="D210" s="349"/>
      <c r="E210" s="341"/>
      <c r="F210" s="342"/>
      <c r="G210" s="315"/>
      <c r="H210" s="241"/>
      <c r="I210" s="190" t="s">
        <v>2542</v>
      </c>
      <c r="J210" s="278">
        <v>5555</v>
      </c>
    </row>
    <row r="211" spans="1:10" s="156" customFormat="1" ht="35.4" x14ac:dyDescent="0.6">
      <c r="A211" s="346"/>
      <c r="B211" s="346"/>
      <c r="C211" s="342"/>
      <c r="D211" s="349"/>
      <c r="E211" s="341"/>
      <c r="F211" s="342"/>
      <c r="G211" s="315"/>
      <c r="H211" s="241"/>
      <c r="I211" s="190" t="s">
        <v>2543</v>
      </c>
      <c r="J211" s="278">
        <v>10000</v>
      </c>
    </row>
    <row r="212" spans="1:10" s="186" customFormat="1" ht="35.4" x14ac:dyDescent="0.6">
      <c r="A212" s="355"/>
      <c r="B212" s="355"/>
      <c r="C212" s="347"/>
      <c r="D212" s="356"/>
      <c r="E212" s="345"/>
      <c r="F212" s="347"/>
      <c r="G212" s="315"/>
      <c r="H212" s="241"/>
      <c r="I212" s="190" t="s">
        <v>2544</v>
      </c>
      <c r="J212" s="278">
        <v>15150</v>
      </c>
    </row>
    <row r="213" spans="1:10" s="156" customFormat="1" ht="35.4" x14ac:dyDescent="0.6">
      <c r="A213" s="346"/>
      <c r="B213" s="346"/>
      <c r="C213" s="342"/>
      <c r="D213" s="349"/>
      <c r="E213" s="341"/>
      <c r="F213" s="342"/>
      <c r="G213" s="315"/>
      <c r="H213" s="241"/>
      <c r="I213" s="190" t="s">
        <v>2545</v>
      </c>
      <c r="J213" s="278">
        <v>14140</v>
      </c>
    </row>
    <row r="214" spans="1:10" s="156" customFormat="1" ht="35.4" x14ac:dyDescent="0.6">
      <c r="A214" s="346"/>
      <c r="B214" s="346"/>
      <c r="C214" s="342"/>
      <c r="D214" s="349"/>
      <c r="E214" s="341"/>
      <c r="F214" s="342"/>
      <c r="G214" s="315"/>
      <c r="H214" s="241">
        <v>45919</v>
      </c>
      <c r="I214" s="190" t="s">
        <v>2546</v>
      </c>
      <c r="J214" s="278">
        <v>157560</v>
      </c>
    </row>
    <row r="215" spans="1:10" s="156" customFormat="1" ht="35.4" x14ac:dyDescent="0.6">
      <c r="A215" s="346"/>
      <c r="B215" s="346"/>
      <c r="C215" s="342"/>
      <c r="D215" s="349"/>
      <c r="E215" s="341"/>
      <c r="F215" s="342"/>
      <c r="G215" s="315"/>
      <c r="H215" s="241"/>
      <c r="I215" s="190" t="s">
        <v>2264</v>
      </c>
      <c r="J215" s="278">
        <v>10100</v>
      </c>
    </row>
    <row r="216" spans="1:10" s="156" customFormat="1" ht="35.4" x14ac:dyDescent="0.6">
      <c r="A216" s="346"/>
      <c r="B216" s="346"/>
      <c r="C216" s="342"/>
      <c r="D216" s="349"/>
      <c r="E216" s="341"/>
      <c r="F216" s="342"/>
      <c r="G216" s="315"/>
      <c r="H216" s="241"/>
      <c r="I216" s="190" t="s">
        <v>2547</v>
      </c>
      <c r="J216" s="278">
        <v>100000</v>
      </c>
    </row>
    <row r="217" spans="1:10" s="156" customFormat="1" ht="35.4" x14ac:dyDescent="0.6">
      <c r="A217" s="346"/>
      <c r="B217" s="346"/>
      <c r="C217" s="342"/>
      <c r="D217" s="349"/>
      <c r="E217" s="341"/>
      <c r="F217" s="342"/>
      <c r="G217" s="315"/>
      <c r="H217" s="241"/>
      <c r="I217" s="190" t="s">
        <v>2548</v>
      </c>
      <c r="J217" s="278">
        <v>165000</v>
      </c>
    </row>
    <row r="218" spans="1:10" s="156" customFormat="1" ht="35.4" x14ac:dyDescent="0.6">
      <c r="A218" s="346"/>
      <c r="B218" s="346"/>
      <c r="C218" s="342"/>
      <c r="D218" s="349"/>
      <c r="E218" s="341"/>
      <c r="F218" s="342"/>
      <c r="G218" s="315"/>
      <c r="H218" s="241"/>
      <c r="I218" s="190" t="s">
        <v>2549</v>
      </c>
      <c r="J218" s="278">
        <v>10100</v>
      </c>
    </row>
    <row r="219" spans="1:10" s="156" customFormat="1" ht="35.4" x14ac:dyDescent="0.6">
      <c r="A219" s="346"/>
      <c r="B219" s="346"/>
      <c r="C219" s="342"/>
      <c r="D219" s="349"/>
      <c r="E219" s="341"/>
      <c r="F219" s="342"/>
      <c r="G219" s="315"/>
      <c r="H219" s="241"/>
      <c r="I219" s="190" t="s">
        <v>2550</v>
      </c>
      <c r="J219" s="278">
        <v>423190</v>
      </c>
    </row>
    <row r="220" spans="1:10" s="156" customFormat="1" ht="35.4" x14ac:dyDescent="0.6">
      <c r="A220" s="346"/>
      <c r="B220" s="346"/>
      <c r="C220" s="342"/>
      <c r="D220" s="349"/>
      <c r="E220" s="341"/>
      <c r="F220" s="342"/>
      <c r="G220" s="315"/>
      <c r="H220" s="241"/>
      <c r="I220" s="190" t="s">
        <v>2551</v>
      </c>
      <c r="J220" s="278">
        <v>78275</v>
      </c>
    </row>
    <row r="221" spans="1:10" s="156" customFormat="1" ht="35.4" x14ac:dyDescent="0.6">
      <c r="A221" s="346"/>
      <c r="B221" s="346"/>
      <c r="C221" s="342"/>
      <c r="D221" s="349"/>
      <c r="E221" s="341"/>
      <c r="F221" s="342"/>
      <c r="G221" s="315"/>
      <c r="H221" s="241"/>
      <c r="I221" s="185" t="s">
        <v>2552</v>
      </c>
      <c r="J221" s="278">
        <f>2600+35900</f>
        <v>38500</v>
      </c>
    </row>
    <row r="222" spans="1:10" s="156" customFormat="1" ht="35.4" x14ac:dyDescent="0.6">
      <c r="A222" s="346"/>
      <c r="B222" s="346"/>
      <c r="C222" s="342"/>
      <c r="D222" s="349"/>
      <c r="E222" s="341"/>
      <c r="F222" s="342"/>
      <c r="G222" s="315"/>
      <c r="H222" s="241">
        <v>45920</v>
      </c>
      <c r="I222" s="190" t="s">
        <v>2553</v>
      </c>
      <c r="J222" s="278">
        <v>15150</v>
      </c>
    </row>
    <row r="223" spans="1:10" s="156" customFormat="1" ht="35.4" x14ac:dyDescent="0.6">
      <c r="A223" s="346"/>
      <c r="B223" s="346"/>
      <c r="C223" s="342"/>
      <c r="D223" s="349"/>
      <c r="E223" s="341"/>
      <c r="F223" s="342"/>
      <c r="G223" s="315"/>
      <c r="H223" s="241"/>
      <c r="I223" s="190" t="s">
        <v>2554</v>
      </c>
      <c r="J223" s="278">
        <v>145000</v>
      </c>
    </row>
    <row r="224" spans="1:10" s="156" customFormat="1" ht="35.4" x14ac:dyDescent="0.6">
      <c r="A224" s="346"/>
      <c r="B224" s="346"/>
      <c r="C224" s="342"/>
      <c r="D224" s="349"/>
      <c r="E224" s="341"/>
      <c r="F224" s="342"/>
      <c r="G224" s="315"/>
      <c r="H224" s="241"/>
      <c r="I224" s="190" t="s">
        <v>2555</v>
      </c>
      <c r="J224" s="278">
        <v>10100</v>
      </c>
    </row>
    <row r="225" spans="1:10" s="156" customFormat="1" ht="35.4" x14ac:dyDescent="0.6">
      <c r="A225" s="346"/>
      <c r="B225" s="346"/>
      <c r="C225" s="342"/>
      <c r="D225" s="349"/>
      <c r="E225" s="341"/>
      <c r="F225" s="342"/>
      <c r="G225" s="315"/>
      <c r="H225" s="241"/>
      <c r="I225" s="190" t="s">
        <v>2556</v>
      </c>
      <c r="J225" s="278">
        <v>14645</v>
      </c>
    </row>
    <row r="226" spans="1:10" s="156" customFormat="1" ht="35.4" x14ac:dyDescent="0.6">
      <c r="A226" s="346"/>
      <c r="B226" s="346"/>
      <c r="C226" s="342"/>
      <c r="D226" s="349"/>
      <c r="E226" s="341"/>
      <c r="F226" s="342"/>
      <c r="G226" s="315"/>
      <c r="H226" s="241"/>
      <c r="I226" s="190" t="s">
        <v>2557</v>
      </c>
      <c r="J226" s="278">
        <v>42000</v>
      </c>
    </row>
    <row r="227" spans="1:10" s="156" customFormat="1" ht="35.4" x14ac:dyDescent="0.6">
      <c r="A227" s="346"/>
      <c r="B227" s="346"/>
      <c r="C227" s="342"/>
      <c r="D227" s="349"/>
      <c r="E227" s="341"/>
      <c r="F227" s="342"/>
      <c r="G227" s="315"/>
      <c r="H227" s="241"/>
      <c r="I227" s="190" t="s">
        <v>2558</v>
      </c>
      <c r="J227" s="278">
        <v>2525</v>
      </c>
    </row>
    <row r="228" spans="1:10" s="156" customFormat="1" ht="35.4" x14ac:dyDescent="0.6">
      <c r="A228" s="346"/>
      <c r="B228" s="346"/>
      <c r="C228" s="342"/>
      <c r="D228" s="349"/>
      <c r="E228" s="341"/>
      <c r="F228" s="342"/>
      <c r="G228" s="315"/>
      <c r="H228" s="241"/>
      <c r="I228" s="190" t="s">
        <v>2559</v>
      </c>
      <c r="J228" s="278">
        <v>3030</v>
      </c>
    </row>
    <row r="229" spans="1:10" s="156" customFormat="1" ht="35.4" x14ac:dyDescent="0.6">
      <c r="A229" s="346"/>
      <c r="B229" s="346"/>
      <c r="C229" s="342"/>
      <c r="D229" s="349"/>
      <c r="E229" s="341"/>
      <c r="F229" s="342"/>
      <c r="G229" s="315"/>
      <c r="H229" s="241"/>
      <c r="I229" s="190" t="s">
        <v>2555</v>
      </c>
      <c r="J229" s="278">
        <v>10100</v>
      </c>
    </row>
    <row r="230" spans="1:10" s="156" customFormat="1" ht="35.4" x14ac:dyDescent="0.6">
      <c r="A230" s="346"/>
      <c r="B230" s="346"/>
      <c r="C230" s="342"/>
      <c r="D230" s="349"/>
      <c r="E230" s="341"/>
      <c r="F230" s="342"/>
      <c r="G230" s="315"/>
      <c r="H230" s="241"/>
      <c r="I230" s="190" t="s">
        <v>2560</v>
      </c>
      <c r="J230" s="278">
        <v>27000</v>
      </c>
    </row>
    <row r="231" spans="1:10" s="156" customFormat="1" ht="35.4" x14ac:dyDescent="0.6">
      <c r="A231" s="346"/>
      <c r="B231" s="346"/>
      <c r="C231" s="342"/>
      <c r="D231" s="349"/>
      <c r="E231" s="341"/>
      <c r="F231" s="342"/>
      <c r="G231" s="315"/>
      <c r="H231" s="241"/>
      <c r="I231" s="190" t="s">
        <v>2561</v>
      </c>
      <c r="J231" s="278">
        <v>32825</v>
      </c>
    </row>
    <row r="232" spans="1:10" s="156" customFormat="1" ht="35.4" x14ac:dyDescent="0.6">
      <c r="A232" s="346"/>
      <c r="B232" s="346"/>
      <c r="C232" s="342"/>
      <c r="D232" s="349"/>
      <c r="E232" s="341"/>
      <c r="F232" s="342"/>
      <c r="G232" s="315"/>
      <c r="H232" s="241"/>
      <c r="I232" s="190" t="s">
        <v>2562</v>
      </c>
      <c r="J232" s="278">
        <v>9900</v>
      </c>
    </row>
    <row r="233" spans="1:10" s="156" customFormat="1" ht="35.4" x14ac:dyDescent="0.6">
      <c r="A233" s="346"/>
      <c r="B233" s="346"/>
      <c r="C233" s="342"/>
      <c r="D233" s="349"/>
      <c r="E233" s="341"/>
      <c r="F233" s="342"/>
      <c r="G233" s="315"/>
      <c r="H233" s="241"/>
      <c r="I233" s="190" t="s">
        <v>2563</v>
      </c>
      <c r="J233" s="278">
        <v>2000</v>
      </c>
    </row>
    <row r="234" spans="1:10" s="156" customFormat="1" ht="35.4" x14ac:dyDescent="0.6">
      <c r="A234" s="346"/>
      <c r="B234" s="346"/>
      <c r="C234" s="342"/>
      <c r="D234" s="349"/>
      <c r="E234" s="341"/>
      <c r="F234" s="342"/>
      <c r="G234" s="315"/>
      <c r="H234" s="241"/>
      <c r="I234" s="190" t="s">
        <v>2564</v>
      </c>
      <c r="J234" s="278">
        <v>10000</v>
      </c>
    </row>
    <row r="235" spans="1:10" s="156" customFormat="1" ht="35.4" x14ac:dyDescent="0.6">
      <c r="A235" s="346"/>
      <c r="B235" s="346"/>
      <c r="C235" s="342"/>
      <c r="D235" s="349"/>
      <c r="E235" s="341"/>
      <c r="F235" s="342"/>
      <c r="G235" s="315"/>
      <c r="H235" s="241">
        <v>45921</v>
      </c>
      <c r="I235" s="190" t="s">
        <v>2565</v>
      </c>
      <c r="J235" s="278">
        <v>10100</v>
      </c>
    </row>
    <row r="236" spans="1:10" s="156" customFormat="1" ht="35.4" x14ac:dyDescent="0.6">
      <c r="A236" s="346"/>
      <c r="B236" s="346"/>
      <c r="C236" s="342"/>
      <c r="D236" s="349"/>
      <c r="E236" s="341"/>
      <c r="F236" s="342"/>
      <c r="G236" s="315"/>
      <c r="H236" s="241"/>
      <c r="I236" s="190" t="s">
        <v>2562</v>
      </c>
      <c r="J236" s="278">
        <v>4950</v>
      </c>
    </row>
    <row r="237" spans="1:10" s="156" customFormat="1" ht="35.4" x14ac:dyDescent="0.6">
      <c r="A237" s="346"/>
      <c r="B237" s="346"/>
      <c r="C237" s="342"/>
      <c r="D237" s="349"/>
      <c r="E237" s="341"/>
      <c r="F237" s="342"/>
      <c r="G237" s="315"/>
      <c r="H237" s="241">
        <v>45922</v>
      </c>
      <c r="I237" s="190" t="s">
        <v>2566</v>
      </c>
      <c r="J237" s="278">
        <v>240000</v>
      </c>
    </row>
    <row r="238" spans="1:10" s="156" customFormat="1" ht="35.4" x14ac:dyDescent="0.6">
      <c r="A238" s="346"/>
      <c r="B238" s="346"/>
      <c r="C238" s="342"/>
      <c r="D238" s="349"/>
      <c r="E238" s="341"/>
      <c r="F238" s="342"/>
      <c r="G238" s="315"/>
      <c r="H238" s="241"/>
      <c r="I238" s="190" t="s">
        <v>2567</v>
      </c>
      <c r="J238" s="278">
        <v>21000</v>
      </c>
    </row>
    <row r="239" spans="1:10" s="156" customFormat="1" ht="35.4" x14ac:dyDescent="0.6">
      <c r="A239" s="346"/>
      <c r="B239" s="346"/>
      <c r="C239" s="342"/>
      <c r="D239" s="349"/>
      <c r="E239" s="341"/>
      <c r="F239" s="342"/>
      <c r="G239" s="315"/>
      <c r="H239" s="241"/>
      <c r="I239" s="190" t="s">
        <v>2568</v>
      </c>
      <c r="J239" s="278">
        <v>10100</v>
      </c>
    </row>
    <row r="240" spans="1:10" s="156" customFormat="1" ht="35.4" x14ac:dyDescent="0.6">
      <c r="A240" s="346"/>
      <c r="B240" s="346"/>
      <c r="C240" s="342"/>
      <c r="D240" s="349"/>
      <c r="E240" s="341"/>
      <c r="F240" s="342"/>
      <c r="G240" s="315"/>
      <c r="H240" s="241"/>
      <c r="I240" s="190" t="s">
        <v>2569</v>
      </c>
      <c r="J240" s="278">
        <v>20200</v>
      </c>
    </row>
    <row r="241" spans="1:10" s="156" customFormat="1" ht="35.4" x14ac:dyDescent="0.6">
      <c r="A241" s="346"/>
      <c r="B241" s="346"/>
      <c r="C241" s="342"/>
      <c r="D241" s="349"/>
      <c r="E241" s="341"/>
      <c r="F241" s="342"/>
      <c r="G241" s="315"/>
      <c r="H241" s="241"/>
      <c r="I241" s="190" t="s">
        <v>2570</v>
      </c>
      <c r="J241" s="278">
        <v>16500</v>
      </c>
    </row>
    <row r="242" spans="1:10" s="156" customFormat="1" ht="35.4" x14ac:dyDescent="0.6">
      <c r="A242" s="346"/>
      <c r="B242" s="346"/>
      <c r="C242" s="342"/>
      <c r="D242" s="349"/>
      <c r="E242" s="341"/>
      <c r="F242" s="342"/>
      <c r="G242" s="315"/>
      <c r="H242" s="241"/>
      <c r="I242" s="190" t="s">
        <v>2571</v>
      </c>
      <c r="J242" s="278">
        <v>22725</v>
      </c>
    </row>
    <row r="243" spans="1:10" s="156" customFormat="1" ht="35.4" x14ac:dyDescent="0.6">
      <c r="A243" s="346"/>
      <c r="B243" s="346"/>
      <c r="C243" s="342"/>
      <c r="D243" s="349"/>
      <c r="E243" s="341"/>
      <c r="F243" s="342"/>
      <c r="G243" s="315"/>
      <c r="H243" s="241"/>
      <c r="I243" s="190" t="s">
        <v>2572</v>
      </c>
      <c r="J243" s="278">
        <v>4040</v>
      </c>
    </row>
    <row r="244" spans="1:10" s="156" customFormat="1" ht="35.4" x14ac:dyDescent="0.6">
      <c r="A244" s="346"/>
      <c r="B244" s="346"/>
      <c r="C244" s="342"/>
      <c r="D244" s="349"/>
      <c r="E244" s="341"/>
      <c r="F244" s="342"/>
      <c r="G244" s="315"/>
      <c r="H244" s="241"/>
      <c r="I244" s="190" t="s">
        <v>2573</v>
      </c>
      <c r="J244" s="278">
        <v>15000</v>
      </c>
    </row>
    <row r="245" spans="1:10" s="156" customFormat="1" ht="35.4" x14ac:dyDescent="0.6">
      <c r="A245" s="346"/>
      <c r="B245" s="346"/>
      <c r="C245" s="342"/>
      <c r="D245" s="349"/>
      <c r="E245" s="341"/>
      <c r="F245" s="342"/>
      <c r="G245" s="315"/>
      <c r="H245" s="241"/>
      <c r="I245" s="190" t="s">
        <v>2574</v>
      </c>
      <c r="J245" s="278">
        <v>20000</v>
      </c>
    </row>
    <row r="246" spans="1:10" s="156" customFormat="1" ht="35.4" x14ac:dyDescent="0.6">
      <c r="A246" s="346"/>
      <c r="B246" s="346"/>
      <c r="C246" s="342"/>
      <c r="D246" s="349"/>
      <c r="E246" s="341"/>
      <c r="F246" s="342"/>
      <c r="G246" s="315"/>
      <c r="H246" s="241"/>
      <c r="I246" s="190" t="s">
        <v>2575</v>
      </c>
      <c r="J246" s="278">
        <v>2000</v>
      </c>
    </row>
    <row r="247" spans="1:10" s="156" customFormat="1" ht="35.4" x14ac:dyDescent="0.6">
      <c r="A247" s="346"/>
      <c r="B247" s="346"/>
      <c r="C247" s="342"/>
      <c r="D247" s="349"/>
      <c r="E247" s="341"/>
      <c r="F247" s="342"/>
      <c r="G247" s="315"/>
      <c r="H247" s="241"/>
      <c r="I247" s="190" t="s">
        <v>2576</v>
      </c>
      <c r="J247" s="278">
        <v>40300</v>
      </c>
    </row>
    <row r="248" spans="1:10" s="156" customFormat="1" ht="35.4" x14ac:dyDescent="0.6">
      <c r="A248" s="346"/>
      <c r="B248" s="346"/>
      <c r="C248" s="342"/>
      <c r="D248" s="349"/>
      <c r="E248" s="341"/>
      <c r="F248" s="342"/>
      <c r="G248" s="315"/>
      <c r="H248" s="316"/>
      <c r="I248" s="185" t="s">
        <v>2577</v>
      </c>
      <c r="J248" s="278">
        <f>9000+8000</f>
        <v>17000</v>
      </c>
    </row>
    <row r="249" spans="1:10" s="156" customFormat="1" ht="35.4" x14ac:dyDescent="0.6">
      <c r="A249" s="346"/>
      <c r="B249" s="346"/>
      <c r="C249" s="342"/>
      <c r="D249" s="349"/>
      <c r="E249" s="341"/>
      <c r="F249" s="342"/>
      <c r="G249" s="315"/>
      <c r="H249" s="316"/>
      <c r="I249" s="185" t="s">
        <v>2578</v>
      </c>
      <c r="J249" s="278">
        <v>38380</v>
      </c>
    </row>
    <row r="250" spans="1:10" s="156" customFormat="1" ht="35.4" x14ac:dyDescent="0.6">
      <c r="A250" s="346"/>
      <c r="B250" s="346"/>
      <c r="C250" s="342"/>
      <c r="D250" s="349"/>
      <c r="E250" s="341"/>
      <c r="F250" s="342"/>
      <c r="G250" s="315"/>
      <c r="H250" s="316"/>
      <c r="I250" s="185" t="s">
        <v>2579</v>
      </c>
      <c r="J250" s="278">
        <v>101000</v>
      </c>
    </row>
    <row r="251" spans="1:10" s="156" customFormat="1" ht="35.4" x14ac:dyDescent="0.6">
      <c r="A251" s="346"/>
      <c r="B251" s="346"/>
      <c r="C251" s="342"/>
      <c r="D251" s="349"/>
      <c r="E251" s="341"/>
      <c r="F251" s="342"/>
      <c r="G251" s="315"/>
      <c r="H251" s="316"/>
      <c r="I251" s="185" t="s">
        <v>2580</v>
      </c>
      <c r="J251" s="278">
        <v>3435</v>
      </c>
    </row>
    <row r="252" spans="1:10" s="156" customFormat="1" ht="35.4" x14ac:dyDescent="0.6">
      <c r="A252" s="346"/>
      <c r="B252" s="346"/>
      <c r="C252" s="342"/>
      <c r="D252" s="349"/>
      <c r="E252" s="341"/>
      <c r="F252" s="342"/>
      <c r="G252" s="315"/>
      <c r="H252" s="316"/>
      <c r="I252" s="185" t="s">
        <v>2581</v>
      </c>
      <c r="J252" s="278">
        <v>623000</v>
      </c>
    </row>
    <row r="253" spans="1:10" s="156" customFormat="1" ht="35.4" x14ac:dyDescent="0.6">
      <c r="A253" s="346"/>
      <c r="B253" s="346"/>
      <c r="C253" s="342"/>
      <c r="D253" s="349"/>
      <c r="E253" s="341"/>
      <c r="F253" s="342"/>
      <c r="G253" s="315"/>
      <c r="H253" s="316"/>
      <c r="I253" s="185" t="s">
        <v>2582</v>
      </c>
      <c r="J253" s="278">
        <v>75750</v>
      </c>
    </row>
    <row r="254" spans="1:10" s="156" customFormat="1" ht="35.4" x14ac:dyDescent="0.6">
      <c r="A254" s="346"/>
      <c r="B254" s="346"/>
      <c r="C254" s="342"/>
      <c r="D254" s="349"/>
      <c r="E254" s="341"/>
      <c r="F254" s="342"/>
      <c r="G254" s="315"/>
      <c r="H254" s="241">
        <v>45923</v>
      </c>
      <c r="I254" s="185" t="s">
        <v>2583</v>
      </c>
      <c r="J254" s="278">
        <v>2000</v>
      </c>
    </row>
    <row r="255" spans="1:10" s="156" customFormat="1" ht="35.4" x14ac:dyDescent="0.6">
      <c r="A255" s="346"/>
      <c r="B255" s="346"/>
      <c r="C255" s="342"/>
      <c r="D255" s="349"/>
      <c r="E255" s="341"/>
      <c r="F255" s="342"/>
      <c r="G255" s="315"/>
      <c r="H255" s="316"/>
      <c r="I255" s="185" t="s">
        <v>2584</v>
      </c>
      <c r="J255" s="278">
        <v>7000</v>
      </c>
    </row>
    <row r="256" spans="1:10" s="156" customFormat="1" ht="35.4" x14ac:dyDescent="0.6">
      <c r="A256" s="346"/>
      <c r="B256" s="346"/>
      <c r="C256" s="342"/>
      <c r="D256" s="349"/>
      <c r="E256" s="341"/>
      <c r="F256" s="342"/>
      <c r="G256" s="315"/>
      <c r="H256" s="316"/>
      <c r="I256" s="185" t="s">
        <v>2585</v>
      </c>
      <c r="J256" s="278">
        <v>7000</v>
      </c>
    </row>
    <row r="257" spans="1:10" s="156" customFormat="1" ht="35.4" x14ac:dyDescent="0.6">
      <c r="A257" s="346"/>
      <c r="B257" s="346"/>
      <c r="C257" s="342"/>
      <c r="D257" s="349"/>
      <c r="E257" s="341"/>
      <c r="F257" s="342"/>
      <c r="G257" s="315"/>
      <c r="H257" s="316"/>
      <c r="I257" s="185" t="s">
        <v>2586</v>
      </c>
      <c r="J257" s="278">
        <v>32320</v>
      </c>
    </row>
    <row r="258" spans="1:10" s="156" customFormat="1" ht="35.4" x14ac:dyDescent="0.6">
      <c r="A258" s="346"/>
      <c r="B258" s="346"/>
      <c r="C258" s="342"/>
      <c r="D258" s="349"/>
      <c r="E258" s="341"/>
      <c r="F258" s="342"/>
      <c r="G258" s="315"/>
      <c r="H258" s="316"/>
      <c r="I258" s="185" t="s">
        <v>2587</v>
      </c>
      <c r="J258" s="278">
        <v>65000</v>
      </c>
    </row>
    <row r="259" spans="1:10" s="156" customFormat="1" ht="35.4" x14ac:dyDescent="0.6">
      <c r="A259" s="346"/>
      <c r="B259" s="346"/>
      <c r="C259" s="342"/>
      <c r="D259" s="349"/>
      <c r="E259" s="341"/>
      <c r="F259" s="342"/>
      <c r="G259" s="315"/>
      <c r="H259" s="316"/>
      <c r="I259" s="185" t="s">
        <v>2588</v>
      </c>
      <c r="J259" s="278">
        <v>380000</v>
      </c>
    </row>
    <row r="260" spans="1:10" s="156" customFormat="1" ht="35.4" x14ac:dyDescent="0.6">
      <c r="A260" s="346"/>
      <c r="B260" s="346"/>
      <c r="C260" s="342"/>
      <c r="D260" s="349"/>
      <c r="E260" s="341"/>
      <c r="F260" s="342"/>
      <c r="G260" s="315"/>
      <c r="H260" s="316"/>
      <c r="I260" s="185" t="s">
        <v>2589</v>
      </c>
      <c r="J260" s="278">
        <v>20000</v>
      </c>
    </row>
    <row r="261" spans="1:10" s="156" customFormat="1" ht="35.4" x14ac:dyDescent="0.6">
      <c r="A261" s="346"/>
      <c r="B261" s="346"/>
      <c r="C261" s="342"/>
      <c r="D261" s="349"/>
      <c r="E261" s="341"/>
      <c r="F261" s="342"/>
      <c r="G261" s="315"/>
      <c r="H261" s="316"/>
      <c r="I261" s="185" t="s">
        <v>2317</v>
      </c>
      <c r="J261" s="278">
        <v>10100</v>
      </c>
    </row>
    <row r="262" spans="1:10" s="156" customFormat="1" ht="35.4" x14ac:dyDescent="0.6">
      <c r="A262" s="346"/>
      <c r="B262" s="346"/>
      <c r="C262" s="342"/>
      <c r="D262" s="349"/>
      <c r="E262" s="341"/>
      <c r="F262" s="342"/>
      <c r="G262" s="315"/>
      <c r="H262" s="316"/>
      <c r="I262" s="185" t="s">
        <v>2590</v>
      </c>
      <c r="J262" s="278">
        <v>4000</v>
      </c>
    </row>
    <row r="263" spans="1:10" s="156" customFormat="1" ht="35.4" x14ac:dyDescent="0.6">
      <c r="A263" s="346"/>
      <c r="B263" s="346"/>
      <c r="C263" s="342"/>
      <c r="D263" s="349"/>
      <c r="E263" s="341"/>
      <c r="F263" s="342"/>
      <c r="G263" s="315"/>
      <c r="H263" s="316"/>
      <c r="I263" s="185" t="s">
        <v>2591</v>
      </c>
      <c r="J263" s="278">
        <v>136350</v>
      </c>
    </row>
    <row r="264" spans="1:10" s="156" customFormat="1" ht="35.4" x14ac:dyDescent="0.6">
      <c r="A264" s="346"/>
      <c r="B264" s="346"/>
      <c r="C264" s="342"/>
      <c r="D264" s="349"/>
      <c r="E264" s="341"/>
      <c r="F264" s="342"/>
      <c r="G264" s="315"/>
      <c r="H264" s="241">
        <v>45924</v>
      </c>
      <c r="I264" s="185" t="s">
        <v>2403</v>
      </c>
      <c r="J264" s="278">
        <v>20200</v>
      </c>
    </row>
    <row r="265" spans="1:10" s="156" customFormat="1" ht="35.4" x14ac:dyDescent="0.6">
      <c r="A265" s="346"/>
      <c r="B265" s="346"/>
      <c r="C265" s="342"/>
      <c r="D265" s="349"/>
      <c r="E265" s="341"/>
      <c r="F265" s="342"/>
      <c r="G265" s="315"/>
      <c r="H265" s="241"/>
      <c r="I265" s="185" t="s">
        <v>2592</v>
      </c>
      <c r="J265" s="278">
        <v>70000</v>
      </c>
    </row>
    <row r="266" spans="1:10" s="156" customFormat="1" ht="35.4" x14ac:dyDescent="0.6">
      <c r="A266" s="346"/>
      <c r="B266" s="346"/>
      <c r="C266" s="342"/>
      <c r="D266" s="349"/>
      <c r="E266" s="341"/>
      <c r="F266" s="342"/>
      <c r="G266" s="315"/>
      <c r="H266" s="241"/>
      <c r="I266" s="185" t="s">
        <v>2593</v>
      </c>
      <c r="J266" s="278">
        <v>1000000</v>
      </c>
    </row>
    <row r="267" spans="1:10" s="156" customFormat="1" ht="35.4" x14ac:dyDescent="0.6">
      <c r="A267" s="346"/>
      <c r="B267" s="346"/>
      <c r="C267" s="342"/>
      <c r="D267" s="349"/>
      <c r="E267" s="341"/>
      <c r="F267" s="342"/>
      <c r="G267" s="315"/>
      <c r="H267" s="316"/>
      <c r="I267" s="185" t="s">
        <v>2594</v>
      </c>
      <c r="J267" s="278">
        <f>100000+2000+450</f>
        <v>102450</v>
      </c>
    </row>
    <row r="268" spans="1:10" s="156" customFormat="1" ht="35.4" x14ac:dyDescent="0.6">
      <c r="A268" s="346"/>
      <c r="B268" s="346"/>
      <c r="C268" s="342"/>
      <c r="D268" s="349"/>
      <c r="E268" s="341"/>
      <c r="F268" s="342"/>
      <c r="G268" s="315"/>
      <c r="H268" s="316"/>
      <c r="I268" s="185" t="s">
        <v>2595</v>
      </c>
      <c r="J268" s="278">
        <v>363600</v>
      </c>
    </row>
    <row r="269" spans="1:10" s="156" customFormat="1" ht="35.4" x14ac:dyDescent="0.6">
      <c r="A269" s="346"/>
      <c r="B269" s="346"/>
      <c r="C269" s="342"/>
      <c r="D269" s="349"/>
      <c r="E269" s="341"/>
      <c r="F269" s="342"/>
      <c r="G269" s="315"/>
      <c r="H269" s="316"/>
      <c r="I269" s="185" t="s">
        <v>2596</v>
      </c>
      <c r="J269" s="278">
        <v>8080</v>
      </c>
    </row>
    <row r="270" spans="1:10" s="156" customFormat="1" ht="35.4" x14ac:dyDescent="0.6">
      <c r="A270" s="341"/>
      <c r="B270" s="333"/>
      <c r="C270" s="342"/>
      <c r="D270" s="349"/>
      <c r="E270" s="341"/>
      <c r="F270" s="342"/>
      <c r="G270" s="315"/>
      <c r="H270" s="316"/>
      <c r="I270" s="185" t="s">
        <v>2597</v>
      </c>
      <c r="J270" s="278">
        <v>70700</v>
      </c>
    </row>
    <row r="271" spans="1:10" s="156" customFormat="1" ht="35.4" x14ac:dyDescent="0.6">
      <c r="A271" s="341"/>
      <c r="B271" s="333"/>
      <c r="C271" s="342"/>
      <c r="D271" s="349"/>
      <c r="E271" s="341"/>
      <c r="F271" s="342"/>
      <c r="G271" s="315"/>
      <c r="H271" s="316"/>
      <c r="I271" s="185" t="s">
        <v>2598</v>
      </c>
      <c r="J271" s="278">
        <v>2020</v>
      </c>
    </row>
    <row r="272" spans="1:10" s="156" customFormat="1" ht="35.4" x14ac:dyDescent="0.6">
      <c r="A272" s="341"/>
      <c r="B272" s="333"/>
      <c r="C272" s="342"/>
      <c r="D272" s="349"/>
      <c r="E272" s="341"/>
      <c r="F272" s="342"/>
      <c r="G272" s="315"/>
      <c r="H272" s="316"/>
      <c r="I272" s="185" t="s">
        <v>2599</v>
      </c>
      <c r="J272" s="278">
        <v>196950</v>
      </c>
    </row>
    <row r="273" spans="1:10" s="156" customFormat="1" ht="35.4" x14ac:dyDescent="0.6">
      <c r="A273" s="357"/>
      <c r="B273" s="333"/>
      <c r="C273" s="342"/>
      <c r="D273" s="349"/>
      <c r="E273" s="341"/>
      <c r="F273" s="342"/>
      <c r="G273" s="315"/>
      <c r="H273" s="316"/>
      <c r="I273" s="185" t="s">
        <v>2600</v>
      </c>
      <c r="J273" s="278">
        <v>500000</v>
      </c>
    </row>
    <row r="274" spans="1:10" s="156" customFormat="1" ht="35.4" x14ac:dyDescent="0.6">
      <c r="A274" s="341"/>
      <c r="B274" s="333"/>
      <c r="C274" s="342"/>
      <c r="D274" s="349"/>
      <c r="E274" s="341"/>
      <c r="F274" s="342"/>
      <c r="G274" s="315"/>
      <c r="H274" s="316"/>
      <c r="I274" s="185" t="s">
        <v>2601</v>
      </c>
      <c r="J274" s="278">
        <v>10100</v>
      </c>
    </row>
    <row r="275" spans="1:10" s="156" customFormat="1" ht="35.4" x14ac:dyDescent="0.6">
      <c r="A275" s="341"/>
      <c r="B275" s="358"/>
      <c r="C275" s="342"/>
      <c r="D275" s="349"/>
      <c r="E275" s="341"/>
      <c r="F275" s="342"/>
      <c r="G275" s="315"/>
      <c r="H275" s="237">
        <v>45925</v>
      </c>
      <c r="I275" s="185" t="s">
        <v>2264</v>
      </c>
      <c r="J275" s="278">
        <v>10100</v>
      </c>
    </row>
    <row r="276" spans="1:10" s="156" customFormat="1" ht="35.4" x14ac:dyDescent="0.6">
      <c r="A276" s="341"/>
      <c r="B276" s="333"/>
      <c r="C276" s="342"/>
      <c r="D276" s="349"/>
      <c r="E276" s="341"/>
      <c r="F276" s="342"/>
      <c r="G276" s="315"/>
      <c r="H276" s="316"/>
      <c r="I276" s="185" t="s">
        <v>2602</v>
      </c>
      <c r="J276" s="278">
        <v>12625</v>
      </c>
    </row>
    <row r="277" spans="1:10" s="156" customFormat="1" ht="35.4" x14ac:dyDescent="0.6">
      <c r="A277" s="341"/>
      <c r="B277" s="333"/>
      <c r="C277" s="342"/>
      <c r="D277" s="349"/>
      <c r="E277" s="341"/>
      <c r="F277" s="342"/>
      <c r="G277" s="315"/>
      <c r="H277" s="316"/>
      <c r="I277" s="185" t="s">
        <v>2603</v>
      </c>
      <c r="J277" s="278">
        <v>4500</v>
      </c>
    </row>
    <row r="278" spans="1:10" s="156" customFormat="1" ht="35.4" x14ac:dyDescent="0.6">
      <c r="A278" s="341"/>
      <c r="B278" s="333"/>
      <c r="C278" s="342"/>
      <c r="D278" s="349"/>
      <c r="E278" s="341"/>
      <c r="F278" s="342"/>
      <c r="G278" s="315"/>
      <c r="H278" s="316"/>
      <c r="I278" s="185" t="s">
        <v>2604</v>
      </c>
      <c r="J278" s="278">
        <v>2120</v>
      </c>
    </row>
    <row r="279" spans="1:10" s="156" customFormat="1" ht="35.4" x14ac:dyDescent="0.6">
      <c r="A279" s="341"/>
      <c r="B279" s="333"/>
      <c r="C279" s="342"/>
      <c r="D279" s="349"/>
      <c r="E279" s="341"/>
      <c r="F279" s="342"/>
      <c r="G279" s="315"/>
      <c r="H279" s="316"/>
      <c r="I279" s="185" t="s">
        <v>2605</v>
      </c>
      <c r="J279" s="278">
        <v>2000</v>
      </c>
    </row>
    <row r="280" spans="1:10" s="156" customFormat="1" ht="35.4" x14ac:dyDescent="0.6">
      <c r="A280" s="341"/>
      <c r="B280" s="333"/>
      <c r="C280" s="342"/>
      <c r="D280" s="349"/>
      <c r="E280" s="341"/>
      <c r="F280" s="342"/>
      <c r="G280" s="315"/>
      <c r="H280" s="316"/>
      <c r="I280" s="185" t="s">
        <v>2606</v>
      </c>
      <c r="J280" s="278">
        <v>100000</v>
      </c>
    </row>
    <row r="281" spans="1:10" s="156" customFormat="1" ht="35.4" x14ac:dyDescent="0.6">
      <c r="A281" s="341"/>
      <c r="B281" s="342"/>
      <c r="C281" s="342"/>
      <c r="D281" s="349"/>
      <c r="E281" s="341"/>
      <c r="F281" s="342"/>
      <c r="G281" s="315"/>
      <c r="H281" s="316"/>
      <c r="I281" s="185" t="s">
        <v>2607</v>
      </c>
      <c r="J281" s="278">
        <v>9000</v>
      </c>
    </row>
    <row r="282" spans="1:10" s="156" customFormat="1" ht="35.4" x14ac:dyDescent="0.6">
      <c r="A282" s="341"/>
      <c r="B282" s="342"/>
      <c r="C282" s="342"/>
      <c r="D282" s="349"/>
      <c r="E282" s="341"/>
      <c r="F282" s="342"/>
      <c r="G282" s="315"/>
      <c r="H282" s="316"/>
      <c r="I282" s="185" t="s">
        <v>2608</v>
      </c>
      <c r="J282" s="278">
        <v>10100</v>
      </c>
    </row>
    <row r="283" spans="1:10" s="156" customFormat="1" ht="35.4" x14ac:dyDescent="0.6">
      <c r="A283" s="341"/>
      <c r="B283" s="342"/>
      <c r="C283" s="342"/>
      <c r="D283" s="349"/>
      <c r="E283" s="341"/>
      <c r="F283" s="342"/>
      <c r="G283" s="315"/>
      <c r="H283" s="241"/>
      <c r="I283" s="185" t="s">
        <v>2609</v>
      </c>
      <c r="J283" s="278">
        <v>505000</v>
      </c>
    </row>
    <row r="284" spans="1:10" s="156" customFormat="1" ht="35.4" x14ac:dyDescent="0.6">
      <c r="A284" s="342"/>
      <c r="B284" s="342"/>
      <c r="C284" s="342"/>
      <c r="D284" s="349"/>
      <c r="E284" s="341"/>
      <c r="F284" s="342"/>
      <c r="G284" s="315"/>
      <c r="H284" s="241"/>
      <c r="I284" s="185" t="s">
        <v>2610</v>
      </c>
      <c r="J284" s="278">
        <v>30300</v>
      </c>
    </row>
    <row r="285" spans="1:10" s="156" customFormat="1" ht="35.4" x14ac:dyDescent="0.6">
      <c r="A285" s="342"/>
      <c r="B285" s="342"/>
      <c r="C285" s="342"/>
      <c r="D285" s="349"/>
      <c r="E285" s="341"/>
      <c r="F285" s="342"/>
      <c r="G285" s="315"/>
      <c r="H285" s="241"/>
      <c r="I285" s="185" t="s">
        <v>2611</v>
      </c>
      <c r="J285" s="278">
        <v>10000</v>
      </c>
    </row>
    <row r="286" spans="1:10" s="156" customFormat="1" ht="35.4" x14ac:dyDescent="0.6">
      <c r="A286" s="342"/>
      <c r="B286" s="349"/>
      <c r="C286" s="342"/>
      <c r="D286" s="349"/>
      <c r="E286" s="341"/>
      <c r="F286" s="342"/>
      <c r="G286" s="315"/>
      <c r="H286" s="241">
        <v>45926</v>
      </c>
      <c r="I286" s="185" t="s">
        <v>2612</v>
      </c>
      <c r="J286" s="278">
        <v>1500</v>
      </c>
    </row>
    <row r="287" spans="1:10" s="156" customFormat="1" ht="35.4" x14ac:dyDescent="0.6">
      <c r="A287" s="342"/>
      <c r="B287" s="349"/>
      <c r="C287" s="342"/>
      <c r="D287" s="349"/>
      <c r="E287" s="341"/>
      <c r="F287" s="342"/>
      <c r="G287" s="315"/>
      <c r="H287" s="241"/>
      <c r="I287" s="185" t="s">
        <v>2333</v>
      </c>
      <c r="J287" s="278">
        <v>2000</v>
      </c>
    </row>
    <row r="288" spans="1:10" s="156" customFormat="1" ht="35.4" x14ac:dyDescent="0.6">
      <c r="A288" s="342"/>
      <c r="B288" s="341"/>
      <c r="C288" s="342"/>
      <c r="D288" s="349"/>
      <c r="E288" s="341"/>
      <c r="F288" s="342"/>
      <c r="G288" s="315"/>
      <c r="H288" s="241"/>
      <c r="I288" s="185" t="s">
        <v>2613</v>
      </c>
      <c r="J288" s="278">
        <v>5000</v>
      </c>
    </row>
    <row r="289" spans="1:10" s="156" customFormat="1" ht="35.4" x14ac:dyDescent="0.6">
      <c r="A289" s="342"/>
      <c r="B289" s="341"/>
      <c r="C289" s="342"/>
      <c r="D289" s="349"/>
      <c r="E289" s="341"/>
      <c r="F289" s="342"/>
      <c r="G289" s="315"/>
      <c r="H289" s="241"/>
      <c r="I289" s="185" t="s">
        <v>2614</v>
      </c>
      <c r="J289" s="278">
        <v>141400</v>
      </c>
    </row>
    <row r="290" spans="1:10" s="156" customFormat="1" ht="35.4" x14ac:dyDescent="0.6">
      <c r="A290" s="359"/>
      <c r="B290" s="341"/>
      <c r="C290" s="342"/>
      <c r="D290" s="349"/>
      <c r="E290" s="341"/>
      <c r="F290" s="342"/>
      <c r="G290" s="315"/>
      <c r="H290" s="241"/>
      <c r="I290" s="185" t="s">
        <v>2615</v>
      </c>
      <c r="J290" s="278">
        <v>2600</v>
      </c>
    </row>
    <row r="291" spans="1:10" s="156" customFormat="1" ht="35.4" x14ac:dyDescent="0.6">
      <c r="A291" s="342"/>
      <c r="B291" s="341"/>
      <c r="C291" s="342"/>
      <c r="D291" s="349"/>
      <c r="E291" s="341"/>
      <c r="F291" s="342"/>
      <c r="G291" s="315"/>
      <c r="H291" s="241"/>
      <c r="I291" s="185" t="s">
        <v>2616</v>
      </c>
      <c r="J291" s="278">
        <v>185000</v>
      </c>
    </row>
    <row r="292" spans="1:10" s="156" customFormat="1" ht="35.4" x14ac:dyDescent="0.6">
      <c r="A292" s="342"/>
      <c r="B292" s="341"/>
      <c r="C292" s="342"/>
      <c r="D292" s="349"/>
      <c r="E292" s="341"/>
      <c r="F292" s="342"/>
      <c r="G292" s="315"/>
      <c r="H292" s="241"/>
      <c r="I292" s="185" t="s">
        <v>2617</v>
      </c>
      <c r="J292" s="278">
        <v>290375</v>
      </c>
    </row>
    <row r="293" spans="1:10" s="156" customFormat="1" ht="35.4" x14ac:dyDescent="0.6">
      <c r="A293" s="342"/>
      <c r="B293" s="341"/>
      <c r="C293" s="342"/>
      <c r="D293" s="349"/>
      <c r="E293" s="341"/>
      <c r="F293" s="342"/>
      <c r="G293" s="315"/>
      <c r="H293" s="241"/>
      <c r="I293" s="185" t="s">
        <v>2618</v>
      </c>
      <c r="J293" s="278">
        <v>20705</v>
      </c>
    </row>
    <row r="294" spans="1:10" s="156" customFormat="1" ht="35.4" x14ac:dyDescent="0.6">
      <c r="A294" s="342"/>
      <c r="B294" s="341"/>
      <c r="C294" s="342"/>
      <c r="D294" s="349"/>
      <c r="E294" s="341"/>
      <c r="F294" s="342"/>
      <c r="G294" s="315"/>
      <c r="H294" s="241"/>
      <c r="I294" s="185" t="s">
        <v>2619</v>
      </c>
      <c r="J294" s="278">
        <v>10000</v>
      </c>
    </row>
    <row r="295" spans="1:10" s="156" customFormat="1" ht="35.4" x14ac:dyDescent="0.6">
      <c r="A295" s="342"/>
      <c r="B295" s="341"/>
      <c r="C295" s="342"/>
      <c r="D295" s="349"/>
      <c r="E295" s="341"/>
      <c r="F295" s="342"/>
      <c r="G295" s="315"/>
      <c r="H295" s="241"/>
      <c r="I295" s="185" t="s">
        <v>2620</v>
      </c>
      <c r="J295" s="278">
        <v>30300</v>
      </c>
    </row>
    <row r="296" spans="1:10" s="156" customFormat="1" ht="35.4" x14ac:dyDescent="0.6">
      <c r="A296" s="342"/>
      <c r="B296" s="341"/>
      <c r="C296" s="342"/>
      <c r="D296" s="349"/>
      <c r="E296" s="341"/>
      <c r="F296" s="342"/>
      <c r="G296" s="315"/>
      <c r="H296" s="241"/>
      <c r="I296" s="185" t="s">
        <v>2621</v>
      </c>
      <c r="J296" s="278">
        <v>3030</v>
      </c>
    </row>
    <row r="297" spans="1:10" s="156" customFormat="1" ht="35.4" x14ac:dyDescent="0.6">
      <c r="A297" s="342"/>
      <c r="B297" s="341"/>
      <c r="C297" s="342"/>
      <c r="D297" s="349"/>
      <c r="E297" s="341"/>
      <c r="F297" s="342"/>
      <c r="G297" s="315"/>
      <c r="H297" s="241"/>
      <c r="I297" s="185" t="s">
        <v>2622</v>
      </c>
      <c r="J297" s="278">
        <v>3000</v>
      </c>
    </row>
    <row r="298" spans="1:10" s="156" customFormat="1" ht="35.4" x14ac:dyDescent="0.6">
      <c r="A298" s="342"/>
      <c r="B298" s="341"/>
      <c r="C298" s="342"/>
      <c r="D298" s="349"/>
      <c r="E298" s="341"/>
      <c r="F298" s="342"/>
      <c r="G298" s="315"/>
      <c r="H298" s="241"/>
      <c r="I298" s="185" t="s">
        <v>2623</v>
      </c>
      <c r="J298" s="278">
        <v>42700</v>
      </c>
    </row>
    <row r="299" spans="1:10" s="156" customFormat="1" ht="35.4" x14ac:dyDescent="0.6">
      <c r="A299" s="342"/>
      <c r="B299" s="341"/>
      <c r="C299" s="342"/>
      <c r="D299" s="349"/>
      <c r="E299" s="341"/>
      <c r="F299" s="342"/>
      <c r="G299" s="315"/>
      <c r="H299" s="241"/>
      <c r="I299" s="185" t="s">
        <v>2624</v>
      </c>
      <c r="J299" s="278">
        <v>3000</v>
      </c>
    </row>
    <row r="300" spans="1:10" s="156" customFormat="1" ht="35.4" x14ac:dyDescent="0.6">
      <c r="A300" s="342"/>
      <c r="B300" s="341"/>
      <c r="C300" s="342"/>
      <c r="D300" s="349"/>
      <c r="E300" s="341"/>
      <c r="F300" s="342"/>
      <c r="G300" s="315"/>
      <c r="H300" s="241"/>
      <c r="I300" s="185" t="s">
        <v>2625</v>
      </c>
      <c r="J300" s="278">
        <v>156550</v>
      </c>
    </row>
    <row r="301" spans="1:10" s="156" customFormat="1" ht="35.4" x14ac:dyDescent="0.6">
      <c r="A301" s="342"/>
      <c r="B301" s="341"/>
      <c r="C301" s="342"/>
      <c r="D301" s="349"/>
      <c r="E301" s="341"/>
      <c r="F301" s="342"/>
      <c r="G301" s="315"/>
      <c r="H301" s="241">
        <v>45927</v>
      </c>
      <c r="I301" s="185" t="s">
        <v>2612</v>
      </c>
      <c r="J301" s="278">
        <v>1500</v>
      </c>
    </row>
    <row r="302" spans="1:10" s="156" customFormat="1" ht="35.4" x14ac:dyDescent="0.6">
      <c r="A302" s="342"/>
      <c r="B302" s="341"/>
      <c r="C302" s="342"/>
      <c r="D302" s="349"/>
      <c r="E302" s="341"/>
      <c r="F302" s="342"/>
      <c r="G302" s="315"/>
      <c r="H302" s="241"/>
      <c r="I302" s="185" t="s">
        <v>2626</v>
      </c>
      <c r="J302" s="278">
        <v>909000</v>
      </c>
    </row>
    <row r="303" spans="1:10" s="156" customFormat="1" ht="35.4" x14ac:dyDescent="0.6">
      <c r="A303" s="342"/>
      <c r="B303" s="341"/>
      <c r="C303" s="342"/>
      <c r="D303" s="349"/>
      <c r="E303" s="341"/>
      <c r="F303" s="342"/>
      <c r="G303" s="315"/>
      <c r="H303" s="241"/>
      <c r="I303" s="185" t="s">
        <v>2562</v>
      </c>
      <c r="J303" s="278">
        <v>9900</v>
      </c>
    </row>
    <row r="304" spans="1:10" s="156" customFormat="1" ht="35.4" x14ac:dyDescent="0.6">
      <c r="A304" s="342"/>
      <c r="B304" s="341"/>
      <c r="C304" s="342"/>
      <c r="D304" s="349"/>
      <c r="E304" s="341"/>
      <c r="F304" s="342"/>
      <c r="G304" s="315"/>
      <c r="H304" s="241"/>
      <c r="I304" s="185" t="s">
        <v>2627</v>
      </c>
      <c r="J304" s="278">
        <v>5050</v>
      </c>
    </row>
    <row r="305" spans="1:10" s="156" customFormat="1" ht="35.4" x14ac:dyDescent="0.6">
      <c r="A305" s="342"/>
      <c r="B305" s="341"/>
      <c r="C305" s="342"/>
      <c r="D305" s="349"/>
      <c r="E305" s="341"/>
      <c r="F305" s="342"/>
      <c r="G305" s="315"/>
      <c r="H305" s="241"/>
      <c r="I305" s="185" t="s">
        <v>2264</v>
      </c>
      <c r="J305" s="278">
        <v>10100</v>
      </c>
    </row>
    <row r="306" spans="1:10" s="156" customFormat="1" ht="35.4" x14ac:dyDescent="0.6">
      <c r="A306" s="342"/>
      <c r="B306" s="341"/>
      <c r="C306" s="342"/>
      <c r="D306" s="349"/>
      <c r="E306" s="341"/>
      <c r="F306" s="342"/>
      <c r="G306" s="315"/>
      <c r="H306" s="241"/>
      <c r="I306" s="185" t="s">
        <v>2628</v>
      </c>
      <c r="J306" s="278">
        <v>8080</v>
      </c>
    </row>
    <row r="307" spans="1:10" s="156" customFormat="1" ht="35.4" x14ac:dyDescent="0.6">
      <c r="A307" s="342"/>
      <c r="B307" s="341"/>
      <c r="C307" s="342"/>
      <c r="D307" s="349"/>
      <c r="E307" s="341"/>
      <c r="F307" s="342"/>
      <c r="G307" s="315"/>
      <c r="H307" s="241"/>
      <c r="I307" s="185" t="s">
        <v>2629</v>
      </c>
      <c r="J307" s="278">
        <v>10000</v>
      </c>
    </row>
    <row r="308" spans="1:10" s="186" customFormat="1" ht="35.4" x14ac:dyDescent="0.6">
      <c r="A308" s="342"/>
      <c r="B308" s="341"/>
      <c r="C308" s="342"/>
      <c r="D308" s="349"/>
      <c r="E308" s="341"/>
      <c r="F308" s="342"/>
      <c r="G308" s="315"/>
      <c r="H308" s="241"/>
      <c r="I308" s="185" t="s">
        <v>2630</v>
      </c>
      <c r="J308" s="278">
        <v>110000</v>
      </c>
    </row>
    <row r="309" spans="1:10" s="156" customFormat="1" ht="35.4" x14ac:dyDescent="0.6">
      <c r="A309" s="342"/>
      <c r="B309" s="341"/>
      <c r="C309" s="342"/>
      <c r="D309" s="349"/>
      <c r="E309" s="341"/>
      <c r="F309" s="342"/>
      <c r="G309" s="315"/>
      <c r="H309" s="241"/>
      <c r="I309" s="185" t="s">
        <v>2631</v>
      </c>
      <c r="J309" s="278">
        <v>20000</v>
      </c>
    </row>
    <row r="310" spans="1:10" s="156" customFormat="1" ht="35.4" x14ac:dyDescent="0.6">
      <c r="A310" s="342"/>
      <c r="B310" s="341"/>
      <c r="C310" s="342"/>
      <c r="D310" s="349"/>
      <c r="E310" s="341"/>
      <c r="F310" s="342"/>
      <c r="G310" s="315"/>
      <c r="H310" s="241"/>
      <c r="I310" s="185" t="s">
        <v>2632</v>
      </c>
      <c r="J310" s="278">
        <v>101000</v>
      </c>
    </row>
    <row r="311" spans="1:10" s="156" customFormat="1" ht="35.4" x14ac:dyDescent="0.6">
      <c r="A311" s="342"/>
      <c r="B311" s="341"/>
      <c r="C311" s="342"/>
      <c r="D311" s="349"/>
      <c r="E311" s="341"/>
      <c r="F311" s="342"/>
      <c r="G311" s="315"/>
      <c r="H311" s="241">
        <v>45928</v>
      </c>
      <c r="I311" s="185" t="s">
        <v>2614</v>
      </c>
      <c r="J311" s="278">
        <v>30300</v>
      </c>
    </row>
    <row r="312" spans="1:10" s="156" customFormat="1" ht="35.4" x14ac:dyDescent="0.6">
      <c r="A312" s="342"/>
      <c r="B312" s="341"/>
      <c r="C312" s="342"/>
      <c r="D312" s="349"/>
      <c r="E312" s="341"/>
      <c r="F312" s="342"/>
      <c r="G312" s="315"/>
      <c r="H312" s="241"/>
      <c r="I312" s="185" t="s">
        <v>2633</v>
      </c>
      <c r="J312" s="278">
        <v>70300</v>
      </c>
    </row>
    <row r="313" spans="1:10" s="156" customFormat="1" ht="35.4" x14ac:dyDescent="0.6">
      <c r="A313" s="342"/>
      <c r="B313" s="341"/>
      <c r="C313" s="342"/>
      <c r="D313" s="349"/>
      <c r="E313" s="341"/>
      <c r="F313" s="342"/>
      <c r="G313" s="315"/>
      <c r="H313" s="241">
        <v>45929</v>
      </c>
      <c r="I313" s="185" t="s">
        <v>2634</v>
      </c>
      <c r="J313" s="278">
        <v>235000</v>
      </c>
    </row>
    <row r="314" spans="1:10" s="156" customFormat="1" ht="35.4" x14ac:dyDescent="0.6">
      <c r="A314" s="342"/>
      <c r="B314" s="341"/>
      <c r="C314" s="342"/>
      <c r="D314" s="349"/>
      <c r="E314" s="341"/>
      <c r="F314" s="342"/>
      <c r="G314" s="315"/>
      <c r="H314" s="241"/>
      <c r="I314" s="185" t="s">
        <v>2635</v>
      </c>
      <c r="J314" s="278">
        <v>4000</v>
      </c>
    </row>
    <row r="315" spans="1:10" s="156" customFormat="1" ht="35.4" x14ac:dyDescent="0.6">
      <c r="A315" s="342"/>
      <c r="B315" s="341"/>
      <c r="C315" s="342"/>
      <c r="D315" s="349"/>
      <c r="E315" s="341"/>
      <c r="F315" s="342"/>
      <c r="G315" s="315"/>
      <c r="H315" s="241"/>
      <c r="I315" s="185" t="s">
        <v>2636</v>
      </c>
      <c r="J315" s="278">
        <v>70700</v>
      </c>
    </row>
    <row r="316" spans="1:10" s="156" customFormat="1" ht="35.4" x14ac:dyDescent="0.6">
      <c r="A316" s="342"/>
      <c r="B316" s="341"/>
      <c r="C316" s="342"/>
      <c r="D316" s="349"/>
      <c r="E316" s="341"/>
      <c r="F316" s="342"/>
      <c r="G316" s="315"/>
      <c r="H316" s="241"/>
      <c r="I316" s="185" t="s">
        <v>2637</v>
      </c>
      <c r="J316" s="278">
        <v>2000</v>
      </c>
    </row>
    <row r="317" spans="1:10" s="156" customFormat="1" ht="35.4" x14ac:dyDescent="0.6">
      <c r="A317" s="342"/>
      <c r="B317" s="341"/>
      <c r="C317" s="342"/>
      <c r="D317" s="349"/>
      <c r="E317" s="341"/>
      <c r="F317" s="342"/>
      <c r="G317" s="315"/>
      <c r="H317" s="241"/>
      <c r="I317" s="185" t="s">
        <v>2638</v>
      </c>
      <c r="J317" s="278">
        <v>5000</v>
      </c>
    </row>
    <row r="318" spans="1:10" s="156" customFormat="1" ht="35.4" x14ac:dyDescent="0.6">
      <c r="A318" s="342"/>
      <c r="B318" s="341"/>
      <c r="C318" s="342"/>
      <c r="D318" s="349"/>
      <c r="E318" s="341"/>
      <c r="F318" s="342"/>
      <c r="G318" s="315"/>
      <c r="H318" s="241"/>
      <c r="I318" s="185" t="s">
        <v>2639</v>
      </c>
      <c r="J318" s="278">
        <v>8000</v>
      </c>
    </row>
    <row r="319" spans="1:10" s="156" customFormat="1" ht="35.4" x14ac:dyDescent="0.6">
      <c r="A319" s="342"/>
      <c r="B319" s="341"/>
      <c r="C319" s="342"/>
      <c r="D319" s="349"/>
      <c r="E319" s="341"/>
      <c r="F319" s="342"/>
      <c r="G319" s="315"/>
      <c r="H319" s="241"/>
      <c r="I319" s="185" t="s">
        <v>2640</v>
      </c>
      <c r="J319" s="278">
        <v>202000</v>
      </c>
    </row>
    <row r="320" spans="1:10" s="156" customFormat="1" ht="35.4" x14ac:dyDescent="0.6">
      <c r="A320" s="342"/>
      <c r="B320" s="341"/>
      <c r="C320" s="342"/>
      <c r="D320" s="349"/>
      <c r="E320" s="341"/>
      <c r="F320" s="342"/>
      <c r="G320" s="315"/>
      <c r="H320" s="241"/>
      <c r="I320" s="185" t="s">
        <v>2641</v>
      </c>
      <c r="J320" s="278">
        <v>48480</v>
      </c>
    </row>
    <row r="321" spans="1:10" s="156" customFormat="1" ht="35.4" x14ac:dyDescent="0.6">
      <c r="A321" s="342"/>
      <c r="B321" s="341"/>
      <c r="C321" s="342"/>
      <c r="D321" s="349"/>
      <c r="E321" s="341"/>
      <c r="F321" s="342"/>
      <c r="G321" s="315"/>
      <c r="H321" s="241"/>
      <c r="I321" s="185" t="s">
        <v>2642</v>
      </c>
      <c r="J321" s="278">
        <v>280000</v>
      </c>
    </row>
    <row r="322" spans="1:10" s="156" customFormat="1" ht="35.4" x14ac:dyDescent="0.6">
      <c r="A322" s="342"/>
      <c r="B322" s="341"/>
      <c r="C322" s="342"/>
      <c r="D322" s="349"/>
      <c r="E322" s="341"/>
      <c r="F322" s="342"/>
      <c r="G322" s="315"/>
      <c r="H322" s="241"/>
      <c r="I322" s="185" t="s">
        <v>2643</v>
      </c>
      <c r="J322" s="278">
        <v>4343</v>
      </c>
    </row>
    <row r="323" spans="1:10" s="186" customFormat="1" ht="35.4" x14ac:dyDescent="0.6">
      <c r="A323" s="347"/>
      <c r="B323" s="345"/>
      <c r="C323" s="347"/>
      <c r="D323" s="356"/>
      <c r="E323" s="345"/>
      <c r="F323" s="347"/>
      <c r="G323" s="315"/>
      <c r="H323" s="241"/>
      <c r="I323" s="185" t="s">
        <v>2644</v>
      </c>
      <c r="J323" s="278">
        <v>70300</v>
      </c>
    </row>
    <row r="324" spans="1:10" s="156" customFormat="1" ht="35.4" x14ac:dyDescent="0.6">
      <c r="A324" s="342"/>
      <c r="B324" s="341"/>
      <c r="C324" s="342"/>
      <c r="D324" s="349"/>
      <c r="E324" s="341"/>
      <c r="F324" s="342"/>
      <c r="G324" s="315"/>
      <c r="H324" s="241"/>
      <c r="I324" s="185" t="s">
        <v>2645</v>
      </c>
      <c r="J324" s="278">
        <v>16000</v>
      </c>
    </row>
    <row r="325" spans="1:10" s="156" customFormat="1" ht="35.4" x14ac:dyDescent="0.6">
      <c r="A325" s="342"/>
      <c r="B325" s="341"/>
      <c r="C325" s="342"/>
      <c r="D325" s="349"/>
      <c r="E325" s="341"/>
      <c r="F325" s="342"/>
      <c r="G325" s="315"/>
      <c r="H325" s="241"/>
      <c r="I325" s="185" t="s">
        <v>2646</v>
      </c>
      <c r="J325" s="278">
        <v>33330</v>
      </c>
    </row>
    <row r="326" spans="1:10" s="156" customFormat="1" ht="35.4" x14ac:dyDescent="0.6">
      <c r="A326" s="342"/>
      <c r="B326" s="341"/>
      <c r="C326" s="342"/>
      <c r="D326" s="349"/>
      <c r="E326" s="341"/>
      <c r="F326" s="342"/>
      <c r="G326" s="315"/>
      <c r="H326" s="241"/>
      <c r="I326" s="185" t="s">
        <v>2647</v>
      </c>
      <c r="J326" s="278">
        <v>36360</v>
      </c>
    </row>
    <row r="327" spans="1:10" s="156" customFormat="1" ht="35.4" x14ac:dyDescent="0.6">
      <c r="A327" s="342"/>
      <c r="B327" s="341"/>
      <c r="C327" s="342"/>
      <c r="D327" s="349"/>
      <c r="E327" s="341"/>
      <c r="F327" s="342"/>
      <c r="G327" s="315"/>
      <c r="H327" s="241"/>
      <c r="I327" s="185" t="s">
        <v>2648</v>
      </c>
      <c r="J327" s="278">
        <v>12120</v>
      </c>
    </row>
    <row r="328" spans="1:10" s="156" customFormat="1" ht="35.4" x14ac:dyDescent="0.6">
      <c r="A328" s="342"/>
      <c r="B328" s="341"/>
      <c r="C328" s="342"/>
      <c r="D328" s="349"/>
      <c r="E328" s="341"/>
      <c r="F328" s="342"/>
      <c r="G328" s="315"/>
      <c r="H328" s="241"/>
      <c r="I328" s="185" t="s">
        <v>2649</v>
      </c>
      <c r="J328" s="278">
        <v>10100</v>
      </c>
    </row>
    <row r="329" spans="1:10" s="156" customFormat="1" ht="35.4" x14ac:dyDescent="0.6">
      <c r="A329" s="342"/>
      <c r="B329" s="341"/>
      <c r="C329" s="342"/>
      <c r="D329" s="349"/>
      <c r="E329" s="341"/>
      <c r="F329" s="342"/>
      <c r="G329" s="315"/>
      <c r="H329" s="241"/>
      <c r="I329" s="185" t="s">
        <v>2650</v>
      </c>
      <c r="J329" s="278">
        <v>101000</v>
      </c>
    </row>
    <row r="330" spans="1:10" s="156" customFormat="1" ht="35.4" x14ac:dyDescent="0.6">
      <c r="A330" s="342"/>
      <c r="B330" s="341"/>
      <c r="C330" s="342"/>
      <c r="D330" s="349"/>
      <c r="E330" s="341"/>
      <c r="F330" s="342"/>
      <c r="G330" s="315"/>
      <c r="H330" s="241">
        <v>45930</v>
      </c>
      <c r="I330" s="185" t="s">
        <v>2412</v>
      </c>
      <c r="J330" s="278">
        <v>20000</v>
      </c>
    </row>
    <row r="331" spans="1:10" s="156" customFormat="1" ht="35.4" x14ac:dyDescent="0.6">
      <c r="A331" s="342"/>
      <c r="B331" s="341"/>
      <c r="C331" s="342"/>
      <c r="D331" s="349"/>
      <c r="E331" s="341"/>
      <c r="F331" s="342"/>
      <c r="G331" s="315"/>
      <c r="H331" s="241"/>
      <c r="I331" s="185" t="s">
        <v>2651</v>
      </c>
      <c r="J331" s="278">
        <v>10100</v>
      </c>
    </row>
    <row r="332" spans="1:10" s="186" customFormat="1" ht="35.4" x14ac:dyDescent="0.6">
      <c r="A332" s="347"/>
      <c r="B332" s="345"/>
      <c r="C332" s="347"/>
      <c r="D332" s="356"/>
      <c r="E332" s="345"/>
      <c r="F332" s="347"/>
      <c r="G332" s="315"/>
      <c r="H332" s="241"/>
      <c r="I332" s="185" t="s">
        <v>2652</v>
      </c>
      <c r="J332" s="278">
        <v>2200</v>
      </c>
    </row>
    <row r="333" spans="1:10" s="156" customFormat="1" ht="45.6" x14ac:dyDescent="0.6">
      <c r="A333" s="342"/>
      <c r="B333" s="341"/>
      <c r="C333" s="342"/>
      <c r="D333" s="349"/>
      <c r="E333" s="341"/>
      <c r="F333" s="342"/>
      <c r="G333" s="311"/>
      <c r="H333" s="241"/>
      <c r="I333" s="185" t="s">
        <v>2653</v>
      </c>
      <c r="J333" s="278">
        <v>3200</v>
      </c>
    </row>
    <row r="334" spans="1:10" s="156" customFormat="1" ht="45.6" x14ac:dyDescent="0.6">
      <c r="A334" s="342"/>
      <c r="B334" s="341"/>
      <c r="C334" s="342"/>
      <c r="D334" s="349"/>
      <c r="E334" s="341"/>
      <c r="F334" s="342"/>
      <c r="G334" s="311"/>
      <c r="H334" s="241"/>
      <c r="I334" s="185" t="s">
        <v>2654</v>
      </c>
      <c r="J334" s="278">
        <v>353500</v>
      </c>
    </row>
    <row r="335" spans="1:10" s="156" customFormat="1" ht="45.6" x14ac:dyDescent="0.6">
      <c r="A335" s="342"/>
      <c r="B335" s="341"/>
      <c r="C335" s="342"/>
      <c r="D335" s="349"/>
      <c r="E335" s="341"/>
      <c r="F335" s="342"/>
      <c r="G335" s="311"/>
      <c r="H335" s="241"/>
      <c r="I335" s="185" t="s">
        <v>2655</v>
      </c>
      <c r="J335" s="278">
        <v>80800</v>
      </c>
    </row>
    <row r="336" spans="1:10" s="156" customFormat="1" ht="45.6" x14ac:dyDescent="0.6">
      <c r="A336" s="342"/>
      <c r="B336" s="341"/>
      <c r="C336" s="342"/>
      <c r="D336" s="349"/>
      <c r="E336" s="341"/>
      <c r="F336" s="342"/>
      <c r="G336" s="311"/>
      <c r="H336" s="241"/>
      <c r="I336" s="185" t="s">
        <v>2656</v>
      </c>
      <c r="J336" s="278">
        <v>5000</v>
      </c>
    </row>
    <row r="337" spans="1:10" s="156" customFormat="1" ht="45.6" x14ac:dyDescent="0.6">
      <c r="A337" s="342"/>
      <c r="B337" s="341"/>
      <c r="C337" s="342"/>
      <c r="D337" s="349"/>
      <c r="E337" s="341"/>
      <c r="F337" s="342"/>
      <c r="G337" s="311"/>
      <c r="H337" s="241"/>
      <c r="I337" s="185" t="s">
        <v>2657</v>
      </c>
      <c r="J337" s="278">
        <v>20200</v>
      </c>
    </row>
    <row r="338" spans="1:10" s="156" customFormat="1" ht="45.6" x14ac:dyDescent="0.6">
      <c r="A338" s="342"/>
      <c r="B338" s="341"/>
      <c r="C338" s="342"/>
      <c r="E338" s="349"/>
      <c r="F338" s="342"/>
      <c r="G338" s="311"/>
      <c r="H338" s="241"/>
      <c r="I338" s="185" t="s">
        <v>2658</v>
      </c>
      <c r="J338" s="278">
        <v>40400</v>
      </c>
    </row>
    <row r="339" spans="1:10" s="186" customFormat="1" ht="46.2" x14ac:dyDescent="0.85">
      <c r="A339" s="342"/>
      <c r="B339" s="341"/>
      <c r="C339" s="342"/>
      <c r="D339" s="349"/>
      <c r="E339" s="341"/>
      <c r="F339" s="342"/>
      <c r="G339" s="364"/>
      <c r="H339" s="241"/>
      <c r="I339" s="185" t="s">
        <v>3091</v>
      </c>
      <c r="J339" s="278">
        <v>3000</v>
      </c>
    </row>
    <row r="340" spans="1:10" s="156" customFormat="1" ht="46.8" x14ac:dyDescent="0.85">
      <c r="A340" s="305" t="s">
        <v>7</v>
      </c>
      <c r="B340" s="306"/>
      <c r="C340" s="307">
        <f>+SUM(C4:C78)</f>
        <v>54343851</v>
      </c>
      <c r="D340" s="299" t="s">
        <v>7</v>
      </c>
      <c r="E340" s="300"/>
      <c r="F340" s="301">
        <f>SUM(F4:F34)</f>
        <v>22546647</v>
      </c>
      <c r="G340" s="332"/>
      <c r="H340" s="317" t="s">
        <v>7</v>
      </c>
      <c r="I340" s="190"/>
      <c r="J340" s="278"/>
    </row>
    <row r="341" spans="1:10" s="156" customFormat="1" ht="46.2" x14ac:dyDescent="0.8">
      <c r="A341" s="361" t="s">
        <v>13</v>
      </c>
      <c r="B341" s="362"/>
      <c r="C341" s="363">
        <f>+C340</f>
        <v>54343851</v>
      </c>
      <c r="D341" s="356"/>
      <c r="E341" s="345"/>
      <c r="F341" s="347"/>
      <c r="G341" s="334"/>
      <c r="H341" s="311"/>
      <c r="I341" s="148"/>
      <c r="J341" s="30">
        <f>SUM(J4:J340)</f>
        <v>30375064</v>
      </c>
    </row>
    <row r="342" spans="1:10" s="156" customFormat="1" ht="45.6" x14ac:dyDescent="0.6">
      <c r="A342" s="342"/>
      <c r="B342" s="341"/>
      <c r="C342" s="342"/>
      <c r="D342" s="349"/>
      <c r="E342" s="341"/>
      <c r="F342" s="342"/>
      <c r="G342" s="334"/>
      <c r="H342" s="311"/>
      <c r="I342" s="360" t="s">
        <v>20</v>
      </c>
      <c r="J342" s="318">
        <f>SUM(J341+F35)</f>
        <v>30375064</v>
      </c>
    </row>
    <row r="343" spans="1:10" s="156" customFormat="1" ht="91.8" x14ac:dyDescent="0.6">
      <c r="A343" s="342"/>
      <c r="B343" s="341"/>
      <c r="C343" s="342"/>
      <c r="D343" s="349"/>
      <c r="E343" s="341"/>
      <c r="F343" s="342"/>
      <c r="G343" s="254"/>
      <c r="H343" s="319"/>
      <c r="I343" s="323" t="s">
        <v>10</v>
      </c>
      <c r="J343" s="324">
        <f>+C341-F340-J341</f>
        <v>1422140</v>
      </c>
    </row>
    <row r="344" spans="1:10" s="156" customFormat="1" ht="91.8" x14ac:dyDescent="0.6">
      <c r="A344" s="7"/>
      <c r="B344" s="1"/>
      <c r="C344" s="7"/>
      <c r="D344" s="96"/>
      <c r="E344" s="1"/>
      <c r="F344" s="7"/>
      <c r="G344" s="254"/>
      <c r="H344" s="319"/>
      <c r="I344" s="1"/>
      <c r="J344" s="56"/>
    </row>
    <row r="345" spans="1:10" s="156" customFormat="1" ht="91.8" x14ac:dyDescent="0.6">
      <c r="A345" s="7"/>
      <c r="B345" s="1"/>
      <c r="C345" s="7"/>
      <c r="D345" s="96"/>
      <c r="E345" s="1"/>
      <c r="F345" s="7"/>
      <c r="G345" s="93"/>
      <c r="H345" s="319"/>
      <c r="I345" s="1"/>
      <c r="J345" s="56"/>
    </row>
    <row r="346" spans="1:10" s="156" customFormat="1" ht="91.8" x14ac:dyDescent="0.6">
      <c r="A346" s="7"/>
      <c r="B346" s="1"/>
      <c r="C346" s="7"/>
      <c r="D346" s="96"/>
      <c r="E346" s="1"/>
      <c r="F346" s="7"/>
      <c r="G346" s="93"/>
      <c r="H346" s="319"/>
      <c r="I346" s="1"/>
      <c r="J346" s="193"/>
    </row>
    <row r="347" spans="1:10" s="156" customFormat="1" ht="91.8" x14ac:dyDescent="0.6">
      <c r="A347" s="7"/>
      <c r="B347" s="1"/>
      <c r="C347" s="7"/>
      <c r="D347" s="96"/>
      <c r="E347" s="1"/>
      <c r="F347" s="7"/>
      <c r="G347" s="93"/>
      <c r="H347" s="263"/>
      <c r="I347" s="1"/>
      <c r="J347" s="193"/>
    </row>
    <row r="348" spans="1:10" s="156" customFormat="1" ht="48.75" customHeight="1" x14ac:dyDescent="1.05">
      <c r="A348" s="7"/>
      <c r="B348" s="1"/>
      <c r="C348" s="7"/>
      <c r="D348" s="96"/>
      <c r="E348" s="1"/>
      <c r="F348" s="7"/>
      <c r="G348" s="93"/>
      <c r="H348" s="266"/>
      <c r="I348" s="320">
        <v>0</v>
      </c>
      <c r="J348" s="193"/>
    </row>
    <row r="349" spans="1:10" s="156" customFormat="1" ht="48" customHeight="1" x14ac:dyDescent="1.05">
      <c r="A349" s="7"/>
      <c r="B349" s="1"/>
      <c r="C349" s="7"/>
      <c r="D349" s="96"/>
      <c r="E349" s="1"/>
      <c r="F349" s="7"/>
      <c r="G349" s="93"/>
      <c r="H349" s="266" t="s">
        <v>3</v>
      </c>
      <c r="I349" s="55">
        <f>+C340</f>
        <v>54343851</v>
      </c>
      <c r="J349" s="193"/>
    </row>
    <row r="350" spans="1:10" s="156" customFormat="1" ht="63.75" customHeight="1" x14ac:dyDescent="1.05">
      <c r="A350" s="7"/>
      <c r="B350" s="1"/>
      <c r="C350" s="7"/>
      <c r="D350" s="96"/>
      <c r="E350" s="1"/>
      <c r="F350" s="7"/>
      <c r="G350" s="93"/>
      <c r="H350" s="266" t="s">
        <v>23</v>
      </c>
      <c r="I350" s="55">
        <f>+F340</f>
        <v>22546647</v>
      </c>
      <c r="J350" s="193"/>
    </row>
    <row r="351" spans="1:10" s="156" customFormat="1" ht="82.5" customHeight="1" x14ac:dyDescent="1.05">
      <c r="A351" s="7"/>
      <c r="B351" s="1"/>
      <c r="C351" s="7"/>
      <c r="D351" s="96"/>
      <c r="E351" s="1"/>
      <c r="F351" s="7"/>
      <c r="G351" s="1"/>
      <c r="H351" s="266" t="s">
        <v>24</v>
      </c>
      <c r="I351" s="53">
        <f>+J341</f>
        <v>30375064</v>
      </c>
      <c r="J351" s="193"/>
    </row>
    <row r="352" spans="1:10" s="156" customFormat="1" ht="61.2" x14ac:dyDescent="1.05">
      <c r="A352" s="7"/>
      <c r="B352" s="1"/>
      <c r="C352" s="7"/>
      <c r="D352" s="96"/>
      <c r="E352" s="1"/>
      <c r="F352" s="7"/>
      <c r="G352" s="1"/>
      <c r="H352" s="266" t="s">
        <v>69</v>
      </c>
      <c r="I352" s="107">
        <v>0</v>
      </c>
    </row>
    <row r="353" spans="1:10" s="156" customFormat="1" ht="61.2" x14ac:dyDescent="1.05">
      <c r="A353" s="7"/>
      <c r="B353" s="1"/>
      <c r="C353" s="7"/>
      <c r="D353" s="96"/>
      <c r="E353" s="1"/>
      <c r="F353" s="7"/>
      <c r="G353" s="1"/>
      <c r="H353" s="266" t="s">
        <v>25</v>
      </c>
      <c r="I353" s="54">
        <f>+I349-I350-I351-I352</f>
        <v>1422140</v>
      </c>
    </row>
    <row r="354" spans="1:10" s="156" customFormat="1" ht="35.4" x14ac:dyDescent="0.6">
      <c r="A354" s="7"/>
      <c r="B354" s="1"/>
      <c r="C354" s="7"/>
      <c r="D354" s="96"/>
      <c r="E354" s="1"/>
      <c r="F354" s="7"/>
      <c r="H354" s="193"/>
      <c r="I354" s="235"/>
    </row>
    <row r="355" spans="1:10" s="156" customFormat="1" ht="35.4" x14ac:dyDescent="0.6">
      <c r="A355" s="7"/>
      <c r="B355" s="1"/>
      <c r="C355" s="7"/>
      <c r="D355" s="96"/>
      <c r="E355" s="1"/>
      <c r="F355" s="7"/>
      <c r="G355" s="7"/>
      <c r="H355" s="193"/>
      <c r="I355" s="235"/>
    </row>
    <row r="356" spans="1:10" s="156" customFormat="1" ht="35.4" x14ac:dyDescent="0.6">
      <c r="A356" s="7"/>
      <c r="B356" s="1"/>
      <c r="C356" s="7"/>
      <c r="D356" s="96"/>
      <c r="E356" s="1"/>
      <c r="F356" s="7"/>
      <c r="G356" s="7"/>
      <c r="H356" s="193"/>
      <c r="I356" s="235"/>
    </row>
    <row r="357" spans="1:10" s="156" customFormat="1" ht="35.4" x14ac:dyDescent="0.6">
      <c r="A357" s="7"/>
      <c r="B357" s="1"/>
      <c r="C357" s="7"/>
      <c r="D357" s="96"/>
      <c r="E357" s="1"/>
      <c r="F357" s="7"/>
      <c r="G357" s="7"/>
      <c r="H357" s="193"/>
      <c r="I357" s="235"/>
    </row>
    <row r="358" spans="1:10" s="156" customFormat="1" ht="35.4" x14ac:dyDescent="0.6">
      <c r="A358" s="7"/>
      <c r="B358" s="1"/>
      <c r="C358" s="7"/>
      <c r="D358" s="96"/>
      <c r="E358" s="1"/>
      <c r="F358" s="7"/>
      <c r="G358" s="7"/>
      <c r="H358" s="193"/>
      <c r="I358" s="235"/>
    </row>
    <row r="359" spans="1:10" s="156" customFormat="1" ht="35.4" x14ac:dyDescent="0.6">
      <c r="A359" s="7"/>
      <c r="B359" s="1"/>
      <c r="C359" s="7"/>
      <c r="D359" s="96"/>
      <c r="E359" s="1"/>
      <c r="F359" s="7"/>
      <c r="G359" s="50"/>
      <c r="H359" s="193"/>
      <c r="I359" s="235"/>
    </row>
    <row r="360" spans="1:10" s="156" customFormat="1" ht="35.4" x14ac:dyDescent="0.6">
      <c r="A360" s="7"/>
      <c r="B360" s="1"/>
      <c r="C360" s="7"/>
      <c r="D360" s="96"/>
      <c r="E360" s="1"/>
      <c r="F360" s="7"/>
      <c r="G360" s="7"/>
      <c r="H360" s="51"/>
      <c r="I360" s="235"/>
    </row>
    <row r="361" spans="1:10" s="156" customFormat="1" ht="35.4" x14ac:dyDescent="0.6">
      <c r="A361" s="7"/>
      <c r="B361" s="1"/>
      <c r="C361" s="7"/>
      <c r="D361" s="96"/>
      <c r="E361" s="1"/>
      <c r="F361" s="7"/>
      <c r="G361" s="1"/>
      <c r="H361" s="270"/>
      <c r="I361" s="235"/>
      <c r="J361" s="51"/>
    </row>
    <row r="362" spans="1:10" s="186" customFormat="1" ht="35.4" x14ac:dyDescent="0.6">
      <c r="A362" s="7"/>
      <c r="B362" s="1"/>
      <c r="C362" s="7"/>
      <c r="D362" s="96"/>
      <c r="E362" s="1"/>
      <c r="F362" s="7"/>
      <c r="G362" s="1"/>
      <c r="H362" s="56"/>
      <c r="I362" s="235"/>
    </row>
    <row r="363" spans="1:10" s="156" customFormat="1" ht="35.4" x14ac:dyDescent="0.6">
      <c r="A363" s="7"/>
      <c r="B363" s="1"/>
      <c r="C363" s="7"/>
      <c r="D363" s="96"/>
      <c r="E363" s="1"/>
      <c r="F363" s="7"/>
      <c r="G363" s="1"/>
      <c r="H363" s="56"/>
      <c r="I363" s="50"/>
    </row>
    <row r="364" spans="1:10" s="156" customFormat="1" ht="35.4" x14ac:dyDescent="0.6">
      <c r="A364" s="7"/>
      <c r="B364" s="1"/>
      <c r="C364" s="7"/>
      <c r="D364" s="96"/>
      <c r="E364" s="1"/>
      <c r="F364" s="7"/>
      <c r="G364" s="1"/>
      <c r="H364" s="56"/>
      <c r="I364" s="245"/>
    </row>
    <row r="365" spans="1:10" s="156" customFormat="1" ht="35.4" x14ac:dyDescent="0.6">
      <c r="A365" s="7"/>
      <c r="B365" s="1"/>
      <c r="C365" s="7"/>
      <c r="D365" s="96"/>
      <c r="E365" s="1"/>
      <c r="F365" s="7"/>
      <c r="G365" s="1"/>
      <c r="H365" s="56"/>
      <c r="I365" s="235"/>
    </row>
    <row r="366" spans="1:10" s="156" customFormat="1" ht="35.4" x14ac:dyDescent="0.6">
      <c r="A366" s="7"/>
      <c r="B366" s="1"/>
      <c r="C366" s="7"/>
      <c r="D366" s="96"/>
      <c r="E366" s="1"/>
      <c r="F366" s="7"/>
      <c r="G366" s="1"/>
      <c r="H366" s="56"/>
      <c r="I366" s="235"/>
    </row>
    <row r="367" spans="1:10" s="156" customFormat="1" ht="35.4" x14ac:dyDescent="0.6">
      <c r="A367" s="7"/>
      <c r="B367" s="1"/>
      <c r="C367" s="7"/>
      <c r="D367" s="96"/>
      <c r="E367" s="1"/>
      <c r="F367" s="7"/>
      <c r="G367" s="1"/>
      <c r="H367" s="56"/>
      <c r="I367" s="235"/>
    </row>
    <row r="368" spans="1:10" s="156" customFormat="1" ht="35.4" x14ac:dyDescent="0.6">
      <c r="A368" s="7"/>
      <c r="B368" s="1"/>
      <c r="C368" s="7"/>
      <c r="D368" s="96"/>
      <c r="E368" s="1"/>
      <c r="F368" s="7"/>
      <c r="G368" s="1"/>
      <c r="H368" s="56"/>
      <c r="I368" s="235"/>
    </row>
    <row r="369" spans="1:10" s="156" customFormat="1" ht="35.4" x14ac:dyDescent="0.6">
      <c r="A369" s="7"/>
      <c r="B369" s="1"/>
      <c r="C369" s="7"/>
      <c r="D369" s="96"/>
      <c r="E369" s="1"/>
      <c r="F369" s="7"/>
      <c r="G369" s="1"/>
      <c r="H369" s="56"/>
      <c r="I369" s="235"/>
    </row>
    <row r="370" spans="1:10" s="156" customFormat="1" ht="35.4" x14ac:dyDescent="0.6">
      <c r="A370" s="7"/>
      <c r="B370" s="1"/>
      <c r="C370" s="7"/>
      <c r="D370" s="96"/>
      <c r="E370" s="1"/>
      <c r="F370" s="7"/>
      <c r="G370" s="1"/>
      <c r="H370" s="56"/>
      <c r="I370" s="235"/>
    </row>
    <row r="371" spans="1:10" s="156" customFormat="1" ht="35.4" x14ac:dyDescent="0.6">
      <c r="A371" s="7"/>
      <c r="B371" s="1"/>
      <c r="C371" s="7"/>
      <c r="D371" s="96"/>
      <c r="E371" s="1"/>
      <c r="F371" s="7"/>
      <c r="G371" s="1"/>
      <c r="H371" s="56"/>
      <c r="I371" s="235"/>
    </row>
    <row r="372" spans="1:10" s="156" customFormat="1" ht="35.4" x14ac:dyDescent="0.6">
      <c r="A372" s="7"/>
      <c r="B372" s="1"/>
      <c r="C372" s="7"/>
      <c r="D372" s="96"/>
      <c r="E372" s="1"/>
      <c r="F372" s="7"/>
      <c r="G372" s="1"/>
      <c r="H372" s="56"/>
      <c r="I372" s="235"/>
    </row>
    <row r="373" spans="1:10" s="156" customFormat="1" ht="35.4" x14ac:dyDescent="0.6">
      <c r="A373" s="7"/>
      <c r="B373" s="1"/>
      <c r="C373" s="7"/>
      <c r="D373" s="96"/>
      <c r="E373" s="1"/>
      <c r="F373" s="7"/>
      <c r="G373" s="7"/>
      <c r="H373" s="56"/>
      <c r="I373" s="235"/>
    </row>
    <row r="374" spans="1:10" s="156" customFormat="1" ht="35.4" x14ac:dyDescent="0.6">
      <c r="A374" s="7"/>
      <c r="B374" s="1"/>
      <c r="C374" s="7"/>
      <c r="D374" s="96"/>
      <c r="E374" s="1"/>
      <c r="F374" s="7"/>
      <c r="G374" s="7"/>
      <c r="H374" s="270"/>
      <c r="I374" s="235"/>
      <c r="J374" s="56"/>
    </row>
    <row r="375" spans="1:10" s="156" customFormat="1" ht="35.4" x14ac:dyDescent="0.6">
      <c r="A375" s="7"/>
      <c r="B375" s="1"/>
      <c r="C375" s="7"/>
      <c r="D375" s="96"/>
      <c r="E375" s="1"/>
      <c r="F375" s="7"/>
      <c r="G375" s="7"/>
      <c r="H375" s="270"/>
      <c r="I375" s="235"/>
      <c r="J375" s="56"/>
    </row>
    <row r="376" spans="1:10" s="156" customFormat="1" ht="35.4" x14ac:dyDescent="0.6">
      <c r="A376" s="7"/>
      <c r="B376" s="1"/>
      <c r="C376" s="7"/>
      <c r="D376" s="96"/>
      <c r="E376" s="1"/>
      <c r="F376" s="7"/>
      <c r="G376" s="7"/>
      <c r="H376" s="270"/>
      <c r="I376" s="1"/>
      <c r="J376" s="56"/>
    </row>
    <row r="377" spans="1:10" s="156" customFormat="1" ht="35.4" x14ac:dyDescent="0.6">
      <c r="A377" s="7"/>
      <c r="B377" s="1"/>
      <c r="C377" s="7"/>
      <c r="D377" s="96"/>
      <c r="E377" s="1"/>
      <c r="F377" s="7"/>
      <c r="G377" s="7"/>
      <c r="H377" s="270"/>
      <c r="I377" s="1"/>
      <c r="J377" s="56"/>
    </row>
    <row r="378" spans="1:10" s="156" customFormat="1" ht="35.4" x14ac:dyDescent="0.6">
      <c r="A378" s="7"/>
      <c r="B378" s="1"/>
      <c r="C378" s="7"/>
      <c r="D378" s="96"/>
      <c r="E378" s="1"/>
      <c r="F378" s="7"/>
      <c r="G378" s="7"/>
      <c r="H378" s="270"/>
      <c r="I378" s="1"/>
      <c r="J378" s="56"/>
    </row>
    <row r="379" spans="1:10" s="156" customFormat="1" ht="35.4" x14ac:dyDescent="0.6">
      <c r="A379" s="7"/>
      <c r="B379" s="1"/>
      <c r="C379" s="7"/>
      <c r="D379" s="96"/>
      <c r="E379" s="1"/>
      <c r="F379" s="7"/>
      <c r="G379" s="7"/>
      <c r="H379" s="270"/>
      <c r="I379" s="1"/>
      <c r="J379" s="56"/>
    </row>
    <row r="380" spans="1:10" s="156" customFormat="1" ht="35.4" x14ac:dyDescent="0.6">
      <c r="A380" s="7"/>
      <c r="B380" s="1"/>
      <c r="C380" s="7"/>
      <c r="D380" s="96"/>
      <c r="E380" s="1"/>
      <c r="F380" s="7"/>
      <c r="G380" s="7"/>
      <c r="H380" s="270"/>
      <c r="I380" s="1"/>
      <c r="J380" s="56"/>
    </row>
    <row r="381" spans="1:10" s="156" customFormat="1" ht="35.4" x14ac:dyDescent="0.6">
      <c r="A381" s="7"/>
      <c r="B381" s="1"/>
      <c r="C381" s="7"/>
      <c r="D381" s="96"/>
      <c r="E381" s="1"/>
      <c r="F381" s="7"/>
      <c r="G381" s="7"/>
      <c r="H381" s="270"/>
      <c r="I381" s="1"/>
      <c r="J381" s="56"/>
    </row>
    <row r="382" spans="1:10" s="156" customFormat="1" ht="35.4" x14ac:dyDescent="0.6">
      <c r="A382" s="7"/>
      <c r="B382" s="1"/>
      <c r="C382" s="7"/>
      <c r="D382" s="96"/>
      <c r="E382" s="1"/>
      <c r="F382" s="7"/>
      <c r="G382" s="7"/>
      <c r="H382" s="270"/>
      <c r="I382" s="1"/>
      <c r="J382" s="56"/>
    </row>
    <row r="383" spans="1:10" s="156" customFormat="1" ht="35.4" x14ac:dyDescent="0.6">
      <c r="A383" s="7"/>
      <c r="B383" s="1"/>
      <c r="C383" s="7"/>
      <c r="D383" s="96"/>
      <c r="E383" s="1"/>
      <c r="F383" s="7"/>
      <c r="G383" s="7"/>
      <c r="H383" s="270"/>
      <c r="I383" s="1"/>
      <c r="J383" s="56"/>
    </row>
    <row r="384" spans="1:10" s="156" customFormat="1" ht="35.4" x14ac:dyDescent="0.6">
      <c r="A384" s="7"/>
      <c r="B384" s="1"/>
      <c r="C384" s="7"/>
      <c r="D384" s="96"/>
      <c r="E384" s="1"/>
      <c r="F384" s="7"/>
      <c r="G384" s="7"/>
      <c r="H384" s="270"/>
      <c r="I384" s="1"/>
      <c r="J384" s="56"/>
    </row>
    <row r="385" spans="1:10" s="156" customFormat="1" ht="35.4" x14ac:dyDescent="0.6">
      <c r="A385" s="7"/>
      <c r="B385" s="1"/>
      <c r="C385" s="7"/>
      <c r="D385" s="96"/>
      <c r="E385" s="1"/>
      <c r="F385" s="7"/>
      <c r="G385" s="7"/>
      <c r="H385" s="270"/>
      <c r="I385" s="1"/>
      <c r="J385" s="56"/>
    </row>
    <row r="386" spans="1:10" s="156" customFormat="1" ht="35.4" x14ac:dyDescent="0.6">
      <c r="A386" s="7"/>
      <c r="B386" s="1"/>
      <c r="C386" s="7"/>
      <c r="D386" s="96"/>
      <c r="E386" s="1"/>
      <c r="F386" s="7"/>
      <c r="G386" s="7"/>
      <c r="H386" s="270"/>
      <c r="I386" s="1"/>
      <c r="J386" s="56"/>
    </row>
    <row r="387" spans="1:10" s="156" customFormat="1" ht="35.4" x14ac:dyDescent="0.6">
      <c r="A387" s="7"/>
      <c r="B387" s="1"/>
      <c r="C387" s="7"/>
      <c r="D387" s="96"/>
      <c r="E387" s="1"/>
      <c r="F387" s="7"/>
      <c r="G387" s="7"/>
      <c r="H387" s="270"/>
      <c r="I387" s="1"/>
      <c r="J387" s="56"/>
    </row>
    <row r="388" spans="1:10" s="156" customFormat="1" ht="35.4" x14ac:dyDescent="0.6">
      <c r="A388" s="7"/>
      <c r="B388" s="1"/>
      <c r="C388" s="7"/>
      <c r="D388" s="96"/>
      <c r="E388" s="1"/>
      <c r="F388" s="7"/>
      <c r="G388" s="7"/>
      <c r="H388" s="270"/>
      <c r="I388" s="1"/>
      <c r="J388" s="56"/>
    </row>
    <row r="389" spans="1:10" s="156" customFormat="1" ht="35.4" x14ac:dyDescent="0.6">
      <c r="A389" s="7"/>
      <c r="B389" s="1"/>
      <c r="C389" s="7"/>
      <c r="D389" s="96"/>
      <c r="E389" s="1"/>
      <c r="F389" s="7"/>
      <c r="G389" s="7"/>
      <c r="H389" s="270"/>
      <c r="I389" s="1"/>
      <c r="J389" s="56"/>
    </row>
    <row r="390" spans="1:10" s="156" customFormat="1" ht="35.4" x14ac:dyDescent="0.6">
      <c r="A390" s="7"/>
      <c r="B390" s="1"/>
      <c r="C390" s="7"/>
      <c r="D390" s="96"/>
      <c r="E390" s="1"/>
      <c r="F390" s="7"/>
      <c r="G390" s="7"/>
      <c r="H390" s="270"/>
      <c r="I390" s="1"/>
      <c r="J390" s="56"/>
    </row>
    <row r="391" spans="1:10" s="156" customFormat="1" ht="35.4" x14ac:dyDescent="0.6">
      <c r="A391" s="7"/>
      <c r="B391" s="1"/>
      <c r="C391" s="7"/>
      <c r="D391" s="96"/>
      <c r="E391" s="1"/>
      <c r="F391" s="7"/>
      <c r="G391" s="7"/>
      <c r="H391" s="270"/>
      <c r="I391" s="1"/>
      <c r="J391" s="56"/>
    </row>
    <row r="392" spans="1:10" s="156" customFormat="1" ht="35.4" x14ac:dyDescent="0.6">
      <c r="A392" s="7"/>
      <c r="B392" s="1"/>
      <c r="C392" s="7"/>
      <c r="D392" s="96"/>
      <c r="E392" s="1"/>
      <c r="F392" s="7"/>
      <c r="G392" s="7"/>
      <c r="H392" s="270"/>
      <c r="I392" s="1"/>
      <c r="J392" s="56"/>
    </row>
    <row r="393" spans="1:10" s="156" customFormat="1" ht="35.4" x14ac:dyDescent="0.6">
      <c r="A393" s="7"/>
      <c r="B393" s="1"/>
      <c r="C393" s="7"/>
      <c r="D393" s="96"/>
      <c r="E393" s="1"/>
      <c r="F393" s="7"/>
      <c r="G393" s="7"/>
      <c r="H393" s="270"/>
      <c r="I393" s="1"/>
      <c r="J393" s="56"/>
    </row>
    <row r="394" spans="1:10" s="156" customFormat="1" ht="35.4" x14ac:dyDescent="0.6">
      <c r="A394" s="7"/>
      <c r="B394" s="1"/>
      <c r="C394" s="7"/>
      <c r="D394" s="96"/>
      <c r="E394" s="1"/>
      <c r="F394" s="7"/>
      <c r="G394" s="7"/>
      <c r="H394" s="270"/>
      <c r="I394" s="1"/>
      <c r="J394" s="56"/>
    </row>
    <row r="395" spans="1:10" s="156" customFormat="1" ht="35.4" x14ac:dyDescent="0.6">
      <c r="A395" s="7"/>
      <c r="B395" s="1"/>
      <c r="C395" s="7"/>
      <c r="D395" s="96"/>
      <c r="E395" s="1"/>
      <c r="F395" s="7"/>
      <c r="G395" s="7"/>
      <c r="H395" s="270"/>
      <c r="I395" s="1"/>
      <c r="J395" s="56"/>
    </row>
    <row r="396" spans="1:10" s="156" customFormat="1" ht="35.4" x14ac:dyDescent="0.6">
      <c r="A396" s="7"/>
      <c r="B396" s="1"/>
      <c r="C396" s="7"/>
      <c r="D396" s="96"/>
      <c r="E396" s="1"/>
      <c r="F396" s="7"/>
      <c r="G396" s="7"/>
      <c r="H396" s="270"/>
      <c r="I396" s="1"/>
      <c r="J396" s="56"/>
    </row>
    <row r="397" spans="1:10" s="156" customFormat="1" ht="35.4" x14ac:dyDescent="0.6">
      <c r="A397" s="7"/>
      <c r="B397" s="1"/>
      <c r="C397" s="7"/>
      <c r="D397" s="96"/>
      <c r="E397" s="1"/>
      <c r="F397" s="7"/>
      <c r="G397" s="7"/>
      <c r="H397" s="270"/>
      <c r="I397" s="1"/>
      <c r="J397" s="56"/>
    </row>
    <row r="398" spans="1:10" s="156" customFormat="1" ht="35.4" x14ac:dyDescent="0.6">
      <c r="A398" s="7"/>
      <c r="B398" s="1"/>
      <c r="C398" s="7"/>
      <c r="D398" s="96"/>
      <c r="E398" s="1"/>
      <c r="F398" s="7"/>
      <c r="G398" s="7"/>
      <c r="H398" s="270"/>
      <c r="I398" s="1"/>
      <c r="J398" s="56"/>
    </row>
    <row r="399" spans="1:10" s="156" customFormat="1" ht="35.4" x14ac:dyDescent="0.6">
      <c r="A399" s="7"/>
      <c r="B399" s="1"/>
      <c r="C399" s="7"/>
      <c r="D399" s="96"/>
      <c r="E399" s="1"/>
      <c r="F399" s="7"/>
      <c r="G399" s="7"/>
      <c r="H399" s="270"/>
      <c r="I399" s="1"/>
      <c r="J399" s="56"/>
    </row>
    <row r="400" spans="1:10" s="156" customFormat="1" ht="35.4" x14ac:dyDescent="0.6">
      <c r="A400" s="7"/>
      <c r="B400" s="1"/>
      <c r="C400" s="7"/>
      <c r="D400" s="96"/>
      <c r="E400" s="1"/>
      <c r="F400" s="7"/>
      <c r="G400" s="7"/>
      <c r="H400" s="270"/>
      <c r="I400" s="1"/>
      <c r="J400" s="56"/>
    </row>
    <row r="401" spans="1:10" s="156" customFormat="1" ht="35.4" x14ac:dyDescent="0.6">
      <c r="A401" s="7"/>
      <c r="B401" s="1"/>
      <c r="C401" s="7"/>
      <c r="D401" s="96"/>
      <c r="E401" s="1"/>
      <c r="F401" s="7"/>
      <c r="G401" s="7"/>
      <c r="H401" s="270"/>
      <c r="I401" s="1"/>
      <c r="J401" s="56"/>
    </row>
    <row r="402" spans="1:10" s="156" customFormat="1" ht="35.4" x14ac:dyDescent="0.6">
      <c r="A402" s="7"/>
      <c r="B402" s="1"/>
      <c r="C402" s="7"/>
      <c r="D402" s="96"/>
      <c r="E402" s="1"/>
      <c r="F402" s="7"/>
      <c r="G402" s="7"/>
      <c r="H402" s="270"/>
      <c r="I402" s="1"/>
      <c r="J402" s="56"/>
    </row>
    <row r="403" spans="1:10" s="156" customFormat="1" ht="35.4" x14ac:dyDescent="0.6">
      <c r="A403" s="7"/>
      <c r="B403" s="1"/>
      <c r="C403" s="7"/>
      <c r="D403" s="96"/>
      <c r="E403" s="1"/>
      <c r="F403" s="7"/>
      <c r="G403" s="7"/>
      <c r="H403" s="270"/>
      <c r="I403" s="1"/>
      <c r="J403" s="56"/>
    </row>
    <row r="404" spans="1:10" s="156" customFormat="1" ht="35.4" x14ac:dyDescent="0.6">
      <c r="A404" s="7"/>
      <c r="B404" s="1"/>
      <c r="C404" s="7"/>
      <c r="D404" s="96"/>
      <c r="E404" s="1"/>
      <c r="F404" s="7"/>
      <c r="G404" s="7"/>
      <c r="H404" s="270"/>
      <c r="I404" s="1"/>
      <c r="J404" s="56"/>
    </row>
    <row r="405" spans="1:10" s="156" customFormat="1" ht="35.4" x14ac:dyDescent="0.6">
      <c r="A405" s="7"/>
      <c r="B405" s="1"/>
      <c r="C405" s="7"/>
      <c r="D405" s="96"/>
      <c r="E405" s="1"/>
      <c r="F405" s="7"/>
      <c r="G405" s="7"/>
      <c r="H405" s="270"/>
      <c r="I405" s="1"/>
      <c r="J405" s="56"/>
    </row>
    <row r="406" spans="1:10" s="156" customFormat="1" ht="35.4" x14ac:dyDescent="0.6">
      <c r="A406" s="7"/>
      <c r="B406" s="1"/>
      <c r="C406" s="7"/>
      <c r="D406" s="96"/>
      <c r="E406" s="1"/>
      <c r="F406" s="7"/>
      <c r="G406" s="7"/>
      <c r="H406" s="270"/>
      <c r="I406" s="1"/>
      <c r="J406" s="56"/>
    </row>
    <row r="407" spans="1:10" s="156" customFormat="1" ht="35.4" x14ac:dyDescent="0.6">
      <c r="A407" s="7"/>
      <c r="B407" s="1"/>
      <c r="C407" s="7"/>
      <c r="D407" s="96"/>
      <c r="E407" s="1"/>
      <c r="F407" s="7"/>
      <c r="G407" s="7"/>
      <c r="H407" s="270"/>
      <c r="I407" s="1"/>
      <c r="J407" s="56"/>
    </row>
    <row r="408" spans="1:10" s="156" customFormat="1" ht="35.4" x14ac:dyDescent="0.6">
      <c r="A408" s="7"/>
      <c r="B408" s="1"/>
      <c r="C408" s="7"/>
      <c r="D408" s="96"/>
      <c r="E408" s="1"/>
      <c r="F408" s="7"/>
      <c r="G408" s="7"/>
      <c r="H408" s="270"/>
      <c r="I408" s="1"/>
      <c r="J408" s="56"/>
    </row>
    <row r="409" spans="1:10" s="156" customFormat="1" ht="35.4" x14ac:dyDescent="0.6">
      <c r="A409" s="7"/>
      <c r="B409" s="1"/>
      <c r="C409" s="7"/>
      <c r="D409" s="96"/>
      <c r="E409" s="1"/>
      <c r="F409" s="7"/>
      <c r="G409" s="7"/>
      <c r="H409" s="270"/>
      <c r="I409" s="1"/>
      <c r="J409" s="56"/>
    </row>
    <row r="410" spans="1:10" s="156" customFormat="1" ht="35.4" x14ac:dyDescent="0.6">
      <c r="A410" s="7"/>
      <c r="B410" s="1"/>
      <c r="C410" s="7"/>
      <c r="D410" s="96"/>
      <c r="E410" s="1"/>
      <c r="F410" s="7"/>
      <c r="G410" s="7"/>
      <c r="H410" s="270"/>
      <c r="I410" s="1"/>
      <c r="J410" s="56"/>
    </row>
    <row r="411" spans="1:10" s="156" customFormat="1" ht="35.4" x14ac:dyDescent="0.6">
      <c r="A411" s="7"/>
      <c r="B411" s="1"/>
      <c r="C411" s="7"/>
      <c r="D411" s="96"/>
      <c r="E411" s="1"/>
      <c r="F411" s="7"/>
      <c r="G411" s="7"/>
      <c r="H411" s="270"/>
      <c r="I411" s="1"/>
      <c r="J411" s="56"/>
    </row>
    <row r="412" spans="1:10" s="156" customFormat="1" ht="35.4" x14ac:dyDescent="0.6">
      <c r="A412" s="7"/>
      <c r="B412" s="1"/>
      <c r="C412" s="7"/>
      <c r="D412" s="96"/>
      <c r="E412" s="1"/>
      <c r="F412" s="7"/>
      <c r="G412" s="7"/>
      <c r="H412" s="270"/>
      <c r="I412" s="1"/>
      <c r="J412" s="56"/>
    </row>
    <row r="413" spans="1:10" s="156" customFormat="1" ht="35.4" x14ac:dyDescent="0.6">
      <c r="A413" s="7"/>
      <c r="B413" s="1"/>
      <c r="C413" s="7"/>
      <c r="D413" s="96"/>
      <c r="E413" s="1"/>
      <c r="F413" s="7"/>
      <c r="G413" s="7"/>
      <c r="H413" s="270"/>
      <c r="I413" s="1"/>
      <c r="J413" s="56"/>
    </row>
    <row r="414" spans="1:10" s="156" customFormat="1" ht="35.4" x14ac:dyDescent="0.6">
      <c r="A414" s="7"/>
      <c r="B414" s="1"/>
      <c r="C414" s="7"/>
      <c r="D414" s="96"/>
      <c r="E414" s="1"/>
      <c r="F414" s="7"/>
      <c r="G414" s="7"/>
      <c r="H414" s="270"/>
      <c r="I414" s="1"/>
      <c r="J414" s="56"/>
    </row>
    <row r="415" spans="1:10" s="156" customFormat="1" ht="35.4" x14ac:dyDescent="0.6">
      <c r="A415" s="7"/>
      <c r="B415" s="1"/>
      <c r="C415" s="7"/>
      <c r="D415" s="96"/>
      <c r="E415" s="1"/>
      <c r="F415" s="7"/>
      <c r="G415" s="7"/>
      <c r="H415" s="270"/>
      <c r="I415" s="1"/>
      <c r="J415" s="56"/>
    </row>
    <row r="416" spans="1:10" s="156" customFormat="1" ht="35.4" x14ac:dyDescent="0.6">
      <c r="A416" s="7"/>
      <c r="B416" s="1"/>
      <c r="C416" s="7"/>
      <c r="D416" s="96"/>
      <c r="E416" s="1"/>
      <c r="F416" s="7"/>
      <c r="G416" s="7"/>
      <c r="H416" s="270"/>
      <c r="I416" s="1"/>
      <c r="J416" s="56"/>
    </row>
    <row r="417" spans="1:10" s="156" customFormat="1" ht="35.4" x14ac:dyDescent="0.6">
      <c r="A417" s="7"/>
      <c r="B417" s="1"/>
      <c r="C417" s="7"/>
      <c r="D417" s="96"/>
      <c r="E417" s="1"/>
      <c r="F417" s="7"/>
      <c r="G417" s="7"/>
      <c r="H417" s="270"/>
      <c r="I417" s="1"/>
      <c r="J417" s="56"/>
    </row>
    <row r="418" spans="1:10" s="156" customFormat="1" ht="35.4" x14ac:dyDescent="0.6">
      <c r="A418" s="7"/>
      <c r="B418" s="1"/>
      <c r="C418" s="7"/>
      <c r="D418" s="96"/>
      <c r="E418" s="1"/>
      <c r="F418" s="7"/>
      <c r="G418" s="7"/>
      <c r="H418" s="270"/>
      <c r="I418" s="1"/>
      <c r="J418" s="56"/>
    </row>
    <row r="419" spans="1:10" s="156" customFormat="1" ht="35.4" x14ac:dyDescent="0.6">
      <c r="A419" s="7"/>
      <c r="B419" s="1"/>
      <c r="C419" s="7"/>
      <c r="D419" s="96"/>
      <c r="E419" s="1"/>
      <c r="F419" s="7"/>
      <c r="G419" s="7"/>
      <c r="H419" s="270"/>
      <c r="I419" s="1"/>
      <c r="J419" s="56"/>
    </row>
    <row r="420" spans="1:10" s="156" customFormat="1" ht="35.4" x14ac:dyDescent="0.6">
      <c r="A420" s="7"/>
      <c r="B420" s="1"/>
      <c r="C420" s="7"/>
      <c r="D420" s="96"/>
      <c r="E420" s="1"/>
      <c r="F420" s="7"/>
      <c r="G420" s="7"/>
      <c r="H420" s="270"/>
      <c r="I420" s="1"/>
      <c r="J420" s="56"/>
    </row>
    <row r="421" spans="1:10" s="156" customFormat="1" ht="35.4" x14ac:dyDescent="0.6">
      <c r="A421" s="7"/>
      <c r="B421" s="1"/>
      <c r="C421" s="7"/>
      <c r="D421" s="96"/>
      <c r="E421" s="1"/>
      <c r="F421" s="7"/>
      <c r="G421" s="7"/>
      <c r="H421" s="270"/>
      <c r="I421" s="1"/>
      <c r="J421" s="56"/>
    </row>
    <row r="422" spans="1:10" s="156" customFormat="1" ht="35.4" x14ac:dyDescent="0.6">
      <c r="A422" s="7"/>
      <c r="B422" s="1"/>
      <c r="C422" s="7"/>
      <c r="D422" s="96"/>
      <c r="E422" s="1"/>
      <c r="F422" s="7"/>
      <c r="G422" s="7"/>
      <c r="H422" s="270"/>
      <c r="I422" s="1"/>
      <c r="J422" s="56"/>
    </row>
    <row r="423" spans="1:10" s="156" customFormat="1" ht="35.4" x14ac:dyDescent="0.6">
      <c r="A423" s="7"/>
      <c r="B423" s="1"/>
      <c r="C423" s="7"/>
      <c r="D423" s="96"/>
      <c r="E423" s="1"/>
      <c r="F423" s="7"/>
      <c r="G423" s="7"/>
      <c r="H423" s="270"/>
      <c r="I423" s="1"/>
      <c r="J423" s="56"/>
    </row>
    <row r="424" spans="1:10" s="156" customFormat="1" ht="35.4" x14ac:dyDescent="0.6">
      <c r="A424" s="7"/>
      <c r="B424" s="1"/>
      <c r="C424" s="7"/>
      <c r="D424" s="96"/>
      <c r="E424" s="1"/>
      <c r="F424" s="7"/>
      <c r="G424" s="7"/>
      <c r="H424" s="270"/>
      <c r="I424" s="1"/>
      <c r="J424" s="56"/>
    </row>
    <row r="425" spans="1:10" s="156" customFormat="1" ht="35.4" x14ac:dyDescent="0.6">
      <c r="A425" s="7"/>
      <c r="B425" s="1"/>
      <c r="C425" s="7"/>
      <c r="D425" s="96"/>
      <c r="E425" s="1"/>
      <c r="F425" s="7"/>
      <c r="G425" s="7"/>
      <c r="H425" s="270"/>
      <c r="I425" s="1"/>
      <c r="J425" s="56"/>
    </row>
    <row r="426" spans="1:10" s="156" customFormat="1" ht="35.4" x14ac:dyDescent="0.6">
      <c r="A426" s="7"/>
      <c r="B426" s="1"/>
      <c r="C426" s="7"/>
      <c r="D426" s="96"/>
      <c r="E426" s="1"/>
      <c r="F426" s="7"/>
      <c r="G426" s="7"/>
      <c r="H426" s="270"/>
      <c r="I426" s="1"/>
      <c r="J426" s="56"/>
    </row>
    <row r="427" spans="1:10" s="156" customFormat="1" ht="35.4" x14ac:dyDescent="0.6">
      <c r="A427" s="7"/>
      <c r="B427" s="1"/>
      <c r="C427" s="7"/>
      <c r="D427" s="96"/>
      <c r="E427" s="1"/>
      <c r="F427" s="7"/>
      <c r="G427" s="7"/>
      <c r="H427" s="270"/>
      <c r="I427" s="1"/>
      <c r="J427" s="56"/>
    </row>
    <row r="428" spans="1:10" s="156" customFormat="1" ht="35.4" x14ac:dyDescent="0.6">
      <c r="A428" s="7"/>
      <c r="B428" s="1"/>
      <c r="C428" s="7"/>
      <c r="D428" s="96"/>
      <c r="E428" s="1"/>
      <c r="F428" s="7"/>
      <c r="G428" s="7"/>
      <c r="H428" s="270"/>
      <c r="I428" s="1"/>
      <c r="J428" s="56"/>
    </row>
    <row r="429" spans="1:10" s="156" customFormat="1" ht="35.4" x14ac:dyDescent="0.6">
      <c r="A429" s="7"/>
      <c r="B429" s="1"/>
      <c r="C429" s="7"/>
      <c r="D429" s="96"/>
      <c r="E429" s="1"/>
      <c r="F429" s="7"/>
      <c r="G429" s="7"/>
      <c r="H429" s="270"/>
      <c r="I429" s="1"/>
      <c r="J429" s="56"/>
    </row>
    <row r="430" spans="1:10" s="156" customFormat="1" ht="35.4" x14ac:dyDescent="0.6">
      <c r="A430" s="7"/>
      <c r="B430" s="1"/>
      <c r="C430" s="7"/>
      <c r="D430" s="96"/>
      <c r="E430" s="1"/>
      <c r="F430" s="7"/>
      <c r="G430" s="7"/>
      <c r="H430" s="270"/>
      <c r="I430" s="1"/>
      <c r="J430" s="56"/>
    </row>
    <row r="431" spans="1:10" s="156" customFormat="1" ht="35.4" x14ac:dyDescent="0.6">
      <c r="A431" s="7"/>
      <c r="B431" s="1"/>
      <c r="C431" s="7"/>
      <c r="D431" s="96"/>
      <c r="E431" s="1"/>
      <c r="F431" s="7"/>
      <c r="G431" s="7"/>
      <c r="H431" s="270"/>
      <c r="I431" s="1"/>
      <c r="J431" s="56"/>
    </row>
    <row r="432" spans="1:10" s="156" customFormat="1" ht="35.4" x14ac:dyDescent="0.6">
      <c r="A432" s="7"/>
      <c r="B432" s="1"/>
      <c r="C432" s="7"/>
      <c r="D432" s="96"/>
      <c r="E432" s="1"/>
      <c r="F432" s="7"/>
      <c r="G432" s="7"/>
      <c r="H432" s="270"/>
      <c r="I432" s="1"/>
      <c r="J432" s="56"/>
    </row>
    <row r="433" spans="1:10" s="156" customFormat="1" ht="35.4" x14ac:dyDescent="0.6">
      <c r="A433" s="7"/>
      <c r="B433" s="1"/>
      <c r="C433" s="7"/>
      <c r="D433" s="96"/>
      <c r="E433" s="1"/>
      <c r="F433" s="7"/>
      <c r="G433" s="7"/>
      <c r="H433" s="270"/>
      <c r="I433" s="1"/>
      <c r="J433" s="56"/>
    </row>
    <row r="434" spans="1:10" s="156" customFormat="1" ht="35.4" x14ac:dyDescent="0.6">
      <c r="A434" s="7"/>
      <c r="B434" s="1"/>
      <c r="C434" s="7"/>
      <c r="D434" s="96"/>
      <c r="E434" s="1"/>
      <c r="F434" s="7"/>
      <c r="G434" s="7"/>
      <c r="H434" s="270"/>
      <c r="I434" s="1"/>
      <c r="J434" s="56"/>
    </row>
    <row r="435" spans="1:10" s="156" customFormat="1" ht="35.4" x14ac:dyDescent="0.6">
      <c r="A435" s="7"/>
      <c r="B435" s="1"/>
      <c r="C435" s="7"/>
      <c r="D435" s="96"/>
      <c r="E435" s="1"/>
      <c r="F435" s="7"/>
      <c r="G435" s="7"/>
      <c r="H435" s="270"/>
      <c r="I435" s="1"/>
      <c r="J435" s="56"/>
    </row>
    <row r="436" spans="1:10" s="156" customFormat="1" ht="35.4" x14ac:dyDescent="0.6">
      <c r="A436" s="7"/>
      <c r="B436" s="1"/>
      <c r="C436" s="7"/>
      <c r="D436" s="96"/>
      <c r="E436" s="1"/>
      <c r="F436" s="7"/>
      <c r="G436" s="7"/>
      <c r="H436" s="270"/>
      <c r="I436" s="1"/>
      <c r="J436" s="56"/>
    </row>
    <row r="437" spans="1:10" s="156" customFormat="1" ht="35.4" x14ac:dyDescent="0.6">
      <c r="A437" s="7"/>
      <c r="B437" s="1"/>
      <c r="C437" s="7"/>
      <c r="D437" s="96"/>
      <c r="E437" s="1"/>
      <c r="F437" s="7"/>
      <c r="G437" s="7"/>
      <c r="H437" s="270"/>
      <c r="I437" s="1"/>
      <c r="J437" s="56"/>
    </row>
    <row r="438" spans="1:10" s="156" customFormat="1" ht="35.4" x14ac:dyDescent="0.6">
      <c r="A438" s="7"/>
      <c r="B438" s="1"/>
      <c r="C438" s="7"/>
      <c r="D438" s="96"/>
      <c r="E438" s="1"/>
      <c r="F438" s="7"/>
      <c r="G438" s="7"/>
      <c r="H438" s="270"/>
      <c r="I438" s="1"/>
      <c r="J438" s="56"/>
    </row>
    <row r="439" spans="1:10" s="156" customFormat="1" ht="35.4" x14ac:dyDescent="0.6">
      <c r="A439" s="7"/>
      <c r="B439" s="1"/>
      <c r="C439" s="7"/>
      <c r="D439" s="96"/>
      <c r="E439" s="1"/>
      <c r="F439" s="7"/>
      <c r="G439" s="7"/>
      <c r="H439" s="270"/>
      <c r="I439" s="1"/>
      <c r="J439" s="56"/>
    </row>
    <row r="440" spans="1:10" s="156" customFormat="1" ht="35.4" x14ac:dyDescent="0.6">
      <c r="A440" s="7"/>
      <c r="B440" s="1"/>
      <c r="C440" s="7"/>
      <c r="D440" s="96"/>
      <c r="E440" s="1"/>
      <c r="F440" s="7"/>
      <c r="G440" s="7"/>
      <c r="H440" s="270"/>
      <c r="I440" s="1"/>
      <c r="J440" s="56"/>
    </row>
    <row r="441" spans="1:10" s="156" customFormat="1" ht="35.4" x14ac:dyDescent="0.6">
      <c r="A441" s="7"/>
      <c r="B441" s="1"/>
      <c r="C441" s="7"/>
      <c r="D441" s="96"/>
      <c r="E441" s="1"/>
      <c r="F441" s="7"/>
      <c r="G441" s="7"/>
      <c r="H441" s="270"/>
      <c r="I441" s="1"/>
      <c r="J441" s="56"/>
    </row>
    <row r="442" spans="1:10" s="156" customFormat="1" ht="35.4" x14ac:dyDescent="0.6">
      <c r="A442" s="7"/>
      <c r="B442" s="1"/>
      <c r="C442" s="7"/>
      <c r="D442" s="96"/>
      <c r="E442" s="1"/>
      <c r="F442" s="7"/>
      <c r="G442" s="7"/>
      <c r="H442" s="270"/>
      <c r="I442" s="1"/>
      <c r="J442" s="56"/>
    </row>
    <row r="443" spans="1:10" s="156" customFormat="1" ht="35.4" x14ac:dyDescent="0.6">
      <c r="A443" s="7"/>
      <c r="B443" s="1"/>
      <c r="C443" s="7"/>
      <c r="D443" s="96"/>
      <c r="E443" s="1"/>
      <c r="F443" s="7"/>
      <c r="G443" s="7"/>
      <c r="H443" s="270"/>
      <c r="I443" s="1"/>
      <c r="J443" s="56"/>
    </row>
    <row r="444" spans="1:10" s="156" customFormat="1" ht="35.4" x14ac:dyDescent="0.6">
      <c r="A444" s="7"/>
      <c r="B444" s="1"/>
      <c r="C444" s="7"/>
      <c r="D444" s="96"/>
      <c r="E444" s="1"/>
      <c r="F444" s="7"/>
      <c r="G444" s="7"/>
      <c r="H444" s="270"/>
      <c r="I444" s="1"/>
      <c r="J444" s="56"/>
    </row>
    <row r="445" spans="1:10" s="156" customFormat="1" ht="35.4" x14ac:dyDescent="0.6">
      <c r="A445" s="7"/>
      <c r="B445" s="1"/>
      <c r="C445" s="7"/>
      <c r="D445" s="96"/>
      <c r="E445" s="1"/>
      <c r="F445" s="7"/>
      <c r="G445" s="7"/>
      <c r="H445" s="270"/>
      <c r="I445" s="1"/>
      <c r="J445" s="56"/>
    </row>
    <row r="446" spans="1:10" s="156" customFormat="1" ht="35.4" x14ac:dyDescent="0.6">
      <c r="A446" s="7"/>
      <c r="B446" s="1"/>
      <c r="C446" s="7"/>
      <c r="D446" s="96"/>
      <c r="E446" s="1"/>
      <c r="F446" s="7"/>
      <c r="G446" s="7"/>
      <c r="H446" s="270"/>
      <c r="I446" s="1"/>
      <c r="J446" s="56"/>
    </row>
    <row r="447" spans="1:10" s="156" customFormat="1" ht="35.4" x14ac:dyDescent="0.6">
      <c r="A447" s="7"/>
      <c r="B447" s="1"/>
      <c r="C447" s="7"/>
      <c r="D447" s="96"/>
      <c r="E447" s="1"/>
      <c r="F447" s="7"/>
      <c r="G447" s="7"/>
      <c r="H447" s="270"/>
      <c r="I447" s="1"/>
      <c r="J447" s="56"/>
    </row>
    <row r="448" spans="1:10" s="156" customFormat="1" ht="35.4" x14ac:dyDescent="0.6">
      <c r="A448" s="7"/>
      <c r="B448" s="1"/>
      <c r="C448" s="7"/>
      <c r="D448" s="96"/>
      <c r="E448" s="1"/>
      <c r="F448" s="7"/>
      <c r="G448" s="7"/>
      <c r="H448" s="270"/>
      <c r="I448" s="1"/>
      <c r="J448" s="56"/>
    </row>
    <row r="449" spans="1:10" s="156" customFormat="1" ht="35.4" x14ac:dyDescent="0.6">
      <c r="A449" s="7"/>
      <c r="B449" s="1"/>
      <c r="C449" s="7"/>
      <c r="D449" s="96"/>
      <c r="E449" s="1"/>
      <c r="F449" s="7"/>
      <c r="G449" s="7"/>
      <c r="H449" s="270"/>
      <c r="I449" s="1"/>
      <c r="J449" s="56"/>
    </row>
    <row r="450" spans="1:10" s="156" customFormat="1" ht="35.4" x14ac:dyDescent="0.6">
      <c r="A450" s="7"/>
      <c r="B450" s="1"/>
      <c r="C450" s="7"/>
      <c r="D450" s="96"/>
      <c r="E450" s="1"/>
      <c r="F450" s="7"/>
      <c r="G450" s="7"/>
      <c r="H450" s="270"/>
      <c r="I450" s="1"/>
      <c r="J450" s="56"/>
    </row>
    <row r="451" spans="1:10" s="156" customFormat="1" ht="35.4" x14ac:dyDescent="0.6">
      <c r="A451" s="7"/>
      <c r="B451" s="1"/>
      <c r="C451" s="7"/>
      <c r="D451" s="96"/>
      <c r="E451" s="1"/>
      <c r="F451" s="7"/>
      <c r="G451" s="7"/>
      <c r="H451" s="270"/>
      <c r="I451" s="1"/>
      <c r="J451" s="56"/>
    </row>
    <row r="452" spans="1:10" s="156" customFormat="1" ht="35.4" x14ac:dyDescent="0.6">
      <c r="A452" s="7"/>
      <c r="B452" s="1"/>
      <c r="C452" s="7"/>
      <c r="D452" s="96"/>
      <c r="E452" s="1"/>
      <c r="F452" s="7"/>
      <c r="G452" s="7"/>
      <c r="H452" s="270"/>
      <c r="I452" s="1"/>
      <c r="J452" s="56"/>
    </row>
    <row r="453" spans="1:10" s="156" customFormat="1" ht="35.4" x14ac:dyDescent="0.6">
      <c r="A453" s="7"/>
      <c r="B453" s="1"/>
      <c r="C453" s="7"/>
      <c r="D453" s="96"/>
      <c r="E453" s="1"/>
      <c r="F453" s="7"/>
      <c r="G453" s="7"/>
      <c r="H453" s="270"/>
      <c r="I453" s="1"/>
      <c r="J453" s="56"/>
    </row>
    <row r="454" spans="1:10" s="156" customFormat="1" ht="35.4" x14ac:dyDescent="0.6">
      <c r="A454" s="7"/>
      <c r="B454" s="1"/>
      <c r="C454" s="7"/>
      <c r="D454" s="96"/>
      <c r="E454" s="1"/>
      <c r="F454" s="7"/>
      <c r="G454" s="7"/>
      <c r="H454" s="270"/>
      <c r="I454" s="1"/>
      <c r="J454" s="56"/>
    </row>
    <row r="455" spans="1:10" s="156" customFormat="1" ht="35.4" x14ac:dyDescent="0.6">
      <c r="A455" s="7"/>
      <c r="B455" s="1"/>
      <c r="C455" s="7"/>
      <c r="D455" s="96"/>
      <c r="E455" s="1"/>
      <c r="F455" s="7"/>
      <c r="G455" s="7"/>
      <c r="H455" s="270"/>
      <c r="I455" s="1"/>
      <c r="J455" s="56"/>
    </row>
    <row r="456" spans="1:10" s="156" customFormat="1" ht="35.4" x14ac:dyDescent="0.6">
      <c r="A456" s="7"/>
      <c r="B456" s="1"/>
      <c r="C456" s="7"/>
      <c r="D456" s="96"/>
      <c r="E456" s="1"/>
      <c r="F456" s="7"/>
      <c r="G456" s="7"/>
      <c r="H456" s="270"/>
      <c r="I456" s="1"/>
      <c r="J456" s="56"/>
    </row>
    <row r="457" spans="1:10" s="156" customFormat="1" ht="35.4" x14ac:dyDescent="0.6">
      <c r="A457" s="7"/>
      <c r="B457" s="1"/>
      <c r="C457" s="7"/>
      <c r="D457" s="96"/>
      <c r="E457" s="1"/>
      <c r="F457" s="7"/>
      <c r="G457" s="7"/>
      <c r="H457" s="270"/>
      <c r="I457" s="1"/>
      <c r="J457" s="56"/>
    </row>
    <row r="458" spans="1:10" s="156" customFormat="1" ht="35.4" x14ac:dyDescent="0.6">
      <c r="A458" s="7"/>
      <c r="B458" s="1"/>
      <c r="C458" s="7"/>
      <c r="D458" s="96"/>
      <c r="E458" s="1"/>
      <c r="F458" s="7"/>
      <c r="G458" s="7"/>
      <c r="H458" s="270"/>
      <c r="I458" s="1"/>
      <c r="J458" s="56"/>
    </row>
    <row r="459" spans="1:10" s="156" customFormat="1" ht="35.4" x14ac:dyDescent="0.6">
      <c r="A459" s="7"/>
      <c r="B459" s="1"/>
      <c r="C459" s="7"/>
      <c r="D459" s="96"/>
      <c r="E459" s="1"/>
      <c r="F459" s="7"/>
      <c r="G459" s="7"/>
      <c r="H459" s="270"/>
      <c r="I459" s="1"/>
      <c r="J459" s="56"/>
    </row>
    <row r="460" spans="1:10" s="156" customFormat="1" ht="35.4" x14ac:dyDescent="0.6">
      <c r="A460" s="7"/>
      <c r="B460" s="1"/>
      <c r="C460" s="7"/>
      <c r="D460" s="96"/>
      <c r="E460" s="1"/>
      <c r="F460" s="7"/>
      <c r="G460" s="7"/>
      <c r="H460" s="270"/>
      <c r="I460" s="1"/>
      <c r="J460" s="56"/>
    </row>
    <row r="461" spans="1:10" s="156" customFormat="1" ht="35.4" x14ac:dyDescent="0.6">
      <c r="A461" s="7"/>
      <c r="B461" s="1"/>
      <c r="C461" s="7"/>
      <c r="D461" s="96"/>
      <c r="E461" s="1"/>
      <c r="F461" s="7"/>
      <c r="G461" s="7"/>
      <c r="H461" s="270"/>
      <c r="I461" s="1"/>
      <c r="J461" s="56"/>
    </row>
    <row r="462" spans="1:10" s="156" customFormat="1" ht="35.4" x14ac:dyDescent="0.6">
      <c r="A462" s="7"/>
      <c r="B462" s="1"/>
      <c r="C462" s="7"/>
      <c r="D462" s="96"/>
      <c r="E462" s="1"/>
      <c r="F462" s="7"/>
      <c r="G462" s="7"/>
      <c r="H462" s="270"/>
      <c r="I462" s="1"/>
      <c r="J462" s="56"/>
    </row>
    <row r="463" spans="1:10" s="156" customFormat="1" ht="35.4" x14ac:dyDescent="0.6">
      <c r="A463" s="7"/>
      <c r="B463" s="1"/>
      <c r="C463" s="7"/>
      <c r="D463" s="96"/>
      <c r="E463" s="1"/>
      <c r="F463" s="7"/>
      <c r="G463" s="7"/>
      <c r="H463" s="270"/>
      <c r="I463" s="1"/>
      <c r="J463" s="56"/>
    </row>
    <row r="464" spans="1:10" s="156" customFormat="1" ht="35.4" x14ac:dyDescent="0.6">
      <c r="A464" s="7"/>
      <c r="B464" s="1"/>
      <c r="C464" s="7"/>
      <c r="D464" s="96"/>
      <c r="E464" s="1"/>
      <c r="F464" s="7"/>
      <c r="G464" s="7"/>
      <c r="H464" s="270"/>
      <c r="I464" s="1"/>
      <c r="J464" s="56"/>
    </row>
    <row r="465" spans="1:10" s="156" customFormat="1" ht="35.4" x14ac:dyDescent="0.6">
      <c r="A465" s="7"/>
      <c r="B465" s="1"/>
      <c r="C465" s="7"/>
      <c r="D465" s="96"/>
      <c r="E465" s="1"/>
      <c r="F465" s="7"/>
      <c r="G465" s="7"/>
      <c r="H465" s="270"/>
      <c r="I465" s="1"/>
      <c r="J465" s="56"/>
    </row>
    <row r="466" spans="1:10" s="156" customFormat="1" ht="35.4" x14ac:dyDescent="0.6">
      <c r="A466" s="7"/>
      <c r="B466" s="1"/>
      <c r="C466" s="7"/>
      <c r="D466" s="96"/>
      <c r="E466" s="1"/>
      <c r="F466" s="7"/>
      <c r="G466" s="7"/>
      <c r="H466" s="270"/>
      <c r="I466" s="1"/>
      <c r="J466" s="56"/>
    </row>
    <row r="467" spans="1:10" s="156" customFormat="1" ht="35.4" x14ac:dyDescent="0.6">
      <c r="A467" s="7"/>
      <c r="B467" s="1"/>
      <c r="C467" s="7"/>
      <c r="D467" s="96"/>
      <c r="E467" s="1"/>
      <c r="F467" s="7"/>
      <c r="G467" s="7"/>
      <c r="H467" s="270"/>
      <c r="I467" s="1"/>
      <c r="J467" s="56"/>
    </row>
    <row r="468" spans="1:10" s="156" customFormat="1" ht="35.4" x14ac:dyDescent="0.6">
      <c r="A468" s="7"/>
      <c r="B468" s="1"/>
      <c r="C468" s="7"/>
      <c r="D468" s="96"/>
      <c r="E468" s="1"/>
      <c r="F468" s="7"/>
      <c r="G468" s="7"/>
      <c r="H468" s="270"/>
      <c r="I468" s="1"/>
      <c r="J468" s="56"/>
    </row>
    <row r="469" spans="1:10" s="156" customFormat="1" ht="35.4" x14ac:dyDescent="0.6">
      <c r="A469" s="7"/>
      <c r="B469" s="1"/>
      <c r="C469" s="7"/>
      <c r="D469" s="96"/>
      <c r="E469" s="1"/>
      <c r="F469" s="7"/>
      <c r="G469" s="7"/>
      <c r="H469" s="270"/>
      <c r="I469" s="1"/>
      <c r="J469" s="56"/>
    </row>
    <row r="470" spans="1:10" s="156" customFormat="1" ht="35.4" x14ac:dyDescent="0.6">
      <c r="A470" s="7"/>
      <c r="B470" s="1"/>
      <c r="C470" s="7"/>
      <c r="D470" s="96"/>
      <c r="E470" s="1"/>
      <c r="F470" s="7"/>
      <c r="G470" s="7"/>
      <c r="H470" s="270"/>
      <c r="I470" s="1"/>
      <c r="J470" s="56"/>
    </row>
    <row r="471" spans="1:10" s="156" customFormat="1" ht="35.4" x14ac:dyDescent="0.6">
      <c r="A471" s="7"/>
      <c r="B471" s="1"/>
      <c r="C471" s="7"/>
      <c r="D471" s="96"/>
      <c r="E471" s="1"/>
      <c r="F471" s="7"/>
      <c r="G471" s="7"/>
      <c r="H471" s="270"/>
      <c r="I471" s="1"/>
      <c r="J471" s="56"/>
    </row>
    <row r="472" spans="1:10" s="156" customFormat="1" ht="35.4" x14ac:dyDescent="0.6">
      <c r="A472" s="7"/>
      <c r="B472" s="1"/>
      <c r="C472" s="7"/>
      <c r="D472" s="96"/>
      <c r="E472" s="1"/>
      <c r="F472" s="7"/>
      <c r="G472" s="7"/>
      <c r="H472" s="270"/>
      <c r="I472" s="1"/>
      <c r="J472" s="56"/>
    </row>
    <row r="473" spans="1:10" s="156" customFormat="1" ht="35.4" x14ac:dyDescent="0.6">
      <c r="A473" s="7"/>
      <c r="B473" s="1"/>
      <c r="C473" s="7"/>
      <c r="D473" s="96"/>
      <c r="E473" s="1"/>
      <c r="F473" s="7"/>
      <c r="G473" s="7"/>
      <c r="H473" s="270"/>
      <c r="I473" s="1"/>
      <c r="J473" s="56"/>
    </row>
    <row r="474" spans="1:10" s="156" customFormat="1" ht="35.4" x14ac:dyDescent="0.6">
      <c r="A474" s="7"/>
      <c r="B474" s="1"/>
      <c r="C474" s="7"/>
      <c r="D474" s="96"/>
      <c r="E474" s="1"/>
      <c r="F474" s="7"/>
      <c r="G474" s="7"/>
      <c r="H474" s="270"/>
      <c r="I474" s="1"/>
      <c r="J474" s="56"/>
    </row>
    <row r="475" spans="1:10" s="156" customFormat="1" ht="35.4" x14ac:dyDescent="0.6">
      <c r="A475" s="7"/>
      <c r="B475" s="1"/>
      <c r="C475" s="7"/>
      <c r="D475" s="96"/>
      <c r="E475" s="1"/>
      <c r="F475" s="7"/>
      <c r="G475" s="7"/>
      <c r="H475" s="270"/>
      <c r="I475" s="1"/>
      <c r="J475" s="56"/>
    </row>
    <row r="476" spans="1:10" s="156" customFormat="1" ht="35.4" x14ac:dyDescent="0.6">
      <c r="A476" s="7"/>
      <c r="B476" s="1"/>
      <c r="C476" s="7"/>
      <c r="D476" s="96"/>
      <c r="E476" s="1"/>
      <c r="F476" s="7"/>
      <c r="G476" s="7"/>
      <c r="H476" s="270"/>
      <c r="I476" s="1"/>
      <c r="J476" s="56"/>
    </row>
    <row r="477" spans="1:10" s="186" customFormat="1" ht="35.4" x14ac:dyDescent="0.6">
      <c r="A477" s="7"/>
      <c r="B477" s="1"/>
      <c r="C477" s="7"/>
      <c r="D477" s="96"/>
      <c r="E477" s="1"/>
      <c r="F477" s="7"/>
      <c r="G477" s="7"/>
      <c r="H477" s="270"/>
      <c r="I477" s="1"/>
      <c r="J477" s="56"/>
    </row>
    <row r="478" spans="1:10" s="186" customFormat="1" ht="35.4" x14ac:dyDescent="0.6">
      <c r="A478" s="7"/>
      <c r="B478" s="1"/>
      <c r="C478" s="7"/>
      <c r="D478" s="96"/>
      <c r="E478" s="1"/>
      <c r="F478" s="7"/>
      <c r="G478" s="7"/>
      <c r="H478" s="270"/>
      <c r="I478" s="1"/>
      <c r="J478" s="56"/>
    </row>
    <row r="479" spans="1:10" s="156" customFormat="1" ht="35.4" x14ac:dyDescent="0.6">
      <c r="A479" s="7"/>
      <c r="B479" s="1"/>
      <c r="C479" s="7"/>
      <c r="D479" s="96"/>
      <c r="E479" s="1"/>
      <c r="F479" s="7"/>
      <c r="G479" s="7"/>
      <c r="H479" s="270"/>
      <c r="I479" s="1"/>
      <c r="J479" s="56"/>
    </row>
    <row r="480" spans="1:10" s="156" customFormat="1" ht="35.4" x14ac:dyDescent="0.6">
      <c r="A480" s="7"/>
      <c r="B480" s="1"/>
      <c r="C480" s="7"/>
      <c r="D480" s="96"/>
      <c r="E480" s="1"/>
      <c r="F480" s="7"/>
      <c r="G480" s="7"/>
      <c r="H480" s="270"/>
      <c r="I480" s="1"/>
      <c r="J480" s="56"/>
    </row>
    <row r="481" spans="1:10" s="156" customFormat="1" ht="35.4" x14ac:dyDescent="0.6">
      <c r="A481" s="7"/>
      <c r="B481" s="1"/>
      <c r="C481" s="7"/>
      <c r="D481" s="96"/>
      <c r="E481" s="1"/>
      <c r="F481" s="7"/>
      <c r="G481" s="7"/>
      <c r="H481" s="270"/>
      <c r="I481" s="1"/>
      <c r="J481" s="56"/>
    </row>
    <row r="482" spans="1:10" s="156" customFormat="1" ht="35.4" x14ac:dyDescent="0.6">
      <c r="A482" s="7"/>
      <c r="B482" s="1"/>
      <c r="C482" s="7"/>
      <c r="D482" s="96"/>
      <c r="E482" s="1"/>
      <c r="F482" s="7"/>
      <c r="G482" s="7"/>
      <c r="H482" s="270"/>
      <c r="I482" s="1"/>
      <c r="J482" s="56"/>
    </row>
    <row r="483" spans="1:10" s="156" customFormat="1" ht="35.4" x14ac:dyDescent="0.6">
      <c r="A483" s="7"/>
      <c r="B483" s="1"/>
      <c r="C483" s="7"/>
      <c r="D483" s="96"/>
      <c r="E483" s="1"/>
      <c r="F483" s="7"/>
      <c r="G483" s="7"/>
      <c r="H483" s="270"/>
      <c r="I483" s="1"/>
      <c r="J483" s="56"/>
    </row>
    <row r="484" spans="1:10" s="156" customFormat="1" ht="35.4" x14ac:dyDescent="0.6">
      <c r="A484" s="7"/>
      <c r="B484" s="1"/>
      <c r="C484" s="7"/>
      <c r="D484" s="96"/>
      <c r="E484" s="1"/>
      <c r="F484" s="7"/>
      <c r="G484" s="7"/>
      <c r="H484" s="270"/>
      <c r="I484" s="1"/>
      <c r="J484" s="56"/>
    </row>
    <row r="485" spans="1:10" s="156" customFormat="1" ht="35.4" x14ac:dyDescent="0.6">
      <c r="A485" s="7"/>
      <c r="B485" s="1"/>
      <c r="C485" s="7"/>
      <c r="D485" s="96"/>
      <c r="E485" s="1"/>
      <c r="F485" s="7"/>
      <c r="G485" s="7"/>
      <c r="H485" s="270"/>
      <c r="I485" s="1"/>
      <c r="J485" s="56"/>
    </row>
    <row r="486" spans="1:10" s="156" customFormat="1" ht="35.4" x14ac:dyDescent="0.6">
      <c r="A486" s="7"/>
      <c r="B486" s="1"/>
      <c r="C486" s="7"/>
      <c r="D486" s="96"/>
      <c r="E486" s="1"/>
      <c r="F486" s="7"/>
      <c r="G486" s="7"/>
      <c r="H486" s="270"/>
      <c r="I486" s="1"/>
      <c r="J486" s="56"/>
    </row>
    <row r="487" spans="1:10" s="156" customFormat="1" ht="35.4" x14ac:dyDescent="0.6">
      <c r="A487" s="7"/>
      <c r="B487" s="1"/>
      <c r="C487" s="7"/>
      <c r="D487" s="96"/>
      <c r="E487" s="1"/>
      <c r="F487" s="7"/>
      <c r="G487" s="7"/>
      <c r="H487" s="270"/>
      <c r="I487" s="1"/>
      <c r="J487" s="56"/>
    </row>
    <row r="488" spans="1:10" s="156" customFormat="1" ht="35.4" x14ac:dyDescent="0.6">
      <c r="A488" s="7"/>
      <c r="B488" s="1"/>
      <c r="C488" s="7"/>
      <c r="D488" s="96"/>
      <c r="E488" s="1"/>
      <c r="F488" s="7"/>
      <c r="G488" s="7"/>
      <c r="H488" s="270"/>
      <c r="I488" s="1"/>
      <c r="J488" s="56"/>
    </row>
    <row r="489" spans="1:10" s="156" customFormat="1" ht="35.4" x14ac:dyDescent="0.6">
      <c r="A489" s="7"/>
      <c r="B489" s="1"/>
      <c r="C489" s="7"/>
      <c r="D489" s="96"/>
      <c r="E489" s="1"/>
      <c r="F489" s="7"/>
      <c r="G489" s="7"/>
      <c r="H489" s="270"/>
      <c r="I489" s="1"/>
      <c r="J489" s="56"/>
    </row>
    <row r="490" spans="1:10" s="156" customFormat="1" ht="35.4" x14ac:dyDescent="0.6">
      <c r="A490" s="7"/>
      <c r="B490" s="1"/>
      <c r="C490" s="7"/>
      <c r="D490" s="96"/>
      <c r="E490" s="1"/>
      <c r="F490" s="7"/>
      <c r="G490" s="7"/>
      <c r="H490" s="270"/>
      <c r="I490" s="1"/>
      <c r="J490" s="56"/>
    </row>
    <row r="491" spans="1:10" s="156" customFormat="1" ht="35.4" x14ac:dyDescent="0.6">
      <c r="A491" s="7"/>
      <c r="B491" s="1"/>
      <c r="C491" s="7"/>
      <c r="D491" s="96"/>
      <c r="E491" s="1"/>
      <c r="F491" s="7"/>
      <c r="G491" s="7"/>
      <c r="H491" s="270"/>
      <c r="I491" s="1"/>
      <c r="J491" s="56"/>
    </row>
    <row r="492" spans="1:10" s="156" customFormat="1" ht="35.4" x14ac:dyDescent="0.6">
      <c r="A492" s="7"/>
      <c r="B492" s="1"/>
      <c r="C492" s="7"/>
      <c r="D492" s="96"/>
      <c r="E492" s="1"/>
      <c r="F492" s="7"/>
      <c r="G492" s="7"/>
      <c r="H492" s="270"/>
      <c r="I492" s="1"/>
      <c r="J492" s="56"/>
    </row>
    <row r="493" spans="1:10" s="156" customFormat="1" ht="35.4" x14ac:dyDescent="0.6">
      <c r="A493" s="7"/>
      <c r="B493" s="1"/>
      <c r="C493" s="7"/>
      <c r="D493" s="96"/>
      <c r="E493" s="1"/>
      <c r="F493" s="7"/>
      <c r="G493" s="7"/>
      <c r="H493" s="270"/>
      <c r="I493" s="1"/>
      <c r="J493" s="56"/>
    </row>
    <row r="494" spans="1:10" s="156" customFormat="1" ht="35.4" x14ac:dyDescent="0.6">
      <c r="A494" s="7"/>
      <c r="B494" s="1"/>
      <c r="C494" s="7"/>
      <c r="D494" s="96"/>
      <c r="E494" s="1"/>
      <c r="F494" s="7"/>
      <c r="G494" s="7"/>
      <c r="H494" s="270"/>
      <c r="I494" s="1"/>
      <c r="J494" s="56"/>
    </row>
    <row r="495" spans="1:10" s="156" customFormat="1" ht="35.4" x14ac:dyDescent="0.6">
      <c r="A495" s="7"/>
      <c r="B495" s="1"/>
      <c r="C495" s="7"/>
      <c r="D495" s="96"/>
      <c r="E495" s="1"/>
      <c r="F495" s="7"/>
      <c r="G495" s="7"/>
      <c r="H495" s="270"/>
      <c r="I495" s="1"/>
      <c r="J495" s="56"/>
    </row>
    <row r="496" spans="1:10" s="186" customFormat="1" ht="35.4" x14ac:dyDescent="0.6">
      <c r="A496" s="7"/>
      <c r="B496" s="1"/>
      <c r="C496" s="7"/>
      <c r="D496" s="96"/>
      <c r="E496" s="1"/>
      <c r="F496" s="7"/>
      <c r="G496" s="7"/>
      <c r="H496" s="270"/>
      <c r="I496" s="1"/>
      <c r="J496" s="56"/>
    </row>
    <row r="497" spans="1:10" s="156" customFormat="1" ht="35.4" x14ac:dyDescent="0.6">
      <c r="A497" s="7"/>
      <c r="B497" s="1"/>
      <c r="C497" s="7"/>
      <c r="D497" s="96"/>
      <c r="E497" s="1"/>
      <c r="F497" s="7"/>
      <c r="G497" s="7"/>
      <c r="H497" s="270"/>
      <c r="I497" s="1"/>
      <c r="J497" s="56"/>
    </row>
    <row r="498" spans="1:10" s="156" customFormat="1" ht="35.4" x14ac:dyDescent="0.6">
      <c r="A498" s="7"/>
      <c r="B498" s="1"/>
      <c r="C498" s="7"/>
      <c r="D498" s="96"/>
      <c r="E498" s="1"/>
      <c r="F498" s="7"/>
      <c r="G498" s="7"/>
      <c r="H498" s="270"/>
      <c r="I498" s="1"/>
      <c r="J498" s="56"/>
    </row>
    <row r="499" spans="1:10" s="156" customFormat="1" ht="35.4" x14ac:dyDescent="0.6">
      <c r="A499" s="7"/>
      <c r="B499" s="1"/>
      <c r="C499" s="7"/>
      <c r="D499" s="96"/>
      <c r="E499" s="1"/>
      <c r="F499" s="7"/>
      <c r="G499" s="7"/>
      <c r="H499" s="270"/>
      <c r="I499" s="1"/>
      <c r="J499" s="56"/>
    </row>
    <row r="500" spans="1:10" s="156" customFormat="1" ht="35.4" x14ac:dyDescent="0.6">
      <c r="A500" s="7"/>
      <c r="B500" s="1"/>
      <c r="C500" s="7"/>
      <c r="D500" s="96"/>
      <c r="E500" s="1"/>
      <c r="F500" s="7"/>
      <c r="G500" s="7"/>
      <c r="H500" s="270"/>
      <c r="I500" s="1"/>
      <c r="J500" s="56"/>
    </row>
    <row r="501" spans="1:10" s="156" customFormat="1" ht="35.4" x14ac:dyDescent="0.6">
      <c r="A501" s="7"/>
      <c r="B501" s="1"/>
      <c r="C501" s="7"/>
      <c r="D501" s="96"/>
      <c r="E501" s="1"/>
      <c r="F501" s="7"/>
      <c r="G501" s="7"/>
      <c r="H501" s="270"/>
      <c r="I501" s="1"/>
      <c r="J501" s="56"/>
    </row>
    <row r="502" spans="1:10" s="156" customFormat="1" ht="35.4" x14ac:dyDescent="0.6">
      <c r="A502" s="7"/>
      <c r="B502" s="1"/>
      <c r="C502" s="7"/>
      <c r="D502" s="96"/>
      <c r="E502" s="1"/>
      <c r="F502" s="7"/>
      <c r="G502" s="7"/>
      <c r="H502" s="270"/>
      <c r="I502" s="1"/>
      <c r="J502" s="56"/>
    </row>
    <row r="503" spans="1:10" s="156" customFormat="1" ht="35.4" x14ac:dyDescent="0.6">
      <c r="A503" s="7"/>
      <c r="B503" s="1"/>
      <c r="C503" s="7"/>
      <c r="D503" s="96"/>
      <c r="E503" s="1"/>
      <c r="F503" s="7"/>
      <c r="G503" s="7"/>
      <c r="H503" s="270"/>
      <c r="I503" s="1"/>
      <c r="J503" s="56"/>
    </row>
    <row r="504" spans="1:10" s="156" customFormat="1" ht="35.4" x14ac:dyDescent="0.6">
      <c r="A504" s="7"/>
      <c r="B504" s="1"/>
      <c r="C504" s="7"/>
      <c r="D504" s="96"/>
      <c r="E504" s="1"/>
      <c r="F504" s="7"/>
      <c r="G504" s="7"/>
      <c r="H504" s="270"/>
      <c r="I504" s="1"/>
      <c r="J504" s="56"/>
    </row>
    <row r="505" spans="1:10" s="156" customFormat="1" ht="35.4" x14ac:dyDescent="0.6">
      <c r="A505" s="7"/>
      <c r="B505" s="1"/>
      <c r="C505" s="7"/>
      <c r="D505" s="96"/>
      <c r="E505" s="1"/>
      <c r="F505" s="7"/>
      <c r="G505" s="7"/>
      <c r="H505" s="270"/>
      <c r="I505" s="1"/>
      <c r="J505" s="56"/>
    </row>
    <row r="506" spans="1:10" s="156" customFormat="1" ht="35.4" x14ac:dyDescent="0.6">
      <c r="A506" s="7"/>
      <c r="B506" s="1"/>
      <c r="C506" s="7"/>
      <c r="D506" s="96"/>
      <c r="E506" s="1"/>
      <c r="F506" s="7"/>
      <c r="G506" s="7"/>
      <c r="H506" s="270"/>
      <c r="I506" s="1"/>
      <c r="J506" s="56"/>
    </row>
    <row r="507" spans="1:10" s="156" customFormat="1" ht="35.4" x14ac:dyDescent="0.6">
      <c r="A507" s="7"/>
      <c r="B507" s="1"/>
      <c r="C507" s="7"/>
      <c r="D507" s="96"/>
      <c r="E507" s="1"/>
      <c r="F507" s="7"/>
      <c r="G507" s="7"/>
      <c r="H507" s="270"/>
      <c r="I507" s="1"/>
      <c r="J507" s="56"/>
    </row>
    <row r="508" spans="1:10" s="156" customFormat="1" ht="35.4" x14ac:dyDescent="0.6">
      <c r="A508" s="7"/>
      <c r="B508" s="1"/>
      <c r="C508" s="7"/>
      <c r="D508" s="96"/>
      <c r="E508" s="1"/>
      <c r="F508" s="7"/>
      <c r="G508" s="7"/>
      <c r="H508" s="270"/>
      <c r="I508" s="1"/>
      <c r="J508" s="56"/>
    </row>
    <row r="509" spans="1:10" s="156" customFormat="1" ht="35.4" x14ac:dyDescent="0.6">
      <c r="A509" s="7"/>
      <c r="B509" s="1"/>
      <c r="C509" s="7"/>
      <c r="D509" s="96"/>
      <c r="E509" s="1"/>
      <c r="F509" s="7"/>
      <c r="G509" s="7"/>
      <c r="H509" s="270"/>
      <c r="I509" s="1"/>
      <c r="J509" s="56"/>
    </row>
    <row r="510" spans="1:10" s="156" customFormat="1" ht="35.4" x14ac:dyDescent="0.6">
      <c r="A510" s="7"/>
      <c r="B510" s="1"/>
      <c r="C510" s="7"/>
      <c r="D510" s="96"/>
      <c r="E510" s="1"/>
      <c r="F510" s="7"/>
      <c r="G510" s="7"/>
      <c r="H510" s="270"/>
      <c r="I510" s="1"/>
      <c r="J510" s="56"/>
    </row>
    <row r="511" spans="1:10" s="156" customFormat="1" ht="35.4" x14ac:dyDescent="0.6">
      <c r="A511" s="7"/>
      <c r="B511" s="1"/>
      <c r="C511" s="7"/>
      <c r="D511" s="96"/>
      <c r="E511" s="1"/>
      <c r="F511" s="7"/>
      <c r="G511" s="7"/>
      <c r="H511" s="270"/>
      <c r="I511" s="1"/>
      <c r="J511" s="56"/>
    </row>
    <row r="512" spans="1:10" s="156" customFormat="1" ht="35.4" x14ac:dyDescent="0.6">
      <c r="A512" s="7"/>
      <c r="B512" s="1"/>
      <c r="C512" s="7"/>
      <c r="D512" s="96"/>
      <c r="E512" s="1"/>
      <c r="F512" s="7"/>
      <c r="G512" s="7"/>
      <c r="H512" s="270"/>
      <c r="I512" s="1"/>
      <c r="J512" s="56"/>
    </row>
    <row r="513" spans="1:10" s="156" customFormat="1" ht="35.4" x14ac:dyDescent="0.6">
      <c r="A513" s="7"/>
      <c r="B513" s="1"/>
      <c r="C513" s="7"/>
      <c r="D513" s="96"/>
      <c r="E513" s="1"/>
      <c r="F513" s="7"/>
      <c r="G513" s="7"/>
      <c r="H513" s="270"/>
      <c r="I513" s="1"/>
      <c r="J513" s="56"/>
    </row>
    <row r="514" spans="1:10" s="156" customFormat="1" ht="35.4" x14ac:dyDescent="0.6">
      <c r="A514" s="7"/>
      <c r="B514" s="1"/>
      <c r="C514" s="7"/>
      <c r="D514" s="96"/>
      <c r="E514" s="1"/>
      <c r="F514" s="7"/>
      <c r="G514" s="7"/>
      <c r="H514" s="270"/>
      <c r="I514" s="1"/>
      <c r="J514" s="56"/>
    </row>
    <row r="515" spans="1:10" s="50" customFormat="1" x14ac:dyDescent="0.6">
      <c r="A515" s="7"/>
      <c r="B515" s="1"/>
      <c r="C515" s="7"/>
      <c r="D515" s="96"/>
      <c r="E515" s="1"/>
      <c r="F515" s="7"/>
      <c r="G515" s="7"/>
      <c r="H515" s="270"/>
      <c r="I515" s="1"/>
      <c r="J515" s="56"/>
    </row>
    <row r="516" spans="1:10" s="50" customFormat="1" x14ac:dyDescent="0.6">
      <c r="A516" s="7"/>
      <c r="B516" s="1"/>
      <c r="C516" s="7"/>
      <c r="D516" s="96"/>
      <c r="E516" s="1"/>
      <c r="F516" s="7"/>
      <c r="G516" s="7"/>
      <c r="H516" s="270"/>
      <c r="I516" s="1"/>
      <c r="J516" s="56"/>
    </row>
    <row r="517" spans="1:10" s="50" customFormat="1" x14ac:dyDescent="0.6">
      <c r="A517" s="7"/>
      <c r="B517" s="1"/>
      <c r="C517" s="7"/>
      <c r="D517" s="96"/>
      <c r="E517" s="1"/>
      <c r="F517" s="7"/>
      <c r="G517" s="7"/>
      <c r="H517" s="270"/>
      <c r="I517" s="1"/>
      <c r="J517" s="56"/>
    </row>
    <row r="518" spans="1:10" s="50" customFormat="1" x14ac:dyDescent="0.6">
      <c r="A518" s="7"/>
      <c r="B518" s="1"/>
      <c r="C518" s="7"/>
      <c r="D518" s="96"/>
      <c r="E518" s="1"/>
      <c r="F518" s="7"/>
      <c r="G518" s="7"/>
      <c r="H518" s="270"/>
      <c r="I518" s="1"/>
      <c r="J518" s="56"/>
    </row>
    <row r="519" spans="1:10" s="50" customFormat="1" x14ac:dyDescent="0.6">
      <c r="A519" s="7"/>
      <c r="B519" s="1"/>
      <c r="C519" s="7"/>
      <c r="D519" s="96"/>
      <c r="E519" s="1"/>
      <c r="F519" s="7"/>
      <c r="G519" s="7"/>
      <c r="H519" s="270"/>
      <c r="I519" s="1"/>
      <c r="J519" s="56"/>
    </row>
    <row r="520" spans="1:10" s="50" customFormat="1" x14ac:dyDescent="0.6">
      <c r="A520" s="7"/>
      <c r="B520" s="1"/>
      <c r="C520" s="7"/>
      <c r="D520" s="96"/>
      <c r="E520" s="1"/>
      <c r="F520" s="7"/>
      <c r="G520" s="7"/>
      <c r="H520" s="270"/>
      <c r="I520" s="1"/>
      <c r="J520" s="56"/>
    </row>
    <row r="521" spans="1:10" s="50" customFormat="1" x14ac:dyDescent="0.6">
      <c r="A521" s="7"/>
      <c r="B521" s="1"/>
      <c r="C521" s="7"/>
      <c r="D521" s="96"/>
      <c r="E521" s="1"/>
      <c r="F521" s="7"/>
      <c r="G521" s="7"/>
      <c r="H521" s="270"/>
      <c r="I521" s="1"/>
      <c r="J521" s="56"/>
    </row>
    <row r="522" spans="1:10" s="50" customFormat="1" x14ac:dyDescent="0.6">
      <c r="A522" s="7"/>
      <c r="B522" s="1"/>
      <c r="C522" s="7"/>
      <c r="D522" s="96"/>
      <c r="E522" s="1"/>
      <c r="F522" s="7"/>
      <c r="G522" s="7"/>
      <c r="H522" s="270"/>
      <c r="I522" s="1"/>
      <c r="J522" s="56"/>
    </row>
    <row r="523" spans="1:10" s="50" customFormat="1" x14ac:dyDescent="0.6">
      <c r="A523" s="7"/>
      <c r="B523" s="1"/>
      <c r="C523" s="7"/>
      <c r="D523" s="96"/>
      <c r="E523" s="1"/>
      <c r="F523" s="7"/>
      <c r="G523" s="7"/>
      <c r="H523" s="270"/>
      <c r="I523" s="1"/>
      <c r="J523" s="56"/>
    </row>
    <row r="524" spans="1:10" s="50" customFormat="1" x14ac:dyDescent="0.6">
      <c r="A524" s="7"/>
      <c r="B524" s="1"/>
      <c r="C524" s="7"/>
      <c r="D524" s="96"/>
      <c r="E524" s="1"/>
      <c r="F524" s="7"/>
      <c r="G524" s="7"/>
      <c r="H524" s="270"/>
      <c r="I524" s="1"/>
      <c r="J524" s="56"/>
    </row>
    <row r="525" spans="1:10" s="50" customFormat="1" x14ac:dyDescent="0.6">
      <c r="A525" s="7"/>
      <c r="B525" s="1"/>
      <c r="C525" s="7"/>
      <c r="D525" s="96"/>
      <c r="E525" s="1"/>
      <c r="F525" s="7"/>
      <c r="G525" s="7"/>
      <c r="H525" s="270"/>
      <c r="I525" s="1"/>
      <c r="J525" s="56"/>
    </row>
    <row r="526" spans="1:10" s="50" customFormat="1" x14ac:dyDescent="0.6">
      <c r="A526" s="7"/>
      <c r="B526" s="1"/>
      <c r="C526" s="7"/>
      <c r="D526" s="96"/>
      <c r="E526" s="1"/>
      <c r="F526" s="7"/>
      <c r="G526" s="7"/>
      <c r="H526" s="270"/>
      <c r="I526" s="1"/>
      <c r="J526" s="56"/>
    </row>
    <row r="527" spans="1:10" s="50" customFormat="1" x14ac:dyDescent="0.6">
      <c r="A527" s="7"/>
      <c r="B527" s="1"/>
      <c r="C527" s="7"/>
      <c r="D527" s="96"/>
      <c r="E527" s="1"/>
      <c r="F527" s="7"/>
      <c r="G527" s="7"/>
      <c r="H527" s="270"/>
      <c r="I527" s="1"/>
      <c r="J527" s="56"/>
    </row>
    <row r="528" spans="1:10" s="50" customFormat="1" x14ac:dyDescent="0.6">
      <c r="A528" s="7"/>
      <c r="B528" s="1"/>
      <c r="C528" s="7"/>
      <c r="D528" s="96"/>
      <c r="E528" s="1"/>
      <c r="F528" s="7"/>
      <c r="G528" s="7"/>
      <c r="H528" s="270"/>
      <c r="I528" s="1"/>
      <c r="J528" s="56"/>
    </row>
    <row r="529" spans="1:10" s="50" customFormat="1" x14ac:dyDescent="0.6">
      <c r="A529" s="7"/>
      <c r="B529" s="1"/>
      <c r="C529" s="7"/>
      <c r="D529" s="96"/>
      <c r="E529" s="1"/>
      <c r="F529" s="7"/>
      <c r="G529" s="7"/>
      <c r="H529" s="270"/>
      <c r="I529" s="1"/>
      <c r="J529" s="56"/>
    </row>
    <row r="530" spans="1:10" s="50" customFormat="1" x14ac:dyDescent="0.6">
      <c r="A530" s="7"/>
      <c r="B530" s="1"/>
      <c r="C530" s="7"/>
      <c r="D530" s="96"/>
      <c r="E530" s="1"/>
      <c r="F530" s="7"/>
      <c r="G530" s="7"/>
      <c r="H530" s="270"/>
      <c r="I530" s="1"/>
      <c r="J530" s="56"/>
    </row>
    <row r="531" spans="1:10" s="50" customFormat="1" x14ac:dyDescent="0.6">
      <c r="A531" s="7"/>
      <c r="B531" s="1"/>
      <c r="C531" s="7"/>
      <c r="D531" s="96"/>
      <c r="E531" s="1"/>
      <c r="F531" s="7"/>
      <c r="G531" s="7"/>
      <c r="H531" s="270"/>
      <c r="I531" s="1"/>
      <c r="J531" s="56"/>
    </row>
    <row r="532" spans="1:10" s="50" customFormat="1" x14ac:dyDescent="0.6">
      <c r="A532" s="7"/>
      <c r="B532" s="1"/>
      <c r="C532" s="7"/>
      <c r="D532" s="96"/>
      <c r="E532" s="1"/>
      <c r="F532" s="7"/>
      <c r="G532" s="7"/>
      <c r="H532" s="270"/>
      <c r="I532" s="1"/>
      <c r="J532" s="56"/>
    </row>
    <row r="533" spans="1:10" s="50" customFormat="1" x14ac:dyDescent="0.6">
      <c r="A533" s="7"/>
      <c r="B533" s="1"/>
      <c r="C533" s="7"/>
      <c r="D533" s="96"/>
      <c r="E533" s="1"/>
      <c r="F533" s="7"/>
      <c r="G533" s="7"/>
      <c r="H533" s="270"/>
      <c r="I533" s="1"/>
      <c r="J533" s="56"/>
    </row>
    <row r="534" spans="1:10" s="50" customFormat="1" x14ac:dyDescent="0.6">
      <c r="A534" s="7"/>
      <c r="B534" s="1"/>
      <c r="C534" s="7"/>
      <c r="D534" s="96"/>
      <c r="E534" s="1"/>
      <c r="F534" s="7"/>
      <c r="G534" s="7"/>
      <c r="H534" s="270"/>
      <c r="I534" s="1"/>
      <c r="J534" s="56"/>
    </row>
    <row r="535" spans="1:10" s="50" customFormat="1" x14ac:dyDescent="0.6">
      <c r="A535" s="7"/>
      <c r="B535" s="1"/>
      <c r="C535" s="7"/>
      <c r="D535" s="96"/>
      <c r="E535" s="1"/>
      <c r="F535" s="7"/>
      <c r="G535" s="7"/>
      <c r="H535" s="270"/>
      <c r="I535" s="1"/>
      <c r="J535" s="56"/>
    </row>
    <row r="536" spans="1:10" s="50" customFormat="1" x14ac:dyDescent="0.6">
      <c r="A536" s="7"/>
      <c r="B536" s="1"/>
      <c r="C536" s="7"/>
      <c r="D536" s="96"/>
      <c r="E536" s="1"/>
      <c r="F536" s="7"/>
      <c r="G536" s="7"/>
      <c r="H536" s="270"/>
      <c r="I536" s="1"/>
      <c r="J536" s="56"/>
    </row>
    <row r="537" spans="1:10" s="50" customFormat="1" x14ac:dyDescent="0.6">
      <c r="A537" s="7"/>
      <c r="B537" s="1"/>
      <c r="C537" s="7"/>
      <c r="D537" s="96"/>
      <c r="E537" s="1"/>
      <c r="F537" s="7"/>
      <c r="G537" s="7"/>
      <c r="H537" s="270"/>
      <c r="I537" s="1"/>
      <c r="J537" s="56"/>
    </row>
    <row r="538" spans="1:10" s="50" customFormat="1" x14ac:dyDescent="0.6">
      <c r="A538" s="7"/>
      <c r="B538" s="1"/>
      <c r="C538" s="7"/>
      <c r="D538" s="96"/>
      <c r="E538" s="1"/>
      <c r="F538" s="7"/>
      <c r="G538" s="7"/>
      <c r="H538" s="270"/>
      <c r="I538" s="1"/>
      <c r="J538" s="56"/>
    </row>
    <row r="539" spans="1:10" s="50" customFormat="1" x14ac:dyDescent="0.6">
      <c r="A539" s="7"/>
      <c r="B539" s="1"/>
      <c r="C539" s="7"/>
      <c r="D539" s="96"/>
      <c r="E539" s="1"/>
      <c r="F539" s="7"/>
      <c r="G539" s="7"/>
      <c r="H539" s="270"/>
      <c r="I539" s="1"/>
      <c r="J539" s="56"/>
    </row>
    <row r="540" spans="1:10" s="50" customFormat="1" x14ac:dyDescent="0.6">
      <c r="A540" s="7"/>
      <c r="B540" s="1"/>
      <c r="C540" s="7"/>
      <c r="D540" s="96"/>
      <c r="E540" s="1"/>
      <c r="F540" s="7"/>
      <c r="G540" s="7"/>
      <c r="H540" s="270"/>
      <c r="I540" s="1"/>
      <c r="J540" s="56"/>
    </row>
    <row r="541" spans="1:10" s="50" customFormat="1" x14ac:dyDescent="0.6">
      <c r="A541" s="7"/>
      <c r="B541" s="1"/>
      <c r="C541" s="7"/>
      <c r="D541" s="96"/>
      <c r="E541" s="1"/>
      <c r="F541" s="7"/>
      <c r="G541" s="7"/>
      <c r="H541" s="270"/>
      <c r="I541" s="1"/>
      <c r="J541" s="56"/>
    </row>
    <row r="542" spans="1:10" s="50" customFormat="1" x14ac:dyDescent="0.6">
      <c r="A542" s="7"/>
      <c r="B542" s="1"/>
      <c r="C542" s="7"/>
      <c r="D542" s="96"/>
      <c r="E542" s="1"/>
      <c r="F542" s="7"/>
      <c r="G542" s="7"/>
      <c r="H542" s="270"/>
      <c r="I542" s="1"/>
      <c r="J542" s="56"/>
    </row>
    <row r="543" spans="1:10" s="50" customFormat="1" x14ac:dyDescent="0.6">
      <c r="A543" s="7"/>
      <c r="B543" s="1"/>
      <c r="C543" s="7"/>
      <c r="D543" s="96"/>
      <c r="E543" s="1"/>
      <c r="F543" s="7"/>
      <c r="G543" s="7"/>
      <c r="H543" s="270"/>
      <c r="I543" s="1"/>
      <c r="J543" s="56"/>
    </row>
    <row r="544" spans="1:10" s="50" customFormat="1" x14ac:dyDescent="0.6">
      <c r="A544" s="7"/>
      <c r="B544" s="1"/>
      <c r="C544" s="7"/>
      <c r="D544" s="96"/>
      <c r="E544" s="1"/>
      <c r="F544" s="7"/>
      <c r="G544" s="7"/>
      <c r="H544" s="270"/>
      <c r="I544" s="1"/>
      <c r="J544" s="56"/>
    </row>
    <row r="545" spans="1:13" s="50" customFormat="1" x14ac:dyDescent="0.6">
      <c r="A545" s="7"/>
      <c r="B545" s="1"/>
      <c r="C545" s="7"/>
      <c r="D545" s="96"/>
      <c r="E545" s="1"/>
      <c r="F545" s="7"/>
      <c r="G545" s="7"/>
      <c r="H545" s="270"/>
      <c r="I545" s="1"/>
      <c r="J545" s="56"/>
    </row>
    <row r="546" spans="1:13" s="50" customFormat="1" x14ac:dyDescent="0.6">
      <c r="A546" s="7"/>
      <c r="B546" s="1"/>
      <c r="C546" s="7"/>
      <c r="D546" s="96"/>
      <c r="E546" s="1"/>
      <c r="F546" s="7"/>
      <c r="G546" s="7"/>
      <c r="H546" s="270"/>
      <c r="I546" s="1"/>
      <c r="J546" s="56"/>
    </row>
    <row r="547" spans="1:13" s="50" customFormat="1" x14ac:dyDescent="0.6">
      <c r="A547" s="7"/>
      <c r="B547" s="1"/>
      <c r="C547" s="7"/>
      <c r="D547" s="96"/>
      <c r="E547" s="1"/>
      <c r="F547" s="7"/>
      <c r="G547" s="7"/>
      <c r="H547" s="270"/>
      <c r="I547" s="1"/>
      <c r="J547" s="56"/>
    </row>
    <row r="548" spans="1:13" s="50" customFormat="1" x14ac:dyDescent="0.6">
      <c r="A548" s="7"/>
      <c r="B548" s="1"/>
      <c r="C548" s="7"/>
      <c r="D548" s="96"/>
      <c r="E548" s="1"/>
      <c r="F548" s="7"/>
      <c r="G548" s="7"/>
      <c r="H548" s="270"/>
      <c r="I548" s="1"/>
      <c r="J548" s="56"/>
    </row>
    <row r="549" spans="1:13" s="50" customFormat="1" x14ac:dyDescent="0.6">
      <c r="A549" s="7"/>
      <c r="B549" s="1"/>
      <c r="C549" s="7"/>
      <c r="D549" s="96"/>
      <c r="E549" s="1"/>
      <c r="F549" s="7"/>
      <c r="G549" s="7"/>
      <c r="H549" s="270"/>
      <c r="I549" s="1"/>
      <c r="J549" s="56"/>
    </row>
    <row r="550" spans="1:13" s="50" customFormat="1" x14ac:dyDescent="0.6">
      <c r="A550" s="7"/>
      <c r="B550" s="1"/>
      <c r="C550" s="7"/>
      <c r="D550" s="96"/>
      <c r="E550" s="1"/>
      <c r="F550" s="7"/>
      <c r="G550" s="7"/>
      <c r="H550" s="270"/>
      <c r="I550" s="1"/>
      <c r="J550" s="56"/>
    </row>
    <row r="551" spans="1:13" s="50" customFormat="1" x14ac:dyDescent="0.6">
      <c r="A551" s="7"/>
      <c r="B551" s="1"/>
      <c r="C551" s="7"/>
      <c r="D551" s="96"/>
      <c r="E551" s="1"/>
      <c r="F551" s="7"/>
      <c r="G551" s="7"/>
      <c r="H551" s="270"/>
      <c r="I551" s="1"/>
      <c r="J551" s="56"/>
    </row>
    <row r="552" spans="1:13" s="50" customFormat="1" x14ac:dyDescent="0.6">
      <c r="A552" s="7"/>
      <c r="B552" s="1"/>
      <c r="C552" s="7"/>
      <c r="D552" s="96"/>
      <c r="E552" s="1"/>
      <c r="F552" s="7"/>
      <c r="G552" s="7"/>
      <c r="H552" s="270"/>
      <c r="I552" s="1"/>
      <c r="J552" s="56"/>
    </row>
    <row r="553" spans="1:13" s="50" customFormat="1" x14ac:dyDescent="0.6">
      <c r="A553" s="7"/>
      <c r="B553" s="1"/>
      <c r="C553" s="7"/>
      <c r="D553" s="96"/>
      <c r="E553" s="1"/>
      <c r="F553" s="7"/>
      <c r="G553" s="7"/>
      <c r="H553" s="270"/>
      <c r="I553" s="1"/>
      <c r="J553" s="56"/>
    </row>
    <row r="554" spans="1:13" s="50" customFormat="1" x14ac:dyDescent="0.6">
      <c r="A554" s="7"/>
      <c r="B554" s="1"/>
      <c r="C554" s="7"/>
      <c r="D554" s="96"/>
      <c r="E554" s="1"/>
      <c r="F554" s="7"/>
      <c r="G554" s="7"/>
      <c r="H554" s="270"/>
      <c r="I554" s="1"/>
      <c r="J554" s="56"/>
      <c r="K554" s="1"/>
      <c r="L554" s="1"/>
      <c r="M554" s="1"/>
    </row>
    <row r="555" spans="1:13" s="50" customFormat="1" x14ac:dyDescent="0.6">
      <c r="A555" s="7"/>
      <c r="B555" s="1"/>
      <c r="C555" s="7"/>
      <c r="D555" s="96"/>
      <c r="E555" s="1"/>
      <c r="F555" s="7"/>
      <c r="G555" s="7"/>
      <c r="H555" s="270"/>
      <c r="I555" s="1"/>
      <c r="J555" s="56"/>
      <c r="K555" s="1"/>
      <c r="L555" s="1"/>
      <c r="M555" s="1"/>
    </row>
    <row r="556" spans="1:13" s="50" customFormat="1" x14ac:dyDescent="0.6">
      <c r="A556" s="7"/>
      <c r="B556" s="1"/>
      <c r="C556" s="7"/>
      <c r="D556" s="96"/>
      <c r="E556" s="1"/>
      <c r="F556" s="7"/>
      <c r="G556" s="7"/>
      <c r="H556" s="270"/>
      <c r="I556" s="1"/>
      <c r="J556" s="56"/>
      <c r="K556" s="1"/>
      <c r="L556" s="1"/>
      <c r="M556" s="1"/>
    </row>
    <row r="557" spans="1:13" s="50" customFormat="1" x14ac:dyDescent="0.6">
      <c r="A557" s="7"/>
      <c r="B557" s="1"/>
      <c r="C557" s="7"/>
      <c r="D557" s="96"/>
      <c r="E557" s="1"/>
      <c r="F557" s="7"/>
      <c r="G557" s="7"/>
      <c r="H557" s="270"/>
      <c r="I557" s="1"/>
      <c r="J557" s="56"/>
      <c r="K557" s="1"/>
      <c r="L557" s="1"/>
      <c r="M557" s="1"/>
    </row>
    <row r="558" spans="1:13" s="50" customFormat="1" x14ac:dyDescent="0.6">
      <c r="A558" s="7"/>
      <c r="B558" s="1"/>
      <c r="C558" s="7"/>
      <c r="D558" s="96"/>
      <c r="E558" s="1"/>
      <c r="F558" s="7"/>
      <c r="G558" s="7"/>
      <c r="H558" s="270"/>
      <c r="I558" s="1"/>
      <c r="J558" s="56"/>
      <c r="K558" s="1"/>
      <c r="L558" s="1"/>
      <c r="M558" s="1"/>
    </row>
    <row r="559" spans="1:13" s="50" customFormat="1" x14ac:dyDescent="0.6">
      <c r="A559" s="7"/>
      <c r="B559" s="1"/>
      <c r="C559" s="7"/>
      <c r="D559" s="96"/>
      <c r="E559" s="1"/>
      <c r="F559" s="7"/>
      <c r="G559" s="7"/>
      <c r="H559" s="270"/>
      <c r="I559" s="1"/>
      <c r="J559" s="56"/>
      <c r="K559" s="1"/>
      <c r="L559" s="1"/>
      <c r="M559" s="1"/>
    </row>
    <row r="560" spans="1:13" s="50" customFormat="1" x14ac:dyDescent="0.6">
      <c r="A560" s="7"/>
      <c r="B560" s="1"/>
      <c r="C560" s="7"/>
      <c r="D560" s="96"/>
      <c r="E560" s="1"/>
      <c r="F560" s="7"/>
      <c r="G560" s="7"/>
      <c r="H560" s="270"/>
      <c r="I560" s="1"/>
      <c r="J560" s="56"/>
      <c r="K560" s="1"/>
      <c r="L560" s="1"/>
      <c r="M560" s="1"/>
    </row>
    <row r="561" spans="1:13" s="50" customFormat="1" x14ac:dyDescent="0.6">
      <c r="A561" s="7"/>
      <c r="B561" s="1"/>
      <c r="C561" s="7"/>
      <c r="D561" s="96"/>
      <c r="E561" s="1"/>
      <c r="F561" s="7"/>
      <c r="G561" s="7"/>
      <c r="H561" s="270"/>
      <c r="I561" s="1"/>
      <c r="J561" s="56"/>
      <c r="K561" s="1"/>
      <c r="L561" s="1"/>
      <c r="M561" s="1"/>
    </row>
    <row r="562" spans="1:13" s="50" customFormat="1" x14ac:dyDescent="0.6">
      <c r="A562" s="7"/>
      <c r="B562" s="1"/>
      <c r="C562" s="7"/>
      <c r="D562" s="96"/>
      <c r="E562" s="1"/>
      <c r="F562" s="7"/>
      <c r="G562" s="7"/>
      <c r="H562" s="270"/>
      <c r="I562" s="1"/>
      <c r="J562" s="56"/>
      <c r="K562" s="1"/>
      <c r="L562" s="1"/>
      <c r="M56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DE9E-D1F7-4527-9B7A-802D0C9B3DBB}">
  <dimension ref="A1:T406"/>
  <sheetViews>
    <sheetView topLeftCell="E3" zoomScale="60" zoomScaleNormal="60" workbookViewId="0">
      <selection activeCell="F3" sqref="F3"/>
    </sheetView>
  </sheetViews>
  <sheetFormatPr baseColWidth="10" defaultColWidth="10.109375" defaultRowHeight="14.4" x14ac:dyDescent="0.3"/>
  <cols>
    <col min="1" max="1" width="20.21875" style="368" hidden="1" customWidth="1"/>
    <col min="2" max="2" width="31.5546875" style="368" hidden="1" customWidth="1"/>
    <col min="3" max="4" width="16.33203125" style="368" customWidth="1"/>
    <col min="5" max="5" width="31.6640625" bestFit="1" customWidth="1"/>
    <col min="6" max="6" width="127.5546875" style="368" customWidth="1"/>
    <col min="7" max="7" width="28.77734375" style="368" customWidth="1"/>
    <col min="8" max="8" width="37.109375" style="368" customWidth="1"/>
    <col min="9" max="9" width="27.6640625" customWidth="1"/>
    <col min="10" max="10" width="19.44140625" bestFit="1" customWidth="1"/>
    <col min="11" max="11" width="20.88671875" style="368" customWidth="1"/>
    <col min="12" max="12" width="18" hidden="1" customWidth="1"/>
    <col min="13" max="13" width="20.77734375" bestFit="1" customWidth="1"/>
    <col min="14" max="14" width="19.6640625" style="368" hidden="1" customWidth="1"/>
    <col min="15" max="15" width="71.33203125" style="368" customWidth="1"/>
    <col min="16" max="16" width="19.6640625" style="368" bestFit="1" customWidth="1"/>
    <col min="17" max="17" width="27.77734375" style="368" bestFit="1" customWidth="1"/>
    <col min="20" max="20" width="24.109375" customWidth="1"/>
    <col min="21" max="21" width="21.88671875" style="368" bestFit="1" customWidth="1"/>
    <col min="22" max="22" width="30.33203125" style="368" customWidth="1"/>
    <col min="23" max="23" width="53.21875" style="368" customWidth="1"/>
    <col min="24" max="16384" width="10.109375" style="368"/>
  </cols>
  <sheetData>
    <row r="1" spans="1:20" ht="27.6" x14ac:dyDescent="0.3">
      <c r="A1" s="365" t="s">
        <v>2659</v>
      </c>
      <c r="B1" s="366" t="s">
        <v>2660</v>
      </c>
      <c r="C1" s="367"/>
      <c r="E1" s="368"/>
      <c r="I1" s="368"/>
      <c r="J1" s="368"/>
      <c r="L1" s="368"/>
      <c r="M1" s="368"/>
      <c r="N1" s="369" t="s">
        <v>2661</v>
      </c>
      <c r="O1" s="370">
        <f>+YEAR(C2)</f>
        <v>2025</v>
      </c>
      <c r="R1" s="368"/>
      <c r="S1" s="368"/>
      <c r="T1" s="368"/>
    </row>
    <row r="2" spans="1:20" s="374" customFormat="1" ht="57" customHeight="1" x14ac:dyDescent="0.3">
      <c r="A2" s="371" t="s">
        <v>2662</v>
      </c>
      <c r="B2" s="372" t="s">
        <v>2663</v>
      </c>
      <c r="C2" s="373">
        <v>45931</v>
      </c>
      <c r="F2" s="375"/>
      <c r="I2" s="376" t="s">
        <v>2664</v>
      </c>
      <c r="J2" s="377" t="s">
        <v>2665</v>
      </c>
      <c r="K2" s="376" t="s">
        <v>2666</v>
      </c>
      <c r="M2" s="378">
        <v>562510</v>
      </c>
    </row>
    <row r="3" spans="1:20" s="382" customFormat="1" ht="23.4" x14ac:dyDescent="0.3">
      <c r="A3" s="379" t="s">
        <v>2667</v>
      </c>
      <c r="B3" s="380" t="s">
        <v>2668</v>
      </c>
      <c r="C3" s="381">
        <f>+EDATE(C2,1)-1</f>
        <v>45961</v>
      </c>
      <c r="H3" s="383"/>
      <c r="I3" s="384">
        <f>+SUBTOTAL(9,Tableau1535678910111213162523692[RECETTE])</f>
        <v>38755940</v>
      </c>
      <c r="J3" s="384">
        <f>+SUBTOTAL(9,Tableau1535678910111213162523692[DÉPENSE])</f>
        <v>38428914</v>
      </c>
      <c r="K3" s="384">
        <f>+I3-J3</f>
        <v>327026</v>
      </c>
    </row>
    <row r="4" spans="1:20" s="385" customFormat="1" ht="16.8" x14ac:dyDescent="0.3"/>
    <row r="5" spans="1:20" ht="3" customHeight="1" x14ac:dyDescent="0.3">
      <c r="E5" s="368"/>
      <c r="I5" s="368"/>
      <c r="J5" s="368"/>
      <c r="L5" s="368"/>
      <c r="M5" s="368"/>
      <c r="R5" s="368"/>
      <c r="S5" s="368"/>
      <c r="T5" s="368"/>
    </row>
    <row r="6" spans="1:20" s="388" customFormat="1" ht="45.6" customHeight="1" x14ac:dyDescent="0.3">
      <c r="A6" s="386" t="s">
        <v>2659</v>
      </c>
      <c r="B6" s="387" t="s">
        <v>2669</v>
      </c>
      <c r="C6" s="388" t="s">
        <v>2670</v>
      </c>
      <c r="D6" s="389" t="s">
        <v>2671</v>
      </c>
      <c r="E6" s="388" t="s">
        <v>2672</v>
      </c>
      <c r="F6" s="388" t="s">
        <v>1</v>
      </c>
      <c r="G6" s="387" t="s">
        <v>2673</v>
      </c>
      <c r="H6" s="390" t="s">
        <v>2674</v>
      </c>
      <c r="I6" s="388" t="s">
        <v>2675</v>
      </c>
      <c r="J6" s="388" t="s">
        <v>2676</v>
      </c>
      <c r="K6" s="389" t="s">
        <v>2666</v>
      </c>
      <c r="L6" s="389" t="s">
        <v>2677</v>
      </c>
    </row>
    <row r="7" spans="1:20" s="400" customFormat="1" ht="15" x14ac:dyDescent="0.3">
      <c r="A7" s="391" t="s">
        <v>2660</v>
      </c>
      <c r="B7" s="392" t="s">
        <v>2678</v>
      </c>
      <c r="C7" s="393">
        <v>45931</v>
      </c>
      <c r="D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Report à nouveau</v>
      </c>
      <c r="E7" s="395" t="s">
        <v>2679</v>
      </c>
      <c r="F7" s="396" t="s">
        <v>2680</v>
      </c>
      <c r="G7" s="397"/>
      <c r="H7" s="396"/>
      <c r="I7" s="398">
        <v>1422140</v>
      </c>
      <c r="J7" s="398"/>
      <c r="K7" s="398">
        <f ca="1">+IF('[2]BROUILLARD DE CAISSE '!$C7="","",SUMIFS(INDIRECT("$K$7:K"&amp;ROW()),INDIRECT("$D$7:D"&amp;ROW()),"="&amp;"Report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0</v>
      </c>
      <c r="L7" s="399">
        <f ca="1">+IF($B7="","",SUMIFS(INDIRECT("$K$7:K"&amp;ROW()),INDIRECT("$B$7:B"&amp;ROW()),Tableau1535678910111213162523692[[#This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0</v>
      </c>
    </row>
    <row r="8" spans="1:20" s="401" customFormat="1" ht="15" x14ac:dyDescent="0.3">
      <c r="A8" s="391" t="s">
        <v>2660</v>
      </c>
      <c r="B8" s="392" t="s">
        <v>2678</v>
      </c>
      <c r="C8" s="393">
        <v>45931</v>
      </c>
      <c r="D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" s="395" t="s">
        <v>2681</v>
      </c>
      <c r="F8" s="397" t="s">
        <v>2682</v>
      </c>
      <c r="G8" s="397"/>
      <c r="I8" s="402"/>
      <c r="J8" s="402">
        <v>3500</v>
      </c>
      <c r="K8" s="398">
        <f ca="1">+IF('[2]BROUILLARD DE CAISSE '!$C8="","",SUMIFS(INDIRECT("$K$7:K"&amp;ROW()),INDIRECT("$D$7:D"&amp;ROW()),"="&amp;"Report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1418640</v>
      </c>
      <c r="L8" s="399">
        <f ca="1">+IF($B8="","",SUMIFS(INDIRECT("$K$7:K"&amp;ROW()),INDIRECT("$B$7:B"&amp;ROW()),Tableau1535678910111213162523692[[#This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1418640</v>
      </c>
    </row>
    <row r="9" spans="1:20" s="401" customFormat="1" ht="15" x14ac:dyDescent="0.3">
      <c r="A9" s="391" t="s">
        <v>2660</v>
      </c>
      <c r="B9" s="392" t="s">
        <v>2678</v>
      </c>
      <c r="C9" s="393">
        <v>45931</v>
      </c>
      <c r="D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" s="395" t="s">
        <v>2683</v>
      </c>
      <c r="F9" s="397" t="s">
        <v>2684</v>
      </c>
      <c r="G9" s="397"/>
      <c r="H9" s="401" t="s">
        <v>2685</v>
      </c>
      <c r="I9" s="402"/>
      <c r="J9" s="402">
        <v>10100</v>
      </c>
      <c r="K9" s="398">
        <f ca="1">+IF('[2]BROUILLARD DE CAISSE '!$C9="","",SUMIFS(INDIRECT("$K$7:K"&amp;ROW()),INDIRECT("$D$7:D"&amp;ROW()),"="&amp;"Report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1408540</v>
      </c>
      <c r="L9" s="399">
        <f ca="1">+IF($B9="","",SUMIFS(INDIRECT("$K$7:K"&amp;ROW()),INDIRECT("$B$7:B"&amp;ROW()),Tableau1535678910111213162523692[[#This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1408540</v>
      </c>
    </row>
    <row r="10" spans="1:20" s="401" customFormat="1" ht="15" x14ac:dyDescent="0.3">
      <c r="A10" s="391" t="s">
        <v>2660</v>
      </c>
      <c r="B10" s="392" t="s">
        <v>2678</v>
      </c>
      <c r="C10" s="393">
        <v>45931</v>
      </c>
      <c r="D1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" s="395" t="s">
        <v>2686</v>
      </c>
      <c r="F10" s="397" t="s">
        <v>2684</v>
      </c>
      <c r="G10" s="397"/>
      <c r="H10" s="401" t="s">
        <v>2687</v>
      </c>
      <c r="I10" s="402"/>
      <c r="J10" s="402">
        <v>10100</v>
      </c>
      <c r="K10" s="398">
        <f ca="1">+IF('[2]BROUILLARD DE CAISSE '!$C10="","",SUMIFS(INDIRECT("$K$7:K"&amp;ROW()),INDIRECT("$D$7:D"&amp;ROW()),"="&amp;"Report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1398440</v>
      </c>
      <c r="L10" s="399">
        <f ca="1">+IF($B10="","",SUMIFS(INDIRECT("$K$7:K"&amp;ROW()),INDIRECT("$B$7:B"&amp;ROW()),Tableau1535678910111213162523692[[#This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1398440</v>
      </c>
    </row>
    <row r="11" spans="1:20" ht="15" x14ac:dyDescent="0.3">
      <c r="A11" s="391" t="s">
        <v>2660</v>
      </c>
      <c r="B11" s="392" t="s">
        <v>2678</v>
      </c>
      <c r="C11" s="393">
        <v>45931</v>
      </c>
      <c r="D1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" s="395" t="s">
        <v>2688</v>
      </c>
      <c r="F11" s="397" t="s">
        <v>2689</v>
      </c>
      <c r="G11" s="397"/>
      <c r="H11" s="401" t="s">
        <v>2690</v>
      </c>
      <c r="I11" s="402"/>
      <c r="J11" s="402">
        <v>20200</v>
      </c>
      <c r="K11" s="398">
        <f ca="1">+IF('[2]BROUILLARD DE CAISSE '!$C11="","",SUMIFS(INDIRECT("$K$7:K"&amp;ROW()),INDIRECT("$D$7:D"&amp;ROW()),"="&amp;"Report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1378240</v>
      </c>
      <c r="L11" s="399">
        <f ca="1">+IF($B11="","",SUMIFS(INDIRECT("$K$7:K"&amp;ROW()),INDIRECT("$B$7:B"&amp;ROW()),Tableau1535678910111213162523692[[#This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1378240</v>
      </c>
      <c r="M11" s="368"/>
      <c r="R11" s="368"/>
      <c r="S11" s="368"/>
      <c r="T11" s="368"/>
    </row>
    <row r="12" spans="1:20" ht="15" x14ac:dyDescent="0.3">
      <c r="A12" s="391" t="s">
        <v>2660</v>
      </c>
      <c r="B12" s="392" t="s">
        <v>2678</v>
      </c>
      <c r="C12" s="393">
        <v>45931</v>
      </c>
      <c r="D1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2" s="395" t="s">
        <v>2679</v>
      </c>
      <c r="F12" s="397" t="s">
        <v>2691</v>
      </c>
      <c r="G12" s="397"/>
      <c r="H12" s="401"/>
      <c r="I12" s="402">
        <v>2000000</v>
      </c>
      <c r="J12" s="402"/>
      <c r="K12" s="398">
        <f ca="1">+IF('[2]BROUILLARD DE CAISSE '!$C12="","",SUMIFS(INDIRECT("$K$7:K"&amp;ROW()),INDIRECT("$D$7:D"&amp;ROW()),"="&amp;"Report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3378240</v>
      </c>
      <c r="L12" s="399">
        <f ca="1">+IF($B12="","",SUMIFS(INDIRECT("$K$7:K"&amp;ROW()),INDIRECT("$B$7:B"&amp;ROW()),Tableau1535678910111213162523692[[#This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3378240</v>
      </c>
      <c r="M12" s="368"/>
      <c r="R12" s="368"/>
      <c r="S12" s="368"/>
      <c r="T12" s="368"/>
    </row>
    <row r="13" spans="1:20" ht="15" x14ac:dyDescent="0.3">
      <c r="A13" s="391" t="s">
        <v>2660</v>
      </c>
      <c r="B13" s="392" t="s">
        <v>2678</v>
      </c>
      <c r="C13" s="393">
        <v>45931</v>
      </c>
      <c r="D1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3" s="395" t="s">
        <v>2679</v>
      </c>
      <c r="F13" s="397" t="s">
        <v>2692</v>
      </c>
      <c r="G13" s="397"/>
      <c r="H13" s="401"/>
      <c r="I13" s="402">
        <v>800000</v>
      </c>
      <c r="J13" s="402"/>
      <c r="K13" s="398">
        <f ca="1">+IF('[2]BROUILLARD DE CAISSE '!$C13="","",SUMIFS(INDIRECT("$K$7:K"&amp;ROW()),INDIRECT("$D$7:D"&amp;ROW()),"="&amp;"Report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4178240</v>
      </c>
      <c r="L13" s="399">
        <f ca="1">+IF($B13="","",SUMIFS(INDIRECT("$K$7:K"&amp;ROW()),INDIRECT("$B$7:B"&amp;ROW()),Tableau1535678910111213162523692[[#This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4178240</v>
      </c>
      <c r="M13" s="368"/>
      <c r="R13" s="368"/>
      <c r="S13" s="368"/>
      <c r="T13" s="368"/>
    </row>
    <row r="14" spans="1:20" ht="15" x14ac:dyDescent="0.3">
      <c r="A14" s="391" t="s">
        <v>2660</v>
      </c>
      <c r="B14" s="392" t="s">
        <v>2678</v>
      </c>
      <c r="C14" s="393">
        <v>45932</v>
      </c>
      <c r="D1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4" s="395" t="s">
        <v>2679</v>
      </c>
      <c r="F14" s="397" t="s">
        <v>2693</v>
      </c>
      <c r="G14" s="397"/>
      <c r="H14" s="401"/>
      <c r="I14" s="402">
        <v>235000</v>
      </c>
      <c r="J14" s="402"/>
      <c r="K14" s="398">
        <f ca="1">+IF('[2]BROUILLARD DE CAISSE '!$C14="","",SUMIFS(INDIRECT("$K$7:K"&amp;ROW()),INDIRECT("$D$7:D"&amp;ROW()),"="&amp;"Report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4413240</v>
      </c>
      <c r="L14" s="399">
        <f ca="1">+IF($B14="","",SUMIFS(INDIRECT("$K$7:K"&amp;ROW()),INDIRECT("$B$7:B"&amp;ROW()),Tableau1535678910111213162523692[[#This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4413240</v>
      </c>
      <c r="M14" s="368"/>
      <c r="R14" s="368"/>
      <c r="S14" s="368"/>
      <c r="T14" s="368"/>
    </row>
    <row r="15" spans="1:20" ht="15" x14ac:dyDescent="0.3">
      <c r="A15" s="391" t="s">
        <v>2660</v>
      </c>
      <c r="B15" s="392" t="s">
        <v>2678</v>
      </c>
      <c r="C15" s="393">
        <v>45931</v>
      </c>
      <c r="D1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" s="395" t="s">
        <v>2694</v>
      </c>
      <c r="F15" s="397" t="s">
        <v>2695</v>
      </c>
      <c r="G15" s="397"/>
      <c r="H15" s="401"/>
      <c r="I15" s="402"/>
      <c r="J15" s="402">
        <v>690000</v>
      </c>
      <c r="K15" s="398">
        <f ca="1">+IF('[2]BROUILLARD DE CAISSE '!$C15="","",SUMIFS(INDIRECT("$K$7:K"&amp;ROW()),INDIRECT("$D$7:D"&amp;ROW()),"="&amp;"Report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3723240</v>
      </c>
      <c r="L15" s="399">
        <f ca="1">+IF($B15="","",SUMIFS(INDIRECT("$K$7:K"&amp;ROW()),INDIRECT("$B$7:B"&amp;ROW()),Tableau1535678910111213162523692[[#This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3723240</v>
      </c>
      <c r="M15" s="368"/>
      <c r="R15" s="368"/>
      <c r="S15" s="368"/>
      <c r="T15" s="368"/>
    </row>
    <row r="16" spans="1:20" ht="15" x14ac:dyDescent="0.3">
      <c r="A16" s="391" t="s">
        <v>2660</v>
      </c>
      <c r="B16" s="392" t="s">
        <v>2678</v>
      </c>
      <c r="C16" s="393">
        <v>45931</v>
      </c>
      <c r="D1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" s="395" t="s">
        <v>2696</v>
      </c>
      <c r="F16" s="397" t="s">
        <v>2697</v>
      </c>
      <c r="G16" s="397"/>
      <c r="H16" s="401" t="s">
        <v>2698</v>
      </c>
      <c r="I16" s="402"/>
      <c r="J16" s="402">
        <v>20200</v>
      </c>
      <c r="K16" s="398">
        <f ca="1">+IF('[2]BROUILLARD DE CAISSE '!$C16="","",SUMIFS(INDIRECT("$K$7:K"&amp;ROW()),INDIRECT("$D$7:D"&amp;ROW()),"="&amp;"Report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3703040</v>
      </c>
      <c r="L16" s="399">
        <f ca="1">+IF($B16="","",SUMIFS(INDIRECT("$K$7:K"&amp;ROW()),INDIRECT("$B$7:B"&amp;ROW()),Tableau1535678910111213162523692[[#This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3703040</v>
      </c>
      <c r="M16" s="368"/>
      <c r="R16" s="368"/>
      <c r="S16" s="368"/>
      <c r="T16" s="368"/>
    </row>
    <row r="17" spans="1:20" ht="15" x14ac:dyDescent="0.3">
      <c r="A17" s="391" t="s">
        <v>2660</v>
      </c>
      <c r="B17" s="392" t="s">
        <v>2678</v>
      </c>
      <c r="C17" s="393">
        <v>45931</v>
      </c>
      <c r="D1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" s="395" t="s">
        <v>2683</v>
      </c>
      <c r="F17" s="397" t="s">
        <v>2699</v>
      </c>
      <c r="G17" s="397"/>
      <c r="H17" s="401" t="s">
        <v>2685</v>
      </c>
      <c r="I17" s="402"/>
      <c r="J17" s="402">
        <v>20200</v>
      </c>
      <c r="K17" s="398">
        <f ca="1">+IF('[2]BROUILLARD DE CAISSE '!$C17="","",SUMIFS(INDIRECT("$K$7:K"&amp;ROW()),INDIRECT("$D$7:D"&amp;ROW()),"="&amp;"Report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3682840</v>
      </c>
      <c r="L17" s="399">
        <f ca="1">+IF($B17="","",SUMIFS(INDIRECT("$K$7:K"&amp;ROW()),INDIRECT("$B$7:B"&amp;ROW()),Tableau1535678910111213162523692[[#This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3682840</v>
      </c>
      <c r="M17" s="368"/>
      <c r="R17" s="368"/>
      <c r="S17" s="368"/>
      <c r="T17" s="368"/>
    </row>
    <row r="18" spans="1:20" ht="15" x14ac:dyDescent="0.3">
      <c r="A18" s="391" t="s">
        <v>2660</v>
      </c>
      <c r="B18" s="392" t="s">
        <v>2678</v>
      </c>
      <c r="C18" s="393">
        <v>45931</v>
      </c>
      <c r="D1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" s="395" t="s">
        <v>2700</v>
      </c>
      <c r="F18" s="397" t="s">
        <v>2701</v>
      </c>
      <c r="G18" s="397" t="s">
        <v>2702</v>
      </c>
      <c r="H18" s="401"/>
      <c r="I18" s="402"/>
      <c r="J18" s="402">
        <v>800000</v>
      </c>
      <c r="K18" s="398">
        <f ca="1">+IF('[2]BROUILLARD DE CAISSE '!$C18="","",SUMIFS(INDIRECT("$K$7:K"&amp;ROW()),INDIRECT("$D$7:D"&amp;ROW()),"="&amp;"Report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2882840</v>
      </c>
      <c r="L18" s="399">
        <f ca="1">+IF($B18="","",SUMIFS(INDIRECT("$K$7:K"&amp;ROW()),INDIRECT("$B$7:B"&amp;ROW()),Tableau1535678910111213162523692[[#This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2882840</v>
      </c>
      <c r="M18" s="368"/>
      <c r="R18" s="368"/>
      <c r="S18" s="368"/>
      <c r="T18" s="368"/>
    </row>
    <row r="19" spans="1:20" ht="15" x14ac:dyDescent="0.3">
      <c r="A19" s="391" t="s">
        <v>2660</v>
      </c>
      <c r="B19" s="392" t="s">
        <v>2678</v>
      </c>
      <c r="C19" s="393">
        <v>45931</v>
      </c>
      <c r="D1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" s="395" t="s">
        <v>2700</v>
      </c>
      <c r="F19" s="397" t="s">
        <v>2703</v>
      </c>
      <c r="G19" s="397" t="s">
        <v>2702</v>
      </c>
      <c r="H19" s="401"/>
      <c r="I19" s="402"/>
      <c r="J19" s="402">
        <v>800000</v>
      </c>
      <c r="K19" s="398">
        <f ca="1">+IF('[2]BROUILLARD DE CAISSE '!$C19="","",SUMIFS(INDIRECT("$K$7:K"&amp;ROW()),INDIRECT("$D$7:D"&amp;ROW()),"="&amp;"Report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2082840</v>
      </c>
      <c r="L19" s="399">
        <f ca="1">+IF($B19="","",SUMIFS(INDIRECT("$K$7:K"&amp;ROW()),INDIRECT("$B$7:B"&amp;ROW()),Tableau1535678910111213162523692[[#This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2082840</v>
      </c>
      <c r="M19" s="368"/>
      <c r="R19" s="368"/>
      <c r="S19" s="368"/>
      <c r="T19" s="368"/>
    </row>
    <row r="20" spans="1:20" ht="15" x14ac:dyDescent="0.3">
      <c r="A20" s="391" t="s">
        <v>2660</v>
      </c>
      <c r="B20" s="392" t="s">
        <v>2678</v>
      </c>
      <c r="C20" s="393">
        <v>45931</v>
      </c>
      <c r="D2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" s="395" t="s">
        <v>2704</v>
      </c>
      <c r="F20" s="397" t="s">
        <v>2705</v>
      </c>
      <c r="G20" s="397"/>
      <c r="H20" s="401"/>
      <c r="I20" s="402"/>
      <c r="J20" s="402">
        <v>500000</v>
      </c>
      <c r="K20" s="398">
        <f ca="1">+IF('[2]BROUILLARD DE CAISSE '!$C20="","",SUMIFS(INDIRECT("$K$7:K"&amp;ROW()),INDIRECT("$D$7:D"&amp;ROW()),"="&amp;"Report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1582840</v>
      </c>
      <c r="L20" s="399">
        <f ca="1">+IF($B20="","",SUMIFS(INDIRECT("$K$7:K"&amp;ROW()),INDIRECT("$B$7:B"&amp;ROW()),Tableau1535678910111213162523692[[#This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1582840</v>
      </c>
      <c r="M20" s="368"/>
      <c r="R20" s="368"/>
      <c r="S20" s="368"/>
      <c r="T20" s="368"/>
    </row>
    <row r="21" spans="1:20" ht="15" x14ac:dyDescent="0.3">
      <c r="A21" s="391" t="s">
        <v>2660</v>
      </c>
      <c r="B21" s="392" t="s">
        <v>2678</v>
      </c>
      <c r="C21" s="393">
        <v>45931</v>
      </c>
      <c r="D2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" s="395" t="s">
        <v>2686</v>
      </c>
      <c r="F21" s="397" t="s">
        <v>2706</v>
      </c>
      <c r="G21" s="397"/>
      <c r="H21" s="401" t="s">
        <v>2707</v>
      </c>
      <c r="I21" s="402"/>
      <c r="J21" s="402">
        <v>10100</v>
      </c>
      <c r="K21" s="398">
        <f ca="1">+IF('[2]BROUILLARD DE CAISSE '!$C21="","",SUMIFS(INDIRECT("$K$7:K"&amp;ROW()),INDIRECT("$D$7:D"&amp;ROW()),"="&amp;"Report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1572740</v>
      </c>
      <c r="L21" s="399">
        <f ca="1">+IF($B21="","",SUMIFS(INDIRECT("$K$7:K"&amp;ROW()),INDIRECT("$B$7:B"&amp;ROW()),Tableau1535678910111213162523692[[#This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1572740</v>
      </c>
      <c r="M21" s="368"/>
      <c r="R21" s="368"/>
      <c r="S21" s="368"/>
      <c r="T21" s="368"/>
    </row>
    <row r="22" spans="1:20" ht="15" x14ac:dyDescent="0.3">
      <c r="A22" s="391" t="s">
        <v>2660</v>
      </c>
      <c r="B22" s="392" t="s">
        <v>2678</v>
      </c>
      <c r="C22" s="393">
        <v>45931</v>
      </c>
      <c r="D2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" s="395" t="s">
        <v>2708</v>
      </c>
      <c r="F22" s="397" t="s">
        <v>2709</v>
      </c>
      <c r="G22" s="397"/>
      <c r="H22" s="401"/>
      <c r="I22" s="402"/>
      <c r="J22" s="402">
        <v>1500</v>
      </c>
      <c r="K22" s="398">
        <f ca="1">+IF('[2]BROUILLARD DE CAISSE '!$C22="","",SUMIFS(INDIRECT("$K$7:K"&amp;ROW()),INDIRECT("$D$7:D"&amp;ROW()),"="&amp;"Report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1571240</v>
      </c>
      <c r="L22" s="399">
        <f ca="1">+IF($B22="","",SUMIFS(INDIRECT("$K$7:K"&amp;ROW()),INDIRECT("$B$7:B"&amp;ROW()),Tableau1535678910111213162523692[[#This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1571240</v>
      </c>
      <c r="M22" s="368"/>
      <c r="R22" s="368"/>
      <c r="S22" s="368"/>
      <c r="T22" s="368"/>
    </row>
    <row r="23" spans="1:20" ht="15" x14ac:dyDescent="0.3">
      <c r="A23" s="391" t="s">
        <v>2660</v>
      </c>
      <c r="B23" s="392" t="s">
        <v>2678</v>
      </c>
      <c r="C23" s="393">
        <v>45932</v>
      </c>
      <c r="D2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" s="395" t="s">
        <v>2710</v>
      </c>
      <c r="F23" s="397" t="s">
        <v>2711</v>
      </c>
      <c r="G23" s="397"/>
      <c r="H23" s="401"/>
      <c r="I23" s="402"/>
      <c r="J23" s="402">
        <v>45450</v>
      </c>
      <c r="K23" s="398">
        <f ca="1">+IF('[2]BROUILLARD DE CAISSE '!$C23="","",SUMIFS(INDIRECT("$K$7:K"&amp;ROW()),INDIRECT("$D$7:D"&amp;ROW()),"="&amp;"Report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1525790</v>
      </c>
      <c r="L23" s="399">
        <f ca="1">+IF($B23="","",SUMIFS(INDIRECT("$K$7:K"&amp;ROW()),INDIRECT("$B$7:B"&amp;ROW()),Tableau1535678910111213162523692[[#This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1525790</v>
      </c>
      <c r="M23" s="368"/>
      <c r="R23" s="368"/>
      <c r="S23" s="368"/>
      <c r="T23" s="368"/>
    </row>
    <row r="24" spans="1:20" ht="15" x14ac:dyDescent="0.3">
      <c r="A24" s="391" t="s">
        <v>2660</v>
      </c>
      <c r="B24" s="392" t="s">
        <v>2678</v>
      </c>
      <c r="C24" s="393">
        <v>45932</v>
      </c>
      <c r="D2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4" s="395" t="s">
        <v>2712</v>
      </c>
      <c r="F24" s="397" t="s">
        <v>2713</v>
      </c>
      <c r="G24" s="397"/>
      <c r="H24" s="401"/>
      <c r="I24" s="402"/>
      <c r="J24" s="402">
        <v>301500</v>
      </c>
      <c r="K24" s="398">
        <f ca="1">+IF('[2]BROUILLARD DE CAISSE '!$C24="","",SUMIFS(INDIRECT("$K$7:K"&amp;ROW()),INDIRECT("$D$7:D"&amp;ROW()),"="&amp;"Report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1224290</v>
      </c>
      <c r="L24" s="403">
        <f ca="1">+IF($B24="","",SUMIFS(INDIRECT("$K$7:K"&amp;ROW()),INDIRECT("$B$7:B"&amp;ROW()),Tableau1535678910111213162523692[[#This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1224290</v>
      </c>
      <c r="M24" s="368"/>
      <c r="R24" s="368"/>
      <c r="S24" s="368"/>
      <c r="T24" s="368"/>
    </row>
    <row r="25" spans="1:20" ht="15" x14ac:dyDescent="0.3">
      <c r="A25" s="391" t="s">
        <v>2660</v>
      </c>
      <c r="B25" s="392" t="s">
        <v>2678</v>
      </c>
      <c r="C25" s="393">
        <v>45932</v>
      </c>
      <c r="D2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5" s="395" t="s">
        <v>2686</v>
      </c>
      <c r="F25" s="397" t="s">
        <v>2706</v>
      </c>
      <c r="G25" s="397"/>
      <c r="H25" s="401" t="s">
        <v>2707</v>
      </c>
      <c r="I25" s="402"/>
      <c r="J25" s="402">
        <v>10100</v>
      </c>
      <c r="K25" s="398">
        <f ca="1">+IF('[2]BROUILLARD DE CAISSE '!$C25="","",SUMIFS(INDIRECT("$K$7:K"&amp;ROW()),INDIRECT("$D$7:D"&amp;ROW()),"="&amp;"Report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1214190</v>
      </c>
      <c r="L25" s="399">
        <f ca="1">+IF($B25="","",SUMIFS(INDIRECT("$K$7:K"&amp;ROW()),INDIRECT("$B$7:B"&amp;ROW()),Tableau1535678910111213162523692[[#This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1214190</v>
      </c>
      <c r="M25" s="368"/>
      <c r="R25" s="368"/>
      <c r="S25" s="368"/>
      <c r="T25" s="368"/>
    </row>
    <row r="26" spans="1:20" ht="15" x14ac:dyDescent="0.3">
      <c r="A26" s="391" t="s">
        <v>2660</v>
      </c>
      <c r="B26" s="392" t="s">
        <v>2678</v>
      </c>
      <c r="C26" s="393">
        <v>45932</v>
      </c>
      <c r="D2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6" s="395" t="s">
        <v>2714</v>
      </c>
      <c r="F26" s="397" t="s">
        <v>2715</v>
      </c>
      <c r="G26" s="397"/>
      <c r="H26" s="401"/>
      <c r="I26" s="402"/>
      <c r="J26" s="402">
        <v>2300</v>
      </c>
      <c r="K26" s="398">
        <f ca="1">+IF('[2]BROUILLARD DE CAISSE '!$C26="","",SUMIFS(INDIRECT("$K$7:K"&amp;ROW()),INDIRECT("$D$7:D"&amp;ROW()),"="&amp;"Report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1211890</v>
      </c>
      <c r="L26" s="399">
        <f ca="1">+IF($B26="","",SUMIFS(INDIRECT("$K$7:K"&amp;ROW()),INDIRECT("$B$7:B"&amp;ROW()),Tableau1535678910111213162523692[[#This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1211890</v>
      </c>
      <c r="M26" s="368"/>
      <c r="R26" s="368"/>
      <c r="S26" s="368"/>
      <c r="T26" s="368"/>
    </row>
    <row r="27" spans="1:20" ht="15" x14ac:dyDescent="0.3">
      <c r="A27" s="391" t="s">
        <v>2660</v>
      </c>
      <c r="B27" s="392" t="s">
        <v>2678</v>
      </c>
      <c r="C27" s="393">
        <v>45932</v>
      </c>
      <c r="D2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7" s="395" t="s">
        <v>2679</v>
      </c>
      <c r="F27" s="397" t="s">
        <v>2716</v>
      </c>
      <c r="G27" s="397"/>
      <c r="H27" s="401"/>
      <c r="I27" s="402">
        <v>800000</v>
      </c>
      <c r="J27" s="402"/>
      <c r="K27" s="398">
        <f ca="1">+IF('[2]BROUILLARD DE CAISSE '!$C27="","",SUMIFS(INDIRECT("$K$7:K"&amp;ROW()),INDIRECT("$D$7:D"&amp;ROW()),"="&amp;"Report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2011890</v>
      </c>
      <c r="L27" s="399">
        <f ca="1">+IF($B27="","",SUMIFS(INDIRECT("$K$7:K"&amp;ROW()),INDIRECT("$B$7:B"&amp;ROW()),Tableau1535678910111213162523692[[#This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2011890</v>
      </c>
      <c r="M27" s="368"/>
      <c r="R27" s="368"/>
      <c r="S27" s="368"/>
      <c r="T27" s="368"/>
    </row>
    <row r="28" spans="1:20" ht="15" x14ac:dyDescent="0.3">
      <c r="A28" s="391" t="s">
        <v>2660</v>
      </c>
      <c r="B28" s="392" t="s">
        <v>2678</v>
      </c>
      <c r="C28" s="393">
        <v>45932</v>
      </c>
      <c r="D2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8" s="395" t="s">
        <v>2717</v>
      </c>
      <c r="F28" s="397" t="s">
        <v>2718</v>
      </c>
      <c r="G28" s="397"/>
      <c r="H28" s="401"/>
      <c r="I28" s="402"/>
      <c r="J28" s="402">
        <v>5555</v>
      </c>
      <c r="K28" s="398">
        <f ca="1">+IF('[2]BROUILLARD DE CAISSE '!$C28="","",SUMIFS(INDIRECT("$K$7:K"&amp;ROW()),INDIRECT("$D$7:D"&amp;ROW()),"="&amp;"Report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2006335</v>
      </c>
      <c r="L28" s="399">
        <f ca="1">+IF($B28="","",SUMIFS(INDIRECT("$K$7:K"&amp;ROW()),INDIRECT("$B$7:B"&amp;ROW()),Tableau1535678910111213162523692[[#This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2006335</v>
      </c>
      <c r="M28" s="368"/>
      <c r="R28" s="368"/>
      <c r="S28" s="368"/>
      <c r="T28" s="368"/>
    </row>
    <row r="29" spans="1:20" ht="15" x14ac:dyDescent="0.3">
      <c r="A29" s="391" t="s">
        <v>2660</v>
      </c>
      <c r="B29" s="392" t="s">
        <v>2678</v>
      </c>
      <c r="C29" s="393">
        <v>45932</v>
      </c>
      <c r="D2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9" s="395" t="s">
        <v>2719</v>
      </c>
      <c r="F29" s="397" t="s">
        <v>2720</v>
      </c>
      <c r="G29" s="397"/>
      <c r="H29" s="401"/>
      <c r="I29" s="402"/>
      <c r="J29" s="402">
        <v>38089</v>
      </c>
      <c r="K29" s="398">
        <f ca="1">+IF('[2]BROUILLARD DE CAISSE '!$C29="","",SUMIFS(INDIRECT("$K$7:K"&amp;ROW()),INDIRECT("$D$7:D"&amp;ROW()),"="&amp;"Report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1968246</v>
      </c>
      <c r="L29" s="399">
        <f ca="1">+IF($B29="","",SUMIFS(INDIRECT("$K$7:K"&amp;ROW()),INDIRECT("$B$7:B"&amp;ROW()),Tableau1535678910111213162523692[[#This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1968246</v>
      </c>
      <c r="M29" s="368"/>
      <c r="R29" s="368"/>
      <c r="S29" s="368"/>
      <c r="T29" s="368"/>
    </row>
    <row r="30" spans="1:20" ht="15" x14ac:dyDescent="0.3">
      <c r="A30" s="391" t="s">
        <v>2660</v>
      </c>
      <c r="B30" s="392" t="s">
        <v>2678</v>
      </c>
      <c r="C30" s="393">
        <v>45932</v>
      </c>
      <c r="D3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0" s="395" t="s">
        <v>2694</v>
      </c>
      <c r="F30" s="397" t="s">
        <v>2721</v>
      </c>
      <c r="G30" s="397"/>
      <c r="H30" s="401"/>
      <c r="I30" s="402"/>
      <c r="J30" s="402">
        <v>20000</v>
      </c>
      <c r="K30" s="398">
        <f ca="1">+IF('[2]BROUILLARD DE CAISSE '!$C30="","",SUMIFS(INDIRECT("$K$7:K"&amp;ROW()),INDIRECT("$D$7:D"&amp;ROW()),"="&amp;"Report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1948246</v>
      </c>
      <c r="L30" s="399">
        <f ca="1">+IF($B30="","",SUMIFS(INDIRECT("$K$7:K"&amp;ROW()),INDIRECT("$B$7:B"&amp;ROW()),Tableau1535678910111213162523692[[#This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1948246</v>
      </c>
      <c r="M30" s="368"/>
      <c r="R30" s="368"/>
      <c r="S30" s="368"/>
      <c r="T30" s="368"/>
    </row>
    <row r="31" spans="1:20" ht="15" x14ac:dyDescent="0.3">
      <c r="A31" s="391" t="s">
        <v>2660</v>
      </c>
      <c r="B31" s="392" t="s">
        <v>2678</v>
      </c>
      <c r="C31" s="393">
        <v>45932</v>
      </c>
      <c r="D3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" s="395" t="s">
        <v>2708</v>
      </c>
      <c r="F31" s="397" t="s">
        <v>2722</v>
      </c>
      <c r="G31" s="397"/>
      <c r="H31" s="401"/>
      <c r="I31" s="402"/>
      <c r="J31" s="402">
        <v>4000</v>
      </c>
      <c r="K31" s="398">
        <f ca="1">+IF('[2]BROUILLARD DE CAISSE '!$C31="","",SUMIFS(INDIRECT("$K$7:K"&amp;ROW()),INDIRECT("$D$7:D"&amp;ROW()),"="&amp;"Report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1944246</v>
      </c>
      <c r="L31" s="399">
        <f ca="1">+IF($B31="","",SUMIFS(INDIRECT("$K$7:K"&amp;ROW()),INDIRECT("$B$7:B"&amp;ROW()),Tableau1535678910111213162523692[[#This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1944246</v>
      </c>
      <c r="M31" s="368"/>
      <c r="R31" s="368"/>
      <c r="S31" s="368"/>
      <c r="T31" s="368"/>
    </row>
    <row r="32" spans="1:20" ht="15" x14ac:dyDescent="0.3">
      <c r="A32" s="391" t="s">
        <v>2660</v>
      </c>
      <c r="B32" s="392" t="s">
        <v>2678</v>
      </c>
      <c r="C32" s="393">
        <v>45932</v>
      </c>
      <c r="D3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" s="395" t="s">
        <v>2723</v>
      </c>
      <c r="F32" s="397" t="s">
        <v>2724</v>
      </c>
      <c r="G32" s="397"/>
      <c r="H32" s="401"/>
      <c r="I32" s="402"/>
      <c r="J32" s="402">
        <v>119180</v>
      </c>
      <c r="K32" s="398">
        <f ca="1">+IF('[2]BROUILLARD DE CAISSE '!$C32="","",SUMIFS(INDIRECT("$K$7:K"&amp;ROW()),INDIRECT("$D$7:D"&amp;ROW()),"="&amp;"Report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1825066</v>
      </c>
      <c r="L32" s="399">
        <f ca="1">+IF($B32="","",SUMIFS(INDIRECT("$K$7:K"&amp;ROW()),INDIRECT("$B$7:B"&amp;ROW()),Tableau1535678910111213162523692[[#This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1825066</v>
      </c>
      <c r="M32" s="368"/>
      <c r="R32" s="368"/>
      <c r="S32" s="368"/>
      <c r="T32" s="368"/>
    </row>
    <row r="33" spans="1:20" ht="15" x14ac:dyDescent="0.3">
      <c r="A33" s="391" t="s">
        <v>2660</v>
      </c>
      <c r="B33" s="392" t="s">
        <v>2678</v>
      </c>
      <c r="C33" s="393">
        <v>45932</v>
      </c>
      <c r="D3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" s="395" t="s">
        <v>2725</v>
      </c>
      <c r="F33" s="397" t="s">
        <v>2726</v>
      </c>
      <c r="G33" s="397"/>
      <c r="H33" s="401"/>
      <c r="I33" s="402"/>
      <c r="J33" s="402">
        <v>16160</v>
      </c>
      <c r="K33" s="398">
        <f ca="1">+IF('[2]BROUILLARD DE CAISSE '!$C33="","",SUMIFS(INDIRECT("$K$7:K"&amp;ROW()),INDIRECT("$D$7:D"&amp;ROW()),"="&amp;"Report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1808906</v>
      </c>
      <c r="L33" s="399">
        <f ca="1">+IF($B33="","",SUMIFS(INDIRECT("$K$7:K"&amp;ROW()),INDIRECT("$B$7:B"&amp;ROW()),Tableau1535678910111213162523692[[#This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1808906</v>
      </c>
      <c r="M33" s="404"/>
      <c r="R33" s="368"/>
      <c r="S33" s="368"/>
      <c r="T33" s="368"/>
    </row>
    <row r="34" spans="1:20" ht="15" x14ac:dyDescent="0.3">
      <c r="A34" s="391" t="s">
        <v>2660</v>
      </c>
      <c r="B34" s="392" t="s">
        <v>2678</v>
      </c>
      <c r="C34" s="393">
        <v>45933</v>
      </c>
      <c r="D3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" s="395" t="s">
        <v>2727</v>
      </c>
      <c r="F34" s="397" t="s">
        <v>2728</v>
      </c>
      <c r="G34" s="397"/>
      <c r="H34" s="401" t="s">
        <v>2729</v>
      </c>
      <c r="I34" s="402"/>
      <c r="J34" s="405">
        <v>22000</v>
      </c>
      <c r="K34" s="398">
        <f ca="1">+IF('[2]BROUILLARD DE CAISSE '!$C34="","",SUMIFS(INDIRECT("$K$7:K"&amp;ROW()),INDIRECT("$D$7:D"&amp;ROW()),"="&amp;"Report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1786906</v>
      </c>
      <c r="L34" s="399">
        <f ca="1">+IF($B34="","",SUMIFS(INDIRECT("$K$7:K"&amp;ROW()),INDIRECT("$B$7:B"&amp;ROW()),Tableau1535678910111213162523692[[#This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1786906</v>
      </c>
      <c r="M34" s="368"/>
      <c r="R34" s="368"/>
      <c r="S34" s="368"/>
      <c r="T34" s="368"/>
    </row>
    <row r="35" spans="1:20" ht="15" x14ac:dyDescent="0.3">
      <c r="A35" s="391" t="s">
        <v>2660</v>
      </c>
      <c r="B35" s="392" t="s">
        <v>2678</v>
      </c>
      <c r="C35" s="393">
        <v>45933</v>
      </c>
      <c r="D3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" s="395" t="s">
        <v>2708</v>
      </c>
      <c r="F35" s="397" t="s">
        <v>2730</v>
      </c>
      <c r="G35" s="397"/>
      <c r="H35" s="401"/>
      <c r="I35" s="402"/>
      <c r="J35" s="402">
        <v>8000</v>
      </c>
      <c r="K35" s="398">
        <f ca="1">+IF('[2]BROUILLARD DE CAISSE '!$C35="","",SUMIFS(INDIRECT("$K$7:K"&amp;ROW()),INDIRECT("$D$7:D"&amp;ROW()),"="&amp;"Report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1778906</v>
      </c>
      <c r="L35" s="399">
        <f ca="1">+IF($B35="","",SUMIFS(INDIRECT("$K$7:K"&amp;ROW()),INDIRECT("$B$7:B"&amp;ROW()),Tableau1535678910111213162523692[[#This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1778906</v>
      </c>
      <c r="M35" s="368"/>
      <c r="R35" s="368"/>
      <c r="S35" s="368"/>
      <c r="T35" s="368"/>
    </row>
    <row r="36" spans="1:20" ht="15" x14ac:dyDescent="0.3">
      <c r="A36" s="391" t="s">
        <v>2660</v>
      </c>
      <c r="B36" s="392" t="s">
        <v>2678</v>
      </c>
      <c r="C36" s="393">
        <v>45933</v>
      </c>
      <c r="D3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" s="395" t="s">
        <v>2731</v>
      </c>
      <c r="F36" s="397" t="s">
        <v>2732</v>
      </c>
      <c r="G36" s="397"/>
      <c r="H36" s="401"/>
      <c r="I36" s="402"/>
      <c r="J36" s="402">
        <v>20000</v>
      </c>
      <c r="K36" s="398">
        <f ca="1">+IF('[2]BROUILLARD DE CAISSE '!$C36="","",SUMIFS(INDIRECT("$K$7:K"&amp;ROW()),INDIRECT("$D$7:D"&amp;ROW()),"="&amp;"Report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1758906</v>
      </c>
      <c r="L36" s="399">
        <f ca="1">+IF($B36="","",SUMIFS(INDIRECT("$K$7:K"&amp;ROW()),INDIRECT("$B$7:B"&amp;ROW()),Tableau1535678910111213162523692[[#This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1758906</v>
      </c>
      <c r="M36" s="368"/>
      <c r="R36" s="368"/>
      <c r="S36" s="368"/>
      <c r="T36" s="368"/>
    </row>
    <row r="37" spans="1:20" ht="15" x14ac:dyDescent="0.3">
      <c r="A37" s="391" t="s">
        <v>2660</v>
      </c>
      <c r="B37" s="392" t="s">
        <v>2678</v>
      </c>
      <c r="C37" s="393">
        <v>45933</v>
      </c>
      <c r="D3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" s="395" t="s">
        <v>2686</v>
      </c>
      <c r="F37" s="397" t="s">
        <v>2733</v>
      </c>
      <c r="G37" s="397"/>
      <c r="H37" s="401" t="s">
        <v>2707</v>
      </c>
      <c r="I37" s="402"/>
      <c r="J37" s="402">
        <v>10100</v>
      </c>
      <c r="K37" s="398">
        <f ca="1">+IF('[2]BROUILLARD DE CAISSE '!$C37="","",SUMIFS(INDIRECT("$K$7:K"&amp;ROW()),INDIRECT("$D$7:D"&amp;ROW()),"="&amp;"Report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1748806</v>
      </c>
      <c r="L37" s="399">
        <f ca="1">+IF($B37="","",SUMIFS(INDIRECT("$K$7:K"&amp;ROW()),INDIRECT("$B$7:B"&amp;ROW()),Tableau1535678910111213162523692[[#This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1748806</v>
      </c>
      <c r="M37" s="368"/>
      <c r="R37" s="368"/>
      <c r="S37" s="368"/>
      <c r="T37" s="368"/>
    </row>
    <row r="38" spans="1:20" s="412" customFormat="1" ht="15" x14ac:dyDescent="0.3">
      <c r="A38" s="391" t="s">
        <v>2660</v>
      </c>
      <c r="B38" s="392" t="s">
        <v>2678</v>
      </c>
      <c r="C38" s="406">
        <v>45933</v>
      </c>
      <c r="D3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" s="408" t="s">
        <v>2694</v>
      </c>
      <c r="F38" s="409" t="s">
        <v>2734</v>
      </c>
      <c r="G38" s="409"/>
      <c r="H38" s="410"/>
      <c r="I38" s="405"/>
      <c r="J38" s="405">
        <v>252500</v>
      </c>
      <c r="K38" s="411">
        <f ca="1">+IF('[2]BROUILLARD DE CAISSE '!$C38="","",SUMIFS(INDIRECT("$K$7:K"&amp;ROW()),INDIRECT("$D$7:D"&amp;ROW()),"="&amp;"Report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1496306</v>
      </c>
      <c r="L38" s="399">
        <f ca="1">+IF($B38="","",SUMIFS(INDIRECT("$K$7:K"&amp;ROW()),INDIRECT("$B$7:B"&amp;ROW()),Tableau1535678910111213162523692[[#This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1496306</v>
      </c>
      <c r="N38" s="413"/>
    </row>
    <row r="39" spans="1:20" ht="15" x14ac:dyDescent="0.3">
      <c r="A39" s="391" t="s">
        <v>2660</v>
      </c>
      <c r="B39" s="392" t="s">
        <v>2678</v>
      </c>
      <c r="C39" s="393">
        <v>45933</v>
      </c>
      <c r="D3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9" s="395" t="s">
        <v>2679</v>
      </c>
      <c r="F39" s="397" t="s">
        <v>2735</v>
      </c>
      <c r="G39" s="397"/>
      <c r="H39" s="401"/>
      <c r="I39" s="402">
        <v>1000000</v>
      </c>
      <c r="J39" s="402"/>
      <c r="K39" s="398">
        <f ca="1">+IF('[2]BROUILLARD DE CAISSE '!$C39="","",SUMIFS(INDIRECT("$K$7:K"&amp;ROW()),INDIRECT("$D$7:D"&amp;ROW()),"="&amp;"Report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2496306</v>
      </c>
      <c r="L39" s="399">
        <f ca="1">+IF($B39="","",SUMIFS(INDIRECT("$K$7:K"&amp;ROW()),INDIRECT("$B$7:B"&amp;ROW()),Tableau1535678910111213162523692[[#This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2496306</v>
      </c>
      <c r="M39" s="368"/>
      <c r="R39" s="368"/>
      <c r="S39" s="368"/>
      <c r="T39" s="368"/>
    </row>
    <row r="40" spans="1:20" ht="15" x14ac:dyDescent="0.3">
      <c r="A40" s="391" t="s">
        <v>2660</v>
      </c>
      <c r="B40" s="392" t="s">
        <v>2678</v>
      </c>
      <c r="C40" s="393">
        <v>45933</v>
      </c>
      <c r="D4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0" s="395" t="s">
        <v>2736</v>
      </c>
      <c r="F40" s="397" t="s">
        <v>2737</v>
      </c>
      <c r="G40" s="397"/>
      <c r="H40" s="401"/>
      <c r="I40" s="402"/>
      <c r="J40" s="402">
        <v>1000000</v>
      </c>
      <c r="K40" s="398">
        <f ca="1">+IF('[2]BROUILLARD DE CAISSE '!$C40="","",SUMIFS(INDIRECT("$K$7:K"&amp;ROW()),INDIRECT("$D$7:D"&amp;ROW()),"="&amp;"Report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1496306</v>
      </c>
      <c r="L40" s="399">
        <f ca="1">+IF($B40="","",SUMIFS(INDIRECT("$K$7:K"&amp;ROW()),INDIRECT("$B$7:B"&amp;ROW()),Tableau1535678910111213162523692[[#This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1496306</v>
      </c>
      <c r="M40" s="368"/>
      <c r="R40" s="368"/>
      <c r="S40" s="368"/>
      <c r="T40" s="368"/>
    </row>
    <row r="41" spans="1:20" ht="15" x14ac:dyDescent="0.3">
      <c r="A41" s="391" t="s">
        <v>2660</v>
      </c>
      <c r="B41" s="392" t="s">
        <v>2678</v>
      </c>
      <c r="C41" s="393">
        <v>45933</v>
      </c>
      <c r="D4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1" s="395" t="s">
        <v>2717</v>
      </c>
      <c r="F41" s="397" t="s">
        <v>2738</v>
      </c>
      <c r="G41" s="397"/>
      <c r="H41" s="401"/>
      <c r="I41" s="402"/>
      <c r="J41" s="402">
        <v>5000</v>
      </c>
      <c r="K41" s="398">
        <f ca="1">+IF('[2]BROUILLARD DE CAISSE '!$C41="","",SUMIFS(INDIRECT("$K$7:K"&amp;ROW()),INDIRECT("$D$7:D"&amp;ROW()),"="&amp;"Report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1491306</v>
      </c>
      <c r="L41" s="399">
        <f ca="1">+IF($B41="","",SUMIFS(INDIRECT("$K$7:K"&amp;ROW()),INDIRECT("$B$7:B"&amp;ROW()),Tableau1535678910111213162523692[[#This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1491306</v>
      </c>
      <c r="M41" s="368"/>
      <c r="R41" s="368"/>
      <c r="S41" s="368"/>
      <c r="T41" s="368"/>
    </row>
    <row r="42" spans="1:20" ht="15" x14ac:dyDescent="0.3">
      <c r="A42" s="391" t="s">
        <v>2660</v>
      </c>
      <c r="B42" s="392" t="s">
        <v>2678</v>
      </c>
      <c r="C42" s="393">
        <v>45933</v>
      </c>
      <c r="D4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2" s="395" t="s">
        <v>2683</v>
      </c>
      <c r="F42" s="397" t="s">
        <v>2739</v>
      </c>
      <c r="G42" s="397"/>
      <c r="H42" s="401" t="s">
        <v>2685</v>
      </c>
      <c r="I42" s="402"/>
      <c r="J42" s="402">
        <v>119180</v>
      </c>
      <c r="K42" s="398">
        <f ca="1">+IF('[2]BROUILLARD DE CAISSE '!$C42="","",SUMIFS(INDIRECT("$K$7:K"&amp;ROW()),INDIRECT("$D$7:D"&amp;ROW()),"="&amp;"Report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1372126</v>
      </c>
      <c r="L42" s="399">
        <f ca="1">+IF($B42="","",SUMIFS(INDIRECT("$K$7:K"&amp;ROW()),INDIRECT("$B$7:B"&amp;ROW()),Tableau1535678910111213162523692[[#This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1372126</v>
      </c>
      <c r="M42" s="368"/>
      <c r="R42" s="368"/>
      <c r="S42" s="368"/>
      <c r="T42" s="368"/>
    </row>
    <row r="43" spans="1:20" ht="15" x14ac:dyDescent="0.3">
      <c r="A43" s="391" t="s">
        <v>2660</v>
      </c>
      <c r="B43" s="392" t="s">
        <v>2678</v>
      </c>
      <c r="C43" s="393">
        <v>45933</v>
      </c>
      <c r="D4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3" s="395" t="s">
        <v>2710</v>
      </c>
      <c r="F43" s="397" t="s">
        <v>2740</v>
      </c>
      <c r="G43" s="397"/>
      <c r="H43" s="401" t="s">
        <v>2741</v>
      </c>
      <c r="I43" s="402"/>
      <c r="J43" s="402">
        <v>10100</v>
      </c>
      <c r="K43" s="398">
        <f ca="1">+IF('[2]BROUILLARD DE CAISSE '!$C43="","",SUMIFS(INDIRECT("$K$7:K"&amp;ROW()),INDIRECT("$D$7:D"&amp;ROW()),"="&amp;"Report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1362026</v>
      </c>
      <c r="L43" s="399">
        <f ca="1">+IF($B43="","",SUMIFS(INDIRECT("$K$7:K"&amp;ROW()),INDIRECT("$B$7:B"&amp;ROW()),Tableau1535678910111213162523692[[#This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1362026</v>
      </c>
      <c r="M43" s="368"/>
      <c r="R43" s="368"/>
      <c r="S43" s="368"/>
      <c r="T43" s="368"/>
    </row>
    <row r="44" spans="1:20" ht="15.6" customHeight="1" x14ac:dyDescent="0.3">
      <c r="A44" s="391" t="s">
        <v>2660</v>
      </c>
      <c r="B44" s="392" t="s">
        <v>2678</v>
      </c>
      <c r="C44" s="393">
        <v>45933</v>
      </c>
      <c r="D4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4" s="395" t="s">
        <v>2742</v>
      </c>
      <c r="F44" s="397" t="s">
        <v>2743</v>
      </c>
      <c r="G44" s="397"/>
      <c r="H44" s="401" t="s">
        <v>2687</v>
      </c>
      <c r="I44" s="402"/>
      <c r="J44" s="402">
        <v>15150</v>
      </c>
      <c r="K44" s="398">
        <f ca="1">+IF('[2]BROUILLARD DE CAISSE '!$C44="","",SUMIFS(INDIRECT("$K$7:K"&amp;ROW()),INDIRECT("$D$7:D"&amp;ROW()),"="&amp;"Report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1346876</v>
      </c>
      <c r="L44" s="399">
        <f ca="1">+IF($B44="","",SUMIFS(INDIRECT("$K$7:K"&amp;ROW()),INDIRECT("$B$7:B"&amp;ROW()),Tableau1535678910111213162523692[[#This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1346876</v>
      </c>
      <c r="M44" s="368"/>
      <c r="R44" s="368"/>
      <c r="S44" s="368"/>
      <c r="T44" s="368"/>
    </row>
    <row r="45" spans="1:20" ht="15" x14ac:dyDescent="0.3">
      <c r="A45" s="391" t="s">
        <v>2660</v>
      </c>
      <c r="B45" s="392" t="s">
        <v>2678</v>
      </c>
      <c r="C45" s="393">
        <v>45933</v>
      </c>
      <c r="D4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5" s="395" t="s">
        <v>2744</v>
      </c>
      <c r="F45" s="397" t="s">
        <v>2745</v>
      </c>
      <c r="G45" s="397"/>
      <c r="H45" s="401" t="s">
        <v>2746</v>
      </c>
      <c r="I45" s="402"/>
      <c r="J45" s="402">
        <v>70700</v>
      </c>
      <c r="K45" s="398">
        <f ca="1">+IF('[2]BROUILLARD DE CAISSE '!$C45="","",SUMIFS(INDIRECT("$K$7:K"&amp;ROW()),INDIRECT("$D$7:D"&amp;ROW()),"="&amp;"Report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1276176</v>
      </c>
      <c r="L45" s="399">
        <f ca="1">+IF($B45="","",SUMIFS(INDIRECT("$K$7:K"&amp;ROW()),INDIRECT("$B$7:B"&amp;ROW()),Tableau1535678910111213162523692[[#This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1276176</v>
      </c>
      <c r="M45" s="368"/>
      <c r="R45" s="368"/>
      <c r="S45" s="368"/>
      <c r="T45" s="368"/>
    </row>
    <row r="46" spans="1:20" ht="30" x14ac:dyDescent="0.3">
      <c r="A46" s="391" t="s">
        <v>2660</v>
      </c>
      <c r="B46" s="392" t="s">
        <v>2678</v>
      </c>
      <c r="C46" s="393">
        <v>45934</v>
      </c>
      <c r="D4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6" s="395" t="s">
        <v>2747</v>
      </c>
      <c r="F46" s="397" t="s">
        <v>2748</v>
      </c>
      <c r="G46" s="397"/>
      <c r="H46" s="401"/>
      <c r="I46" s="402"/>
      <c r="J46" s="402">
        <v>10000</v>
      </c>
      <c r="K46" s="398">
        <f ca="1">+IF('[2]BROUILLARD DE CAISSE '!$C46="","",SUMIFS(INDIRECT("$K$7:K"&amp;ROW()),INDIRECT("$D$7:D"&amp;ROW()),"="&amp;"Report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1266176</v>
      </c>
      <c r="L46" s="399">
        <f ca="1">+IF($B46="","",SUMIFS(INDIRECT("$K$7:K"&amp;ROW()),INDIRECT("$B$7:B"&amp;ROW()),Tableau1535678910111213162523692[[#This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1266176</v>
      </c>
      <c r="M46" s="368"/>
      <c r="R46" s="368"/>
      <c r="S46" s="368"/>
      <c r="T46" s="368"/>
    </row>
    <row r="47" spans="1:20" ht="30" x14ac:dyDescent="0.3">
      <c r="A47" s="391" t="s">
        <v>2660</v>
      </c>
      <c r="B47" s="392" t="s">
        <v>2678</v>
      </c>
      <c r="C47" s="393">
        <v>45934</v>
      </c>
      <c r="D4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7" s="395" t="s">
        <v>2749</v>
      </c>
      <c r="F47" s="397" t="s">
        <v>2750</v>
      </c>
      <c r="G47" s="397"/>
      <c r="H47" s="401" t="s">
        <v>2751</v>
      </c>
      <c r="I47" s="402"/>
      <c r="J47" s="402">
        <v>101000</v>
      </c>
      <c r="K47" s="398">
        <f ca="1">+IF('[2]BROUILLARD DE CAISSE '!$C47="","",SUMIFS(INDIRECT("$K$7:K"&amp;ROW()),INDIRECT("$D$7:D"&amp;ROW()),"="&amp;"Report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1165176</v>
      </c>
      <c r="L47" s="399">
        <f ca="1">+IF($B47="","",SUMIFS(INDIRECT("$K$7:K"&amp;ROW()),INDIRECT("$B$7:B"&amp;ROW()),Tableau1535678910111213162523692[[#This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1165176</v>
      </c>
      <c r="M47" s="368"/>
      <c r="R47" s="368"/>
      <c r="S47" s="368"/>
      <c r="T47" s="368"/>
    </row>
    <row r="48" spans="1:20" ht="30" x14ac:dyDescent="0.3">
      <c r="A48" s="391" t="s">
        <v>2660</v>
      </c>
      <c r="B48" s="392" t="s">
        <v>2678</v>
      </c>
      <c r="C48" s="393">
        <v>45934</v>
      </c>
      <c r="D4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8" s="395" t="s">
        <v>2696</v>
      </c>
      <c r="F48" s="397" t="s">
        <v>2752</v>
      </c>
      <c r="G48" s="397"/>
      <c r="H48" s="401" t="s">
        <v>2698</v>
      </c>
      <c r="I48" s="402"/>
      <c r="J48" s="402">
        <v>25250</v>
      </c>
      <c r="K48" s="398">
        <f ca="1">+IF('[2]BROUILLARD DE CAISSE '!$C48="","",SUMIFS(INDIRECT("$K$7:K"&amp;ROW()),INDIRECT("$D$7:D"&amp;ROW()),"="&amp;"Report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1139926</v>
      </c>
      <c r="L48" s="403">
        <f ca="1">+IF($B48="","",SUMIFS(INDIRECT("$K$7:K"&amp;ROW()),INDIRECT("$B$7:B"&amp;ROW()),Tableau1535678910111213162523692[[#This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1139926</v>
      </c>
      <c r="M48" s="368"/>
      <c r="R48" s="368"/>
      <c r="S48" s="368"/>
      <c r="T48" s="368"/>
    </row>
    <row r="49" spans="1:20" ht="30" x14ac:dyDescent="0.3">
      <c r="A49" s="391" t="s">
        <v>2660</v>
      </c>
      <c r="B49" s="392" t="s">
        <v>2678</v>
      </c>
      <c r="C49" s="393">
        <v>45934</v>
      </c>
      <c r="D4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49" s="395" t="s">
        <v>2753</v>
      </c>
      <c r="F49" s="397" t="s">
        <v>2754</v>
      </c>
      <c r="G49" s="397"/>
      <c r="H49" s="401" t="s">
        <v>2751</v>
      </c>
      <c r="I49" s="402"/>
      <c r="J49" s="402">
        <v>102515</v>
      </c>
      <c r="K49" s="398">
        <f ca="1">+IF('[2]BROUILLARD DE CAISSE '!$C49="","",SUMIFS(INDIRECT("$K$7:K"&amp;ROW()),INDIRECT("$D$7:D"&amp;ROW()),"="&amp;"Report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1037411</v>
      </c>
      <c r="L49" s="403">
        <f ca="1">+IF($B49="","",SUMIFS(INDIRECT("$K$7:K"&amp;ROW()),INDIRECT("$B$7:B"&amp;ROW()),Tableau1535678910111213162523692[[#This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1037411</v>
      </c>
      <c r="M49" s="368"/>
      <c r="R49" s="368"/>
      <c r="S49" s="368"/>
      <c r="T49" s="368"/>
    </row>
    <row r="50" spans="1:20" ht="30" x14ac:dyDescent="0.3">
      <c r="A50" s="391" t="s">
        <v>2660</v>
      </c>
      <c r="B50" s="392" t="s">
        <v>2678</v>
      </c>
      <c r="C50" s="393">
        <v>45934</v>
      </c>
      <c r="D5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50" s="395" t="s">
        <v>2679</v>
      </c>
      <c r="F50" s="397" t="s">
        <v>2755</v>
      </c>
      <c r="G50" s="397"/>
      <c r="H50" s="401"/>
      <c r="I50" s="402">
        <v>3000000</v>
      </c>
      <c r="J50" s="402"/>
      <c r="K50" s="398">
        <f ca="1">+IF('[2]BROUILLARD DE CAISSE '!$C50="","",SUMIFS(INDIRECT("$K$7:K"&amp;ROW()),INDIRECT("$D$7:D"&amp;ROW()),"="&amp;"Report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4037411</v>
      </c>
      <c r="L50" s="403">
        <f ca="1">+IF($B50="","",SUMIFS(INDIRECT("$K$7:K"&amp;ROW()),INDIRECT("$B$7:B"&amp;ROW()),Tableau1535678910111213162523692[[#This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4037411</v>
      </c>
      <c r="M50" s="368"/>
      <c r="R50" s="368"/>
      <c r="S50" s="368"/>
      <c r="T50" s="368"/>
    </row>
    <row r="51" spans="1:20" ht="30" x14ac:dyDescent="0.3">
      <c r="A51" s="391" t="s">
        <v>2660</v>
      </c>
      <c r="B51" s="392" t="s">
        <v>2678</v>
      </c>
      <c r="C51" s="393">
        <v>45934</v>
      </c>
      <c r="D5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1" s="395" t="s">
        <v>2756</v>
      </c>
      <c r="F51" s="397" t="s">
        <v>2757</v>
      </c>
      <c r="G51" s="397"/>
      <c r="H51" s="401"/>
      <c r="I51" s="402"/>
      <c r="J51" s="402">
        <v>303000</v>
      </c>
      <c r="K51" s="398">
        <f ca="1">+IF('[2]BROUILLARD DE CAISSE '!$C51="","",SUMIFS(INDIRECT("$K$7:K"&amp;ROW()),INDIRECT("$D$7:D"&amp;ROW()),"="&amp;"Report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3734411</v>
      </c>
      <c r="L51" s="403">
        <f ca="1">+IF($B51="","",SUMIFS(INDIRECT("$K$7:K"&amp;ROW()),INDIRECT("$B$7:B"&amp;ROW()),Tableau1535678910111213162523692[[#This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3734411</v>
      </c>
      <c r="M51" s="368"/>
      <c r="R51" s="368"/>
      <c r="S51" s="368"/>
      <c r="T51" s="368"/>
    </row>
    <row r="52" spans="1:20" ht="30" x14ac:dyDescent="0.3">
      <c r="A52" s="391" t="s">
        <v>2660</v>
      </c>
      <c r="B52" s="392" t="s">
        <v>2678</v>
      </c>
      <c r="C52" s="393">
        <v>45934</v>
      </c>
      <c r="D5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2" s="395" t="s">
        <v>2758</v>
      </c>
      <c r="F52" s="397" t="s">
        <v>2759</v>
      </c>
      <c r="G52" s="397"/>
      <c r="H52" s="401"/>
      <c r="I52" s="402"/>
      <c r="J52" s="402">
        <v>126680</v>
      </c>
      <c r="K52" s="398">
        <f ca="1">+IF('[2]BROUILLARD DE CAISSE '!$C52="","",SUMIFS(INDIRECT("$K$7:K"&amp;ROW()),INDIRECT("$D$7:D"&amp;ROW()),"="&amp;"Report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3607731</v>
      </c>
      <c r="L52" s="399">
        <f ca="1">+IF($B52="","",SUMIFS(INDIRECT("$K$7:K"&amp;ROW()),INDIRECT("$B$7:B"&amp;ROW()),Tableau1535678910111213162523692[[#This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3607731</v>
      </c>
      <c r="M52" s="368"/>
      <c r="R52" s="368"/>
      <c r="S52" s="368"/>
      <c r="T52" s="368"/>
    </row>
    <row r="53" spans="1:20" ht="30" x14ac:dyDescent="0.3">
      <c r="A53" s="391" t="s">
        <v>2660</v>
      </c>
      <c r="B53" s="392" t="s">
        <v>2678</v>
      </c>
      <c r="C53" s="393">
        <v>45934</v>
      </c>
      <c r="D5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3" s="395" t="s">
        <v>2714</v>
      </c>
      <c r="F53" s="397" t="s">
        <v>2709</v>
      </c>
      <c r="G53" s="397"/>
      <c r="H53" s="401"/>
      <c r="I53" s="402"/>
      <c r="J53" s="402">
        <v>3000</v>
      </c>
      <c r="K53" s="398">
        <f ca="1">+IF('[2]BROUILLARD DE CAISSE '!$C53="","",SUMIFS(INDIRECT("$K$7:K"&amp;ROW()),INDIRECT("$D$7:D"&amp;ROW()),"="&amp;"Report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3604731</v>
      </c>
      <c r="L53" s="403">
        <f ca="1">+IF($B53="","",SUMIFS(INDIRECT("$K$7:K"&amp;ROW()),INDIRECT("$B$7:B"&amp;ROW()),Tableau1535678910111213162523692[[#This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3604731</v>
      </c>
      <c r="M53" s="368"/>
      <c r="R53" s="368"/>
      <c r="S53" s="368"/>
      <c r="T53" s="368"/>
    </row>
    <row r="54" spans="1:20" ht="30" x14ac:dyDescent="0.3">
      <c r="A54" s="391" t="s">
        <v>2660</v>
      </c>
      <c r="B54" s="392" t="s">
        <v>2678</v>
      </c>
      <c r="C54" s="393">
        <v>45934</v>
      </c>
      <c r="D5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4" s="395" t="s">
        <v>2747</v>
      </c>
      <c r="F54" s="397" t="s">
        <v>2760</v>
      </c>
      <c r="G54" s="397"/>
      <c r="H54" s="401"/>
      <c r="I54" s="402"/>
      <c r="J54" s="402">
        <v>20000</v>
      </c>
      <c r="K54" s="398">
        <f ca="1">+IF('[2]BROUILLARD DE CAISSE '!$C54="","",SUMIFS(INDIRECT("$K$7:K"&amp;ROW()),INDIRECT("$D$7:D"&amp;ROW()),"="&amp;"Report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3584731</v>
      </c>
      <c r="L54" s="403">
        <f ca="1">+IF($B54="","",SUMIFS(INDIRECT("$K$7:K"&amp;ROW()),INDIRECT("$B$7:B"&amp;ROW()),Tableau1535678910111213162523692[[#This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3584731</v>
      </c>
      <c r="M54" s="368"/>
      <c r="R54" s="368"/>
      <c r="S54" s="368"/>
      <c r="T54" s="368"/>
    </row>
    <row r="55" spans="1:20" ht="30" x14ac:dyDescent="0.3">
      <c r="A55" s="391" t="s">
        <v>2660</v>
      </c>
      <c r="B55" s="392" t="s">
        <v>2678</v>
      </c>
      <c r="C55" s="393">
        <v>45934</v>
      </c>
      <c r="D5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5" s="395" t="s">
        <v>2747</v>
      </c>
      <c r="F55" s="397" t="s">
        <v>2761</v>
      </c>
      <c r="G55" s="397"/>
      <c r="H55" s="401"/>
      <c r="I55" s="402"/>
      <c r="J55" s="402">
        <v>140000</v>
      </c>
      <c r="K55" s="398">
        <f ca="1">+IF('[2]BROUILLARD DE CAISSE '!$C55="","",SUMIFS(INDIRECT("$K$7:K"&amp;ROW()),INDIRECT("$D$7:D"&amp;ROW()),"="&amp;"Report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3444731</v>
      </c>
      <c r="L55" s="399">
        <f ca="1">+IF($B55="","",SUMIFS(INDIRECT("$K$7:K"&amp;ROW()),INDIRECT("$B$7:B"&amp;ROW()),Tableau1535678910111213162523692[[#This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3444731</v>
      </c>
      <c r="M55" s="368"/>
      <c r="R55" s="368"/>
      <c r="S55" s="368"/>
      <c r="T55" s="368"/>
    </row>
    <row r="56" spans="1:20" ht="30" x14ac:dyDescent="0.3">
      <c r="A56" s="391" t="s">
        <v>2660</v>
      </c>
      <c r="B56" s="392" t="s">
        <v>2678</v>
      </c>
      <c r="C56" s="393">
        <v>45934</v>
      </c>
      <c r="D5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6" s="395" t="s">
        <v>2762</v>
      </c>
      <c r="F56" s="397" t="s">
        <v>2763</v>
      </c>
      <c r="G56" s="397"/>
      <c r="H56" s="401"/>
      <c r="I56" s="402"/>
      <c r="J56" s="402">
        <v>10100</v>
      </c>
      <c r="K56" s="398">
        <f ca="1">+IF('[2]BROUILLARD DE CAISSE '!$C56="","",SUMIFS(INDIRECT("$K$7:K"&amp;ROW()),INDIRECT("$D$7:D"&amp;ROW()),"="&amp;"Report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3434631</v>
      </c>
      <c r="L56" s="399">
        <f ca="1">+IF($B56="","",SUMIFS(INDIRECT("$K$7:K"&amp;ROW()),INDIRECT("$B$7:B"&amp;ROW()),Tableau1535678910111213162523692[[#This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3434631</v>
      </c>
      <c r="M56" s="368"/>
      <c r="R56" s="368"/>
      <c r="S56" s="368"/>
      <c r="T56" s="368"/>
    </row>
    <row r="57" spans="1:20" ht="30" x14ac:dyDescent="0.3">
      <c r="A57" s="391" t="s">
        <v>2660</v>
      </c>
      <c r="B57" s="392" t="s">
        <v>2678</v>
      </c>
      <c r="C57" s="393">
        <v>45934</v>
      </c>
      <c r="D5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7" s="395" t="s">
        <v>2764</v>
      </c>
      <c r="F57" s="397" t="s">
        <v>2765</v>
      </c>
      <c r="G57" s="397"/>
      <c r="H57" s="401"/>
      <c r="I57" s="402"/>
      <c r="J57" s="402">
        <v>9000</v>
      </c>
      <c r="K57" s="398">
        <f ca="1">+IF('[2]BROUILLARD DE CAISSE '!$C57="","",SUMIFS(INDIRECT("$K$7:K"&amp;ROW()),INDIRECT("$D$7:D"&amp;ROW()),"="&amp;"Report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3425631</v>
      </c>
      <c r="L57" s="403">
        <f ca="1">+IF($B57="","",SUMIFS(INDIRECT("$K$7:K"&amp;ROW()),INDIRECT("$B$7:B"&amp;ROW()),Tableau1535678910111213162523692[[#This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3425631</v>
      </c>
      <c r="M57" s="368"/>
      <c r="R57" s="368"/>
      <c r="S57" s="368"/>
      <c r="T57" s="368"/>
    </row>
    <row r="58" spans="1:20" ht="30" x14ac:dyDescent="0.3">
      <c r="A58" s="391" t="s">
        <v>2660</v>
      </c>
      <c r="B58" s="392" t="s">
        <v>2678</v>
      </c>
      <c r="C58" s="406">
        <v>45934</v>
      </c>
      <c r="D5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8" s="408" t="s">
        <v>2766</v>
      </c>
      <c r="F58" s="409" t="s">
        <v>2767</v>
      </c>
      <c r="G58" s="409"/>
      <c r="H58" s="410"/>
      <c r="I58" s="405"/>
      <c r="J58" s="405">
        <v>250000</v>
      </c>
      <c r="K58" s="411">
        <f ca="1">+IF('[2]BROUILLARD DE CAISSE '!$C58="","",SUMIFS(INDIRECT("$K$7:K"&amp;ROW()),INDIRECT("$D$7:D"&amp;ROW()),"="&amp;"Report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3175631</v>
      </c>
      <c r="L58" s="414">
        <f ca="1">+IF($B58="","",SUMIFS(INDIRECT("$K$7:K"&amp;ROW()),INDIRECT("$B$7:B"&amp;ROW()),Tableau1535678910111213162523692[[#This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3175631</v>
      </c>
      <c r="M58" s="368"/>
      <c r="R58" s="368"/>
      <c r="S58" s="368"/>
      <c r="T58" s="368"/>
    </row>
    <row r="59" spans="1:20" s="412" customFormat="1" ht="30" x14ac:dyDescent="0.3">
      <c r="A59" s="391" t="s">
        <v>2660</v>
      </c>
      <c r="B59" s="392" t="s">
        <v>2678</v>
      </c>
      <c r="C59" s="406">
        <v>45935</v>
      </c>
      <c r="D5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59" s="408" t="s">
        <v>2768</v>
      </c>
      <c r="F59" s="409" t="s">
        <v>2769</v>
      </c>
      <c r="G59" s="409"/>
      <c r="H59" s="410" t="s">
        <v>2690</v>
      </c>
      <c r="I59" s="405"/>
      <c r="J59" s="405">
        <v>88120</v>
      </c>
      <c r="K59" s="411">
        <f ca="1">+IF('[2]BROUILLARD DE CAISSE '!$C59="","",SUMIFS(INDIRECT("$K$7:K"&amp;ROW()),INDIRECT("$D$7:D"&amp;ROW()),"="&amp;"Report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3087511</v>
      </c>
      <c r="L59" s="414">
        <f ca="1">+IF($B59="","",SUMIFS(INDIRECT("$K$7:K"&amp;ROW()),INDIRECT("$B$7:B"&amp;ROW()),Tableau1535678910111213162523692[[#This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3087511</v>
      </c>
    </row>
    <row r="60" spans="1:20" ht="30" x14ac:dyDescent="0.3">
      <c r="A60" s="391" t="s">
        <v>2660</v>
      </c>
      <c r="B60" s="392" t="s">
        <v>2678</v>
      </c>
      <c r="C60" s="406">
        <v>45936</v>
      </c>
      <c r="D6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60" s="408" t="s">
        <v>2679</v>
      </c>
      <c r="F60" s="397" t="s">
        <v>2735</v>
      </c>
      <c r="G60" s="409"/>
      <c r="H60" s="410"/>
      <c r="I60" s="405">
        <v>1000000</v>
      </c>
      <c r="J60" s="405"/>
      <c r="K60" s="411">
        <f ca="1">+IF('[2]BROUILLARD DE CAISSE '!$C60="","",SUMIFS(INDIRECT("$K$7:K"&amp;ROW()),INDIRECT("$D$7:D"&amp;ROW()),"="&amp;"Report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4087511</v>
      </c>
      <c r="L60" s="414">
        <f ca="1">+IF($B60="","",SUMIFS(INDIRECT("$K$7:K"&amp;ROW()),INDIRECT("$B$7:B"&amp;ROW()),Tableau1535678910111213162523692[[#This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4087511</v>
      </c>
      <c r="M60" s="368"/>
      <c r="R60" s="368"/>
      <c r="S60" s="368"/>
      <c r="T60" s="368"/>
    </row>
    <row r="61" spans="1:20" ht="30" x14ac:dyDescent="0.3">
      <c r="A61" s="391" t="s">
        <v>2660</v>
      </c>
      <c r="B61" s="392" t="s">
        <v>2678</v>
      </c>
      <c r="C61" s="406">
        <v>45936</v>
      </c>
      <c r="D6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1" s="408" t="s">
        <v>2749</v>
      </c>
      <c r="F61" s="409" t="s">
        <v>2770</v>
      </c>
      <c r="G61" s="409"/>
      <c r="H61" s="410"/>
      <c r="I61" s="405"/>
      <c r="J61" s="405">
        <v>1000000</v>
      </c>
      <c r="K61" s="411">
        <f ca="1">+IF('[2]BROUILLARD DE CAISSE '!$C61="","",SUMIFS(INDIRECT("$K$7:K"&amp;ROW()),INDIRECT("$D$7:D"&amp;ROW()),"="&amp;"Report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3087511</v>
      </c>
      <c r="L61" s="414">
        <f ca="1">+IF($B61="","",SUMIFS(INDIRECT("$K$7:K"&amp;ROW()),INDIRECT("$B$7:B"&amp;ROW()),Tableau1535678910111213162523692[[#This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3087511</v>
      </c>
      <c r="M61" s="368"/>
      <c r="R61" s="368"/>
      <c r="S61" s="368"/>
      <c r="T61" s="368"/>
    </row>
    <row r="62" spans="1:20" ht="30" x14ac:dyDescent="0.3">
      <c r="A62" s="391" t="s">
        <v>2660</v>
      </c>
      <c r="B62" s="392" t="s">
        <v>2678</v>
      </c>
      <c r="C62" s="406">
        <v>45936</v>
      </c>
      <c r="D6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2" s="408" t="s">
        <v>2771</v>
      </c>
      <c r="F62" s="409" t="s">
        <v>2772</v>
      </c>
      <c r="G62" s="409"/>
      <c r="H62" s="410"/>
      <c r="I62" s="405"/>
      <c r="J62" s="405">
        <v>338350</v>
      </c>
      <c r="K62" s="411">
        <f ca="1">+IF('[2]BROUILLARD DE CAISSE '!$C62="","",SUMIFS(INDIRECT("$K$7:K"&amp;ROW()),INDIRECT("$D$7:D"&amp;ROW()),"="&amp;"Report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2749161</v>
      </c>
      <c r="L62" s="414">
        <f ca="1">+IF($B62="","",SUMIFS(INDIRECT("$K$7:K"&amp;ROW()),INDIRECT("$B$7:B"&amp;ROW()),Tableau1535678910111213162523692[[#This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2749161</v>
      </c>
      <c r="M62" s="368"/>
      <c r="R62" s="368"/>
      <c r="S62" s="368"/>
      <c r="T62" s="368"/>
    </row>
    <row r="63" spans="1:20" ht="30" x14ac:dyDescent="0.3">
      <c r="A63" s="391" t="s">
        <v>2660</v>
      </c>
      <c r="B63" s="392" t="s">
        <v>2678</v>
      </c>
      <c r="C63" s="406">
        <v>45936</v>
      </c>
      <c r="D6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3" s="408" t="s">
        <v>2773</v>
      </c>
      <c r="F63" s="409" t="s">
        <v>2774</v>
      </c>
      <c r="G63" s="409"/>
      <c r="H63" s="410"/>
      <c r="I63" s="405"/>
      <c r="J63" s="405">
        <v>22000</v>
      </c>
      <c r="K63" s="411">
        <f ca="1">+IF('[2]BROUILLARD DE CAISSE '!$C63="","",SUMIFS(INDIRECT("$K$7:K"&amp;ROW()),INDIRECT("$D$7:D"&amp;ROW()),"="&amp;"Report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2727161</v>
      </c>
      <c r="L63" s="414">
        <f ca="1">+IF($B63="","",SUMIFS(INDIRECT("$K$7:K"&amp;ROW()),INDIRECT("$B$7:B"&amp;ROW()),Tableau1535678910111213162523692[[#This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2727161</v>
      </c>
      <c r="M63" s="368"/>
      <c r="R63" s="368"/>
      <c r="S63" s="368"/>
      <c r="T63" s="368"/>
    </row>
    <row r="64" spans="1:20" ht="30" x14ac:dyDescent="0.3">
      <c r="A64" s="391" t="s">
        <v>2660</v>
      </c>
      <c r="B64" s="392" t="s">
        <v>2678</v>
      </c>
      <c r="C64" s="406">
        <v>45936</v>
      </c>
      <c r="D6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4" s="395" t="s">
        <v>2775</v>
      </c>
      <c r="F64" s="397" t="s">
        <v>2776</v>
      </c>
      <c r="G64" s="397"/>
      <c r="H64" s="401"/>
      <c r="I64" s="402"/>
      <c r="J64" s="402">
        <f>202000+202000+101000+50000</f>
        <v>555000</v>
      </c>
      <c r="K64" s="398">
        <f ca="1">+IF('[2]BROUILLARD DE CAISSE '!$C64="","",SUMIFS(INDIRECT("$K$7:K"&amp;ROW()),INDIRECT("$D$7:D"&amp;ROW()),"="&amp;"Report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2172161</v>
      </c>
      <c r="L64" s="403">
        <f ca="1">+IF($B64="","",SUMIFS(INDIRECT("$K$7:K"&amp;ROW()),INDIRECT("$B$7:B"&amp;ROW()),Tableau1535678910111213162523692[[#This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2172161</v>
      </c>
      <c r="M64" s="368"/>
      <c r="R64" s="368"/>
      <c r="S64" s="368"/>
      <c r="T64" s="368"/>
    </row>
    <row r="65" spans="1:20" ht="30" x14ac:dyDescent="0.3">
      <c r="A65" s="391" t="s">
        <v>2660</v>
      </c>
      <c r="B65" s="392" t="s">
        <v>2678</v>
      </c>
      <c r="C65" s="393">
        <v>45936</v>
      </c>
      <c r="D6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5" s="395" t="s">
        <v>2777</v>
      </c>
      <c r="F65" s="397" t="s">
        <v>2778</v>
      </c>
      <c r="G65" s="397"/>
      <c r="H65" s="401"/>
      <c r="I65" s="402"/>
      <c r="J65" s="402">
        <v>80800</v>
      </c>
      <c r="K65" s="398">
        <f ca="1">+IF('[2]BROUILLARD DE CAISSE '!$C65="","",SUMIFS(INDIRECT("$K$7:K"&amp;ROW()),INDIRECT("$D$7:D"&amp;ROW()),"="&amp;"Report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2091361</v>
      </c>
      <c r="L65" s="403">
        <f ca="1">+IF($B65="","",SUMIFS(INDIRECT("$K$7:K"&amp;ROW()),INDIRECT("$B$7:B"&amp;ROW()),Tableau1535678910111213162523692[[#This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2091361</v>
      </c>
      <c r="M65" s="368"/>
      <c r="R65" s="368"/>
      <c r="S65" s="368"/>
      <c r="T65" s="368"/>
    </row>
    <row r="66" spans="1:20" ht="30" x14ac:dyDescent="0.3">
      <c r="A66" s="391" t="s">
        <v>2660</v>
      </c>
      <c r="B66" s="392" t="s">
        <v>2678</v>
      </c>
      <c r="C66" s="393">
        <v>45936</v>
      </c>
      <c r="D6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6" s="395" t="s">
        <v>2779</v>
      </c>
      <c r="F66" s="397" t="s">
        <v>2780</v>
      </c>
      <c r="G66" s="397"/>
      <c r="H66" s="401" t="s">
        <v>2781</v>
      </c>
      <c r="I66" s="402"/>
      <c r="J66" s="402">
        <v>13635</v>
      </c>
      <c r="K66" s="398">
        <f ca="1">+IF('[2]BROUILLARD DE CAISSE '!$C66="","",SUMIFS(INDIRECT("$K$7:K"&amp;ROW()),INDIRECT("$D$7:D"&amp;ROW()),"="&amp;"Report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2077726</v>
      </c>
      <c r="L66" s="403">
        <f ca="1">+IF($B66="","",SUMIFS(INDIRECT("$K$7:K"&amp;ROW()),INDIRECT("$B$7:B"&amp;ROW()),Tableau1535678910111213162523692[[#This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2077726</v>
      </c>
      <c r="M66" s="368"/>
      <c r="R66" s="368"/>
      <c r="S66" s="368"/>
      <c r="T66" s="368"/>
    </row>
    <row r="67" spans="1:20" ht="30" x14ac:dyDescent="0.3">
      <c r="A67" s="391" t="s">
        <v>2660</v>
      </c>
      <c r="B67" s="392" t="s">
        <v>2678</v>
      </c>
      <c r="C67" s="393">
        <v>45936</v>
      </c>
      <c r="D6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7" s="395" t="s">
        <v>2731</v>
      </c>
      <c r="F67" s="397" t="s">
        <v>2782</v>
      </c>
      <c r="G67" s="397"/>
      <c r="H67" s="401"/>
      <c r="I67" s="402"/>
      <c r="J67" s="402">
        <v>2000</v>
      </c>
      <c r="K67" s="398">
        <f ca="1">+IF('[2]BROUILLARD DE CAISSE '!$C67="","",SUMIFS(INDIRECT("$K$7:K"&amp;ROW()),INDIRECT("$D$7:D"&amp;ROW()),"="&amp;"Report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2075726</v>
      </c>
      <c r="L67" s="403">
        <f ca="1">+IF($B67="","",SUMIFS(INDIRECT("$K$7:K"&amp;ROW()),INDIRECT("$B$7:B"&amp;ROW()),Tableau1535678910111213162523692[[#This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2075726</v>
      </c>
      <c r="M67" s="368"/>
      <c r="R67" s="368"/>
      <c r="S67" s="368"/>
      <c r="T67" s="368"/>
    </row>
    <row r="68" spans="1:20" ht="30" x14ac:dyDescent="0.3">
      <c r="A68" s="391" t="s">
        <v>2660</v>
      </c>
      <c r="B68" s="392" t="s">
        <v>2678</v>
      </c>
      <c r="C68" s="393">
        <v>45936</v>
      </c>
      <c r="D6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8" s="395" t="s">
        <v>2736</v>
      </c>
      <c r="F68" s="397" t="s">
        <v>2783</v>
      </c>
      <c r="G68" s="397"/>
      <c r="H68" s="401"/>
      <c r="I68" s="402"/>
      <c r="J68" s="402">
        <v>85850</v>
      </c>
      <c r="K68" s="398">
        <f ca="1">+IF('[2]BROUILLARD DE CAISSE '!$C68="","",SUMIFS(INDIRECT("$K$7:K"&amp;ROW()),INDIRECT("$D$7:D"&amp;ROW()),"="&amp;"Report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1989876</v>
      </c>
      <c r="L68" s="403">
        <f ca="1">+IF($B68="","",SUMIFS(INDIRECT("$K$7:K"&amp;ROW()),INDIRECT("$B$7:B"&amp;ROW()),Tableau1535678910111213162523692[[#This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1989876</v>
      </c>
      <c r="M68" s="368"/>
      <c r="R68" s="368"/>
      <c r="S68" s="368"/>
      <c r="T68" s="368"/>
    </row>
    <row r="69" spans="1:20" ht="30" x14ac:dyDescent="0.3">
      <c r="A69" s="391" t="s">
        <v>2660</v>
      </c>
      <c r="B69" s="392" t="s">
        <v>2678</v>
      </c>
      <c r="C69" s="393">
        <v>45936</v>
      </c>
      <c r="D6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69" s="395" t="s">
        <v>2784</v>
      </c>
      <c r="F69" s="397" t="s">
        <v>2785</v>
      </c>
      <c r="G69" s="397"/>
      <c r="H69" s="401"/>
      <c r="I69" s="402"/>
      <c r="J69" s="402">
        <v>15000</v>
      </c>
      <c r="K69" s="398">
        <f ca="1">+IF('[2]BROUILLARD DE CAISSE '!$C69="","",SUMIFS(INDIRECT("$K$7:K"&amp;ROW()),INDIRECT("$D$7:D"&amp;ROW()),"="&amp;"Report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1974876</v>
      </c>
      <c r="L69" s="403">
        <f ca="1">+IF($B69="","",SUMIFS(INDIRECT("$K$7:K"&amp;ROW()),INDIRECT("$B$7:B"&amp;ROW()),Tableau1535678910111213162523692[[#This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1974876</v>
      </c>
      <c r="M69" s="368"/>
      <c r="R69" s="368"/>
      <c r="S69" s="368"/>
      <c r="T69" s="368"/>
    </row>
    <row r="70" spans="1:20" ht="30" x14ac:dyDescent="0.3">
      <c r="A70" s="391" t="s">
        <v>2660</v>
      </c>
      <c r="B70" s="392" t="s">
        <v>2678</v>
      </c>
      <c r="C70" s="393">
        <v>45936</v>
      </c>
      <c r="D7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0" s="395" t="s">
        <v>2786</v>
      </c>
      <c r="F70" s="397" t="s">
        <v>2787</v>
      </c>
      <c r="G70" s="397"/>
      <c r="H70" s="401"/>
      <c r="I70" s="402"/>
      <c r="J70" s="402">
        <v>55000</v>
      </c>
      <c r="K70" s="398">
        <f ca="1">+IF('[2]BROUILLARD DE CAISSE '!$C70="","",SUMIFS(INDIRECT("$K$7:K"&amp;ROW()),INDIRECT("$D$7:D"&amp;ROW()),"="&amp;"Report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1919876</v>
      </c>
      <c r="L70" s="403">
        <f ca="1">+IF($B70="","",SUMIFS(INDIRECT("$K$7:K"&amp;ROW()),INDIRECT("$B$7:B"&amp;ROW()),Tableau1535678910111213162523692[[#This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1919876</v>
      </c>
      <c r="M70" s="368"/>
      <c r="R70" s="368"/>
      <c r="S70" s="368"/>
      <c r="T70" s="368"/>
    </row>
    <row r="71" spans="1:20" ht="30" x14ac:dyDescent="0.3">
      <c r="A71" s="391" t="s">
        <v>2660</v>
      </c>
      <c r="B71" s="392" t="s">
        <v>2678</v>
      </c>
      <c r="C71" s="393">
        <v>45936</v>
      </c>
      <c r="D7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1" s="395" t="s">
        <v>2766</v>
      </c>
      <c r="F71" s="397" t="s">
        <v>2788</v>
      </c>
      <c r="G71" s="397"/>
      <c r="H71" s="401"/>
      <c r="I71" s="402"/>
      <c r="J71" s="402">
        <v>198200</v>
      </c>
      <c r="K71" s="398">
        <f ca="1">+IF('[2]BROUILLARD DE CAISSE '!$C71="","",SUMIFS(INDIRECT("$K$7:K"&amp;ROW()),INDIRECT("$D$7:D"&amp;ROW()),"="&amp;"Report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1721676</v>
      </c>
      <c r="L71" s="403">
        <f ca="1">+IF($B71="","",SUMIFS(INDIRECT("$K$7:K"&amp;ROW()),INDIRECT("$B$7:B"&amp;ROW()),Tableau1535678910111213162523692[[#This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1721676</v>
      </c>
      <c r="M71" s="368"/>
      <c r="R71" s="368"/>
      <c r="S71" s="368"/>
      <c r="T71" s="368"/>
    </row>
    <row r="72" spans="1:20" ht="30" x14ac:dyDescent="0.3">
      <c r="A72" s="391" t="s">
        <v>2660</v>
      </c>
      <c r="B72" s="392" t="s">
        <v>2678</v>
      </c>
      <c r="C72" s="393">
        <v>45936</v>
      </c>
      <c r="D7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72" s="395" t="s">
        <v>2679</v>
      </c>
      <c r="F72" s="397" t="s">
        <v>2735</v>
      </c>
      <c r="G72" s="397"/>
      <c r="H72" s="401"/>
      <c r="I72" s="402">
        <v>1000000</v>
      </c>
      <c r="J72" s="402"/>
      <c r="K72" s="398">
        <f ca="1">+IF('[2]BROUILLARD DE CAISSE '!$C72="","",SUMIFS(INDIRECT("$K$7:K"&amp;ROW()),INDIRECT("$D$7:D"&amp;ROW()),"="&amp;"Report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2721676</v>
      </c>
      <c r="L72" s="403">
        <f ca="1">+IF($B72="","",SUMIFS(INDIRECT("$K$7:K"&amp;ROW()),INDIRECT("$B$7:B"&amp;ROW()),Tableau1535678910111213162523692[[#This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2721676</v>
      </c>
      <c r="M72" s="368"/>
      <c r="R72" s="368"/>
      <c r="S72" s="368"/>
      <c r="T72" s="368"/>
    </row>
    <row r="73" spans="1:20" ht="30" x14ac:dyDescent="0.3">
      <c r="A73" s="391" t="s">
        <v>2660</v>
      </c>
      <c r="B73" s="392" t="s">
        <v>2678</v>
      </c>
      <c r="C73" s="393">
        <v>45937</v>
      </c>
      <c r="D7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3" s="395" t="s">
        <v>2789</v>
      </c>
      <c r="F73" s="397" t="s">
        <v>2790</v>
      </c>
      <c r="G73" s="397"/>
      <c r="H73" s="401"/>
      <c r="I73" s="402"/>
      <c r="J73" s="402">
        <v>100000</v>
      </c>
      <c r="K73" s="398">
        <f ca="1">+IF('[2]BROUILLARD DE CAISSE '!$C73="","",SUMIFS(INDIRECT("$K$7:K"&amp;ROW()),INDIRECT("$D$7:D"&amp;ROW()),"="&amp;"Report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2621676</v>
      </c>
      <c r="L73" s="399">
        <f ca="1">+IF($B73="","",SUMIFS(INDIRECT("$K$7:K"&amp;ROW()),INDIRECT("$B$7:B"&amp;ROW()),Tableau1535678910111213162523692[[#This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2621676</v>
      </c>
      <c r="M73" s="368"/>
      <c r="R73" s="368"/>
      <c r="S73" s="368"/>
      <c r="T73" s="368"/>
    </row>
    <row r="74" spans="1:20" ht="30" x14ac:dyDescent="0.3">
      <c r="A74" s="391" t="s">
        <v>2660</v>
      </c>
      <c r="B74" s="392" t="s">
        <v>2678</v>
      </c>
      <c r="C74" s="393">
        <v>45937</v>
      </c>
      <c r="D7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4" s="395" t="s">
        <v>2791</v>
      </c>
      <c r="F74" s="397" t="s">
        <v>2792</v>
      </c>
      <c r="G74" s="397"/>
      <c r="H74" s="401"/>
      <c r="I74" s="402"/>
      <c r="J74" s="402">
        <v>32500</v>
      </c>
      <c r="K74" s="398">
        <f ca="1">+IF('[2]BROUILLARD DE CAISSE '!$C74="","",SUMIFS(INDIRECT("$K$7:K"&amp;ROW()),INDIRECT("$D$7:D"&amp;ROW()),"="&amp;"Report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2589176</v>
      </c>
      <c r="L74" s="399">
        <f ca="1">+IF($B74="","",SUMIFS(INDIRECT("$K$7:K"&amp;ROW()),INDIRECT("$B$7:B"&amp;ROW()),Tableau1535678910111213162523692[[#This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2589176</v>
      </c>
      <c r="M74" s="368"/>
      <c r="R74" s="368"/>
      <c r="S74" s="368"/>
      <c r="T74" s="368"/>
    </row>
    <row r="75" spans="1:20" ht="30" x14ac:dyDescent="0.3">
      <c r="A75" s="391" t="s">
        <v>2660</v>
      </c>
      <c r="B75" s="392" t="s">
        <v>2678</v>
      </c>
      <c r="C75" s="393">
        <v>45937</v>
      </c>
      <c r="D7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5" s="395" t="s">
        <v>2683</v>
      </c>
      <c r="F75" s="397" t="s">
        <v>2793</v>
      </c>
      <c r="G75" s="397"/>
      <c r="H75" s="401" t="s">
        <v>2685</v>
      </c>
      <c r="I75" s="402"/>
      <c r="J75" s="402">
        <v>195105</v>
      </c>
      <c r="K75" s="398">
        <f ca="1">+IF('[2]BROUILLARD DE CAISSE '!$C75="","",SUMIFS(INDIRECT("$K$7:K"&amp;ROW()),INDIRECT("$D$7:D"&amp;ROW()),"="&amp;"Report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2394071</v>
      </c>
      <c r="L75" s="403">
        <f ca="1">+IF($B75="","",SUMIFS(INDIRECT("$K$7:K"&amp;ROW()),INDIRECT("$B$7:B"&amp;ROW()),Tableau1535678910111213162523692[[#This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2394071</v>
      </c>
      <c r="M75" s="368"/>
      <c r="R75" s="368"/>
      <c r="S75" s="368"/>
      <c r="T75" s="368"/>
    </row>
    <row r="76" spans="1:20" ht="30" x14ac:dyDescent="0.3">
      <c r="A76" s="391" t="s">
        <v>2660</v>
      </c>
      <c r="B76" s="392" t="s">
        <v>2678</v>
      </c>
      <c r="C76" s="393">
        <v>45937</v>
      </c>
      <c r="D7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6" s="395" t="s">
        <v>2686</v>
      </c>
      <c r="F76" s="397" t="s">
        <v>2706</v>
      </c>
      <c r="G76" s="397"/>
      <c r="H76" s="401" t="s">
        <v>2707</v>
      </c>
      <c r="I76" s="402"/>
      <c r="J76" s="402">
        <v>10100</v>
      </c>
      <c r="K76" s="398">
        <f ca="1">+IF('[2]BROUILLARD DE CAISSE '!$C76="","",SUMIFS(INDIRECT("$K$7:K"&amp;ROW()),INDIRECT("$D$7:D"&amp;ROW()),"="&amp;"Report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2383971</v>
      </c>
      <c r="L76" s="403">
        <f ca="1">+IF($B76="","",SUMIFS(INDIRECT("$K$7:K"&amp;ROW()),INDIRECT("$B$7:B"&amp;ROW()),Tableau1535678910111213162523692[[#This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2383971</v>
      </c>
      <c r="M76" s="368"/>
      <c r="R76" s="368"/>
      <c r="S76" s="368"/>
      <c r="T76" s="368"/>
    </row>
    <row r="77" spans="1:20" ht="30" x14ac:dyDescent="0.3">
      <c r="A77" s="391" t="s">
        <v>2660</v>
      </c>
      <c r="B77" s="392" t="s">
        <v>2678</v>
      </c>
      <c r="C77" s="393">
        <v>45937</v>
      </c>
      <c r="D7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7" s="395" t="s">
        <v>2794</v>
      </c>
      <c r="F77" s="397" t="s">
        <v>2795</v>
      </c>
      <c r="G77" s="397"/>
      <c r="H77" s="401"/>
      <c r="I77" s="402"/>
      <c r="J77" s="402">
        <v>60600</v>
      </c>
      <c r="K77" s="398">
        <f ca="1">+IF('[2]BROUILLARD DE CAISSE '!$C77="","",SUMIFS(INDIRECT("$K$7:K"&amp;ROW()),INDIRECT("$D$7:D"&amp;ROW()),"="&amp;"Report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2323371</v>
      </c>
      <c r="L77" s="403">
        <f ca="1">+IF($B77="","",SUMIFS(INDIRECT("$K$7:K"&amp;ROW()),INDIRECT("$B$7:B"&amp;ROW()),Tableau1535678910111213162523692[[#This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2323371</v>
      </c>
      <c r="M77" s="368"/>
      <c r="R77" s="368"/>
      <c r="S77" s="368"/>
      <c r="T77" s="368"/>
    </row>
    <row r="78" spans="1:20" ht="30" x14ac:dyDescent="0.3">
      <c r="A78" s="391" t="s">
        <v>2660</v>
      </c>
      <c r="B78" s="392" t="s">
        <v>2678</v>
      </c>
      <c r="C78" s="393">
        <v>45937</v>
      </c>
      <c r="D7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8" s="395" t="s">
        <v>2714</v>
      </c>
      <c r="F78" s="397" t="s">
        <v>2796</v>
      </c>
      <c r="G78" s="397"/>
      <c r="H78" s="401"/>
      <c r="I78" s="402"/>
      <c r="J78" s="402">
        <v>4600</v>
      </c>
      <c r="K78" s="398">
        <f ca="1">+IF('[2]BROUILLARD DE CAISSE '!$C78="","",SUMIFS(INDIRECT("$K$7:K"&amp;ROW()),INDIRECT("$D$7:D"&amp;ROW()),"="&amp;"Report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2318771</v>
      </c>
      <c r="L78" s="403">
        <f ca="1">+IF($B78="","",SUMIFS(INDIRECT("$K$7:K"&amp;ROW()),INDIRECT("$B$7:B"&amp;ROW()),Tableau1535678910111213162523692[[#This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2318771</v>
      </c>
      <c r="M78" s="368"/>
      <c r="R78" s="368"/>
      <c r="S78" s="368"/>
      <c r="T78" s="368"/>
    </row>
    <row r="79" spans="1:20" ht="30" x14ac:dyDescent="0.3">
      <c r="A79" s="391" t="s">
        <v>2660</v>
      </c>
      <c r="B79" s="392" t="s">
        <v>2678</v>
      </c>
      <c r="C79" s="393">
        <v>45937</v>
      </c>
      <c r="D7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79" s="395" t="s">
        <v>2756</v>
      </c>
      <c r="F79" s="397" t="s">
        <v>2797</v>
      </c>
      <c r="G79" s="397"/>
      <c r="H79" s="401"/>
      <c r="I79" s="402"/>
      <c r="J79" s="402">
        <v>606000</v>
      </c>
      <c r="K79" s="398">
        <f ca="1">+IF('[2]BROUILLARD DE CAISSE '!$C79="","",SUMIFS(INDIRECT("$K$7:K"&amp;ROW()),INDIRECT("$D$7:D"&amp;ROW()),"="&amp;"Report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1712771</v>
      </c>
      <c r="L79" s="403">
        <f ca="1">+IF($B79="","",SUMIFS(INDIRECT("$K$7:K"&amp;ROW()),INDIRECT("$B$7:B"&amp;ROW()),Tableau1535678910111213162523692[[#This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1712771</v>
      </c>
      <c r="M79" s="368"/>
      <c r="R79" s="368"/>
      <c r="S79" s="368"/>
      <c r="T79" s="368"/>
    </row>
    <row r="80" spans="1:20" ht="30" x14ac:dyDescent="0.3">
      <c r="A80" s="391" t="s">
        <v>2660</v>
      </c>
      <c r="B80" s="392" t="s">
        <v>2678</v>
      </c>
      <c r="C80" s="393">
        <v>45937</v>
      </c>
      <c r="D8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80" s="395" t="s">
        <v>2679</v>
      </c>
      <c r="F80" s="397" t="s">
        <v>2798</v>
      </c>
      <c r="G80" s="397"/>
      <c r="H80" s="401"/>
      <c r="I80" s="402">
        <v>2000000</v>
      </c>
      <c r="J80" s="402"/>
      <c r="K80" s="398">
        <f ca="1">+IF('[2]BROUILLARD DE CAISSE '!$C80="","",SUMIFS(INDIRECT("$K$7:K"&amp;ROW()),INDIRECT("$D$7:D"&amp;ROW()),"="&amp;"Report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3712771</v>
      </c>
      <c r="L80" s="403">
        <f ca="1">+IF($B80="","",SUMIFS(INDIRECT("$K$7:K"&amp;ROW()),INDIRECT("$B$7:B"&amp;ROW()),Tableau1535678910111213162523692[[#This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3712771</v>
      </c>
      <c r="M80" s="368"/>
      <c r="R80" s="368"/>
      <c r="S80" s="368"/>
      <c r="T80" s="368"/>
    </row>
    <row r="81" spans="1:20" ht="30" x14ac:dyDescent="0.3">
      <c r="A81" s="391" t="s">
        <v>2660</v>
      </c>
      <c r="B81" s="392" t="s">
        <v>2678</v>
      </c>
      <c r="C81" s="393">
        <v>45937</v>
      </c>
      <c r="D8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1" s="395" t="s">
        <v>2799</v>
      </c>
      <c r="F81" s="397" t="s">
        <v>2800</v>
      </c>
      <c r="G81" s="397"/>
      <c r="H81" s="401"/>
      <c r="I81" s="402"/>
      <c r="J81" s="402">
        <v>490000</v>
      </c>
      <c r="K81" s="398">
        <f ca="1">+IF('[2]BROUILLARD DE CAISSE '!$C81="","",SUMIFS(INDIRECT("$K$7:K"&amp;ROW()),INDIRECT("$D$7:D"&amp;ROW()),"="&amp;"Report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3222771</v>
      </c>
      <c r="L81" s="403">
        <f ca="1">+IF($B81="","",SUMIFS(INDIRECT("$K$7:K"&amp;ROW()),INDIRECT("$B$7:B"&amp;ROW()),Tableau1535678910111213162523692[[#This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3222771</v>
      </c>
      <c r="M81" s="368"/>
      <c r="R81" s="368"/>
      <c r="S81" s="368"/>
      <c r="T81" s="368"/>
    </row>
    <row r="82" spans="1:20" ht="30" x14ac:dyDescent="0.3">
      <c r="A82" s="391" t="s">
        <v>2660</v>
      </c>
      <c r="B82" s="392" t="s">
        <v>2678</v>
      </c>
      <c r="C82" s="393">
        <v>45937</v>
      </c>
      <c r="D8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2" s="395" t="s">
        <v>2801</v>
      </c>
      <c r="F82" s="397" t="s">
        <v>2802</v>
      </c>
      <c r="G82" s="397"/>
      <c r="H82" s="401"/>
      <c r="I82" s="402"/>
      <c r="J82" s="402">
        <v>121200</v>
      </c>
      <c r="K82" s="398">
        <f ca="1">+IF('[2]BROUILLARD DE CAISSE '!$C82="","",SUMIFS(INDIRECT("$K$7:K"&amp;ROW()),INDIRECT("$D$7:D"&amp;ROW()),"="&amp;"Report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3101571</v>
      </c>
      <c r="L82" s="403">
        <f ca="1">+IF($B82="","",SUMIFS(INDIRECT("$K$7:K"&amp;ROW()),INDIRECT("$B$7:B"&amp;ROW()),Tableau1535678910111213162523692[[#This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3101571</v>
      </c>
      <c r="M82" s="368"/>
      <c r="R82" s="368"/>
      <c r="S82" s="368"/>
      <c r="T82" s="368"/>
    </row>
    <row r="83" spans="1:20" ht="30" x14ac:dyDescent="0.3">
      <c r="A83" s="391" t="s">
        <v>2660</v>
      </c>
      <c r="B83" s="392" t="s">
        <v>2678</v>
      </c>
      <c r="C83" s="393">
        <v>45937</v>
      </c>
      <c r="D8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3" s="395" t="s">
        <v>2803</v>
      </c>
      <c r="F83" s="397" t="s">
        <v>2804</v>
      </c>
      <c r="G83" s="397"/>
      <c r="H83" s="401"/>
      <c r="I83" s="402"/>
      <c r="J83" s="402">
        <v>151500</v>
      </c>
      <c r="K83" s="398">
        <f ca="1">+IF('[2]BROUILLARD DE CAISSE '!$C83="","",SUMIFS(INDIRECT("$K$7:K"&amp;ROW()),INDIRECT("$D$7:D"&amp;ROW()),"="&amp;"Report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2950071</v>
      </c>
      <c r="L83" s="403">
        <f ca="1">+IF($B83="","",SUMIFS(INDIRECT("$K$7:K"&amp;ROW()),INDIRECT("$B$7:B"&amp;ROW()),Tableau1535678910111213162523692[[#This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2950071</v>
      </c>
      <c r="M83" s="368"/>
      <c r="R83" s="368"/>
      <c r="S83" s="368"/>
      <c r="T83" s="368"/>
    </row>
    <row r="84" spans="1:20" ht="30" x14ac:dyDescent="0.3">
      <c r="A84" s="391" t="s">
        <v>2660</v>
      </c>
      <c r="B84" s="392" t="s">
        <v>2678</v>
      </c>
      <c r="C84" s="393">
        <v>45937</v>
      </c>
      <c r="D8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4" s="395" t="s">
        <v>2753</v>
      </c>
      <c r="F84" s="397" t="s">
        <v>2805</v>
      </c>
      <c r="G84" s="397"/>
      <c r="H84" s="401"/>
      <c r="I84" s="402"/>
      <c r="J84" s="402">
        <v>75750</v>
      </c>
      <c r="K84" s="398">
        <f ca="1">+IF('[2]BROUILLARD DE CAISSE '!$C84="","",SUMIFS(INDIRECT("$K$7:K"&amp;ROW()),INDIRECT("$D$7:D"&amp;ROW()),"="&amp;"Report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2874321</v>
      </c>
      <c r="L84" s="403">
        <f ca="1">+IF($B84="","",SUMIFS(INDIRECT("$K$7:K"&amp;ROW()),INDIRECT("$B$7:B"&amp;ROW()),Tableau1535678910111213162523692[[#This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2874321</v>
      </c>
      <c r="M84" s="368"/>
      <c r="R84" s="368"/>
      <c r="S84" s="368"/>
      <c r="T84" s="368"/>
    </row>
    <row r="85" spans="1:20" ht="30" x14ac:dyDescent="0.3">
      <c r="A85" s="391" t="s">
        <v>2660</v>
      </c>
      <c r="B85" s="392" t="s">
        <v>2678</v>
      </c>
      <c r="C85" s="393">
        <v>45937</v>
      </c>
      <c r="D8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5" s="395" t="s">
        <v>2714</v>
      </c>
      <c r="F85" s="397" t="s">
        <v>2806</v>
      </c>
      <c r="G85" s="397"/>
      <c r="H85" s="401"/>
      <c r="I85" s="402"/>
      <c r="J85" s="402">
        <v>6000</v>
      </c>
      <c r="K85" s="398">
        <f ca="1">+IF('[2]BROUILLARD DE CAISSE '!$C85="","",SUMIFS(INDIRECT("$K$7:K"&amp;ROW()),INDIRECT("$D$7:D"&amp;ROW()),"="&amp;"Report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2868321</v>
      </c>
      <c r="L85" s="399">
        <f ca="1">+IF($B85="","",SUMIFS(INDIRECT("$K$7:K"&amp;ROW()),INDIRECT("$B$7:B"&amp;ROW()),Tableau1535678910111213162523692[[#This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2868321</v>
      </c>
      <c r="M85" s="368"/>
      <c r="R85" s="368"/>
      <c r="S85" s="368"/>
      <c r="T85" s="368"/>
    </row>
    <row r="86" spans="1:20" ht="30" x14ac:dyDescent="0.3">
      <c r="A86" s="391" t="s">
        <v>2660</v>
      </c>
      <c r="B86" s="392" t="s">
        <v>2678</v>
      </c>
      <c r="C86" s="393">
        <v>45937</v>
      </c>
      <c r="D8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6" s="395" t="s">
        <v>2807</v>
      </c>
      <c r="F86" s="397" t="s">
        <v>2808</v>
      </c>
      <c r="G86" s="397"/>
      <c r="H86" s="401" t="s">
        <v>2781</v>
      </c>
      <c r="I86" s="402"/>
      <c r="J86" s="402">
        <v>693265</v>
      </c>
      <c r="K86" s="398">
        <f ca="1">+IF('[2]BROUILLARD DE CAISSE '!$C86="","",SUMIFS(INDIRECT("$K$7:K"&amp;ROW()),INDIRECT("$D$7:D"&amp;ROW()),"="&amp;"Report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2175056</v>
      </c>
      <c r="L86" s="399">
        <f ca="1">+IF($B86="","",SUMIFS(INDIRECT("$K$7:K"&amp;ROW()),INDIRECT("$B$7:B"&amp;ROW()),Tableau1535678910111213162523692[[#This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2175056</v>
      </c>
      <c r="M86" s="368"/>
      <c r="R86" s="368"/>
      <c r="S86" s="368"/>
      <c r="T86" s="368"/>
    </row>
    <row r="87" spans="1:20" ht="30" x14ac:dyDescent="0.3">
      <c r="A87" s="391" t="s">
        <v>2660</v>
      </c>
      <c r="B87" s="392" t="s">
        <v>2678</v>
      </c>
      <c r="C87" s="393">
        <v>45938</v>
      </c>
      <c r="D8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7" s="395" t="s">
        <v>2710</v>
      </c>
      <c r="F87" s="397" t="s">
        <v>2809</v>
      </c>
      <c r="G87" s="397"/>
      <c r="H87" s="401"/>
      <c r="I87" s="402"/>
      <c r="J87" s="402">
        <v>12120</v>
      </c>
      <c r="K87" s="398">
        <f ca="1">+IF('[2]BROUILLARD DE CAISSE '!$C87="","",SUMIFS(INDIRECT("$K$7:K"&amp;ROW()),INDIRECT("$D$7:D"&amp;ROW()),"="&amp;"Report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2162936</v>
      </c>
      <c r="L87" s="403">
        <f ca="1">+IF($B87="","",SUMIFS(INDIRECT("$K$7:K"&amp;ROW()),INDIRECT("$B$7:B"&amp;ROW()),Tableau1535678910111213162523692[[#This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2162936</v>
      </c>
      <c r="M87" s="368"/>
      <c r="R87" s="368"/>
      <c r="S87" s="368"/>
      <c r="T87" s="368"/>
    </row>
    <row r="88" spans="1:20" ht="30" x14ac:dyDescent="0.3">
      <c r="A88" s="391" t="s">
        <v>2660</v>
      </c>
      <c r="B88" s="392" t="s">
        <v>2678</v>
      </c>
      <c r="C88" s="393">
        <v>45938</v>
      </c>
      <c r="D8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8" s="395" t="s">
        <v>2810</v>
      </c>
      <c r="F88" s="397" t="s">
        <v>2790</v>
      </c>
      <c r="G88" s="397"/>
      <c r="H88" s="401" t="s">
        <v>2811</v>
      </c>
      <c r="I88" s="402"/>
      <c r="J88" s="402">
        <v>310575</v>
      </c>
      <c r="K88" s="398">
        <f ca="1">+IF('[2]BROUILLARD DE CAISSE '!$C88="","",SUMIFS(INDIRECT("$K$7:K"&amp;ROW()),INDIRECT("$D$7:D"&amp;ROW()),"="&amp;"Report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1852361</v>
      </c>
      <c r="L88" s="403">
        <f ca="1">+IF($B88="","",SUMIFS(INDIRECT("$K$7:K"&amp;ROW()),INDIRECT("$B$7:B"&amp;ROW()),Tableau1535678910111213162523692[[#This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1852361</v>
      </c>
      <c r="M88" s="368"/>
      <c r="R88" s="368"/>
      <c r="S88" s="368"/>
      <c r="T88" s="368"/>
    </row>
    <row r="89" spans="1:20" ht="30" x14ac:dyDescent="0.3">
      <c r="A89" s="391" t="s">
        <v>2660</v>
      </c>
      <c r="B89" s="392" t="s">
        <v>2678</v>
      </c>
      <c r="C89" s="393">
        <v>45938</v>
      </c>
      <c r="D8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89" s="395" t="s">
        <v>2756</v>
      </c>
      <c r="F89" s="397" t="s">
        <v>2812</v>
      </c>
      <c r="G89" s="397"/>
      <c r="H89" s="401" t="s">
        <v>2690</v>
      </c>
      <c r="I89" s="402"/>
      <c r="J89" s="402">
        <v>75000</v>
      </c>
      <c r="K89" s="398">
        <f ca="1">+IF('[2]BROUILLARD DE CAISSE '!$C89="","",SUMIFS(INDIRECT("$K$7:K"&amp;ROW()),INDIRECT("$D$7:D"&amp;ROW()),"="&amp;"Report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1777361</v>
      </c>
      <c r="L89" s="403">
        <f ca="1">+IF($B89="","",SUMIFS(INDIRECT("$K$7:K"&amp;ROW()),INDIRECT("$B$7:B"&amp;ROW()),Tableau1535678910111213162523692[[#This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1777361</v>
      </c>
      <c r="M89" s="368"/>
      <c r="R89" s="368"/>
      <c r="S89" s="368"/>
      <c r="T89" s="368"/>
    </row>
    <row r="90" spans="1:20" ht="30" x14ac:dyDescent="0.3">
      <c r="A90" s="391" t="s">
        <v>2660</v>
      </c>
      <c r="B90" s="392" t="s">
        <v>2678</v>
      </c>
      <c r="C90" s="393">
        <v>45938</v>
      </c>
      <c r="D9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0" s="395" t="s">
        <v>2813</v>
      </c>
      <c r="F90" s="397" t="s">
        <v>2814</v>
      </c>
      <c r="G90" s="397"/>
      <c r="H90" s="401" t="s">
        <v>2746</v>
      </c>
      <c r="I90" s="402"/>
      <c r="J90" s="402">
        <v>25250</v>
      </c>
      <c r="K90" s="398">
        <f ca="1">+IF('[2]BROUILLARD DE CAISSE '!$C90="","",SUMIFS(INDIRECT("$K$7:K"&amp;ROW()),INDIRECT("$D$7:D"&amp;ROW()),"="&amp;"Report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1752111</v>
      </c>
      <c r="L90" s="403">
        <f ca="1">+IF($B90="","",SUMIFS(INDIRECT("$K$7:K"&amp;ROW()),INDIRECT("$B$7:B"&amp;ROW()),Tableau1535678910111213162523692[[#This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1752111</v>
      </c>
      <c r="M90" s="368"/>
      <c r="R90" s="368"/>
      <c r="S90" s="368"/>
      <c r="T90" s="368"/>
    </row>
    <row r="91" spans="1:20" ht="30" x14ac:dyDescent="0.3">
      <c r="A91" s="391" t="s">
        <v>2660</v>
      </c>
      <c r="B91" s="392" t="s">
        <v>2678</v>
      </c>
      <c r="C91" s="393">
        <v>45938</v>
      </c>
      <c r="D9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1" s="395" t="s">
        <v>2815</v>
      </c>
      <c r="F91" s="397" t="s">
        <v>2816</v>
      </c>
      <c r="G91" s="397"/>
      <c r="H91" s="401"/>
      <c r="I91" s="402"/>
      <c r="J91" s="402">
        <v>3435</v>
      </c>
      <c r="K91" s="398">
        <f ca="1">+IF('[2]BROUILLARD DE CAISSE '!$C91="","",SUMIFS(INDIRECT("$K$7:K"&amp;ROW()),INDIRECT("$D$7:D"&amp;ROW()),"="&amp;"Report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1748676</v>
      </c>
      <c r="L91" s="403">
        <f ca="1">+IF($B91="","",SUMIFS(INDIRECT("$K$7:K"&amp;ROW()),INDIRECT("$B$7:B"&amp;ROW()),Tableau1535678910111213162523692[[#This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1748676</v>
      </c>
      <c r="M91" s="368"/>
      <c r="R91" s="368"/>
      <c r="S91" s="368"/>
      <c r="T91" s="368"/>
    </row>
    <row r="92" spans="1:20" ht="30" x14ac:dyDescent="0.3">
      <c r="A92" s="391" t="s">
        <v>2660</v>
      </c>
      <c r="B92" s="392" t="s">
        <v>2678</v>
      </c>
      <c r="C92" s="393">
        <v>45938</v>
      </c>
      <c r="D9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2" s="395" t="s">
        <v>2686</v>
      </c>
      <c r="F92" s="397" t="s">
        <v>2817</v>
      </c>
      <c r="G92" s="397"/>
      <c r="H92" s="401" t="s">
        <v>2707</v>
      </c>
      <c r="I92" s="402"/>
      <c r="J92" s="402">
        <v>10100</v>
      </c>
      <c r="K92" s="398">
        <f ca="1">+IF('[2]BROUILLARD DE CAISSE '!$C92="","",SUMIFS(INDIRECT("$K$7:K"&amp;ROW()),INDIRECT("$D$7:D"&amp;ROW()),"="&amp;"Report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1738576</v>
      </c>
      <c r="L92" s="403">
        <f ca="1">+IF($B92="","",SUMIFS(INDIRECT("$K$7:K"&amp;ROW()),INDIRECT("$B$7:B"&amp;ROW()),Tableau1535678910111213162523692[[#This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1738576</v>
      </c>
      <c r="M92" s="368"/>
      <c r="R92" s="368"/>
      <c r="S92" s="368"/>
      <c r="T92" s="368"/>
    </row>
    <row r="93" spans="1:20" ht="30" x14ac:dyDescent="0.3">
      <c r="A93" s="391" t="s">
        <v>2660</v>
      </c>
      <c r="B93" s="392" t="s">
        <v>2678</v>
      </c>
      <c r="C93" s="393">
        <v>45938</v>
      </c>
      <c r="D9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3" s="395" t="s">
        <v>2818</v>
      </c>
      <c r="F93" s="397" t="s">
        <v>2819</v>
      </c>
      <c r="G93" s="397"/>
      <c r="H93" s="401"/>
      <c r="I93" s="402"/>
      <c r="J93" s="402">
        <v>2830</v>
      </c>
      <c r="K93" s="398">
        <f ca="1">+IF('[2]BROUILLARD DE CAISSE '!$C93="","",SUMIFS(INDIRECT("$K$7:K"&amp;ROW()),INDIRECT("$D$7:D"&amp;ROW()),"="&amp;"Report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1735746</v>
      </c>
      <c r="L93" s="403">
        <f ca="1">+IF($B93="","",SUMIFS(INDIRECT("$K$7:K"&amp;ROW()),INDIRECT("$B$7:B"&amp;ROW()),Tableau1535678910111213162523692[[#This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1735746</v>
      </c>
      <c r="M93" s="368"/>
      <c r="R93" s="368"/>
      <c r="S93" s="368"/>
      <c r="T93" s="368"/>
    </row>
    <row r="94" spans="1:20" ht="30" x14ac:dyDescent="0.3">
      <c r="A94" s="391" t="s">
        <v>2660</v>
      </c>
      <c r="B94" s="392" t="s">
        <v>2678</v>
      </c>
      <c r="C94" s="393">
        <v>45938</v>
      </c>
      <c r="D9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4" s="395" t="s">
        <v>2820</v>
      </c>
      <c r="F94" s="397" t="s">
        <v>2706</v>
      </c>
      <c r="G94" s="397"/>
      <c r="H94" s="401" t="s">
        <v>2687</v>
      </c>
      <c r="I94" s="402"/>
      <c r="J94" s="402">
        <v>10100</v>
      </c>
      <c r="K94" s="398">
        <f ca="1">+IF('[2]BROUILLARD DE CAISSE '!$C94="","",SUMIFS(INDIRECT("$K$7:K"&amp;ROW()),INDIRECT("$D$7:D"&amp;ROW()),"="&amp;"Report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1725646</v>
      </c>
      <c r="L94" s="403">
        <f ca="1">+IF($B94="","",SUMIFS(INDIRECT("$K$7:K"&amp;ROW()),INDIRECT("$B$7:B"&amp;ROW()),Tableau1535678910111213162523692[[#This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1725646</v>
      </c>
      <c r="M94" s="368"/>
      <c r="R94" s="368"/>
      <c r="S94" s="368"/>
      <c r="T94" s="368"/>
    </row>
    <row r="95" spans="1:20" ht="30" x14ac:dyDescent="0.3">
      <c r="A95" s="391" t="s">
        <v>2660</v>
      </c>
      <c r="B95" s="392" t="s">
        <v>2678</v>
      </c>
      <c r="C95" s="393">
        <v>45938</v>
      </c>
      <c r="D9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5" s="395" t="s">
        <v>2815</v>
      </c>
      <c r="F95" s="397" t="s">
        <v>2821</v>
      </c>
      <c r="G95" s="397"/>
      <c r="H95" s="401"/>
      <c r="I95" s="402"/>
      <c r="J95" s="402">
        <v>2800</v>
      </c>
      <c r="K95" s="398">
        <f ca="1">+IF('[2]BROUILLARD DE CAISSE '!$C95="","",SUMIFS(INDIRECT("$K$7:K"&amp;ROW()),INDIRECT("$D$7:D"&amp;ROW()),"="&amp;"Report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1722846</v>
      </c>
      <c r="L95" s="403">
        <f ca="1">+IF($B95="","",SUMIFS(INDIRECT("$K$7:K"&amp;ROW()),INDIRECT("$B$7:B"&amp;ROW()),Tableau1535678910111213162523692[[#This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1722846</v>
      </c>
      <c r="M95" s="368"/>
      <c r="R95" s="368"/>
      <c r="S95" s="368"/>
      <c r="T95" s="368"/>
    </row>
    <row r="96" spans="1:20" ht="30" x14ac:dyDescent="0.3">
      <c r="A96" s="391" t="s">
        <v>2660</v>
      </c>
      <c r="B96" s="392" t="s">
        <v>2678</v>
      </c>
      <c r="C96" s="393">
        <v>45938</v>
      </c>
      <c r="D9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6" s="395" t="s">
        <v>2768</v>
      </c>
      <c r="F96" s="397" t="s">
        <v>2822</v>
      </c>
      <c r="G96" s="397"/>
      <c r="H96" s="401" t="s">
        <v>2690</v>
      </c>
      <c r="I96" s="402"/>
      <c r="J96" s="402">
        <v>50500</v>
      </c>
      <c r="K96" s="398">
        <f ca="1">+IF('[2]BROUILLARD DE CAISSE '!$C96="","",SUMIFS(INDIRECT("$K$7:K"&amp;ROW()),INDIRECT("$D$7:D"&amp;ROW()),"="&amp;"Report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1672346</v>
      </c>
      <c r="L96" s="403">
        <f ca="1">+IF($B96="","",SUMIFS(INDIRECT("$K$7:K"&amp;ROW()),INDIRECT("$B$7:B"&amp;ROW()),Tableau1535678910111213162523692[[#This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1672346</v>
      </c>
      <c r="M96" s="368"/>
      <c r="R96" s="368"/>
      <c r="S96" s="368"/>
      <c r="T96" s="368"/>
    </row>
    <row r="97" spans="1:20" ht="30" x14ac:dyDescent="0.3">
      <c r="A97" s="391" t="s">
        <v>2660</v>
      </c>
      <c r="B97" s="392" t="s">
        <v>2678</v>
      </c>
      <c r="C97" s="393">
        <v>45939</v>
      </c>
      <c r="D9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7" s="395" t="s">
        <v>2714</v>
      </c>
      <c r="F97" s="397" t="s">
        <v>2823</v>
      </c>
      <c r="G97" s="397"/>
      <c r="H97" s="401"/>
      <c r="I97" s="402"/>
      <c r="J97" s="402">
        <v>1500</v>
      </c>
      <c r="K97" s="398">
        <f ca="1">+IF('[2]BROUILLARD DE CAISSE '!$C97="","",SUMIFS(INDIRECT("$K$7:K"&amp;ROW()),INDIRECT("$D$7:D"&amp;ROW()),"="&amp;"Report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1670846</v>
      </c>
      <c r="L97" s="403">
        <f ca="1">+IF($B97="","",SUMIFS(INDIRECT("$K$7:K"&amp;ROW()),INDIRECT("$B$7:B"&amp;ROW()),Tableau1535678910111213162523692[[#This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1670846</v>
      </c>
      <c r="M97" s="368"/>
      <c r="R97" s="368"/>
      <c r="S97" s="368"/>
      <c r="T97" s="368"/>
    </row>
    <row r="98" spans="1:20" ht="30" x14ac:dyDescent="0.3">
      <c r="A98" s="391" t="s">
        <v>2660</v>
      </c>
      <c r="B98" s="392" t="s">
        <v>2678</v>
      </c>
      <c r="C98" s="393">
        <v>45939</v>
      </c>
      <c r="D9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8" s="395" t="s">
        <v>2700</v>
      </c>
      <c r="F98" s="397" t="s">
        <v>2824</v>
      </c>
      <c r="G98" s="397"/>
      <c r="H98" s="401" t="s">
        <v>2729</v>
      </c>
      <c r="I98" s="402"/>
      <c r="J98" s="402">
        <v>20000</v>
      </c>
      <c r="K98" s="398">
        <f ca="1">+IF('[2]BROUILLARD DE CAISSE '!$C98="","",SUMIFS(INDIRECT("$K$7:K"&amp;ROW()),INDIRECT("$D$7:D"&amp;ROW()),"="&amp;"Report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1650846</v>
      </c>
      <c r="L98" s="403">
        <f ca="1">+IF($B98="","",SUMIFS(INDIRECT("$K$7:K"&amp;ROW()),INDIRECT("$B$7:B"&amp;ROW()),Tableau1535678910111213162523692[[#This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1650846</v>
      </c>
      <c r="M98" s="368"/>
      <c r="R98" s="368"/>
      <c r="S98" s="368"/>
      <c r="T98" s="368"/>
    </row>
    <row r="99" spans="1:20" ht="30" x14ac:dyDescent="0.3">
      <c r="A99" s="391" t="s">
        <v>2660</v>
      </c>
      <c r="B99" s="392" t="s">
        <v>2678</v>
      </c>
      <c r="C99" s="406">
        <v>45939</v>
      </c>
      <c r="D9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99" s="408" t="s">
        <v>2700</v>
      </c>
      <c r="F99" s="409" t="s">
        <v>2825</v>
      </c>
      <c r="G99" s="409"/>
      <c r="H99" s="410"/>
      <c r="I99" s="405"/>
      <c r="J99" s="405">
        <v>25000</v>
      </c>
      <c r="K99" s="411">
        <f ca="1">+IF('[2]BROUILLARD DE CAISSE '!$C99="","",SUMIFS(INDIRECT("$K$7:K"&amp;ROW()),INDIRECT("$D$7:D"&amp;ROW()),"="&amp;"Report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1625846</v>
      </c>
      <c r="L99" s="414">
        <f ca="1">+IF($B99="","",SUMIFS(INDIRECT("$K$7:K"&amp;ROW()),INDIRECT("$B$7:B"&amp;ROW()),Tableau1535678910111213162523692[[#This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1625846</v>
      </c>
      <c r="M99" s="368"/>
      <c r="R99" s="368"/>
      <c r="S99" s="368"/>
      <c r="T99" s="368"/>
    </row>
    <row r="100" spans="1:20" ht="30" x14ac:dyDescent="0.3">
      <c r="A100" s="391" t="s">
        <v>2660</v>
      </c>
      <c r="B100" s="392" t="s">
        <v>2678</v>
      </c>
      <c r="C100" s="393">
        <v>45939</v>
      </c>
      <c r="D10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0" s="395" t="s">
        <v>2813</v>
      </c>
      <c r="F100" s="397" t="s">
        <v>2826</v>
      </c>
      <c r="G100" s="397"/>
      <c r="H100" s="401"/>
      <c r="I100" s="402"/>
      <c r="J100" s="402">
        <v>50500</v>
      </c>
      <c r="K100" s="398">
        <f ca="1">+IF('[2]BROUILLARD DE CAISSE '!$C100="","",SUMIFS(INDIRECT("$K$7:K"&amp;ROW()),INDIRECT("$D$7:D"&amp;ROW()),"="&amp;"Report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1575346</v>
      </c>
      <c r="L100" s="403">
        <f ca="1">+IF($B100="","",SUMIFS(INDIRECT("$K$7:K"&amp;ROW()),INDIRECT("$B$7:B"&amp;ROW()),Tableau1535678910111213162523692[[#This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1575346</v>
      </c>
      <c r="M100" s="368"/>
      <c r="R100" s="368"/>
      <c r="S100" s="368"/>
      <c r="T100" s="368"/>
    </row>
    <row r="101" spans="1:20" ht="30" x14ac:dyDescent="0.3">
      <c r="A101" s="391" t="s">
        <v>2660</v>
      </c>
      <c r="B101" s="392" t="s">
        <v>2678</v>
      </c>
      <c r="C101" s="393">
        <v>45939</v>
      </c>
      <c r="D10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1" s="395" t="s">
        <v>2717</v>
      </c>
      <c r="F101" s="397" t="s">
        <v>2827</v>
      </c>
      <c r="G101" s="397"/>
      <c r="H101" s="401"/>
      <c r="I101" s="402"/>
      <c r="J101" s="402">
        <v>2000</v>
      </c>
      <c r="K101" s="398">
        <f ca="1">+IF('[2]BROUILLARD DE CAISSE '!$C101="","",SUMIFS(INDIRECT("$K$7:K"&amp;ROW()),INDIRECT("$D$7:D"&amp;ROW()),"="&amp;"Report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1573346</v>
      </c>
      <c r="L101" s="403">
        <f ca="1">+IF($B101="","",SUMIFS(INDIRECT("$K$7:K"&amp;ROW()),INDIRECT("$B$7:B"&amp;ROW()),Tableau1535678910111213162523692[[#This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1573346</v>
      </c>
      <c r="M101" s="368"/>
      <c r="R101" s="368"/>
      <c r="S101" s="368"/>
      <c r="T101" s="368"/>
    </row>
    <row r="102" spans="1:20" ht="30" x14ac:dyDescent="0.3">
      <c r="A102" s="391" t="s">
        <v>2660</v>
      </c>
      <c r="B102" s="392" t="s">
        <v>2678</v>
      </c>
      <c r="C102" s="393">
        <v>45939</v>
      </c>
      <c r="D10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2" s="395" t="s">
        <v>2828</v>
      </c>
      <c r="F102" s="397" t="s">
        <v>2829</v>
      </c>
      <c r="G102" s="397"/>
      <c r="H102" s="401" t="s">
        <v>2830</v>
      </c>
      <c r="I102" s="402"/>
      <c r="J102" s="402">
        <v>9090</v>
      </c>
      <c r="K102" s="398">
        <f ca="1">+IF('[2]BROUILLARD DE CAISSE '!$C102="","",SUMIFS(INDIRECT("$K$7:K"&amp;ROW()),INDIRECT("$D$7:D"&amp;ROW()),"="&amp;"Report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1564256</v>
      </c>
      <c r="L102" s="403">
        <f ca="1">+IF($B102="","",SUMIFS(INDIRECT("$K$7:K"&amp;ROW()),INDIRECT("$B$7:B"&amp;ROW()),Tableau1535678910111213162523692[[#This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1564256</v>
      </c>
      <c r="M102" s="368"/>
      <c r="R102" s="368"/>
      <c r="S102" s="368"/>
      <c r="T102" s="368"/>
    </row>
    <row r="103" spans="1:20" ht="30" x14ac:dyDescent="0.3">
      <c r="A103" s="391" t="s">
        <v>2660</v>
      </c>
      <c r="B103" s="392" t="s">
        <v>2678</v>
      </c>
      <c r="C103" s="406">
        <v>45939</v>
      </c>
      <c r="D10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3" s="408" t="s">
        <v>2700</v>
      </c>
      <c r="F103" s="409" t="s">
        <v>2831</v>
      </c>
      <c r="G103" s="409"/>
      <c r="H103" s="410"/>
      <c r="I103" s="405"/>
      <c r="J103" s="405">
        <v>8800</v>
      </c>
      <c r="K103" s="411">
        <f ca="1">+IF('[2]BROUILLARD DE CAISSE '!$C103="","",SUMIFS(INDIRECT("$K$7:K"&amp;ROW()),INDIRECT("$D$7:D"&amp;ROW()),"="&amp;"Report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1555456</v>
      </c>
      <c r="L103" s="414">
        <f ca="1">+IF($B103="","",SUMIFS(INDIRECT("$K$7:K"&amp;ROW()),INDIRECT("$B$7:B"&amp;ROW()),Tableau1535678910111213162523692[[#This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1555456</v>
      </c>
      <c r="M103" s="368"/>
      <c r="R103" s="368"/>
      <c r="S103" s="368"/>
      <c r="T103" s="368"/>
    </row>
    <row r="104" spans="1:20" ht="30" x14ac:dyDescent="0.3">
      <c r="A104" s="391" t="s">
        <v>2660</v>
      </c>
      <c r="B104" s="392" t="s">
        <v>2678</v>
      </c>
      <c r="C104" s="406">
        <v>45939</v>
      </c>
      <c r="D10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4" s="408" t="s">
        <v>2832</v>
      </c>
      <c r="F104" s="409" t="s">
        <v>2833</v>
      </c>
      <c r="G104" s="409"/>
      <c r="H104" s="410" t="s">
        <v>2834</v>
      </c>
      <c r="I104" s="405"/>
      <c r="J104" s="405">
        <v>138000</v>
      </c>
      <c r="K104" s="411">
        <f ca="1">+IF('[2]BROUILLARD DE CAISSE '!$C104="","",SUMIFS(INDIRECT("$K$7:K"&amp;ROW()),INDIRECT("$D$7:D"&amp;ROW()),"="&amp;"Report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1417456</v>
      </c>
      <c r="L104" s="414">
        <f ca="1">+IF($B104="","",SUMIFS(INDIRECT("$K$7:K"&amp;ROW()),INDIRECT("$B$7:B"&amp;ROW()),Tableau1535678910111213162523692[[#This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1417456</v>
      </c>
      <c r="M104" s="368"/>
      <c r="R104" s="368"/>
      <c r="S104" s="368"/>
      <c r="T104" s="368"/>
    </row>
    <row r="105" spans="1:20" ht="30" x14ac:dyDescent="0.3">
      <c r="A105" s="391" t="s">
        <v>2660</v>
      </c>
      <c r="B105" s="392" t="s">
        <v>2678</v>
      </c>
      <c r="C105" s="406">
        <v>45939</v>
      </c>
      <c r="D10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5" s="408" t="s">
        <v>2708</v>
      </c>
      <c r="F105" s="409" t="s">
        <v>2835</v>
      </c>
      <c r="G105" s="409"/>
      <c r="H105" s="410"/>
      <c r="I105" s="405"/>
      <c r="J105" s="405">
        <v>7500</v>
      </c>
      <c r="K105" s="411">
        <f ca="1">+IF('[2]BROUILLARD DE CAISSE '!$C105="","",SUMIFS(INDIRECT("$K$7:K"&amp;ROW()),INDIRECT("$D$7:D"&amp;ROW()),"="&amp;"Report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1409956</v>
      </c>
      <c r="L105" s="414">
        <f ca="1">+IF($B105="","",SUMIFS(INDIRECT("$K$7:K"&amp;ROW()),INDIRECT("$B$7:B"&amp;ROW()),Tableau1535678910111213162523692[[#This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1409956</v>
      </c>
      <c r="M105" s="368"/>
      <c r="R105" s="368"/>
      <c r="S105" s="368"/>
      <c r="T105" s="368"/>
    </row>
    <row r="106" spans="1:20" ht="30" x14ac:dyDescent="0.3">
      <c r="A106" s="391" t="s">
        <v>2660</v>
      </c>
      <c r="B106" s="392" t="s">
        <v>2678</v>
      </c>
      <c r="C106" s="406">
        <v>45940</v>
      </c>
      <c r="D10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6" s="408" t="s">
        <v>2717</v>
      </c>
      <c r="F106" s="409" t="s">
        <v>55</v>
      </c>
      <c r="G106" s="409"/>
      <c r="H106" s="410"/>
      <c r="I106" s="405"/>
      <c r="J106" s="405">
        <v>2525</v>
      </c>
      <c r="K106" s="411">
        <f ca="1">+IF('[2]BROUILLARD DE CAISSE '!$C106="","",SUMIFS(INDIRECT("$K$7:K"&amp;ROW()),INDIRECT("$D$7:D"&amp;ROW()),"="&amp;"Report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1407431</v>
      </c>
      <c r="L106" s="414">
        <f ca="1">+IF($B106="","",SUMIFS(INDIRECT("$K$7:K"&amp;ROW()),INDIRECT("$B$7:B"&amp;ROW()),Tableau1535678910111213162523692[[#This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1407431</v>
      </c>
      <c r="M106" s="368"/>
      <c r="R106" s="368"/>
      <c r="S106" s="368"/>
      <c r="T106" s="368"/>
    </row>
    <row r="107" spans="1:20" s="423" customFormat="1" ht="30" x14ac:dyDescent="0.3">
      <c r="A107" s="391" t="s">
        <v>2660</v>
      </c>
      <c r="B107" s="392" t="s">
        <v>2678</v>
      </c>
      <c r="C107" s="415">
        <v>45940</v>
      </c>
      <c r="D107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7" s="417" t="s">
        <v>2836</v>
      </c>
      <c r="F107" s="418" t="s">
        <v>2837</v>
      </c>
      <c r="G107" s="418"/>
      <c r="H107" s="419"/>
      <c r="I107" s="420"/>
      <c r="J107" s="420">
        <v>25000</v>
      </c>
      <c r="K107" s="421">
        <f ca="1">+IF('[2]BROUILLARD DE CAISSE '!$C107="","",SUMIFS(INDIRECT("$K$7:K"&amp;ROW()),INDIRECT("$D$7:D"&amp;ROW()),"="&amp;"Report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1382431</v>
      </c>
      <c r="L107" s="422">
        <f ca="1">+IF($B107="","",SUMIFS(INDIRECT("$K$7:K"&amp;ROW()),INDIRECT("$B$7:B"&amp;ROW()),Tableau1535678910111213162523692[[#This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1382431</v>
      </c>
    </row>
    <row r="108" spans="1:20" ht="30" x14ac:dyDescent="0.3">
      <c r="A108" s="391" t="s">
        <v>2660</v>
      </c>
      <c r="B108" s="392" t="s">
        <v>2678</v>
      </c>
      <c r="C108" s="406">
        <v>45940</v>
      </c>
      <c r="D10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8" s="408" t="s">
        <v>2813</v>
      </c>
      <c r="F108" s="409" t="s">
        <v>2838</v>
      </c>
      <c r="G108" s="409"/>
      <c r="H108" s="410"/>
      <c r="I108" s="405"/>
      <c r="J108" s="405">
        <v>6060</v>
      </c>
      <c r="K108" s="411">
        <f ca="1">+IF('[2]BROUILLARD DE CAISSE '!$C108="","",SUMIFS(INDIRECT("$K$7:K"&amp;ROW()),INDIRECT("$D$7:D"&amp;ROW()),"="&amp;"Report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1376371</v>
      </c>
      <c r="L108" s="414">
        <f ca="1">+IF($B108="","",SUMIFS(INDIRECT("$K$7:K"&amp;ROW()),INDIRECT("$B$7:B"&amp;ROW()),Tableau1535678910111213162523692[[#This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1376371</v>
      </c>
      <c r="M108" s="368"/>
      <c r="R108" s="368"/>
      <c r="S108" s="368"/>
      <c r="T108" s="368"/>
    </row>
    <row r="109" spans="1:20" ht="30" x14ac:dyDescent="0.3">
      <c r="A109" s="391" t="s">
        <v>2660</v>
      </c>
      <c r="B109" s="392" t="s">
        <v>2678</v>
      </c>
      <c r="C109" s="406">
        <v>45940</v>
      </c>
      <c r="D10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09" s="408" t="s">
        <v>2839</v>
      </c>
      <c r="F109" s="409" t="s">
        <v>2840</v>
      </c>
      <c r="G109" s="409"/>
      <c r="H109" s="410"/>
      <c r="I109" s="405"/>
      <c r="J109" s="405">
        <v>20200</v>
      </c>
      <c r="K109" s="411">
        <f ca="1">+IF('[2]BROUILLARD DE CAISSE '!$C109="","",SUMIFS(INDIRECT("$K$7:K"&amp;ROW()),INDIRECT("$D$7:D"&amp;ROW()),"="&amp;"Report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1356171</v>
      </c>
      <c r="L109" s="414">
        <f ca="1">+IF($B109="","",SUMIFS(INDIRECT("$K$7:K"&amp;ROW()),INDIRECT("$B$7:B"&amp;ROW()),Tableau1535678910111213162523692[[#This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1356171</v>
      </c>
      <c r="M109" s="368"/>
      <c r="R109" s="368"/>
      <c r="S109" s="368"/>
      <c r="T109" s="368"/>
    </row>
    <row r="110" spans="1:20" ht="30" x14ac:dyDescent="0.3">
      <c r="A110" s="391" t="s">
        <v>2660</v>
      </c>
      <c r="B110" s="392" t="s">
        <v>2678</v>
      </c>
      <c r="C110" s="406">
        <v>45940</v>
      </c>
      <c r="D11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0" s="408" t="s">
        <v>2841</v>
      </c>
      <c r="F110" s="409" t="s">
        <v>2842</v>
      </c>
      <c r="G110" s="409"/>
      <c r="H110" s="410"/>
      <c r="I110" s="405"/>
      <c r="J110" s="405">
        <v>151500</v>
      </c>
      <c r="K110" s="411">
        <f ca="1">+IF('[2]BROUILLARD DE CAISSE '!$C110="","",SUMIFS(INDIRECT("$K$7:K"&amp;ROW()),INDIRECT("$D$7:D"&amp;ROW()),"="&amp;"Report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1204671</v>
      </c>
      <c r="L110" s="414">
        <f ca="1">+IF($B110="","",SUMIFS(INDIRECT("$K$7:K"&amp;ROW()),INDIRECT("$B$7:B"&amp;ROW()),Tableau1535678910111213162523692[[#This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1204671</v>
      </c>
      <c r="M110" s="368"/>
      <c r="R110" s="368"/>
      <c r="S110" s="368"/>
      <c r="T110" s="368"/>
    </row>
    <row r="111" spans="1:20" s="423" customFormat="1" ht="30" x14ac:dyDescent="0.3">
      <c r="A111" s="391" t="s">
        <v>2660</v>
      </c>
      <c r="B111" s="392" t="s">
        <v>2678</v>
      </c>
      <c r="C111" s="424">
        <v>45940</v>
      </c>
      <c r="D111" s="425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11" s="426" t="s">
        <v>2679</v>
      </c>
      <c r="F111" s="427" t="s">
        <v>2843</v>
      </c>
      <c r="G111" s="418"/>
      <c r="H111" s="428"/>
      <c r="I111" s="429">
        <v>1000000</v>
      </c>
      <c r="J111" s="429"/>
      <c r="K111" s="430">
        <f ca="1">+IF('[2]BROUILLARD DE CAISSE '!$C111="","",SUMIFS(INDIRECT("$K$7:K"&amp;ROW()),INDIRECT("$D$7:D"&amp;ROW()),"="&amp;"Report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2204671</v>
      </c>
      <c r="L111" s="422">
        <f ca="1">+IF($B111="","",SUMIFS(INDIRECT("$K$7:K"&amp;ROW()),INDIRECT("$B$7:B"&amp;ROW()),Tableau1535678910111213162523692[[#This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2204671</v>
      </c>
    </row>
    <row r="112" spans="1:20" ht="30" x14ac:dyDescent="0.3">
      <c r="A112" s="391" t="s">
        <v>2660</v>
      </c>
      <c r="B112" s="392" t="s">
        <v>2678</v>
      </c>
      <c r="C112" s="406">
        <v>45940</v>
      </c>
      <c r="D11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2" s="407" t="s">
        <v>2844</v>
      </c>
      <c r="F112" s="409" t="s">
        <v>2845</v>
      </c>
      <c r="G112" s="409"/>
      <c r="H112" s="410"/>
      <c r="I112" s="405"/>
      <c r="J112" s="405">
        <v>33000</v>
      </c>
      <c r="K112" s="411">
        <f ca="1">+IF('[2]BROUILLARD DE CAISSE '!$C112="","",SUMIFS(INDIRECT("$K$7:K"&amp;ROW()),INDIRECT("$D$7:D"&amp;ROW()),"="&amp;"Report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2171671</v>
      </c>
      <c r="L112" s="414">
        <f ca="1">+IF($B112="","",SUMIFS(INDIRECT("$K$7:K"&amp;ROW()),INDIRECT("$B$7:B"&amp;ROW()),Tableau1535678910111213162523692[[#This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2171671</v>
      </c>
      <c r="M112" s="368"/>
      <c r="R112" s="368"/>
      <c r="S112" s="368"/>
      <c r="T112" s="368"/>
    </row>
    <row r="113" spans="1:20" ht="30" x14ac:dyDescent="0.3">
      <c r="A113" s="391" t="s">
        <v>2660</v>
      </c>
      <c r="B113" s="392" t="s">
        <v>2678</v>
      </c>
      <c r="C113" s="406">
        <v>45940</v>
      </c>
      <c r="D11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3" s="408" t="s">
        <v>2714</v>
      </c>
      <c r="F113" s="409" t="s">
        <v>2846</v>
      </c>
      <c r="G113" s="409"/>
      <c r="H113" s="410"/>
      <c r="I113" s="405"/>
      <c r="J113" s="405">
        <v>2600</v>
      </c>
      <c r="K113" s="411">
        <f ca="1">+IF('[2]BROUILLARD DE CAISSE '!$C113="","",SUMIFS(INDIRECT("$K$7:K"&amp;ROW()),INDIRECT("$D$7:D"&amp;ROW()),"="&amp;"Report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2169071</v>
      </c>
      <c r="L113" s="414">
        <f ca="1">+IF($B113="","",SUMIFS(INDIRECT("$K$7:K"&amp;ROW()),INDIRECT("$B$7:B"&amp;ROW()),Tableau1535678910111213162523692[[#This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2169071</v>
      </c>
      <c r="M113" s="368"/>
      <c r="R113" s="368"/>
      <c r="S113" s="368"/>
      <c r="T113" s="368"/>
    </row>
    <row r="114" spans="1:20" ht="30" x14ac:dyDescent="0.3">
      <c r="A114" s="391" t="s">
        <v>2660</v>
      </c>
      <c r="B114" s="392" t="s">
        <v>2678</v>
      </c>
      <c r="C114" s="406">
        <v>45940</v>
      </c>
      <c r="D11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4" s="408" t="s">
        <v>2847</v>
      </c>
      <c r="F114" s="409" t="s">
        <v>2848</v>
      </c>
      <c r="G114" s="409"/>
      <c r="H114" s="410" t="s">
        <v>2830</v>
      </c>
      <c r="I114" s="405"/>
      <c r="J114" s="405">
        <v>3030</v>
      </c>
      <c r="K114" s="411">
        <f ca="1">+IF('[2]BROUILLARD DE CAISSE '!$C114="","",SUMIFS(INDIRECT("$K$7:K"&amp;ROW()),INDIRECT("$D$7:D"&amp;ROW()),"="&amp;"Report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2166041</v>
      </c>
      <c r="L114" s="414">
        <f ca="1">+IF($B114="","",SUMIFS(INDIRECT("$K$7:K"&amp;ROW()),INDIRECT("$B$7:B"&amp;ROW()),Tableau1535678910111213162523692[[#This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2166041</v>
      </c>
      <c r="M114" s="368"/>
      <c r="R114" s="368"/>
      <c r="S114" s="368"/>
      <c r="T114" s="368"/>
    </row>
    <row r="115" spans="1:20" ht="30" x14ac:dyDescent="0.3">
      <c r="A115" s="391" t="s">
        <v>2660</v>
      </c>
      <c r="B115" s="392" t="s">
        <v>2678</v>
      </c>
      <c r="C115" s="406">
        <v>45940</v>
      </c>
      <c r="D11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5" s="408" t="s">
        <v>2710</v>
      </c>
      <c r="F115" s="409" t="s">
        <v>2849</v>
      </c>
      <c r="G115" s="409"/>
      <c r="H115" s="410"/>
      <c r="I115" s="405"/>
      <c r="J115" s="405">
        <v>5050</v>
      </c>
      <c r="K115" s="411">
        <f ca="1">+IF('[2]BROUILLARD DE CAISSE '!$C115="","",SUMIFS(INDIRECT("$K$7:K"&amp;ROW()),INDIRECT("$D$7:D"&amp;ROW()),"="&amp;"Report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2160991</v>
      </c>
      <c r="L115" s="414">
        <f ca="1">+IF($B115="","",SUMIFS(INDIRECT("$K$7:K"&amp;ROW()),INDIRECT("$B$7:B"&amp;ROW()),Tableau1535678910111213162523692[[#This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2160991</v>
      </c>
      <c r="M115" s="368"/>
      <c r="R115" s="368"/>
      <c r="S115" s="368"/>
      <c r="T115" s="368"/>
    </row>
    <row r="116" spans="1:20" ht="30" x14ac:dyDescent="0.3">
      <c r="A116" s="391" t="s">
        <v>2660</v>
      </c>
      <c r="B116" s="392" t="s">
        <v>2678</v>
      </c>
      <c r="C116" s="406">
        <v>45941</v>
      </c>
      <c r="D11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6" s="408" t="s">
        <v>2749</v>
      </c>
      <c r="F116" s="409" t="s">
        <v>2850</v>
      </c>
      <c r="G116" s="409"/>
      <c r="H116" s="410"/>
      <c r="I116" s="405"/>
      <c r="J116" s="405">
        <v>5000</v>
      </c>
      <c r="K116" s="411">
        <f ca="1">+IF('[2]BROUILLARD DE CAISSE '!$C116="","",SUMIFS(INDIRECT("$K$7:K"&amp;ROW()),INDIRECT("$D$7:D"&amp;ROW()),"="&amp;"Report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2155991</v>
      </c>
      <c r="L116" s="414">
        <f ca="1">+IF($B116="","",SUMIFS(INDIRECT("$K$7:K"&amp;ROW()),INDIRECT("$B$7:B"&amp;ROW()),Tableau1535678910111213162523692[[#This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2155991</v>
      </c>
      <c r="M116" s="368"/>
      <c r="R116" s="368"/>
      <c r="S116" s="368"/>
      <c r="T116" s="368"/>
    </row>
    <row r="117" spans="1:20" ht="30" x14ac:dyDescent="0.3">
      <c r="A117" s="391" t="s">
        <v>2660</v>
      </c>
      <c r="B117" s="392" t="s">
        <v>2678</v>
      </c>
      <c r="C117" s="393">
        <v>45941</v>
      </c>
      <c r="D11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7" s="395" t="s">
        <v>2725</v>
      </c>
      <c r="F117" s="397" t="s">
        <v>2851</v>
      </c>
      <c r="G117" s="397"/>
      <c r="H117" s="401"/>
      <c r="I117" s="402"/>
      <c r="J117" s="402">
        <v>30000</v>
      </c>
      <c r="K117" s="398">
        <f ca="1">+IF('[2]BROUILLARD DE CAISSE '!$C117="","",SUMIFS(INDIRECT("$K$7:K"&amp;ROW()),INDIRECT("$D$7:D"&amp;ROW()),"="&amp;"Report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2125991</v>
      </c>
      <c r="L117" s="403">
        <f ca="1">+IF($B117="","",SUMIFS(INDIRECT("$K$7:K"&amp;ROW()),INDIRECT("$B$7:B"&amp;ROW()),Tableau1535678910111213162523692[[#This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2125991</v>
      </c>
      <c r="M117" s="368"/>
      <c r="R117" s="368"/>
      <c r="S117" s="368"/>
      <c r="T117" s="368"/>
    </row>
    <row r="118" spans="1:20" ht="30" x14ac:dyDescent="0.3">
      <c r="A118" s="391" t="s">
        <v>2660</v>
      </c>
      <c r="B118" s="392" t="s">
        <v>2678</v>
      </c>
      <c r="C118" s="406">
        <v>45941</v>
      </c>
      <c r="D11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8" s="408" t="s">
        <v>2852</v>
      </c>
      <c r="F118" s="409" t="s">
        <v>2790</v>
      </c>
      <c r="G118" s="409"/>
      <c r="H118" s="410"/>
      <c r="I118" s="405"/>
      <c r="J118" s="405">
        <v>120000</v>
      </c>
      <c r="K118" s="411">
        <f ca="1">+IF('[2]BROUILLARD DE CAISSE '!$C118="","",SUMIFS(INDIRECT("$K$7:K"&amp;ROW()),INDIRECT("$D$7:D"&amp;ROW()),"="&amp;"Report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2005991</v>
      </c>
      <c r="L118" s="414">
        <f ca="1">+IF($B118="","",SUMIFS(INDIRECT("$K$7:K"&amp;ROW()),INDIRECT("$B$7:B"&amp;ROW()),Tableau1535678910111213162523692[[#This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2005991</v>
      </c>
      <c r="M118" s="368"/>
      <c r="R118" s="368"/>
      <c r="S118" s="368"/>
      <c r="T118" s="368"/>
    </row>
    <row r="119" spans="1:20" ht="30" x14ac:dyDescent="0.3">
      <c r="A119" s="391" t="s">
        <v>2660</v>
      </c>
      <c r="B119" s="392" t="s">
        <v>2678</v>
      </c>
      <c r="C119" s="406">
        <v>45941</v>
      </c>
      <c r="D11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19" s="408" t="s">
        <v>2844</v>
      </c>
      <c r="F119" s="409" t="s">
        <v>2790</v>
      </c>
      <c r="G119" s="409"/>
      <c r="H119" s="410"/>
      <c r="I119" s="405"/>
      <c r="J119" s="405">
        <v>61500</v>
      </c>
      <c r="K119" s="411">
        <f ca="1">+IF('[2]BROUILLARD DE CAISSE '!$C119="","",SUMIFS(INDIRECT("$K$7:K"&amp;ROW()),INDIRECT("$D$7:D"&amp;ROW()),"="&amp;"Report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1944491</v>
      </c>
      <c r="L119" s="414">
        <f ca="1">+IF($B119="","",SUMIFS(INDIRECT("$K$7:K"&amp;ROW()),INDIRECT("$B$7:B"&amp;ROW()),Tableau1535678910111213162523692[[#This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1944491</v>
      </c>
      <c r="M119" s="368"/>
      <c r="R119" s="368"/>
      <c r="S119" s="368"/>
      <c r="T119" s="368"/>
    </row>
    <row r="120" spans="1:20" ht="30" x14ac:dyDescent="0.3">
      <c r="A120" s="391" t="s">
        <v>2660</v>
      </c>
      <c r="B120" s="392" t="s">
        <v>2678</v>
      </c>
      <c r="C120" s="406">
        <v>45941</v>
      </c>
      <c r="D12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0" s="408" t="s">
        <v>2853</v>
      </c>
      <c r="F120" s="409" t="s">
        <v>2854</v>
      </c>
      <c r="G120" s="409"/>
      <c r="H120" s="410"/>
      <c r="I120" s="405"/>
      <c r="J120" s="405">
        <v>242400</v>
      </c>
      <c r="K120" s="411">
        <f ca="1">+IF('[2]BROUILLARD DE CAISSE '!$C120="","",SUMIFS(INDIRECT("$K$7:K"&amp;ROW()),INDIRECT("$D$7:D"&amp;ROW()),"="&amp;"Report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1702091</v>
      </c>
      <c r="L120" s="414">
        <f ca="1">+IF($B120="","",SUMIFS(INDIRECT("$K$7:K"&amp;ROW()),INDIRECT("$B$7:B"&amp;ROW()),Tableau1535678910111213162523692[[#This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1702091</v>
      </c>
      <c r="M120" s="368"/>
      <c r="R120" s="368"/>
      <c r="S120" s="368"/>
      <c r="T120" s="368"/>
    </row>
    <row r="121" spans="1:20" ht="30" x14ac:dyDescent="0.3">
      <c r="A121" s="391" t="s">
        <v>2660</v>
      </c>
      <c r="B121" s="392" t="s">
        <v>2678</v>
      </c>
      <c r="C121" s="406">
        <v>45941</v>
      </c>
      <c r="D12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21" s="408" t="s">
        <v>2679</v>
      </c>
      <c r="F121" s="409" t="s">
        <v>2855</v>
      </c>
      <c r="G121" s="409"/>
      <c r="H121" s="410"/>
      <c r="I121" s="405">
        <v>6250000</v>
      </c>
      <c r="J121" s="405"/>
      <c r="K121" s="411">
        <f ca="1">+IF('[2]BROUILLARD DE CAISSE '!$C121="","",SUMIFS(INDIRECT("$K$7:K"&amp;ROW()),INDIRECT("$D$7:D"&amp;ROW()),"="&amp;"Report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7952091</v>
      </c>
      <c r="L121" s="414">
        <f ca="1">+IF($B121="","",SUMIFS(INDIRECT("$K$7:K"&amp;ROW()),INDIRECT("$B$7:B"&amp;ROW()),Tableau1535678910111213162523692[[#This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7952091</v>
      </c>
      <c r="M121" s="368"/>
      <c r="R121" s="368"/>
      <c r="S121" s="368"/>
      <c r="T121" s="368"/>
    </row>
    <row r="122" spans="1:20" ht="30" x14ac:dyDescent="0.3">
      <c r="A122" s="391" t="s">
        <v>2660</v>
      </c>
      <c r="B122" s="392" t="s">
        <v>2678</v>
      </c>
      <c r="C122" s="406">
        <v>45941</v>
      </c>
      <c r="D12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2" s="408" t="s">
        <v>2856</v>
      </c>
      <c r="F122" s="409" t="s">
        <v>2790</v>
      </c>
      <c r="G122" s="409"/>
      <c r="H122" s="410"/>
      <c r="I122" s="405"/>
      <c r="J122" s="405">
        <v>151500</v>
      </c>
      <c r="K122" s="411">
        <f ca="1">+IF('[2]BROUILLARD DE CAISSE '!$C122="","",SUMIFS(INDIRECT("$K$7:K"&amp;ROW()),INDIRECT("$D$7:D"&amp;ROW()),"="&amp;"Report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7800591</v>
      </c>
      <c r="L122" s="414">
        <f ca="1">+IF($B122="","",SUMIFS(INDIRECT("$K$7:K"&amp;ROW()),INDIRECT("$B$7:B"&amp;ROW()),Tableau1535678910111213162523692[[#This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7800591</v>
      </c>
      <c r="M122" s="368"/>
      <c r="R122" s="368"/>
      <c r="S122" s="368"/>
      <c r="T122" s="368"/>
    </row>
    <row r="123" spans="1:20" ht="30" x14ac:dyDescent="0.3">
      <c r="A123" s="391" t="s">
        <v>2660</v>
      </c>
      <c r="B123" s="392" t="s">
        <v>2678</v>
      </c>
      <c r="C123" s="406">
        <v>45941</v>
      </c>
      <c r="D12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3" s="408" t="s">
        <v>2857</v>
      </c>
      <c r="F123" s="409" t="s">
        <v>2790</v>
      </c>
      <c r="G123" s="409"/>
      <c r="H123" s="410"/>
      <c r="I123" s="405"/>
      <c r="J123" s="405">
        <v>80800</v>
      </c>
      <c r="K123" s="411">
        <f ca="1">+IF('[2]BROUILLARD DE CAISSE '!$C123="","",SUMIFS(INDIRECT("$K$7:K"&amp;ROW()),INDIRECT("$D$7:D"&amp;ROW()),"="&amp;"Report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7719791</v>
      </c>
      <c r="L123" s="414">
        <f ca="1">+IF($B123="","",SUMIFS(INDIRECT("$K$7:K"&amp;ROW()),INDIRECT("$B$7:B"&amp;ROW()),Tableau1535678910111213162523692[[#This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7719791</v>
      </c>
      <c r="M123" s="368"/>
      <c r="R123" s="368"/>
      <c r="S123" s="368"/>
      <c r="T123" s="368"/>
    </row>
    <row r="124" spans="1:20" ht="30" x14ac:dyDescent="0.3">
      <c r="A124" s="391" t="s">
        <v>2660</v>
      </c>
      <c r="B124" s="392" t="s">
        <v>2678</v>
      </c>
      <c r="C124" s="406">
        <v>45941</v>
      </c>
      <c r="D12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4" s="408" t="s">
        <v>2858</v>
      </c>
      <c r="F124" s="409" t="s">
        <v>2790</v>
      </c>
      <c r="G124" s="409"/>
      <c r="H124" s="410"/>
      <c r="I124" s="405"/>
      <c r="J124" s="405">
        <v>202000</v>
      </c>
      <c r="K124" s="411">
        <f ca="1">+IF('[2]BROUILLARD DE CAISSE '!$C124="","",SUMIFS(INDIRECT("$K$7:K"&amp;ROW()),INDIRECT("$D$7:D"&amp;ROW()),"="&amp;"Report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7517791</v>
      </c>
      <c r="L124" s="414">
        <f ca="1">+IF($B124="","",SUMIFS(INDIRECT("$K$7:K"&amp;ROW()),INDIRECT("$B$7:B"&amp;ROW()),Tableau1535678910111213162523692[[#This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7517791</v>
      </c>
      <c r="M124" s="368"/>
      <c r="R124" s="368"/>
      <c r="S124" s="368"/>
      <c r="T124" s="368"/>
    </row>
    <row r="125" spans="1:20" ht="30" x14ac:dyDescent="0.3">
      <c r="A125" s="391" t="s">
        <v>2660</v>
      </c>
      <c r="B125" s="392" t="s">
        <v>2678</v>
      </c>
      <c r="C125" s="406">
        <v>45941</v>
      </c>
      <c r="D12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5" s="408" t="s">
        <v>2859</v>
      </c>
      <c r="F125" s="409" t="s">
        <v>2790</v>
      </c>
      <c r="G125" s="409"/>
      <c r="H125" s="410"/>
      <c r="I125" s="405"/>
      <c r="J125" s="405">
        <v>252500</v>
      </c>
      <c r="K125" s="411">
        <f ca="1">+IF('[2]BROUILLARD DE CAISSE '!$C125="","",SUMIFS(INDIRECT("$K$7:K"&amp;ROW()),INDIRECT("$D$7:D"&amp;ROW()),"="&amp;"Report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7265291</v>
      </c>
      <c r="L125" s="431">
        <f ca="1">+IF($B125="","",SUMIFS(INDIRECT("$K$7:K"&amp;ROW()),INDIRECT("$B$7:B"&amp;ROW()),Tableau1535678910111213162523692[[#This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7265291</v>
      </c>
      <c r="M125" s="368"/>
      <c r="R125" s="368"/>
      <c r="S125" s="368"/>
      <c r="T125" s="368"/>
    </row>
    <row r="126" spans="1:20" ht="30" x14ac:dyDescent="0.3">
      <c r="A126" s="391" t="s">
        <v>2660</v>
      </c>
      <c r="B126" s="392" t="s">
        <v>2678</v>
      </c>
      <c r="C126" s="406">
        <v>45941</v>
      </c>
      <c r="D12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6" s="408" t="s">
        <v>2860</v>
      </c>
      <c r="F126" s="409" t="s">
        <v>2790</v>
      </c>
      <c r="G126" s="409"/>
      <c r="H126" s="410"/>
      <c r="I126" s="405"/>
      <c r="J126" s="405">
        <v>101000</v>
      </c>
      <c r="K126" s="411">
        <f ca="1">+IF('[2]BROUILLARD DE CAISSE '!$C126="","",SUMIFS(INDIRECT("$K$7:K"&amp;ROW()),INDIRECT("$D$7:D"&amp;ROW()),"="&amp;"Report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7164291</v>
      </c>
      <c r="L126" s="414">
        <f ca="1">+IF($B126="","",SUMIFS(INDIRECT("$K$7:K"&amp;ROW()),INDIRECT("$B$7:B"&amp;ROW()),Tableau1535678910111213162523692[[#This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7164291</v>
      </c>
      <c r="M126" s="368"/>
      <c r="R126" s="368"/>
      <c r="S126" s="368"/>
      <c r="T126" s="368"/>
    </row>
    <row r="127" spans="1:20" ht="30" x14ac:dyDescent="0.3">
      <c r="A127" s="391" t="s">
        <v>2660</v>
      </c>
      <c r="B127" s="392" t="s">
        <v>2678</v>
      </c>
      <c r="C127" s="406">
        <v>45941</v>
      </c>
      <c r="D127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7" s="408" t="s">
        <v>2828</v>
      </c>
      <c r="F127" s="409" t="s">
        <v>2790</v>
      </c>
      <c r="G127" s="409"/>
      <c r="H127" s="410"/>
      <c r="I127" s="405"/>
      <c r="J127" s="405">
        <v>75750</v>
      </c>
      <c r="K127" s="411">
        <f ca="1">+IF('[2]BROUILLARD DE CAISSE '!$C127="","",SUMIFS(INDIRECT("$K$7:K"&amp;ROW()),INDIRECT("$D$7:D"&amp;ROW()),"="&amp;"Report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7088541</v>
      </c>
      <c r="L127" s="414">
        <f ca="1">+IF($B127="","",SUMIFS(INDIRECT("$K$7:K"&amp;ROW()),INDIRECT("$B$7:B"&amp;ROW()),Tableau1535678910111213162523692[[#This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7088541</v>
      </c>
      <c r="M127" s="368"/>
      <c r="R127" s="368"/>
      <c r="S127" s="368"/>
      <c r="T127" s="368"/>
    </row>
    <row r="128" spans="1:20" ht="30" x14ac:dyDescent="0.3">
      <c r="A128" s="391" t="s">
        <v>2660</v>
      </c>
      <c r="B128" s="392" t="s">
        <v>2678</v>
      </c>
      <c r="C128" s="406">
        <v>45941</v>
      </c>
      <c r="D12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8" s="408" t="s">
        <v>2861</v>
      </c>
      <c r="F128" s="409" t="s">
        <v>2790</v>
      </c>
      <c r="G128" s="409"/>
      <c r="H128" s="410"/>
      <c r="I128" s="405"/>
      <c r="J128" s="405">
        <v>80800</v>
      </c>
      <c r="K128" s="411">
        <f ca="1">+IF('[2]BROUILLARD DE CAISSE '!$C128="","",SUMIFS(INDIRECT("$K$7:K"&amp;ROW()),INDIRECT("$D$7:D"&amp;ROW()),"="&amp;"Report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7007741</v>
      </c>
      <c r="L128" s="414">
        <f ca="1">+IF($B128="","",SUMIFS(INDIRECT("$K$7:K"&amp;ROW()),INDIRECT("$B$7:B"&amp;ROW()),Tableau1535678910111213162523692[[#This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7007741</v>
      </c>
      <c r="M128" s="368"/>
      <c r="R128" s="368"/>
      <c r="S128" s="368"/>
      <c r="T128" s="368"/>
    </row>
    <row r="129" spans="1:20" ht="30" x14ac:dyDescent="0.3">
      <c r="A129" s="391" t="s">
        <v>2660</v>
      </c>
      <c r="B129" s="392" t="s">
        <v>2678</v>
      </c>
      <c r="C129" s="406">
        <v>45941</v>
      </c>
      <c r="D12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29" s="408" t="s">
        <v>2862</v>
      </c>
      <c r="F129" s="409" t="s">
        <v>2790</v>
      </c>
      <c r="G129" s="409"/>
      <c r="H129" s="410"/>
      <c r="I129" s="405"/>
      <c r="J129" s="405">
        <v>151500</v>
      </c>
      <c r="K129" s="411">
        <f ca="1">+IF('[2]BROUILLARD DE CAISSE '!$C129="","",SUMIFS(INDIRECT("$K$7:K"&amp;ROW()),INDIRECT("$D$7:D"&amp;ROW()),"="&amp;"Report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6856241</v>
      </c>
      <c r="L129" s="414">
        <f ca="1">+IF($B129="","",SUMIFS(INDIRECT("$K$7:K"&amp;ROW()),INDIRECT("$B$7:B"&amp;ROW()),Tableau1535678910111213162523692[[#This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6856241</v>
      </c>
      <c r="M129" s="368"/>
      <c r="R129" s="368"/>
      <c r="S129" s="368"/>
      <c r="T129" s="368"/>
    </row>
    <row r="130" spans="1:20" ht="30" x14ac:dyDescent="0.3">
      <c r="A130" s="391" t="s">
        <v>2660</v>
      </c>
      <c r="B130" s="392" t="s">
        <v>2678</v>
      </c>
      <c r="C130" s="406">
        <v>45941</v>
      </c>
      <c r="D13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0" s="408" t="s">
        <v>2683</v>
      </c>
      <c r="F130" s="409" t="s">
        <v>2790</v>
      </c>
      <c r="G130" s="409"/>
      <c r="H130" s="410"/>
      <c r="I130" s="405"/>
      <c r="J130" s="405">
        <v>151500</v>
      </c>
      <c r="K130" s="411">
        <f ca="1">+IF('[2]BROUILLARD DE CAISSE '!$C130="","",SUMIFS(INDIRECT("$K$7:K"&amp;ROW()),INDIRECT("$D$7:D"&amp;ROW()),"="&amp;"Report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6704741</v>
      </c>
      <c r="L130" s="414">
        <f ca="1">+IF($B130="","",SUMIFS(INDIRECT("$K$7:K"&amp;ROW()),INDIRECT("$B$7:B"&amp;ROW()),Tableau1535678910111213162523692[[#This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6704741</v>
      </c>
      <c r="M130" s="368"/>
      <c r="R130" s="368"/>
      <c r="S130" s="368"/>
      <c r="T130" s="368"/>
    </row>
    <row r="131" spans="1:20" ht="30" x14ac:dyDescent="0.3">
      <c r="A131" s="391" t="s">
        <v>2660</v>
      </c>
      <c r="B131" s="392" t="s">
        <v>2678</v>
      </c>
      <c r="C131" s="406">
        <v>45941</v>
      </c>
      <c r="D13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1" s="408" t="s">
        <v>2820</v>
      </c>
      <c r="F131" s="409" t="s">
        <v>2790</v>
      </c>
      <c r="G131" s="409"/>
      <c r="H131" s="410"/>
      <c r="I131" s="405"/>
      <c r="J131" s="405">
        <v>202000</v>
      </c>
      <c r="K131" s="411">
        <f ca="1">+IF('[2]BROUILLARD DE CAISSE '!$C131="","",SUMIFS(INDIRECT("$K$7:K"&amp;ROW()),INDIRECT("$D$7:D"&amp;ROW()),"="&amp;"Report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6502741</v>
      </c>
      <c r="L131" s="414">
        <f ca="1">+IF($B131="","",SUMIFS(INDIRECT("$K$7:K"&amp;ROW()),INDIRECT("$B$7:B"&amp;ROW()),Tableau1535678910111213162523692[[#This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6502741</v>
      </c>
      <c r="M131" s="368"/>
      <c r="R131" s="368"/>
      <c r="S131" s="368"/>
      <c r="T131" s="368"/>
    </row>
    <row r="132" spans="1:20" ht="30" x14ac:dyDescent="0.3">
      <c r="A132" s="391" t="s">
        <v>2660</v>
      </c>
      <c r="B132" s="392" t="s">
        <v>2678</v>
      </c>
      <c r="C132" s="406">
        <v>45941</v>
      </c>
      <c r="D13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2" s="408" t="s">
        <v>2686</v>
      </c>
      <c r="F132" s="409" t="s">
        <v>2790</v>
      </c>
      <c r="G132" s="409"/>
      <c r="H132" s="410"/>
      <c r="I132" s="405"/>
      <c r="J132" s="405">
        <v>151500</v>
      </c>
      <c r="K132" s="411">
        <f ca="1">+IF('[2]BROUILLARD DE CAISSE '!$C132="","",SUMIFS(INDIRECT("$K$7:K"&amp;ROW()),INDIRECT("$D$7:D"&amp;ROW()),"="&amp;"Report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6351241</v>
      </c>
      <c r="L132" s="414">
        <f ca="1">+IF($B132="","",SUMIFS(INDIRECT("$K$7:K"&amp;ROW()),INDIRECT("$B$7:B"&amp;ROW()),Tableau1535678910111213162523692[[#This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6351241</v>
      </c>
      <c r="M132" s="368"/>
      <c r="R132" s="368"/>
      <c r="S132" s="368"/>
      <c r="T132" s="368"/>
    </row>
    <row r="133" spans="1:20" ht="30" x14ac:dyDescent="0.3">
      <c r="A133" s="391" t="s">
        <v>2660</v>
      </c>
      <c r="B133" s="392" t="s">
        <v>2678</v>
      </c>
      <c r="C133" s="406">
        <v>45941</v>
      </c>
      <c r="D13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3" s="408" t="s">
        <v>2863</v>
      </c>
      <c r="F133" s="409" t="s">
        <v>2790</v>
      </c>
      <c r="G133" s="409"/>
      <c r="H133" s="410"/>
      <c r="I133" s="405"/>
      <c r="J133" s="405">
        <v>151500</v>
      </c>
      <c r="K133" s="411">
        <f ca="1">+IF('[2]BROUILLARD DE CAISSE '!$C133="","",SUMIFS(INDIRECT("$K$7:K"&amp;ROW()),INDIRECT("$D$7:D"&amp;ROW()),"="&amp;"Report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6199741</v>
      </c>
      <c r="L133" s="414">
        <f ca="1">+IF($B133="","",SUMIFS(INDIRECT("$K$7:K"&amp;ROW()),INDIRECT("$B$7:B"&amp;ROW()),Tableau1535678910111213162523692[[#This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6199741</v>
      </c>
      <c r="M133" s="368"/>
      <c r="R133" s="368"/>
      <c r="S133" s="368"/>
      <c r="T133" s="368"/>
    </row>
    <row r="134" spans="1:20" ht="30" x14ac:dyDescent="0.3">
      <c r="A134" s="391" t="s">
        <v>2660</v>
      </c>
      <c r="B134" s="392" t="s">
        <v>2678</v>
      </c>
      <c r="C134" s="406">
        <v>45941</v>
      </c>
      <c r="D13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4" s="408" t="s">
        <v>2864</v>
      </c>
      <c r="F134" s="409" t="s">
        <v>2790</v>
      </c>
      <c r="G134" s="409"/>
      <c r="H134" s="410"/>
      <c r="I134" s="405"/>
      <c r="J134" s="405">
        <v>101000</v>
      </c>
      <c r="K134" s="411">
        <f ca="1">+IF('[2]BROUILLARD DE CAISSE '!$C134="","",SUMIFS(INDIRECT("$K$7:K"&amp;ROW()),INDIRECT("$D$7:D"&amp;ROW()),"="&amp;"Report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6098741</v>
      </c>
      <c r="L134" s="414">
        <f ca="1">+IF($B134="","",SUMIFS(INDIRECT("$K$7:K"&amp;ROW()),INDIRECT("$B$7:B"&amp;ROW()),Tableau1535678910111213162523692[[#This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6098741</v>
      </c>
      <c r="M134" s="368"/>
      <c r="R134" s="368"/>
      <c r="S134" s="368"/>
      <c r="T134" s="368"/>
    </row>
    <row r="135" spans="1:20" ht="30" x14ac:dyDescent="0.3">
      <c r="A135" s="391" t="s">
        <v>2660</v>
      </c>
      <c r="B135" s="392" t="s">
        <v>2678</v>
      </c>
      <c r="C135" s="406">
        <v>45941</v>
      </c>
      <c r="D13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5" s="408" t="s">
        <v>2847</v>
      </c>
      <c r="F135" s="409" t="s">
        <v>2790</v>
      </c>
      <c r="G135" s="409"/>
      <c r="H135" s="410"/>
      <c r="I135" s="405"/>
      <c r="J135" s="405">
        <v>101000</v>
      </c>
      <c r="K135" s="411">
        <f ca="1">+IF('[2]BROUILLARD DE CAISSE '!$C135="","",SUMIFS(INDIRECT("$K$7:K"&amp;ROW()),INDIRECT("$D$7:D"&amp;ROW()),"="&amp;"Report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5997741</v>
      </c>
      <c r="L135" s="414">
        <f ca="1">+IF($B135="","",SUMIFS(INDIRECT("$K$7:K"&amp;ROW()),INDIRECT("$B$7:B"&amp;ROW()),Tableau1535678910111213162523692[[#This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5997741</v>
      </c>
      <c r="M135" s="368"/>
      <c r="R135" s="368"/>
      <c r="S135" s="368"/>
      <c r="T135" s="368"/>
    </row>
    <row r="136" spans="1:20" ht="30" x14ac:dyDescent="0.3">
      <c r="A136" s="391" t="s">
        <v>2660</v>
      </c>
      <c r="B136" s="392" t="s">
        <v>2678</v>
      </c>
      <c r="C136" s="406">
        <v>45941</v>
      </c>
      <c r="D13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6" s="408" t="s">
        <v>2779</v>
      </c>
      <c r="F136" s="409" t="s">
        <v>2790</v>
      </c>
      <c r="G136" s="409"/>
      <c r="H136" s="410"/>
      <c r="I136" s="405"/>
      <c r="J136" s="405">
        <v>101000</v>
      </c>
      <c r="K136" s="411">
        <f ca="1">+IF('[2]BROUILLARD DE CAISSE '!$C136="","",SUMIFS(INDIRECT("$K$7:K"&amp;ROW()),INDIRECT("$D$7:D"&amp;ROW()),"="&amp;"Report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5896741</v>
      </c>
      <c r="L136" s="414">
        <f ca="1">+IF($B136="","",SUMIFS(INDIRECT("$K$7:K"&amp;ROW()),INDIRECT("$B$7:B"&amp;ROW()),Tableau1535678910111213162523692[[#This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5896741</v>
      </c>
      <c r="M136" s="368"/>
      <c r="R136" s="368"/>
      <c r="S136" s="368"/>
      <c r="T136" s="368"/>
    </row>
    <row r="137" spans="1:20" s="423" customFormat="1" ht="30" x14ac:dyDescent="0.3">
      <c r="A137" s="391" t="s">
        <v>2660</v>
      </c>
      <c r="B137" s="392" t="s">
        <v>2678</v>
      </c>
      <c r="C137" s="415">
        <v>45941</v>
      </c>
      <c r="D137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7" s="417" t="s">
        <v>2865</v>
      </c>
      <c r="F137" s="418" t="s">
        <v>2790</v>
      </c>
      <c r="G137" s="418"/>
      <c r="H137" s="419"/>
      <c r="I137" s="420"/>
      <c r="J137" s="420">
        <v>101000</v>
      </c>
      <c r="K137" s="421">
        <f ca="1">+IF('[2]BROUILLARD DE CAISSE '!$C137="","",SUMIFS(INDIRECT("$K$7:K"&amp;ROW()),INDIRECT("$D$7:D"&amp;ROW()),"="&amp;"Report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5795741</v>
      </c>
      <c r="L137" s="422">
        <f ca="1">+IF($B137="","",SUMIFS(INDIRECT("$K$7:K"&amp;ROW()),INDIRECT("$B$7:B"&amp;ROW()),Tableau1535678910111213162523692[[#This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5795741</v>
      </c>
    </row>
    <row r="138" spans="1:20" ht="30" x14ac:dyDescent="0.3">
      <c r="A138" s="391" t="s">
        <v>2660</v>
      </c>
      <c r="B138" s="392" t="s">
        <v>2678</v>
      </c>
      <c r="C138" s="406">
        <v>45941</v>
      </c>
      <c r="D13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8" s="408" t="s">
        <v>2866</v>
      </c>
      <c r="F138" s="409" t="s">
        <v>2790</v>
      </c>
      <c r="G138" s="409"/>
      <c r="H138" s="410"/>
      <c r="I138" s="405"/>
      <c r="J138" s="405">
        <v>151500</v>
      </c>
      <c r="K138" s="411">
        <f ca="1">+IF('[2]BROUILLARD DE CAISSE '!$C138="","",SUMIFS(INDIRECT("$K$7:K"&amp;ROW()),INDIRECT("$D$7:D"&amp;ROW()),"="&amp;"Report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5644241</v>
      </c>
      <c r="L138" s="414">
        <f ca="1">+IF($B138="","",SUMIFS(INDIRECT("$K$7:K"&amp;ROW()),INDIRECT("$B$7:B"&amp;ROW()),Tableau1535678910111213162523692[[#This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5644241</v>
      </c>
      <c r="M138" s="368"/>
      <c r="R138" s="368"/>
      <c r="S138" s="368"/>
      <c r="T138" s="368"/>
    </row>
    <row r="139" spans="1:20" ht="30" x14ac:dyDescent="0.3">
      <c r="A139" s="391" t="s">
        <v>2660</v>
      </c>
      <c r="B139" s="392" t="s">
        <v>2678</v>
      </c>
      <c r="C139" s="406">
        <v>45941</v>
      </c>
      <c r="D13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39" s="408" t="s">
        <v>2867</v>
      </c>
      <c r="F139" s="409" t="s">
        <v>2790</v>
      </c>
      <c r="G139" s="409"/>
      <c r="H139" s="410"/>
      <c r="I139" s="405"/>
      <c r="J139" s="405">
        <v>151500</v>
      </c>
      <c r="K139" s="411">
        <f ca="1">+IF('[2]BROUILLARD DE CAISSE '!$C139="","",SUMIFS(INDIRECT("$K$7:K"&amp;ROW()),INDIRECT("$D$7:D"&amp;ROW()),"="&amp;"Report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5492741</v>
      </c>
      <c r="L139" s="414">
        <f ca="1">+IF($B139="","",SUMIFS(INDIRECT("$K$7:K"&amp;ROW()),INDIRECT("$B$7:B"&amp;ROW()),Tableau1535678910111213162523692[[#This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5492741</v>
      </c>
      <c r="M139" s="368"/>
      <c r="R139" s="368"/>
      <c r="S139" s="368"/>
      <c r="T139" s="368"/>
    </row>
    <row r="140" spans="1:20" ht="30" x14ac:dyDescent="0.3">
      <c r="A140" s="391" t="s">
        <v>2660</v>
      </c>
      <c r="B140" s="392" t="s">
        <v>2678</v>
      </c>
      <c r="C140" s="406">
        <v>45941</v>
      </c>
      <c r="D14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0" s="408" t="s">
        <v>2868</v>
      </c>
      <c r="F140" s="409" t="s">
        <v>2790</v>
      </c>
      <c r="G140" s="409"/>
      <c r="H140" s="410"/>
      <c r="I140" s="405"/>
      <c r="J140" s="405">
        <v>151500</v>
      </c>
      <c r="K140" s="411">
        <f ca="1">+IF('[2]BROUILLARD DE CAISSE '!$C140="","",SUMIFS(INDIRECT("$K$7:K"&amp;ROW()),INDIRECT("$D$7:D"&amp;ROW()),"="&amp;"Report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5341241</v>
      </c>
      <c r="L140" s="414">
        <f ca="1">+IF($B140="","",SUMIFS(INDIRECT("$K$7:K"&amp;ROW()),INDIRECT("$B$7:B"&amp;ROW()),Tableau1535678910111213162523692[[#This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5341241</v>
      </c>
      <c r="M140" s="368"/>
      <c r="R140" s="368"/>
      <c r="S140" s="368"/>
      <c r="T140" s="368"/>
    </row>
    <row r="141" spans="1:20" ht="30" x14ac:dyDescent="0.3">
      <c r="A141" s="391" t="s">
        <v>2660</v>
      </c>
      <c r="B141" s="392" t="s">
        <v>2678</v>
      </c>
      <c r="C141" s="406">
        <v>45941</v>
      </c>
      <c r="D14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1" s="408" t="s">
        <v>2869</v>
      </c>
      <c r="F141" s="409" t="s">
        <v>2790</v>
      </c>
      <c r="G141" s="409"/>
      <c r="H141" s="410"/>
      <c r="I141" s="405"/>
      <c r="J141" s="405">
        <v>151500</v>
      </c>
      <c r="K141" s="411">
        <f ca="1">+IF('[2]BROUILLARD DE CAISSE '!$C141="","",SUMIFS(INDIRECT("$K$7:K"&amp;ROW()),INDIRECT("$D$7:D"&amp;ROW()),"="&amp;"Report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5189741</v>
      </c>
      <c r="L141" s="414">
        <f ca="1">+IF($B141="","",SUMIFS(INDIRECT("$K$7:K"&amp;ROW()),INDIRECT("$B$7:B"&amp;ROW()),Tableau1535678910111213162523692[[#This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5189741</v>
      </c>
      <c r="M141" s="368"/>
      <c r="R141" s="368"/>
      <c r="S141" s="368"/>
      <c r="T141" s="368"/>
    </row>
    <row r="142" spans="1:20" ht="30" x14ac:dyDescent="0.3">
      <c r="A142" s="391" t="s">
        <v>2660</v>
      </c>
      <c r="B142" s="392" t="s">
        <v>2678</v>
      </c>
      <c r="C142" s="406">
        <v>45941</v>
      </c>
      <c r="D14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2" s="408" t="s">
        <v>2870</v>
      </c>
      <c r="F142" s="409" t="s">
        <v>2790</v>
      </c>
      <c r="G142" s="409"/>
      <c r="H142" s="410"/>
      <c r="I142" s="405"/>
      <c r="J142" s="405">
        <v>121200</v>
      </c>
      <c r="K142" s="411">
        <f ca="1">+IF('[2]BROUILLARD DE CAISSE '!$C142="","",SUMIFS(INDIRECT("$K$7:K"&amp;ROW()),INDIRECT("$D$7:D"&amp;ROW()),"="&amp;"Report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5068541</v>
      </c>
      <c r="L142" s="414">
        <f ca="1">+IF($B142="","",SUMIFS(INDIRECT("$K$7:K"&amp;ROW()),INDIRECT("$B$7:B"&amp;ROW()),Tableau1535678910111213162523692[[#This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5068541</v>
      </c>
      <c r="M142" s="368"/>
      <c r="R142" s="368"/>
      <c r="S142" s="368"/>
      <c r="T142" s="368"/>
    </row>
    <row r="143" spans="1:20" s="423" customFormat="1" ht="30" x14ac:dyDescent="0.3">
      <c r="A143" s="391" t="s">
        <v>2660</v>
      </c>
      <c r="B143" s="392" t="s">
        <v>2678</v>
      </c>
      <c r="C143" s="415">
        <v>45941</v>
      </c>
      <c r="D143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3" s="417" t="s">
        <v>2871</v>
      </c>
      <c r="F143" s="418" t="s">
        <v>2790</v>
      </c>
      <c r="G143" s="418"/>
      <c r="H143" s="419"/>
      <c r="I143" s="420"/>
      <c r="J143" s="420">
        <v>202000</v>
      </c>
      <c r="K143" s="421">
        <f ca="1">+IF('[2]BROUILLARD DE CAISSE '!$C143="","",SUMIFS(INDIRECT("$K$7:K"&amp;ROW()),INDIRECT("$D$7:D"&amp;ROW()),"="&amp;"Report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4866541</v>
      </c>
      <c r="L143" s="422">
        <f ca="1">+IF($B143="","",SUMIFS(INDIRECT("$K$7:K"&amp;ROW()),INDIRECT("$B$7:B"&amp;ROW()),Tableau1535678910111213162523692[[#This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4866541</v>
      </c>
    </row>
    <row r="144" spans="1:20" ht="30" x14ac:dyDescent="0.3">
      <c r="A144" s="391" t="s">
        <v>2660</v>
      </c>
      <c r="B144" s="392" t="s">
        <v>2678</v>
      </c>
      <c r="C144" s="406">
        <v>45941</v>
      </c>
      <c r="D14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4" s="408" t="s">
        <v>2872</v>
      </c>
      <c r="F144" s="409" t="s">
        <v>2790</v>
      </c>
      <c r="G144" s="409"/>
      <c r="H144" s="410"/>
      <c r="I144" s="405"/>
      <c r="J144" s="405">
        <v>45450</v>
      </c>
      <c r="K144" s="411">
        <f ca="1">+IF('[2]BROUILLARD DE CAISSE '!$C144="","",SUMIFS(INDIRECT("$K$7:K"&amp;ROW()),INDIRECT("$D$7:D"&amp;ROW()),"="&amp;"Report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4821091</v>
      </c>
      <c r="L144" s="431">
        <f ca="1">+IF($B144="","",SUMIFS(INDIRECT("$K$7:K"&amp;ROW()),INDIRECT("$B$7:B"&amp;ROW()),Tableau1535678910111213162523692[[#This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4821091</v>
      </c>
      <c r="M144" s="368"/>
      <c r="R144" s="368"/>
      <c r="S144" s="368"/>
      <c r="T144" s="368"/>
    </row>
    <row r="145" spans="1:20" ht="30" x14ac:dyDescent="0.3">
      <c r="A145" s="391" t="s">
        <v>2660</v>
      </c>
      <c r="B145" s="392" t="s">
        <v>2678</v>
      </c>
      <c r="C145" s="406">
        <v>45941</v>
      </c>
      <c r="D14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5" s="408" t="s">
        <v>2794</v>
      </c>
      <c r="F145" s="409" t="s">
        <v>2790</v>
      </c>
      <c r="G145" s="409"/>
      <c r="H145" s="410"/>
      <c r="I145" s="405"/>
      <c r="J145" s="405">
        <v>202000</v>
      </c>
      <c r="K145" s="411">
        <f ca="1">+IF('[2]BROUILLARD DE CAISSE '!$C145="","",SUMIFS(INDIRECT("$K$7:K"&amp;ROW()),INDIRECT("$D$7:D"&amp;ROW()),"="&amp;"Report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4619091</v>
      </c>
      <c r="L145" s="414">
        <f ca="1">+IF($B145="","",SUMIFS(INDIRECT("$K$7:K"&amp;ROW()),INDIRECT("$B$7:B"&amp;ROW()),Tableau1535678910111213162523692[[#This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4619091</v>
      </c>
      <c r="M145" s="368"/>
      <c r="R145" s="368"/>
      <c r="S145" s="368"/>
      <c r="T145" s="368"/>
    </row>
    <row r="146" spans="1:20" ht="30" x14ac:dyDescent="0.3">
      <c r="A146" s="391" t="s">
        <v>2660</v>
      </c>
      <c r="B146" s="392" t="s">
        <v>2678</v>
      </c>
      <c r="C146" s="406">
        <v>45941</v>
      </c>
      <c r="D14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6" s="408" t="s">
        <v>2710</v>
      </c>
      <c r="F146" s="409" t="s">
        <v>2790</v>
      </c>
      <c r="G146" s="409"/>
      <c r="H146" s="410"/>
      <c r="I146" s="405"/>
      <c r="J146" s="405">
        <v>151500</v>
      </c>
      <c r="K146" s="411">
        <f ca="1">+IF('[2]BROUILLARD DE CAISSE '!$C146="","",SUMIFS(INDIRECT("$K$7:K"&amp;ROW()),INDIRECT("$D$7:D"&amp;ROW()),"="&amp;"Report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4467591</v>
      </c>
      <c r="L146" s="414">
        <f ca="1">+IF($B146="","",SUMIFS(INDIRECT("$K$7:K"&amp;ROW()),INDIRECT("$B$7:B"&amp;ROW()),Tableau1535678910111213162523692[[#This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4467591</v>
      </c>
      <c r="M146" s="368"/>
      <c r="R146" s="368"/>
      <c r="S146" s="368"/>
      <c r="T146" s="368"/>
    </row>
    <row r="147" spans="1:20" ht="30" x14ac:dyDescent="0.3">
      <c r="A147" s="391" t="s">
        <v>2660</v>
      </c>
      <c r="B147" s="392" t="s">
        <v>2678</v>
      </c>
      <c r="C147" s="406">
        <v>45941</v>
      </c>
      <c r="D147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7" s="408" t="s">
        <v>2813</v>
      </c>
      <c r="F147" s="409" t="s">
        <v>2790</v>
      </c>
      <c r="G147" s="409"/>
      <c r="H147" s="410"/>
      <c r="I147" s="405"/>
      <c r="J147" s="405">
        <v>121200</v>
      </c>
      <c r="K147" s="411">
        <f ca="1">+IF('[2]BROUILLARD DE CAISSE '!$C147="","",SUMIFS(INDIRECT("$K$7:K"&amp;ROW()),INDIRECT("$D$7:D"&amp;ROW()),"="&amp;"Report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4346391</v>
      </c>
      <c r="L147" s="414">
        <f ca="1">+IF($B147="","",SUMIFS(INDIRECT("$K$7:K"&amp;ROW()),INDIRECT("$B$7:B"&amp;ROW()),Tableau1535678910111213162523692[[#This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4346391</v>
      </c>
      <c r="M147" s="368"/>
      <c r="R147" s="368"/>
      <c r="S147" s="368"/>
      <c r="T147" s="368"/>
    </row>
    <row r="148" spans="1:20" ht="30" x14ac:dyDescent="0.3">
      <c r="A148" s="391" t="s">
        <v>2660</v>
      </c>
      <c r="B148" s="392" t="s">
        <v>2678</v>
      </c>
      <c r="C148" s="406">
        <v>45941</v>
      </c>
      <c r="D14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8" s="408" t="s">
        <v>2873</v>
      </c>
      <c r="F148" s="409" t="s">
        <v>2790</v>
      </c>
      <c r="G148" s="409"/>
      <c r="H148" s="410"/>
      <c r="I148" s="405"/>
      <c r="J148" s="405">
        <v>121200</v>
      </c>
      <c r="K148" s="411">
        <f ca="1">+IF('[2]BROUILLARD DE CAISSE '!$C148="","",SUMIFS(INDIRECT("$K$7:K"&amp;ROW()),INDIRECT("$D$7:D"&amp;ROW()),"="&amp;"Report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4225191</v>
      </c>
      <c r="L148" s="414">
        <f ca="1">+IF($B148="","",SUMIFS(INDIRECT("$K$7:K"&amp;ROW()),INDIRECT("$B$7:B"&amp;ROW()),Tableau1535678910111213162523692[[#This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4225191</v>
      </c>
      <c r="M148" s="368"/>
      <c r="R148" s="368"/>
      <c r="S148" s="368"/>
      <c r="T148" s="368"/>
    </row>
    <row r="149" spans="1:20" s="423" customFormat="1" ht="30" x14ac:dyDescent="0.3">
      <c r="A149" s="391" t="s">
        <v>2660</v>
      </c>
      <c r="B149" s="392" t="s">
        <v>2678</v>
      </c>
      <c r="C149" s="415">
        <v>45941</v>
      </c>
      <c r="D149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49" s="417" t="s">
        <v>2696</v>
      </c>
      <c r="F149" s="418" t="s">
        <v>2790</v>
      </c>
      <c r="G149" s="418"/>
      <c r="H149" s="419"/>
      <c r="I149" s="420"/>
      <c r="J149" s="420">
        <v>121200</v>
      </c>
      <c r="K149" s="421">
        <f ca="1">+IF('[2]BROUILLARD DE CAISSE '!$C149="","",SUMIFS(INDIRECT("$K$7:K"&amp;ROW()),INDIRECT("$D$7:D"&amp;ROW()),"="&amp;"Report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4103991</v>
      </c>
      <c r="L149" s="422">
        <f ca="1">+IF($B149="","",SUMIFS(INDIRECT("$K$7:K"&amp;ROW()),INDIRECT("$B$7:B"&amp;ROW()),Tableau1535678910111213162523692[[#This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4103991</v>
      </c>
    </row>
    <row r="150" spans="1:20" ht="30" x14ac:dyDescent="0.3">
      <c r="A150" s="391" t="s">
        <v>2660</v>
      </c>
      <c r="B150" s="392" t="s">
        <v>2678</v>
      </c>
      <c r="C150" s="406">
        <v>45941</v>
      </c>
      <c r="D15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0" s="408" t="s">
        <v>2686</v>
      </c>
      <c r="F150" s="409" t="s">
        <v>2874</v>
      </c>
      <c r="G150" s="409"/>
      <c r="H150" s="410" t="s">
        <v>2707</v>
      </c>
      <c r="I150" s="405"/>
      <c r="J150" s="405">
        <v>10100</v>
      </c>
      <c r="K150" s="411">
        <f ca="1">+IF('[2]BROUILLARD DE CAISSE '!$C150="","",SUMIFS(INDIRECT("$K$7:K"&amp;ROW()),INDIRECT("$D$7:D"&amp;ROW()),"="&amp;"Report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4093891</v>
      </c>
      <c r="L150" s="414">
        <f ca="1">+IF($B150="","",SUMIFS(INDIRECT("$K$7:K"&amp;ROW()),INDIRECT("$B$7:B"&amp;ROW()),Tableau1535678910111213162523692[[#This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4093891</v>
      </c>
      <c r="M150" s="368"/>
      <c r="R150" s="368"/>
      <c r="S150" s="368"/>
      <c r="T150" s="368"/>
    </row>
    <row r="151" spans="1:20" ht="30" x14ac:dyDescent="0.3">
      <c r="A151" s="391" t="s">
        <v>2660</v>
      </c>
      <c r="B151" s="392" t="s">
        <v>2678</v>
      </c>
      <c r="C151" s="406">
        <v>45941</v>
      </c>
      <c r="D15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1" s="408" t="s">
        <v>2768</v>
      </c>
      <c r="F151" s="409" t="s">
        <v>2875</v>
      </c>
      <c r="G151" s="409"/>
      <c r="H151" s="410" t="s">
        <v>2876</v>
      </c>
      <c r="I151" s="405"/>
      <c r="J151" s="405">
        <v>20200</v>
      </c>
      <c r="K151" s="411">
        <f ca="1">+IF('[2]BROUILLARD DE CAISSE '!$C151="","",SUMIFS(INDIRECT("$K$7:K"&amp;ROW()),INDIRECT("$D$7:D"&amp;ROW()),"="&amp;"Report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4073691</v>
      </c>
      <c r="L151" s="414">
        <f ca="1">+IF($B151="","",SUMIFS(INDIRECT("$K$7:K"&amp;ROW()),INDIRECT("$B$7:B"&amp;ROW()),Tableau1535678910111213162523692[[#This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4073691</v>
      </c>
      <c r="M151" s="368"/>
      <c r="R151" s="368"/>
      <c r="S151" s="368"/>
      <c r="T151" s="368"/>
    </row>
    <row r="152" spans="1:20" ht="30" x14ac:dyDescent="0.3">
      <c r="A152" s="391" t="s">
        <v>2660</v>
      </c>
      <c r="B152" s="392" t="s">
        <v>2678</v>
      </c>
      <c r="C152" s="406">
        <v>45941</v>
      </c>
      <c r="D15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2" s="408" t="s">
        <v>2863</v>
      </c>
      <c r="F152" s="409" t="s">
        <v>2877</v>
      </c>
      <c r="G152" s="409"/>
      <c r="H152" s="410" t="s">
        <v>2698</v>
      </c>
      <c r="I152" s="405"/>
      <c r="J152" s="405">
        <v>10100</v>
      </c>
      <c r="K152" s="411">
        <f ca="1">+IF('[2]BROUILLARD DE CAISSE '!$C152="","",SUMIFS(INDIRECT("$K$7:K"&amp;ROW()),INDIRECT("$D$7:D"&amp;ROW()),"="&amp;"Report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4063591</v>
      </c>
      <c r="L152" s="414">
        <f ca="1">+IF($B152="","",SUMIFS(INDIRECT("$K$7:K"&amp;ROW()),INDIRECT("$B$7:B"&amp;ROW()),Tableau1535678910111213162523692[[#This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4063591</v>
      </c>
      <c r="M152" s="368"/>
      <c r="R152" s="368"/>
      <c r="S152" s="368"/>
      <c r="T152" s="368"/>
    </row>
    <row r="153" spans="1:20" ht="15" x14ac:dyDescent="0.3">
      <c r="A153" s="391"/>
      <c r="B153" s="392"/>
      <c r="C153" s="406">
        <v>45941</v>
      </c>
      <c r="D15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3" s="408" t="s">
        <v>2878</v>
      </c>
      <c r="F153" s="409" t="s">
        <v>2879</v>
      </c>
      <c r="G153" s="409"/>
      <c r="H153" s="410" t="s">
        <v>2729</v>
      </c>
      <c r="I153" s="405"/>
      <c r="J153" s="405">
        <v>20000</v>
      </c>
      <c r="K153" s="411">
        <f ca="1">+IF('[2]BROUILLARD DE CAISSE '!$C153="","",SUMIFS(INDIRECT("$K$7:K"&amp;ROW()),INDIRECT("$D$7:D"&amp;ROW()),"="&amp;"Report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4043591</v>
      </c>
      <c r="L153" s="414" t="str">
        <f ca="1">+IF($B153="","",SUMIFS(INDIRECT("$K$7:K"&amp;ROW()),INDIRECT("$B$7:B"&amp;ROW()),Tableau1535678910111213162523692[[#This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153" s="368"/>
      <c r="R153" s="368"/>
      <c r="S153" s="368"/>
      <c r="T153" s="368"/>
    </row>
    <row r="154" spans="1:20" ht="30" x14ac:dyDescent="0.3">
      <c r="A154" s="391" t="s">
        <v>2660</v>
      </c>
      <c r="B154" s="392" t="s">
        <v>2678</v>
      </c>
      <c r="C154" s="406">
        <v>45943</v>
      </c>
      <c r="D15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4" s="408" t="s">
        <v>2880</v>
      </c>
      <c r="F154" s="409" t="s">
        <v>2790</v>
      </c>
      <c r="G154" s="409"/>
      <c r="H154" s="410"/>
      <c r="I154" s="405"/>
      <c r="J154" s="405">
        <v>120000</v>
      </c>
      <c r="K154" s="411">
        <f ca="1">+IF('[2]BROUILLARD DE CAISSE '!$C154="","",SUMIFS(INDIRECT("$K$7:K"&amp;ROW()),INDIRECT("$D$7:D"&amp;ROW()),"="&amp;"Report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3923591</v>
      </c>
      <c r="L154" s="414">
        <f ca="1">+IF($B154="","",SUMIFS(INDIRECT("$K$7:K"&amp;ROW()),INDIRECT("$B$7:B"&amp;ROW()),Tableau1535678910111213162523692[[#This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3943591</v>
      </c>
      <c r="M154" s="368"/>
      <c r="R154" s="368"/>
      <c r="S154" s="368"/>
      <c r="T154" s="368"/>
    </row>
    <row r="155" spans="1:20" ht="30" x14ac:dyDescent="0.3">
      <c r="A155" s="391" t="s">
        <v>2660</v>
      </c>
      <c r="B155" s="392" t="s">
        <v>2678</v>
      </c>
      <c r="C155" s="406">
        <v>45943</v>
      </c>
      <c r="D15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5" s="408" t="s">
        <v>2881</v>
      </c>
      <c r="F155" s="409" t="s">
        <v>2790</v>
      </c>
      <c r="G155" s="409"/>
      <c r="H155" s="410"/>
      <c r="I155" s="405"/>
      <c r="J155" s="405">
        <v>120000</v>
      </c>
      <c r="K155" s="411">
        <f ca="1">+IF('[2]BROUILLARD DE CAISSE '!$C155="","",SUMIFS(INDIRECT("$K$7:K"&amp;ROW()),INDIRECT("$D$7:D"&amp;ROW()),"="&amp;"Report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3803591</v>
      </c>
      <c r="L155" s="414">
        <f ca="1">+IF($B155="","",SUMIFS(INDIRECT("$K$7:K"&amp;ROW()),INDIRECT("$B$7:B"&amp;ROW()),Tableau1535678910111213162523692[[#This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3823591</v>
      </c>
      <c r="M155" s="368"/>
      <c r="R155" s="368"/>
      <c r="S155" s="368"/>
      <c r="T155" s="368"/>
    </row>
    <row r="156" spans="1:20" ht="30" x14ac:dyDescent="0.3">
      <c r="A156" s="391" t="s">
        <v>2660</v>
      </c>
      <c r="B156" s="392" t="s">
        <v>2678</v>
      </c>
      <c r="C156" s="406">
        <v>45943</v>
      </c>
      <c r="D15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6" s="408" t="s">
        <v>2882</v>
      </c>
      <c r="F156" s="409" t="s">
        <v>2790</v>
      </c>
      <c r="G156" s="409"/>
      <c r="H156" s="410"/>
      <c r="I156" s="405"/>
      <c r="J156" s="405">
        <v>120000</v>
      </c>
      <c r="K156" s="411">
        <f ca="1">+IF('[2]BROUILLARD DE CAISSE '!$C156="","",SUMIFS(INDIRECT("$K$7:K"&amp;ROW()),INDIRECT("$D$7:D"&amp;ROW()),"="&amp;"Report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3683591</v>
      </c>
      <c r="L156" s="414">
        <f ca="1">+IF($B156="","",SUMIFS(INDIRECT("$K$7:K"&amp;ROW()),INDIRECT("$B$7:B"&amp;ROW()),Tableau1535678910111213162523692[[#This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3703591</v>
      </c>
      <c r="M156" s="368"/>
      <c r="R156" s="368"/>
      <c r="S156" s="368"/>
      <c r="T156" s="368"/>
    </row>
    <row r="157" spans="1:20" ht="30" x14ac:dyDescent="0.3">
      <c r="A157" s="391" t="s">
        <v>2660</v>
      </c>
      <c r="B157" s="392" t="s">
        <v>2678</v>
      </c>
      <c r="C157" s="406">
        <v>45943</v>
      </c>
      <c r="D157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7" s="408" t="s">
        <v>2883</v>
      </c>
      <c r="F157" s="409" t="s">
        <v>2790</v>
      </c>
      <c r="G157" s="409"/>
      <c r="H157" s="410"/>
      <c r="I157" s="405"/>
      <c r="J157" s="405">
        <v>120000</v>
      </c>
      <c r="K157" s="411">
        <f ca="1">+IF('[2]BROUILLARD DE CAISSE '!$C157="","",SUMIFS(INDIRECT("$K$7:K"&amp;ROW()),INDIRECT("$D$7:D"&amp;ROW()),"="&amp;"Report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3563591</v>
      </c>
      <c r="L157" s="414">
        <f ca="1">+IF($B157="","",SUMIFS(INDIRECT("$K$7:K"&amp;ROW()),INDIRECT("$B$7:B"&amp;ROW()),Tableau1535678910111213162523692[[#This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3583591</v>
      </c>
      <c r="M157" s="368"/>
      <c r="R157" s="368"/>
      <c r="S157" s="368"/>
      <c r="T157" s="368"/>
    </row>
    <row r="158" spans="1:20" ht="30" x14ac:dyDescent="0.3">
      <c r="A158" s="391" t="s">
        <v>2660</v>
      </c>
      <c r="B158" s="392" t="s">
        <v>2678</v>
      </c>
      <c r="C158" s="406">
        <v>45943</v>
      </c>
      <c r="D15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8" s="408" t="s">
        <v>2884</v>
      </c>
      <c r="F158" s="409" t="s">
        <v>2790</v>
      </c>
      <c r="G158" s="409"/>
      <c r="H158" s="410"/>
      <c r="I158" s="405"/>
      <c r="J158" s="405">
        <v>120000</v>
      </c>
      <c r="K158" s="411">
        <f ca="1">+IF('[2]BROUILLARD DE CAISSE '!$C158="","",SUMIFS(INDIRECT("$K$7:K"&amp;ROW()),INDIRECT("$D$7:D"&amp;ROW()),"="&amp;"Report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3443591</v>
      </c>
      <c r="L158" s="414">
        <f ca="1">+IF($B158="","",SUMIFS(INDIRECT("$K$7:K"&amp;ROW()),INDIRECT("$B$7:B"&amp;ROW()),Tableau1535678910111213162523692[[#This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3463591</v>
      </c>
      <c r="M158" s="368"/>
      <c r="R158" s="368"/>
      <c r="S158" s="368"/>
      <c r="T158" s="368"/>
    </row>
    <row r="159" spans="1:20" ht="30" x14ac:dyDescent="0.3">
      <c r="A159" s="391" t="s">
        <v>2660</v>
      </c>
      <c r="B159" s="392" t="s">
        <v>2678</v>
      </c>
      <c r="C159" s="406">
        <v>45943</v>
      </c>
      <c r="D15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59" s="408" t="s">
        <v>2885</v>
      </c>
      <c r="F159" s="409" t="s">
        <v>2790</v>
      </c>
      <c r="G159" s="409"/>
      <c r="H159" s="410"/>
      <c r="I159" s="405"/>
      <c r="J159" s="405">
        <v>120000</v>
      </c>
      <c r="K159" s="411">
        <f ca="1">+IF('[2]BROUILLARD DE CAISSE '!$C159="","",SUMIFS(INDIRECT("$K$7:K"&amp;ROW()),INDIRECT("$D$7:D"&amp;ROW()),"="&amp;"Report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3323591</v>
      </c>
      <c r="L159" s="414">
        <f ca="1">+IF($B159="","",SUMIFS(INDIRECT("$K$7:K"&amp;ROW()),INDIRECT("$B$7:B"&amp;ROW()),Tableau1535678910111213162523692[[#This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3343591</v>
      </c>
      <c r="M159" s="368"/>
      <c r="R159" s="368"/>
      <c r="S159" s="368"/>
      <c r="T159" s="368"/>
    </row>
    <row r="160" spans="1:20" ht="30" x14ac:dyDescent="0.3">
      <c r="A160" s="391" t="s">
        <v>2660</v>
      </c>
      <c r="B160" s="392" t="s">
        <v>2678</v>
      </c>
      <c r="C160" s="406">
        <v>45943</v>
      </c>
      <c r="D160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0" s="408" t="s">
        <v>2886</v>
      </c>
      <c r="F160" s="409" t="s">
        <v>2790</v>
      </c>
      <c r="G160" s="409"/>
      <c r="H160" s="410"/>
      <c r="I160" s="405"/>
      <c r="J160" s="405">
        <v>120000</v>
      </c>
      <c r="K160" s="411">
        <f ca="1">+IF('[2]BROUILLARD DE CAISSE '!$C160="","",SUMIFS(INDIRECT("$K$7:K"&amp;ROW()),INDIRECT("$D$7:D"&amp;ROW()),"="&amp;"Report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3203591</v>
      </c>
      <c r="L160" s="414">
        <f ca="1">+IF($B160="","",SUMIFS(INDIRECT("$K$7:K"&amp;ROW()),INDIRECT("$B$7:B"&amp;ROW()),Tableau1535678910111213162523692[[#This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3223591</v>
      </c>
      <c r="M160" s="368"/>
      <c r="R160" s="368"/>
      <c r="S160" s="368"/>
      <c r="T160" s="368"/>
    </row>
    <row r="161" spans="1:20" ht="30" x14ac:dyDescent="0.3">
      <c r="A161" s="391" t="s">
        <v>2660</v>
      </c>
      <c r="B161" s="392" t="s">
        <v>2678</v>
      </c>
      <c r="C161" s="406">
        <v>45943</v>
      </c>
      <c r="D16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1" s="408" t="s">
        <v>2887</v>
      </c>
      <c r="F161" s="409" t="s">
        <v>2790</v>
      </c>
      <c r="G161" s="409"/>
      <c r="H161" s="410"/>
      <c r="I161" s="405"/>
      <c r="J161" s="405">
        <v>121200</v>
      </c>
      <c r="K161" s="411">
        <f ca="1">+IF('[2]BROUILLARD DE CAISSE '!$C161="","",SUMIFS(INDIRECT("$K$7:K"&amp;ROW()),INDIRECT("$D$7:D"&amp;ROW()),"="&amp;"Report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3082391</v>
      </c>
      <c r="L161" s="414">
        <f ca="1">+IF($B161="","",SUMIFS(INDIRECT("$K$7:K"&amp;ROW()),INDIRECT("$B$7:B"&amp;ROW()),Tableau1535678910111213162523692[[#This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3102391</v>
      </c>
      <c r="M161" s="368"/>
      <c r="R161" s="368"/>
      <c r="S161" s="368"/>
      <c r="T161" s="368"/>
    </row>
    <row r="162" spans="1:20" ht="30" x14ac:dyDescent="0.3">
      <c r="A162" s="391" t="s">
        <v>2660</v>
      </c>
      <c r="B162" s="392" t="s">
        <v>2678</v>
      </c>
      <c r="C162" s="406">
        <v>45943</v>
      </c>
      <c r="D162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2" s="408" t="s">
        <v>2888</v>
      </c>
      <c r="F162" s="409" t="s">
        <v>2790</v>
      </c>
      <c r="G162" s="409"/>
      <c r="H162" s="410"/>
      <c r="I162" s="405"/>
      <c r="J162" s="405">
        <v>121200</v>
      </c>
      <c r="K162" s="411">
        <f ca="1">+IF('[2]BROUILLARD DE CAISSE '!$C162="","",SUMIFS(INDIRECT("$K$7:K"&amp;ROW()),INDIRECT("$D$7:D"&amp;ROW()),"="&amp;"Report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2961191</v>
      </c>
      <c r="L162" s="431">
        <f ca="1">+IF($B162="","",SUMIFS(INDIRECT("$K$7:K"&amp;ROW()),INDIRECT("$B$7:B"&amp;ROW()),Tableau1535678910111213162523692[[#This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2981191</v>
      </c>
      <c r="M162" s="368"/>
      <c r="R162" s="368"/>
      <c r="S162" s="368"/>
      <c r="T162" s="368"/>
    </row>
    <row r="163" spans="1:20" ht="30" x14ac:dyDescent="0.3">
      <c r="A163" s="391" t="s">
        <v>2660</v>
      </c>
      <c r="B163" s="392" t="s">
        <v>2678</v>
      </c>
      <c r="C163" s="406">
        <v>45943</v>
      </c>
      <c r="D163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3" s="408" t="s">
        <v>2853</v>
      </c>
      <c r="F163" s="409" t="s">
        <v>2889</v>
      </c>
      <c r="G163" s="409"/>
      <c r="H163" s="410"/>
      <c r="I163" s="405"/>
      <c r="J163" s="405">
        <v>120000</v>
      </c>
      <c r="K163" s="411">
        <f ca="1">+IF('[2]BROUILLARD DE CAISSE '!$C163="","",SUMIFS(INDIRECT("$K$7:K"&amp;ROW()),INDIRECT("$D$7:D"&amp;ROW()),"="&amp;"Report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2841191</v>
      </c>
      <c r="L163" s="414">
        <f ca="1">+IF($B163="","",SUMIFS(INDIRECT("$K$7:K"&amp;ROW()),INDIRECT("$B$7:B"&amp;ROW()),Tableau1535678910111213162523692[[#This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2861191</v>
      </c>
      <c r="M163" s="368"/>
      <c r="R163" s="368"/>
      <c r="S163" s="368"/>
      <c r="T163" s="368"/>
    </row>
    <row r="164" spans="1:20" ht="30" x14ac:dyDescent="0.3">
      <c r="A164" s="391" t="s">
        <v>2660</v>
      </c>
      <c r="B164" s="392" t="s">
        <v>2678</v>
      </c>
      <c r="C164" s="406">
        <v>45943</v>
      </c>
      <c r="D164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4" s="408" t="s">
        <v>2863</v>
      </c>
      <c r="F164" s="409" t="s">
        <v>2890</v>
      </c>
      <c r="G164" s="409"/>
      <c r="H164" s="410" t="s">
        <v>2698</v>
      </c>
      <c r="I164" s="405"/>
      <c r="J164" s="405">
        <v>10100</v>
      </c>
      <c r="K164" s="411">
        <f ca="1">+IF('[2]BROUILLARD DE CAISSE '!$C164="","",SUMIFS(INDIRECT("$K$7:K"&amp;ROW()),INDIRECT("$D$7:D"&amp;ROW()),"="&amp;"Report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2831091</v>
      </c>
      <c r="L164" s="414">
        <f ca="1">+IF($B164="","",SUMIFS(INDIRECT("$K$7:K"&amp;ROW()),INDIRECT("$B$7:B"&amp;ROW()),Tableau1535678910111213162523692[[#This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2851091</v>
      </c>
      <c r="M164" s="368"/>
      <c r="R164" s="368"/>
      <c r="S164" s="368"/>
      <c r="T164" s="368"/>
    </row>
    <row r="165" spans="1:20" ht="30" x14ac:dyDescent="0.3">
      <c r="A165" s="391" t="s">
        <v>2660</v>
      </c>
      <c r="B165" s="392" t="s">
        <v>2678</v>
      </c>
      <c r="C165" s="406">
        <v>45943</v>
      </c>
      <c r="D165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5" s="408" t="s">
        <v>2820</v>
      </c>
      <c r="F165" s="409" t="s">
        <v>2891</v>
      </c>
      <c r="G165" s="409"/>
      <c r="H165" s="410" t="s">
        <v>2687</v>
      </c>
      <c r="I165" s="405"/>
      <c r="J165" s="405">
        <v>38380</v>
      </c>
      <c r="K165" s="411">
        <f ca="1">+IF('[2]BROUILLARD DE CAISSE '!$C165="","",SUMIFS(INDIRECT("$K$7:K"&amp;ROW()),INDIRECT("$D$7:D"&amp;ROW()),"="&amp;"Report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2792711</v>
      </c>
      <c r="L165" s="414">
        <f ca="1">+IF($B165="","",SUMIFS(INDIRECT("$K$7:K"&amp;ROW()),INDIRECT("$B$7:B"&amp;ROW()),Tableau1535678910111213162523692[[#This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2812711</v>
      </c>
      <c r="M165" s="368"/>
      <c r="R165" s="368"/>
      <c r="S165" s="368"/>
      <c r="T165" s="368"/>
    </row>
    <row r="166" spans="1:20" ht="30" x14ac:dyDescent="0.3">
      <c r="A166" s="391" t="s">
        <v>2660</v>
      </c>
      <c r="B166" s="392" t="s">
        <v>2678</v>
      </c>
      <c r="C166" s="406">
        <v>45943</v>
      </c>
      <c r="D166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6" s="408" t="s">
        <v>2810</v>
      </c>
      <c r="F166" s="409" t="s">
        <v>2892</v>
      </c>
      <c r="G166" s="409"/>
      <c r="H166" s="410" t="s">
        <v>2811</v>
      </c>
      <c r="I166" s="405"/>
      <c r="J166" s="405">
        <v>15150</v>
      </c>
      <c r="K166" s="411">
        <f ca="1">+IF('[2]BROUILLARD DE CAISSE '!$C166="","",SUMIFS(INDIRECT("$K$7:K"&amp;ROW()),INDIRECT("$D$7:D"&amp;ROW()),"="&amp;"Report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2777561</v>
      </c>
      <c r="L166" s="414">
        <f ca="1">+IF($B166="","",SUMIFS(INDIRECT("$K$7:K"&amp;ROW()),INDIRECT("$B$7:B"&amp;ROW()),Tableau1535678910111213162523692[[#This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2797561</v>
      </c>
      <c r="M166" s="368"/>
      <c r="R166" s="368"/>
      <c r="S166" s="368"/>
      <c r="T166" s="368"/>
    </row>
    <row r="167" spans="1:20" ht="15.6" customHeight="1" x14ac:dyDescent="0.3">
      <c r="A167" s="391" t="s">
        <v>2660</v>
      </c>
      <c r="B167" s="392" t="s">
        <v>2678</v>
      </c>
      <c r="C167" s="406">
        <v>45943</v>
      </c>
      <c r="D167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7" s="408" t="s">
        <v>2749</v>
      </c>
      <c r="F167" s="409" t="s">
        <v>2893</v>
      </c>
      <c r="G167" s="409"/>
      <c r="H167" s="410"/>
      <c r="I167" s="405"/>
      <c r="J167" s="405">
        <v>5000</v>
      </c>
      <c r="K167" s="411">
        <f ca="1">+IF('[2]BROUILLARD DE CAISSE '!$C167="","",SUMIFS(INDIRECT("$K$7:K"&amp;ROW()),INDIRECT("$D$7:D"&amp;ROW()),"="&amp;"Report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2772561</v>
      </c>
      <c r="L167" s="414">
        <f ca="1">+IF($B167="","",SUMIFS(INDIRECT("$K$7:K"&amp;ROW()),INDIRECT("$B$7:B"&amp;ROW()),Tableau1535678910111213162523692[[#This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2792561</v>
      </c>
      <c r="M167" s="368"/>
      <c r="R167" s="368"/>
      <c r="S167" s="368"/>
      <c r="T167" s="368"/>
    </row>
    <row r="168" spans="1:20" ht="30" x14ac:dyDescent="0.3">
      <c r="A168" s="391" t="s">
        <v>2660</v>
      </c>
      <c r="B168" s="392" t="s">
        <v>2678</v>
      </c>
      <c r="C168" s="406">
        <v>45943</v>
      </c>
      <c r="D168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8" s="408" t="s">
        <v>2731</v>
      </c>
      <c r="F168" s="409" t="s">
        <v>2894</v>
      </c>
      <c r="G168" s="409"/>
      <c r="H168" s="410"/>
      <c r="I168" s="405"/>
      <c r="J168" s="405">
        <v>5000</v>
      </c>
      <c r="K168" s="411">
        <f ca="1">+IF('[2]BROUILLARD DE CAISSE '!$C168="","",SUMIFS(INDIRECT("$K$7:K"&amp;ROW()),INDIRECT("$D$7:D"&amp;ROW()),"="&amp;"Report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2767561</v>
      </c>
      <c r="L168" s="414">
        <f ca="1">+IF($B168="","",SUMIFS(INDIRECT("$K$7:K"&amp;ROW()),INDIRECT("$B$7:B"&amp;ROW()),Tableau1535678910111213162523692[[#This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2787561</v>
      </c>
      <c r="M168" s="368"/>
      <c r="R168" s="368"/>
      <c r="S168" s="368"/>
      <c r="T168" s="368"/>
    </row>
    <row r="169" spans="1:20" ht="30" x14ac:dyDescent="0.3">
      <c r="A169" s="391" t="s">
        <v>2660</v>
      </c>
      <c r="B169" s="392" t="s">
        <v>2678</v>
      </c>
      <c r="C169" s="393">
        <v>45943</v>
      </c>
      <c r="D16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69" s="395" t="s">
        <v>2714</v>
      </c>
      <c r="F169" s="397" t="s">
        <v>2895</v>
      </c>
      <c r="G169" s="397"/>
      <c r="H169" s="401"/>
      <c r="I169" s="402"/>
      <c r="J169" s="402">
        <v>3000</v>
      </c>
      <c r="K169" s="398">
        <f ca="1">+IF('[2]BROUILLARD DE CAISSE '!$C169="","",SUMIFS(INDIRECT("$K$7:K"&amp;ROW()),INDIRECT("$D$7:D"&amp;ROW()),"="&amp;"Report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2764561</v>
      </c>
      <c r="L169" s="403">
        <f ca="1">+IF($B169="","",SUMIFS(INDIRECT("$K$7:K"&amp;ROW()),INDIRECT("$B$7:B"&amp;ROW()),Tableau1535678910111213162523692[[#This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2784561</v>
      </c>
      <c r="M169" s="368"/>
      <c r="R169" s="368"/>
      <c r="S169" s="368"/>
      <c r="T169" s="368"/>
    </row>
    <row r="170" spans="1:20" ht="30" x14ac:dyDescent="0.3">
      <c r="A170" s="391" t="s">
        <v>2660</v>
      </c>
      <c r="B170" s="392" t="s">
        <v>2678</v>
      </c>
      <c r="C170" s="393">
        <v>45943</v>
      </c>
      <c r="D17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0" s="395" t="s">
        <v>2727</v>
      </c>
      <c r="F170" s="397" t="s">
        <v>2896</v>
      </c>
      <c r="G170" s="397"/>
      <c r="H170" s="401" t="s">
        <v>2729</v>
      </c>
      <c r="I170" s="402"/>
      <c r="J170" s="402">
        <v>2020</v>
      </c>
      <c r="K170" s="398">
        <f ca="1">+IF('[2]BROUILLARD DE CAISSE '!$C170="","",SUMIFS(INDIRECT("$K$7:K"&amp;ROW()),INDIRECT("$D$7:D"&amp;ROW()),"="&amp;"Report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2762541</v>
      </c>
      <c r="L170" s="399">
        <f ca="1">+IF($B170="","",SUMIFS(INDIRECT("$K$7:K"&amp;ROW()),INDIRECT("$B$7:B"&amp;ROW()),Tableau1535678910111213162523692[[#This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2782541</v>
      </c>
      <c r="M170" s="368"/>
      <c r="R170" s="368"/>
      <c r="S170" s="368"/>
      <c r="T170" s="368"/>
    </row>
    <row r="171" spans="1:20" ht="30" x14ac:dyDescent="0.3">
      <c r="A171" s="391" t="s">
        <v>2660</v>
      </c>
      <c r="B171" s="392" t="s">
        <v>2678</v>
      </c>
      <c r="C171" s="393">
        <v>45943</v>
      </c>
      <c r="D17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71" s="395" t="s">
        <v>2679</v>
      </c>
      <c r="F171" s="397" t="s">
        <v>2735</v>
      </c>
      <c r="G171" s="397"/>
      <c r="H171" s="401"/>
      <c r="I171" s="402">
        <v>2000000</v>
      </c>
      <c r="J171" s="402"/>
      <c r="K171" s="398">
        <f ca="1">+IF('[2]BROUILLARD DE CAISSE '!$C171="","",SUMIFS(INDIRECT("$K$7:K"&amp;ROW()),INDIRECT("$D$7:D"&amp;ROW()),"="&amp;"Report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4762541</v>
      </c>
      <c r="L171" s="399">
        <f ca="1">+IF($B171="","",SUMIFS(INDIRECT("$K$7:K"&amp;ROW()),INDIRECT("$B$7:B"&amp;ROW()),Tableau1535678910111213162523692[[#This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4782541</v>
      </c>
      <c r="M171" s="368"/>
      <c r="R171" s="368"/>
      <c r="S171" s="368"/>
      <c r="T171" s="368"/>
    </row>
    <row r="172" spans="1:20" ht="30" x14ac:dyDescent="0.3">
      <c r="A172" s="391" t="s">
        <v>2660</v>
      </c>
      <c r="B172" s="392" t="s">
        <v>2678</v>
      </c>
      <c r="C172" s="393">
        <v>45943</v>
      </c>
      <c r="D17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2" s="395" t="s">
        <v>2768</v>
      </c>
      <c r="F172" s="397" t="s">
        <v>2897</v>
      </c>
      <c r="G172" s="397"/>
      <c r="H172" s="401"/>
      <c r="I172" s="402"/>
      <c r="J172" s="402">
        <v>20200</v>
      </c>
      <c r="K172" s="398">
        <f ca="1">+IF('[2]BROUILLARD DE CAISSE '!$C172="","",SUMIFS(INDIRECT("$K$7:K"&amp;ROW()),INDIRECT("$D$7:D"&amp;ROW()),"="&amp;"Report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4742341</v>
      </c>
      <c r="L172" s="403">
        <f ca="1">+IF($B172="","",SUMIFS(INDIRECT("$K$7:K"&amp;ROW()),INDIRECT("$B$7:B"&amp;ROW()),Tableau1535678910111213162523692[[#This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4762341</v>
      </c>
      <c r="M172" s="368"/>
      <c r="R172" s="368"/>
      <c r="S172" s="368"/>
      <c r="T172" s="368"/>
    </row>
    <row r="173" spans="1:20" ht="30" x14ac:dyDescent="0.3">
      <c r="A173" s="391" t="s">
        <v>2660</v>
      </c>
      <c r="B173" s="392" t="s">
        <v>2678</v>
      </c>
      <c r="C173" s="393">
        <v>45943</v>
      </c>
      <c r="D17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3" s="395" t="s">
        <v>2725</v>
      </c>
      <c r="F173" s="397" t="s">
        <v>2898</v>
      </c>
      <c r="G173" s="397"/>
      <c r="H173" s="401"/>
      <c r="I173" s="402"/>
      <c r="J173" s="402">
        <v>225000</v>
      </c>
      <c r="K173" s="398">
        <f ca="1">+IF('[2]BROUILLARD DE CAISSE '!$C173="","",SUMIFS(INDIRECT("$K$7:K"&amp;ROW()),INDIRECT("$D$7:D"&amp;ROW()),"="&amp;"Report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4517341</v>
      </c>
      <c r="L173" s="403">
        <f ca="1">+IF($B173="","",SUMIFS(INDIRECT("$K$7:K"&amp;ROW()),INDIRECT("$B$7:B"&amp;ROW()),Tableau1535678910111213162523692[[#This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4537341</v>
      </c>
      <c r="M173" s="368"/>
      <c r="R173" s="368"/>
      <c r="S173" s="368"/>
      <c r="T173" s="368"/>
    </row>
    <row r="174" spans="1:20" ht="30" x14ac:dyDescent="0.3">
      <c r="A174" s="391" t="s">
        <v>2660</v>
      </c>
      <c r="B174" s="392" t="s">
        <v>2678</v>
      </c>
      <c r="C174" s="393">
        <v>45943</v>
      </c>
      <c r="D17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4" s="395" t="s">
        <v>2899</v>
      </c>
      <c r="F174" s="397" t="s">
        <v>2900</v>
      </c>
      <c r="G174" s="397" t="s">
        <v>2702</v>
      </c>
      <c r="H174" s="401"/>
      <c r="I174" s="402"/>
      <c r="J174" s="402">
        <v>450000</v>
      </c>
      <c r="K174" s="398">
        <f ca="1">+IF('[2]BROUILLARD DE CAISSE '!$C174="","",SUMIFS(INDIRECT("$K$7:K"&amp;ROW()),INDIRECT("$D$7:D"&amp;ROW()),"="&amp;"Report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4067341</v>
      </c>
      <c r="L174" s="403">
        <f ca="1">+IF($B174="","",SUMIFS(INDIRECT("$K$7:K"&amp;ROW()),INDIRECT("$B$7:B"&amp;ROW()),Tableau1535678910111213162523692[[#This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4087341</v>
      </c>
      <c r="M174" s="368"/>
      <c r="R174" s="368"/>
      <c r="S174" s="368"/>
      <c r="T174" s="368"/>
    </row>
    <row r="175" spans="1:20" ht="30" x14ac:dyDescent="0.3">
      <c r="A175" s="391" t="s">
        <v>2660</v>
      </c>
      <c r="B175" s="392" t="s">
        <v>2678</v>
      </c>
      <c r="C175" s="393">
        <v>45943</v>
      </c>
      <c r="D17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5" s="395" t="s">
        <v>2901</v>
      </c>
      <c r="F175" s="397" t="s">
        <v>2902</v>
      </c>
      <c r="G175" s="397"/>
      <c r="H175" s="401"/>
      <c r="I175" s="402"/>
      <c r="J175" s="402">
        <v>150000</v>
      </c>
      <c r="K175" s="398">
        <f ca="1">+IF('[2]BROUILLARD DE CAISSE '!$C175="","",SUMIFS(INDIRECT("$K$7:K"&amp;ROW()),INDIRECT("$D$7:D"&amp;ROW()),"="&amp;"Report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3917341</v>
      </c>
      <c r="L175" s="403">
        <f ca="1">+IF($B175="","",SUMIFS(INDIRECT("$K$7:K"&amp;ROW()),INDIRECT("$B$7:B"&amp;ROW()),Tableau1535678910111213162523692[[#This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3937341</v>
      </c>
      <c r="M175" s="368"/>
      <c r="R175" s="368"/>
      <c r="S175" s="368"/>
      <c r="T175" s="368"/>
    </row>
    <row r="176" spans="1:20" ht="30" x14ac:dyDescent="0.3">
      <c r="A176" s="391" t="s">
        <v>2660</v>
      </c>
      <c r="B176" s="392" t="s">
        <v>2678</v>
      </c>
      <c r="C176" s="393">
        <v>45943</v>
      </c>
      <c r="D17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6" s="408" t="s">
        <v>2686</v>
      </c>
      <c r="F176" s="409" t="s">
        <v>2874</v>
      </c>
      <c r="G176" s="409"/>
      <c r="H176" s="410" t="s">
        <v>2707</v>
      </c>
      <c r="I176" s="402"/>
      <c r="J176" s="402">
        <v>10100</v>
      </c>
      <c r="K176" s="398">
        <f ca="1">+IF('[2]BROUILLARD DE CAISSE '!$C176="","",SUMIFS(INDIRECT("$K$7:K"&amp;ROW()),INDIRECT("$D$7:D"&amp;ROW()),"="&amp;"Report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3907241</v>
      </c>
      <c r="L176" s="403">
        <f ca="1">+IF($B176="","",SUMIFS(INDIRECT("$K$7:K"&amp;ROW()),INDIRECT("$B$7:B"&amp;ROW()),Tableau1535678910111213162523692[[#This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3927241</v>
      </c>
      <c r="M176" s="368"/>
      <c r="R176" s="368"/>
      <c r="S176" s="368"/>
      <c r="T176" s="368"/>
    </row>
    <row r="177" spans="1:20" ht="30" x14ac:dyDescent="0.3">
      <c r="A177" s="391" t="s">
        <v>2660</v>
      </c>
      <c r="B177" s="392" t="s">
        <v>2678</v>
      </c>
      <c r="C177" s="393">
        <v>45943</v>
      </c>
      <c r="D17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7" s="395" t="s">
        <v>2903</v>
      </c>
      <c r="F177" s="397" t="s">
        <v>2904</v>
      </c>
      <c r="G177" s="397"/>
      <c r="H177" s="401"/>
      <c r="I177" s="402"/>
      <c r="J177" s="402">
        <v>126250</v>
      </c>
      <c r="K177" s="398">
        <f ca="1">+IF('[2]BROUILLARD DE CAISSE '!$C177="","",SUMIFS(INDIRECT("$K$7:K"&amp;ROW()),INDIRECT("$D$7:D"&amp;ROW()),"="&amp;"Report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3780991</v>
      </c>
      <c r="L177" s="403">
        <f ca="1">+IF($B177="","",SUMIFS(INDIRECT("$K$7:K"&amp;ROW()),INDIRECT("$B$7:B"&amp;ROW()),Tableau1535678910111213162523692[[#This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3800991</v>
      </c>
      <c r="M177" s="368"/>
      <c r="R177" s="368"/>
      <c r="S177" s="368"/>
      <c r="T177" s="368"/>
    </row>
    <row r="178" spans="1:20" ht="30" x14ac:dyDescent="0.3">
      <c r="A178" s="391" t="s">
        <v>2660</v>
      </c>
      <c r="B178" s="392" t="s">
        <v>2678</v>
      </c>
      <c r="C178" s="393">
        <v>45943</v>
      </c>
      <c r="D17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8" s="395" t="s">
        <v>2905</v>
      </c>
      <c r="F178" s="397" t="s">
        <v>2906</v>
      </c>
      <c r="G178" s="397"/>
      <c r="H178" s="401" t="s">
        <v>2687</v>
      </c>
      <c r="I178" s="402"/>
      <c r="J178" s="402">
        <v>65650</v>
      </c>
      <c r="K178" s="398">
        <f ca="1">+IF('[2]BROUILLARD DE CAISSE '!$C178="","",SUMIFS(INDIRECT("$K$7:K"&amp;ROW()),INDIRECT("$D$7:D"&amp;ROW()),"="&amp;"Report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3715341</v>
      </c>
      <c r="L178" s="403">
        <f ca="1">+IF($B178="","",SUMIFS(INDIRECT("$K$7:K"&amp;ROW()),INDIRECT("$B$7:B"&amp;ROW()),Tableau1535678910111213162523692[[#This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3735341</v>
      </c>
      <c r="M178" s="368"/>
      <c r="R178" s="368"/>
      <c r="S178" s="368"/>
      <c r="T178" s="368"/>
    </row>
    <row r="179" spans="1:20" ht="30" x14ac:dyDescent="0.3">
      <c r="A179" s="391" t="s">
        <v>2660</v>
      </c>
      <c r="B179" s="392" t="s">
        <v>2678</v>
      </c>
      <c r="C179" s="393">
        <v>45943</v>
      </c>
      <c r="D17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79" s="395" t="s">
        <v>2710</v>
      </c>
      <c r="F179" s="397" t="s">
        <v>2907</v>
      </c>
      <c r="G179" s="397"/>
      <c r="H179" s="401" t="s">
        <v>2908</v>
      </c>
      <c r="I179" s="402"/>
      <c r="J179" s="402">
        <v>10100</v>
      </c>
      <c r="K179" s="398">
        <f ca="1">+IF('[2]BROUILLARD DE CAISSE '!$C179="","",SUMIFS(INDIRECT("$K$7:K"&amp;ROW()),INDIRECT("$D$7:D"&amp;ROW()),"="&amp;"Report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3705241</v>
      </c>
      <c r="L179" s="403">
        <f ca="1">+IF($B179="","",SUMIFS(INDIRECT("$K$7:K"&amp;ROW()),INDIRECT("$B$7:B"&amp;ROW()),Tableau1535678910111213162523692[[#This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3725241</v>
      </c>
      <c r="M179" s="368"/>
      <c r="R179" s="368"/>
      <c r="S179" s="368"/>
      <c r="T179" s="368"/>
    </row>
    <row r="180" spans="1:20" ht="30" x14ac:dyDescent="0.3">
      <c r="A180" s="391" t="s">
        <v>2660</v>
      </c>
      <c r="B180" s="392" t="s">
        <v>2678</v>
      </c>
      <c r="C180" s="393">
        <v>45943</v>
      </c>
      <c r="D18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0" s="395" t="s">
        <v>2768</v>
      </c>
      <c r="F180" s="397" t="s">
        <v>2909</v>
      </c>
      <c r="G180" s="397"/>
      <c r="H180" s="401"/>
      <c r="I180" s="402"/>
      <c r="J180" s="402">
        <v>10100</v>
      </c>
      <c r="K180" s="398">
        <f ca="1">+IF('[2]BROUILLARD DE CAISSE '!$C180="","",SUMIFS(INDIRECT("$K$7:K"&amp;ROW()),INDIRECT("$D$7:D"&amp;ROW()),"="&amp;"Report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3695141</v>
      </c>
      <c r="L180" s="403">
        <f ca="1">+IF($B180="","",SUMIFS(INDIRECT("$K$7:K"&amp;ROW()),INDIRECT("$B$7:B"&amp;ROW()),Tableau1535678910111213162523692[[#This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3715141</v>
      </c>
      <c r="M180" s="368"/>
      <c r="R180" s="368"/>
      <c r="S180" s="368"/>
      <c r="T180" s="368"/>
    </row>
    <row r="181" spans="1:20" ht="15" x14ac:dyDescent="0.3">
      <c r="A181" s="391"/>
      <c r="B181" s="392"/>
      <c r="C181" s="393">
        <v>45943</v>
      </c>
      <c r="D18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1" s="395" t="s">
        <v>2910</v>
      </c>
      <c r="F181" s="397" t="s">
        <v>2911</v>
      </c>
      <c r="G181" s="397"/>
      <c r="H181" s="401"/>
      <c r="I181" s="402"/>
      <c r="J181" s="402">
        <v>433500</v>
      </c>
      <c r="K181" s="398">
        <f ca="1">+IF('[2]BROUILLARD DE CAISSE '!$C181="","",SUMIFS(INDIRECT("$K$7:K"&amp;ROW()),INDIRECT("$D$7:D"&amp;ROW()),"="&amp;"Report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3261641</v>
      </c>
      <c r="L181" s="403" t="str">
        <f ca="1">+IF($B181="","",SUMIFS(INDIRECT("$K$7:K"&amp;ROW()),INDIRECT("$B$7:B"&amp;ROW()),Tableau1535678910111213162523692[[#This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181" s="368"/>
      <c r="R181" s="368"/>
      <c r="S181" s="368"/>
      <c r="T181" s="368"/>
    </row>
    <row r="182" spans="1:20" ht="30" x14ac:dyDescent="0.3">
      <c r="A182" s="391" t="s">
        <v>2660</v>
      </c>
      <c r="B182" s="392" t="s">
        <v>2678</v>
      </c>
      <c r="C182" s="393">
        <v>45944</v>
      </c>
      <c r="D18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2" s="395" t="s">
        <v>2912</v>
      </c>
      <c r="F182" s="397" t="s">
        <v>2913</v>
      </c>
      <c r="G182" s="397"/>
      <c r="H182" s="401"/>
      <c r="I182" s="402"/>
      <c r="J182" s="402">
        <v>68300</v>
      </c>
      <c r="K182" s="398">
        <f ca="1">+IF('[2]BROUILLARD DE CAISSE '!$C182="","",SUMIFS(INDIRECT("$K$7:K"&amp;ROW()),INDIRECT("$D$7:D"&amp;ROW()),"="&amp;"Report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3193341</v>
      </c>
      <c r="L182" s="403">
        <f ca="1">+IF($B182="","",SUMIFS(INDIRECT("$K$7:K"&amp;ROW()),INDIRECT("$B$7:B"&amp;ROW()),Tableau1535678910111213162523692[[#This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3646841</v>
      </c>
      <c r="M182" s="368"/>
      <c r="R182" s="368"/>
      <c r="S182" s="368"/>
      <c r="T182" s="368"/>
    </row>
    <row r="183" spans="1:20" ht="30" x14ac:dyDescent="0.3">
      <c r="A183" s="391" t="s">
        <v>2660</v>
      </c>
      <c r="B183" s="392" t="s">
        <v>2678</v>
      </c>
      <c r="C183" s="393">
        <v>45944</v>
      </c>
      <c r="D18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3" s="395" t="s">
        <v>2756</v>
      </c>
      <c r="F183" s="397" t="s">
        <v>2914</v>
      </c>
      <c r="G183" s="397"/>
      <c r="H183" s="401"/>
      <c r="I183" s="402"/>
      <c r="J183" s="402">
        <v>181800</v>
      </c>
      <c r="K183" s="398">
        <f ca="1">+IF('[2]BROUILLARD DE CAISSE '!$C183="","",SUMIFS(INDIRECT("$K$7:K"&amp;ROW()),INDIRECT("$D$7:D"&amp;ROW()),"="&amp;"Report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3011541</v>
      </c>
      <c r="L183" s="403">
        <f ca="1">+IF($B183="","",SUMIFS(INDIRECT("$K$7:K"&amp;ROW()),INDIRECT("$B$7:B"&amp;ROW()),Tableau1535678910111213162523692[[#This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3465041</v>
      </c>
      <c r="M183" s="368"/>
      <c r="R183" s="368"/>
      <c r="S183" s="368"/>
      <c r="T183" s="368"/>
    </row>
    <row r="184" spans="1:20" ht="30" x14ac:dyDescent="0.3">
      <c r="A184" s="391" t="s">
        <v>2660</v>
      </c>
      <c r="B184" s="392" t="s">
        <v>2678</v>
      </c>
      <c r="C184" s="393">
        <v>45944</v>
      </c>
      <c r="D18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4" s="395" t="s">
        <v>2915</v>
      </c>
      <c r="F184" s="397" t="s">
        <v>2916</v>
      </c>
      <c r="G184" s="397" t="s">
        <v>2702</v>
      </c>
      <c r="H184" s="401"/>
      <c r="I184" s="402"/>
      <c r="J184" s="402">
        <v>841800</v>
      </c>
      <c r="K184" s="398">
        <f ca="1">+IF('[2]BROUILLARD DE CAISSE '!$C184="","",SUMIFS(INDIRECT("$K$7:K"&amp;ROW()),INDIRECT("$D$7:D"&amp;ROW()),"="&amp;"Report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2169741</v>
      </c>
      <c r="L184" s="399">
        <f ca="1">+IF($B184="","",SUMIFS(INDIRECT("$K$7:K"&amp;ROW()),INDIRECT("$B$7:B"&amp;ROW()),Tableau1535678910111213162523692[[#This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2623241</v>
      </c>
      <c r="M184" s="368"/>
      <c r="R184" s="368"/>
      <c r="S184" s="368"/>
      <c r="T184" s="368"/>
    </row>
    <row r="185" spans="1:20" ht="30" x14ac:dyDescent="0.3">
      <c r="A185" s="391" t="s">
        <v>2660</v>
      </c>
      <c r="B185" s="392" t="s">
        <v>2678</v>
      </c>
      <c r="C185" s="393">
        <v>45944</v>
      </c>
      <c r="D18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5" s="395" t="s">
        <v>2917</v>
      </c>
      <c r="F185" s="397" t="s">
        <v>2918</v>
      </c>
      <c r="G185" s="397"/>
      <c r="H185" s="401"/>
      <c r="I185" s="402"/>
      <c r="J185" s="402">
        <v>40400</v>
      </c>
      <c r="K185" s="398">
        <f ca="1">+IF('[2]BROUILLARD DE CAISSE '!$C185="","",SUMIFS(INDIRECT("$K$7:K"&amp;ROW()),INDIRECT("$D$7:D"&amp;ROW()),"="&amp;"Report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2129341</v>
      </c>
      <c r="L185" s="403">
        <f ca="1">+IF($B185="","",SUMIFS(INDIRECT("$K$7:K"&amp;ROW()),INDIRECT("$B$7:B"&amp;ROW()),Tableau1535678910111213162523692[[#This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2582841</v>
      </c>
      <c r="M185" s="368"/>
      <c r="R185" s="368"/>
      <c r="S185" s="368"/>
      <c r="T185" s="368"/>
    </row>
    <row r="186" spans="1:20" ht="30" x14ac:dyDescent="0.3">
      <c r="A186" s="391" t="s">
        <v>2660</v>
      </c>
      <c r="B186" s="392" t="s">
        <v>2678</v>
      </c>
      <c r="C186" s="393">
        <v>45944</v>
      </c>
      <c r="D18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6" s="395" t="s">
        <v>2710</v>
      </c>
      <c r="F186" s="397" t="s">
        <v>2919</v>
      </c>
      <c r="G186" s="397"/>
      <c r="H186" s="401"/>
      <c r="I186" s="402"/>
      <c r="J186" s="402">
        <v>161600</v>
      </c>
      <c r="K186" s="398">
        <f ca="1">+IF('[2]BROUILLARD DE CAISSE '!$C186="","",SUMIFS(INDIRECT("$K$7:K"&amp;ROW()),INDIRECT("$D$7:D"&amp;ROW()),"="&amp;"Report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1967741</v>
      </c>
      <c r="L186" s="403">
        <f ca="1">+IF($B186="","",SUMIFS(INDIRECT("$K$7:K"&amp;ROW()),INDIRECT("$B$7:B"&amp;ROW()),Tableau1535678910111213162523692[[#This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2421241</v>
      </c>
      <c r="M186" s="368"/>
      <c r="R186" s="368"/>
      <c r="S186" s="368"/>
      <c r="T186" s="368"/>
    </row>
    <row r="187" spans="1:20" ht="30" x14ac:dyDescent="0.3">
      <c r="A187" s="391" t="s">
        <v>2660</v>
      </c>
      <c r="B187" s="392" t="s">
        <v>2678</v>
      </c>
      <c r="C187" s="393">
        <v>45944</v>
      </c>
      <c r="D18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7" s="395" t="s">
        <v>2764</v>
      </c>
      <c r="F187" s="397" t="s">
        <v>2920</v>
      </c>
      <c r="G187" s="397"/>
      <c r="H187" s="401"/>
      <c r="I187" s="402"/>
      <c r="J187" s="402">
        <v>2200</v>
      </c>
      <c r="K187" s="398">
        <f ca="1">+IF('[2]BROUILLARD DE CAISSE '!$C187="","",SUMIFS(INDIRECT("$K$7:K"&amp;ROW()),INDIRECT("$D$7:D"&amp;ROW()),"="&amp;"Report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1965541</v>
      </c>
      <c r="L187" s="403">
        <f ca="1">+IF($B187="","",SUMIFS(INDIRECT("$K$7:K"&amp;ROW()),INDIRECT("$B$7:B"&amp;ROW()),Tableau1535678910111213162523692[[#This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2419041</v>
      </c>
      <c r="M187" s="368"/>
      <c r="R187" s="368"/>
      <c r="S187" s="368"/>
      <c r="T187" s="368"/>
    </row>
    <row r="188" spans="1:20" ht="30" x14ac:dyDescent="0.3">
      <c r="A188" s="391" t="s">
        <v>2660</v>
      </c>
      <c r="B188" s="392" t="s">
        <v>2678</v>
      </c>
      <c r="C188" s="393">
        <v>45944</v>
      </c>
      <c r="D18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88" s="395" t="s">
        <v>2686</v>
      </c>
      <c r="F188" s="397" t="s">
        <v>2706</v>
      </c>
      <c r="G188" s="397"/>
      <c r="H188" s="410" t="s">
        <v>2707</v>
      </c>
      <c r="I188" s="402"/>
      <c r="J188" s="402">
        <v>10100</v>
      </c>
      <c r="K188" s="398">
        <f ca="1">+IF('[2]BROUILLARD DE CAISSE '!$C188="","",SUMIFS(INDIRECT("$K$7:K"&amp;ROW()),INDIRECT("$D$7:D"&amp;ROW()),"="&amp;"Report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1955441</v>
      </c>
      <c r="L188" s="403">
        <f ca="1">+IF($B188="","",SUMIFS(INDIRECT("$K$7:K"&amp;ROW()),INDIRECT("$B$7:B"&amp;ROW()),Tableau1535678910111213162523692[[#This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2408941</v>
      </c>
      <c r="M188" s="368"/>
      <c r="R188" s="368"/>
      <c r="S188" s="368"/>
      <c r="T188" s="368"/>
    </row>
    <row r="189" spans="1:20" ht="30" x14ac:dyDescent="0.3">
      <c r="A189" s="391" t="s">
        <v>2660</v>
      </c>
      <c r="B189" s="392" t="s">
        <v>2678</v>
      </c>
      <c r="C189" s="393">
        <v>45944</v>
      </c>
      <c r="D18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89" s="395" t="s">
        <v>2679</v>
      </c>
      <c r="F189" s="397" t="s">
        <v>2735</v>
      </c>
      <c r="G189" s="397"/>
      <c r="H189" s="401"/>
      <c r="I189" s="402">
        <v>1000000</v>
      </c>
      <c r="J189" s="402"/>
      <c r="K189" s="398">
        <f ca="1">+IF('[2]BROUILLARD DE CAISSE '!$C189="","",SUMIFS(INDIRECT("$K$7:K"&amp;ROW()),INDIRECT("$D$7:D"&amp;ROW()),"="&amp;"Report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2955441</v>
      </c>
      <c r="L189" s="403">
        <f ca="1">+IF($B189="","",SUMIFS(INDIRECT("$K$7:K"&amp;ROW()),INDIRECT("$B$7:B"&amp;ROW()),Tableau1535678910111213162523692[[#This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3408941</v>
      </c>
      <c r="M189" s="368"/>
      <c r="R189" s="368"/>
      <c r="S189" s="368"/>
      <c r="T189" s="368"/>
    </row>
    <row r="190" spans="1:20" ht="30" x14ac:dyDescent="0.3">
      <c r="A190" s="391" t="s">
        <v>2660</v>
      </c>
      <c r="B190" s="392" t="s">
        <v>2678</v>
      </c>
      <c r="C190" s="393">
        <v>45944</v>
      </c>
      <c r="D19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0" s="395" t="s">
        <v>2917</v>
      </c>
      <c r="F190" s="397" t="s">
        <v>2921</v>
      </c>
      <c r="G190" s="397"/>
      <c r="H190" s="401"/>
      <c r="I190" s="402"/>
      <c r="J190" s="402">
        <v>50500</v>
      </c>
      <c r="K190" s="398">
        <f ca="1">+IF('[2]BROUILLARD DE CAISSE '!$C190="","",SUMIFS(INDIRECT("$K$7:K"&amp;ROW()),INDIRECT("$D$7:D"&amp;ROW()),"="&amp;"Report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2904941</v>
      </c>
      <c r="L190" s="403">
        <f ca="1">+IF($B190="","",SUMIFS(INDIRECT("$K$7:K"&amp;ROW()),INDIRECT("$B$7:B"&amp;ROW()),Tableau1535678910111213162523692[[#This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3358441</v>
      </c>
      <c r="M190" s="368"/>
      <c r="R190" s="368"/>
      <c r="S190" s="368"/>
      <c r="T190" s="368"/>
    </row>
    <row r="191" spans="1:20" ht="30" x14ac:dyDescent="0.3">
      <c r="A191" s="391" t="s">
        <v>2660</v>
      </c>
      <c r="B191" s="392" t="s">
        <v>2678</v>
      </c>
      <c r="C191" s="393">
        <v>45944</v>
      </c>
      <c r="D19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1" s="395" t="s">
        <v>2922</v>
      </c>
      <c r="F191" s="397" t="s">
        <v>2911</v>
      </c>
      <c r="G191" s="397"/>
      <c r="H191" s="401"/>
      <c r="I191" s="402"/>
      <c r="J191" s="402">
        <v>606000</v>
      </c>
      <c r="K191" s="398">
        <f ca="1">+IF('[2]BROUILLARD DE CAISSE '!$C191="","",SUMIFS(INDIRECT("$K$7:K"&amp;ROW()),INDIRECT("$D$7:D"&amp;ROW()),"="&amp;"Report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2298941</v>
      </c>
      <c r="L191" s="403">
        <f ca="1">+IF($B191="","",SUMIFS(INDIRECT("$K$7:K"&amp;ROW()),INDIRECT("$B$7:B"&amp;ROW()),Tableau1535678910111213162523692[[#This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2752441</v>
      </c>
      <c r="M191" s="368"/>
      <c r="R191" s="368"/>
      <c r="S191" s="368"/>
      <c r="T191" s="368"/>
    </row>
    <row r="192" spans="1:20" ht="30" x14ac:dyDescent="0.3">
      <c r="A192" s="391" t="s">
        <v>2660</v>
      </c>
      <c r="B192" s="392" t="s">
        <v>2678</v>
      </c>
      <c r="C192" s="393">
        <v>45944</v>
      </c>
      <c r="D19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2" s="395" t="s">
        <v>2696</v>
      </c>
      <c r="F192" s="397" t="s">
        <v>2923</v>
      </c>
      <c r="G192" s="397"/>
      <c r="H192" s="401"/>
      <c r="I192" s="402"/>
      <c r="J192" s="402">
        <v>45450</v>
      </c>
      <c r="K192" s="398">
        <f ca="1">+IF('[2]BROUILLARD DE CAISSE '!$C192="","",SUMIFS(INDIRECT("$K$7:K"&amp;ROW()),INDIRECT("$D$7:D"&amp;ROW()),"="&amp;"Report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2253491</v>
      </c>
      <c r="L192" s="403">
        <f ca="1">+IF($B192="","",SUMIFS(INDIRECT("$K$7:K"&amp;ROW()),INDIRECT("$B$7:B"&amp;ROW()),Tableau1535678910111213162523692[[#This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2706991</v>
      </c>
      <c r="M192" s="368"/>
      <c r="R192" s="368"/>
      <c r="S192" s="368"/>
      <c r="T192" s="368"/>
    </row>
    <row r="193" spans="1:20" ht="30" x14ac:dyDescent="0.3">
      <c r="A193" s="391" t="s">
        <v>2660</v>
      </c>
      <c r="B193" s="392" t="s">
        <v>2678</v>
      </c>
      <c r="C193" s="393">
        <v>45944</v>
      </c>
      <c r="D19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3" s="395" t="s">
        <v>2708</v>
      </c>
      <c r="F193" s="397" t="s">
        <v>2924</v>
      </c>
      <c r="G193" s="397"/>
      <c r="H193" s="401"/>
      <c r="I193" s="402"/>
      <c r="J193" s="402">
        <v>2000</v>
      </c>
      <c r="K193" s="398">
        <f ca="1">+IF('[2]BROUILLARD DE CAISSE '!$C193="","",SUMIFS(INDIRECT("$K$7:K"&amp;ROW()),INDIRECT("$D$7:D"&amp;ROW()),"="&amp;"Report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2251491</v>
      </c>
      <c r="L193" s="403">
        <f ca="1">+IF($B193="","",SUMIFS(INDIRECT("$K$7:K"&amp;ROW()),INDIRECT("$B$7:B"&amp;ROW()),Tableau1535678910111213162523692[[#This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2704991</v>
      </c>
      <c r="M193" s="368"/>
      <c r="R193" s="368"/>
      <c r="S193" s="368"/>
      <c r="T193" s="368"/>
    </row>
    <row r="194" spans="1:20" ht="30" x14ac:dyDescent="0.3">
      <c r="A194" s="391" t="s">
        <v>2660</v>
      </c>
      <c r="B194" s="392" t="s">
        <v>2678</v>
      </c>
      <c r="C194" s="393">
        <v>45944</v>
      </c>
      <c r="D19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4" s="395" t="s">
        <v>2736</v>
      </c>
      <c r="F194" s="397" t="s">
        <v>2925</v>
      </c>
      <c r="G194" s="397"/>
      <c r="H194" s="401"/>
      <c r="I194" s="402"/>
      <c r="J194" s="402">
        <v>318000</v>
      </c>
      <c r="K194" s="398">
        <f ca="1">+IF('[2]BROUILLARD DE CAISSE '!$C194="","",SUMIFS(INDIRECT("$K$7:K"&amp;ROW()),INDIRECT("$D$7:D"&amp;ROW()),"="&amp;"Report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1933491</v>
      </c>
      <c r="L194" s="403">
        <f ca="1">+IF($B194="","",SUMIFS(INDIRECT("$K$7:K"&amp;ROW()),INDIRECT("$B$7:B"&amp;ROW()),Tableau1535678910111213162523692[[#This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2386991</v>
      </c>
      <c r="M194" s="368"/>
      <c r="R194" s="368"/>
      <c r="S194" s="368"/>
      <c r="T194" s="368"/>
    </row>
    <row r="195" spans="1:20" ht="30" x14ac:dyDescent="0.3">
      <c r="A195" s="391" t="s">
        <v>2660</v>
      </c>
      <c r="B195" s="392" t="s">
        <v>2678</v>
      </c>
      <c r="C195" s="393">
        <v>45944</v>
      </c>
      <c r="D19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195" s="395" t="s">
        <v>2679</v>
      </c>
      <c r="F195" s="409" t="s">
        <v>2926</v>
      </c>
      <c r="G195" s="397"/>
      <c r="H195" s="401"/>
      <c r="I195" s="402">
        <v>1549500</v>
      </c>
      <c r="J195" s="402"/>
      <c r="K195" s="398">
        <f ca="1">+IF('[2]BROUILLARD DE CAISSE '!$C195="","",SUMIFS(INDIRECT("$K$7:K"&amp;ROW()),INDIRECT("$D$7:D"&amp;ROW()),"="&amp;"Report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3482991</v>
      </c>
      <c r="L195" s="403">
        <f ca="1">+IF($B195="","",SUMIFS(INDIRECT("$K$7:K"&amp;ROW()),INDIRECT("$B$7:B"&amp;ROW()),Tableau1535678910111213162523692[[#This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3936491</v>
      </c>
      <c r="M195" s="368"/>
      <c r="R195" s="368"/>
      <c r="S195" s="368"/>
      <c r="T195" s="368"/>
    </row>
    <row r="196" spans="1:20" ht="30" x14ac:dyDescent="0.3">
      <c r="A196" s="391" t="s">
        <v>2660</v>
      </c>
      <c r="B196" s="392" t="s">
        <v>2678</v>
      </c>
      <c r="C196" s="393">
        <v>45944</v>
      </c>
      <c r="D19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6" s="395" t="s">
        <v>2736</v>
      </c>
      <c r="F196" s="397" t="s">
        <v>2927</v>
      </c>
      <c r="G196" s="397"/>
      <c r="H196" s="401"/>
      <c r="I196" s="402"/>
      <c r="J196" s="402">
        <v>1000000</v>
      </c>
      <c r="K196" s="398">
        <f ca="1">+IF('[2]BROUILLARD DE CAISSE '!$C196="","",SUMIFS(INDIRECT("$K$7:K"&amp;ROW()),INDIRECT("$D$7:D"&amp;ROW()),"="&amp;"Report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2482991</v>
      </c>
      <c r="L196" s="403">
        <f ca="1">+IF($B196="","",SUMIFS(INDIRECT("$K$7:K"&amp;ROW()),INDIRECT("$B$7:B"&amp;ROW()),Tableau1535678910111213162523692[[#This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2936491</v>
      </c>
      <c r="M196" s="368"/>
      <c r="R196" s="368"/>
      <c r="S196" s="368"/>
      <c r="T196" s="368"/>
    </row>
    <row r="197" spans="1:20" ht="30" x14ac:dyDescent="0.3">
      <c r="A197" s="391" t="s">
        <v>2660</v>
      </c>
      <c r="B197" s="392" t="s">
        <v>2678</v>
      </c>
      <c r="C197" s="406">
        <v>45945</v>
      </c>
      <c r="D197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7" s="408" t="s">
        <v>2928</v>
      </c>
      <c r="F197" s="409" t="s">
        <v>2823</v>
      </c>
      <c r="G197" s="409"/>
      <c r="H197" s="410"/>
      <c r="I197" s="405"/>
      <c r="J197" s="405">
        <v>1000</v>
      </c>
      <c r="K197" s="411">
        <f ca="1">+IF('[2]BROUILLARD DE CAISSE '!$C197="","",SUMIFS(INDIRECT("$K$7:K"&amp;ROW()),INDIRECT("$D$7:D"&amp;ROW()),"="&amp;"Report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2481991</v>
      </c>
      <c r="L197" s="414">
        <f ca="1">+IF($B197="","",SUMIFS(INDIRECT("$K$7:K"&amp;ROW()),INDIRECT("$B$7:B"&amp;ROW()),Tableau1535678910111213162523692[[#This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2935491</v>
      </c>
      <c r="M197" s="368"/>
      <c r="R197" s="368"/>
      <c r="S197" s="368"/>
      <c r="T197" s="368"/>
    </row>
    <row r="198" spans="1:20" ht="30" x14ac:dyDescent="0.3">
      <c r="A198" s="391" t="s">
        <v>2660</v>
      </c>
      <c r="B198" s="392" t="s">
        <v>2678</v>
      </c>
      <c r="C198" s="393">
        <v>45945</v>
      </c>
      <c r="D19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8" s="395" t="s">
        <v>2694</v>
      </c>
      <c r="F198" s="397" t="s">
        <v>2929</v>
      </c>
      <c r="G198" s="397"/>
      <c r="H198" s="401"/>
      <c r="I198" s="402"/>
      <c r="J198" s="402">
        <v>180000</v>
      </c>
      <c r="K198" s="398">
        <f ca="1">+IF('[2]BROUILLARD DE CAISSE '!$C198="","",SUMIFS(INDIRECT("$K$7:K"&amp;ROW()),INDIRECT("$D$7:D"&amp;ROW()),"="&amp;"Report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2301991</v>
      </c>
      <c r="L198" s="403">
        <f ca="1">+IF($B198="","",SUMIFS(INDIRECT("$K$7:K"&amp;ROW()),INDIRECT("$B$7:B"&amp;ROW()),Tableau1535678910111213162523692[[#This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2755491</v>
      </c>
      <c r="M198" s="368"/>
      <c r="R198" s="368"/>
      <c r="S198" s="368"/>
      <c r="T198" s="368"/>
    </row>
    <row r="199" spans="1:20" ht="30" x14ac:dyDescent="0.3">
      <c r="A199" s="391" t="s">
        <v>2660</v>
      </c>
      <c r="B199" s="392" t="s">
        <v>2678</v>
      </c>
      <c r="C199" s="393">
        <v>45945</v>
      </c>
      <c r="D19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199" s="395" t="s">
        <v>2717</v>
      </c>
      <c r="F199" s="397" t="s">
        <v>2930</v>
      </c>
      <c r="G199" s="397"/>
      <c r="H199" s="401"/>
      <c r="I199" s="402"/>
      <c r="J199" s="402">
        <v>6000</v>
      </c>
      <c r="K199" s="398">
        <f ca="1">+IF('[2]BROUILLARD DE CAISSE '!$C199="","",SUMIFS(INDIRECT("$K$7:K"&amp;ROW()),INDIRECT("$D$7:D"&amp;ROW()),"="&amp;"Report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2295991</v>
      </c>
      <c r="L199" s="403">
        <f ca="1">+IF($B199="","",SUMIFS(INDIRECT("$K$7:K"&amp;ROW()),INDIRECT("$B$7:B"&amp;ROW()),Tableau1535678910111213162523692[[#This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2749491</v>
      </c>
      <c r="M199" s="368"/>
      <c r="R199" s="368"/>
      <c r="S199" s="368"/>
      <c r="T199" s="368"/>
    </row>
    <row r="200" spans="1:20" ht="30" x14ac:dyDescent="0.3">
      <c r="A200" s="391" t="s">
        <v>2660</v>
      </c>
      <c r="B200" s="392" t="s">
        <v>2678</v>
      </c>
      <c r="C200" s="393">
        <v>45945</v>
      </c>
      <c r="D20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0" s="395" t="s">
        <v>2749</v>
      </c>
      <c r="F200" s="397" t="s">
        <v>2931</v>
      </c>
      <c r="G200" s="397"/>
      <c r="H200" s="401" t="s">
        <v>2687</v>
      </c>
      <c r="I200" s="402"/>
      <c r="J200" s="402">
        <v>460000</v>
      </c>
      <c r="K200" s="398">
        <f ca="1">+IF('[2]BROUILLARD DE CAISSE '!$C200="","",SUMIFS(INDIRECT("$K$7:K"&amp;ROW()),INDIRECT("$D$7:D"&amp;ROW()),"="&amp;"Report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1835991</v>
      </c>
      <c r="L200" s="403">
        <f ca="1">+IF($B200="","",SUMIFS(INDIRECT("$K$7:K"&amp;ROW()),INDIRECT("$B$7:B"&amp;ROW()),Tableau1535678910111213162523692[[#This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2289491</v>
      </c>
      <c r="M200" s="368"/>
      <c r="R200" s="368"/>
      <c r="S200" s="368"/>
      <c r="T200" s="368"/>
    </row>
    <row r="201" spans="1:20" ht="30" x14ac:dyDescent="0.3">
      <c r="A201" s="391" t="s">
        <v>2660</v>
      </c>
      <c r="B201" s="392" t="s">
        <v>2678</v>
      </c>
      <c r="C201" s="393">
        <v>45945</v>
      </c>
      <c r="D20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01" s="395" t="s">
        <v>2679</v>
      </c>
      <c r="F201" s="409" t="s">
        <v>2932</v>
      </c>
      <c r="G201" s="397"/>
      <c r="H201" s="401"/>
      <c r="I201" s="402">
        <v>2000000</v>
      </c>
      <c r="J201" s="402"/>
      <c r="K201" s="398">
        <f ca="1">+IF('[2]BROUILLARD DE CAISSE '!$C201="","",SUMIFS(INDIRECT("$K$7:K"&amp;ROW()),INDIRECT("$D$7:D"&amp;ROW()),"="&amp;"Report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3835991</v>
      </c>
      <c r="L201" s="403">
        <f ca="1">+IF($B201="","",SUMIFS(INDIRECT("$K$7:K"&amp;ROW()),INDIRECT("$B$7:B"&amp;ROW()),Tableau1535678910111213162523692[[#This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4289491</v>
      </c>
      <c r="M201" s="368"/>
      <c r="R201" s="368"/>
      <c r="S201" s="368"/>
      <c r="T201" s="368"/>
    </row>
    <row r="202" spans="1:20" ht="30" x14ac:dyDescent="0.3">
      <c r="A202" s="391" t="s">
        <v>2660</v>
      </c>
      <c r="B202" s="392" t="s">
        <v>2678</v>
      </c>
      <c r="C202" s="393">
        <v>45945</v>
      </c>
      <c r="D20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02" s="395" t="s">
        <v>2679</v>
      </c>
      <c r="F202" s="409" t="s">
        <v>2933</v>
      </c>
      <c r="G202" s="397"/>
      <c r="H202" s="401"/>
      <c r="I202" s="402">
        <v>960000</v>
      </c>
      <c r="J202" s="402"/>
      <c r="K202" s="398">
        <f ca="1">+IF('[2]BROUILLARD DE CAISSE '!$C202="","",SUMIFS(INDIRECT("$K$7:K"&amp;ROW()),INDIRECT("$D$7:D"&amp;ROW()),"="&amp;"Report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4795991</v>
      </c>
      <c r="L202" s="403">
        <f ca="1">+IF($B202="","",SUMIFS(INDIRECT("$K$7:K"&amp;ROW()),INDIRECT("$B$7:B"&amp;ROW()),Tableau1535678910111213162523692[[#This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5249491</v>
      </c>
      <c r="M202" s="368"/>
      <c r="R202" s="368"/>
      <c r="S202" s="368"/>
      <c r="T202" s="368"/>
    </row>
    <row r="203" spans="1:20" ht="30" x14ac:dyDescent="0.3">
      <c r="A203" s="391" t="s">
        <v>2660</v>
      </c>
      <c r="B203" s="392" t="s">
        <v>2678</v>
      </c>
      <c r="C203" s="393">
        <v>45945</v>
      </c>
      <c r="D20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3" s="395" t="s">
        <v>2758</v>
      </c>
      <c r="F203" s="397" t="s">
        <v>2934</v>
      </c>
      <c r="G203" s="397"/>
      <c r="H203" s="401"/>
      <c r="I203" s="402"/>
      <c r="J203" s="402">
        <v>960000</v>
      </c>
      <c r="K203" s="398">
        <f ca="1">+IF('[2]BROUILLARD DE CAISSE '!$C203="","",SUMIFS(INDIRECT("$K$7:K"&amp;ROW()),INDIRECT("$D$7:D"&amp;ROW()),"="&amp;"Report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3835991</v>
      </c>
      <c r="L203" s="399">
        <f ca="1">+IF($B203="","",SUMIFS(INDIRECT("$K$7:K"&amp;ROW()),INDIRECT("$B$7:B"&amp;ROW()),Tableau1535678910111213162523692[[#This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4289491</v>
      </c>
      <c r="M203" s="368"/>
      <c r="R203" s="368"/>
      <c r="S203" s="368"/>
      <c r="T203" s="368"/>
    </row>
    <row r="204" spans="1:20" ht="30" x14ac:dyDescent="0.3">
      <c r="A204" s="391" t="s">
        <v>2660</v>
      </c>
      <c r="B204" s="392" t="s">
        <v>2678</v>
      </c>
      <c r="C204" s="393">
        <v>45945</v>
      </c>
      <c r="D20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4" s="395" t="s">
        <v>2756</v>
      </c>
      <c r="F204" s="397" t="s">
        <v>2935</v>
      </c>
      <c r="G204" s="397"/>
      <c r="H204" s="401"/>
      <c r="I204" s="402"/>
      <c r="J204" s="402">
        <v>600000</v>
      </c>
      <c r="K204" s="398">
        <f ca="1">+IF('[2]BROUILLARD DE CAISSE '!$C204="","",SUMIFS(INDIRECT("$K$7:K"&amp;ROW()),INDIRECT("$D$7:D"&amp;ROW()),"="&amp;"Report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3235991</v>
      </c>
      <c r="L204" s="403">
        <f ca="1">+IF($B204="","",SUMIFS(INDIRECT("$K$7:K"&amp;ROW()),INDIRECT("$B$7:B"&amp;ROW()),Tableau1535678910111213162523692[[#This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3689491</v>
      </c>
      <c r="M204" s="368"/>
      <c r="R204" s="368"/>
      <c r="S204" s="368"/>
      <c r="T204" s="368"/>
    </row>
    <row r="205" spans="1:20" ht="30" x14ac:dyDescent="0.3">
      <c r="A205" s="391" t="s">
        <v>2660</v>
      </c>
      <c r="B205" s="392" t="s">
        <v>2678</v>
      </c>
      <c r="C205" s="393">
        <v>45945</v>
      </c>
      <c r="D20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5" s="395" t="s">
        <v>2813</v>
      </c>
      <c r="F205" s="397" t="s">
        <v>2936</v>
      </c>
      <c r="G205" s="397"/>
      <c r="H205" s="401" t="s">
        <v>2937</v>
      </c>
      <c r="I205" s="402"/>
      <c r="J205" s="402">
        <v>107565</v>
      </c>
      <c r="K205" s="398">
        <f ca="1">+IF('[2]BROUILLARD DE CAISSE '!$C205="","",SUMIFS(INDIRECT("$K$7:K"&amp;ROW()),INDIRECT("$D$7:D"&amp;ROW()),"="&amp;"Report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3128426</v>
      </c>
      <c r="L205" s="403">
        <f ca="1">+IF($B205="","",SUMIFS(INDIRECT("$K$7:K"&amp;ROW()),INDIRECT("$B$7:B"&amp;ROW()),Tableau1535678910111213162523692[[#This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3581926</v>
      </c>
      <c r="M205" s="368"/>
      <c r="R205" s="368"/>
      <c r="S205" s="368"/>
      <c r="T205" s="368"/>
    </row>
    <row r="206" spans="1:20" ht="30" x14ac:dyDescent="0.3">
      <c r="A206" s="391" t="s">
        <v>2660</v>
      </c>
      <c r="B206" s="392" t="s">
        <v>2678</v>
      </c>
      <c r="C206" s="393">
        <v>45945</v>
      </c>
      <c r="D20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6" s="395" t="s">
        <v>2714</v>
      </c>
      <c r="F206" s="397" t="s">
        <v>2938</v>
      </c>
      <c r="G206" s="397"/>
      <c r="H206" s="401"/>
      <c r="I206" s="402"/>
      <c r="J206" s="402">
        <v>3000</v>
      </c>
      <c r="K206" s="398">
        <f ca="1">+IF('[2]BROUILLARD DE CAISSE '!$C206="","",SUMIFS(INDIRECT("$K$7:K"&amp;ROW()),INDIRECT("$D$7:D"&amp;ROW()),"="&amp;"Report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3125426</v>
      </c>
      <c r="L206" s="403">
        <f ca="1">+IF($B206="","",SUMIFS(INDIRECT("$K$7:K"&amp;ROW()),INDIRECT("$B$7:B"&amp;ROW()),Tableau1535678910111213162523692[[#This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3578926</v>
      </c>
      <c r="M206" s="368"/>
      <c r="R206" s="368"/>
      <c r="S206" s="368"/>
      <c r="T206" s="368"/>
    </row>
    <row r="207" spans="1:20" ht="30" x14ac:dyDescent="0.3">
      <c r="A207" s="391" t="s">
        <v>2660</v>
      </c>
      <c r="B207" s="392" t="s">
        <v>2678</v>
      </c>
      <c r="C207" s="393">
        <v>45946</v>
      </c>
      <c r="D20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7" s="395" t="s">
        <v>2727</v>
      </c>
      <c r="F207" s="397" t="s">
        <v>2824</v>
      </c>
      <c r="G207" s="397"/>
      <c r="H207" s="401" t="s">
        <v>2729</v>
      </c>
      <c r="I207" s="402"/>
      <c r="J207" s="402">
        <v>20000</v>
      </c>
      <c r="K207" s="398">
        <f ca="1">+IF('[2]BROUILLARD DE CAISSE '!$C207="","",SUMIFS(INDIRECT("$K$7:K"&amp;ROW()),INDIRECT("$D$7:D"&amp;ROW()),"="&amp;"Report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3105426</v>
      </c>
      <c r="L207" s="403">
        <f ca="1">+IF($B207="","",SUMIFS(INDIRECT("$K$7:K"&amp;ROW()),INDIRECT("$B$7:B"&amp;ROW()),Tableau1535678910111213162523692[[#This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3558926</v>
      </c>
      <c r="M207" s="368"/>
      <c r="R207" s="368"/>
      <c r="S207" s="368"/>
      <c r="T207" s="368"/>
    </row>
    <row r="208" spans="1:20" ht="30" x14ac:dyDescent="0.3">
      <c r="A208" s="391" t="s">
        <v>2660</v>
      </c>
      <c r="B208" s="392" t="s">
        <v>2678</v>
      </c>
      <c r="C208" s="393">
        <v>45946</v>
      </c>
      <c r="D20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8" s="395" t="s">
        <v>2939</v>
      </c>
      <c r="F208" s="397" t="s">
        <v>2940</v>
      </c>
      <c r="G208" s="397"/>
      <c r="H208" s="401"/>
      <c r="I208" s="402"/>
      <c r="J208" s="402">
        <v>353500</v>
      </c>
      <c r="K208" s="398">
        <f ca="1">+IF('[2]BROUILLARD DE CAISSE '!$C208="","",SUMIFS(INDIRECT("$K$7:K"&amp;ROW()),INDIRECT("$D$7:D"&amp;ROW()),"="&amp;"Report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2751926</v>
      </c>
      <c r="L208" s="403">
        <f ca="1">+IF($B208="","",SUMIFS(INDIRECT("$K$7:K"&amp;ROW()),INDIRECT("$B$7:B"&amp;ROW()),Tableau1535678910111213162523692[[#This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3205426</v>
      </c>
      <c r="M208" s="368"/>
      <c r="R208" s="368"/>
      <c r="S208" s="368"/>
      <c r="T208" s="368"/>
    </row>
    <row r="209" spans="1:20" ht="30" x14ac:dyDescent="0.3">
      <c r="A209" s="391" t="s">
        <v>2660</v>
      </c>
      <c r="B209" s="392" t="s">
        <v>2678</v>
      </c>
      <c r="C209" s="393">
        <v>45946</v>
      </c>
      <c r="D20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09" s="395" t="s">
        <v>2941</v>
      </c>
      <c r="F209" s="397" t="s">
        <v>2942</v>
      </c>
      <c r="G209" s="397"/>
      <c r="H209" s="401"/>
      <c r="I209" s="402"/>
      <c r="J209" s="402">
        <v>10000</v>
      </c>
      <c r="K209" s="398">
        <f ca="1">+IF('[2]BROUILLARD DE CAISSE '!$C209="","",SUMIFS(INDIRECT("$K$7:K"&amp;ROW()),INDIRECT("$D$7:D"&amp;ROW()),"="&amp;"Report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2741926</v>
      </c>
      <c r="L209" s="403">
        <f ca="1">+IF($B209="","",SUMIFS(INDIRECT("$K$7:K"&amp;ROW()),INDIRECT("$B$7:B"&amp;ROW()),Tableau1535678910111213162523692[[#This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3195426</v>
      </c>
      <c r="M209" s="368"/>
      <c r="R209" s="368"/>
      <c r="S209" s="368"/>
      <c r="T209" s="368"/>
    </row>
    <row r="210" spans="1:20" ht="30" x14ac:dyDescent="0.3">
      <c r="A210" s="391" t="s">
        <v>2660</v>
      </c>
      <c r="B210" s="392" t="s">
        <v>2678</v>
      </c>
      <c r="C210" s="393">
        <v>45946</v>
      </c>
      <c r="D21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0" s="395" t="s">
        <v>2943</v>
      </c>
      <c r="F210" s="397" t="s">
        <v>325</v>
      </c>
      <c r="G210" s="397"/>
      <c r="H210" s="401"/>
      <c r="I210" s="402"/>
      <c r="J210" s="402">
        <v>15000</v>
      </c>
      <c r="K210" s="398">
        <f ca="1">+IF('[2]BROUILLARD DE CAISSE '!$C210="","",SUMIFS(INDIRECT("$K$7:K"&amp;ROW()),INDIRECT("$D$7:D"&amp;ROW()),"="&amp;"Report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2726926</v>
      </c>
      <c r="L210" s="403">
        <f ca="1">+IF($B210="","",SUMIFS(INDIRECT("$K$7:K"&amp;ROW()),INDIRECT("$B$7:B"&amp;ROW()),Tableau1535678910111213162523692[[#This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3180426</v>
      </c>
      <c r="M210" s="368"/>
      <c r="R210" s="368"/>
      <c r="S210" s="368"/>
      <c r="T210" s="368"/>
    </row>
    <row r="211" spans="1:20" ht="30" x14ac:dyDescent="0.3">
      <c r="A211" s="391" t="s">
        <v>2660</v>
      </c>
      <c r="B211" s="392" t="s">
        <v>2678</v>
      </c>
      <c r="C211" s="393">
        <v>45946</v>
      </c>
      <c r="D21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1" s="395" t="s">
        <v>2704</v>
      </c>
      <c r="F211" s="397" t="s">
        <v>2788</v>
      </c>
      <c r="G211" s="397"/>
      <c r="H211" s="401"/>
      <c r="I211" s="402"/>
      <c r="J211" s="402">
        <v>154610</v>
      </c>
      <c r="K211" s="398">
        <f ca="1">+IF('[2]BROUILLARD DE CAISSE '!$C211="","",SUMIFS(INDIRECT("$K$7:K"&amp;ROW()),INDIRECT("$D$7:D"&amp;ROW()),"="&amp;"Report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2572316</v>
      </c>
      <c r="L211" s="403">
        <f ca="1">+IF($B211="","",SUMIFS(INDIRECT("$K$7:K"&amp;ROW()),INDIRECT("$B$7:B"&amp;ROW()),Tableau1535678910111213162523692[[#This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3025816</v>
      </c>
      <c r="M211" s="368"/>
      <c r="R211" s="368"/>
      <c r="S211" s="368"/>
      <c r="T211" s="368"/>
    </row>
    <row r="212" spans="1:20" ht="30" x14ac:dyDescent="0.3">
      <c r="A212" s="391" t="s">
        <v>2660</v>
      </c>
      <c r="B212" s="392" t="s">
        <v>2678</v>
      </c>
      <c r="C212" s="393">
        <v>45946</v>
      </c>
      <c r="D21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2" s="395" t="s">
        <v>2731</v>
      </c>
      <c r="F212" s="397" t="s">
        <v>2944</v>
      </c>
      <c r="G212" s="397"/>
      <c r="H212" s="401"/>
      <c r="I212" s="402"/>
      <c r="J212" s="402">
        <v>17500</v>
      </c>
      <c r="K212" s="398">
        <f ca="1">+IF('[2]BROUILLARD DE CAISSE '!$C212="","",SUMIFS(INDIRECT("$K$7:K"&amp;ROW()),INDIRECT("$D$7:D"&amp;ROW()),"="&amp;"Report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2554816</v>
      </c>
      <c r="L212" s="403">
        <f ca="1">+IF($B212="","",SUMIFS(INDIRECT("$K$7:K"&amp;ROW()),INDIRECT("$B$7:B"&amp;ROW()),Tableau1535678910111213162523692[[#This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3008316</v>
      </c>
      <c r="M212" s="368"/>
      <c r="R212" s="368"/>
      <c r="S212" s="368"/>
      <c r="T212" s="368"/>
    </row>
    <row r="213" spans="1:20" ht="30" x14ac:dyDescent="0.3">
      <c r="A213" s="391" t="s">
        <v>2660</v>
      </c>
      <c r="B213" s="392" t="s">
        <v>2678</v>
      </c>
      <c r="C213" s="393">
        <v>45946</v>
      </c>
      <c r="D21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3" s="395" t="s">
        <v>2717</v>
      </c>
      <c r="F213" s="397" t="s">
        <v>55</v>
      </c>
      <c r="G213" s="397"/>
      <c r="H213" s="401"/>
      <c r="I213" s="402"/>
      <c r="J213" s="402">
        <v>2500</v>
      </c>
      <c r="K213" s="398">
        <f ca="1">+IF('[2]BROUILLARD DE CAISSE '!$C213="","",SUMIFS(INDIRECT("$K$7:K"&amp;ROW()),INDIRECT("$D$7:D"&amp;ROW()),"="&amp;"Report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2552316</v>
      </c>
      <c r="L213" s="403">
        <f ca="1">+IF($B213="","",SUMIFS(INDIRECT("$K$7:K"&amp;ROW()),INDIRECT("$B$7:B"&amp;ROW()),Tableau1535678910111213162523692[[#This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3005816</v>
      </c>
      <c r="M213" s="368"/>
      <c r="R213" s="368"/>
      <c r="S213" s="368"/>
      <c r="T213" s="368"/>
    </row>
    <row r="214" spans="1:20" ht="30" x14ac:dyDescent="0.3">
      <c r="A214" s="391" t="s">
        <v>2660</v>
      </c>
      <c r="B214" s="392" t="s">
        <v>2678</v>
      </c>
      <c r="C214" s="393">
        <v>45946</v>
      </c>
      <c r="D21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4" s="395" t="s">
        <v>2818</v>
      </c>
      <c r="F214" s="397" t="s">
        <v>2945</v>
      </c>
      <c r="G214" s="397"/>
      <c r="H214" s="401"/>
      <c r="I214" s="402"/>
      <c r="J214" s="402">
        <v>10000</v>
      </c>
      <c r="K214" s="398">
        <f ca="1">+IF('[2]BROUILLARD DE CAISSE '!$C214="","",SUMIFS(INDIRECT("$K$7:K"&amp;ROW()),INDIRECT("$D$7:D"&amp;ROW()),"="&amp;"Report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2542316</v>
      </c>
      <c r="L214" s="403">
        <f ca="1">+IF($B214="","",SUMIFS(INDIRECT("$K$7:K"&amp;ROW()),INDIRECT("$B$7:B"&amp;ROW()),Tableau1535678910111213162523692[[#This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2995816</v>
      </c>
      <c r="M214" s="368"/>
      <c r="R214" s="368"/>
      <c r="S214" s="368"/>
      <c r="T214" s="368"/>
    </row>
    <row r="215" spans="1:20" ht="30" x14ac:dyDescent="0.3">
      <c r="A215" s="391" t="s">
        <v>2660</v>
      </c>
      <c r="B215" s="392" t="s">
        <v>2678</v>
      </c>
      <c r="C215" s="393">
        <v>45946</v>
      </c>
      <c r="D21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15" s="395" t="s">
        <v>2731</v>
      </c>
      <c r="F215" s="397" t="s">
        <v>2946</v>
      </c>
      <c r="G215" s="397"/>
      <c r="H215" s="401"/>
      <c r="I215" s="402">
        <v>2300</v>
      </c>
      <c r="J215" s="402"/>
      <c r="K215" s="398">
        <f ca="1">+IF('[2]BROUILLARD DE CAISSE '!$C215="","",SUMIFS(INDIRECT("$K$7:K"&amp;ROW()),INDIRECT("$D$7:D"&amp;ROW()),"="&amp;"Report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2544616</v>
      </c>
      <c r="L215" s="403">
        <f ca="1">+IF($B215="","",SUMIFS(INDIRECT("$K$7:K"&amp;ROW()),INDIRECT("$B$7:B"&amp;ROW()),Tableau1535678910111213162523692[[#This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2998116</v>
      </c>
      <c r="M215" s="368"/>
      <c r="R215" s="368"/>
      <c r="S215" s="368"/>
      <c r="T215" s="368"/>
    </row>
    <row r="216" spans="1:20" ht="30" x14ac:dyDescent="0.3">
      <c r="A216" s="391" t="s">
        <v>2660</v>
      </c>
      <c r="B216" s="392" t="s">
        <v>2678</v>
      </c>
      <c r="C216" s="393">
        <v>45946</v>
      </c>
      <c r="D21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6" s="395" t="s">
        <v>2912</v>
      </c>
      <c r="F216" s="397" t="s">
        <v>2947</v>
      </c>
      <c r="G216" s="397"/>
      <c r="H216" s="401"/>
      <c r="I216" s="402"/>
      <c r="J216" s="402">
        <v>5000</v>
      </c>
      <c r="K216" s="398">
        <f ca="1">+IF('[2]BROUILLARD DE CAISSE '!$C216="","",SUMIFS(INDIRECT("$K$7:K"&amp;ROW()),INDIRECT("$D$7:D"&amp;ROW()),"="&amp;"Report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2539616</v>
      </c>
      <c r="L216" s="403">
        <f ca="1">+IF($B216="","",SUMIFS(INDIRECT("$K$7:K"&amp;ROW()),INDIRECT("$B$7:B"&amp;ROW()),Tableau1535678910111213162523692[[#This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2993116</v>
      </c>
      <c r="M216" s="368"/>
      <c r="R216" s="368"/>
      <c r="S216" s="368"/>
      <c r="T216" s="368"/>
    </row>
    <row r="217" spans="1:20" ht="30" x14ac:dyDescent="0.3">
      <c r="A217" s="391" t="s">
        <v>2660</v>
      </c>
      <c r="B217" s="392" t="s">
        <v>2678</v>
      </c>
      <c r="C217" s="393">
        <v>45946</v>
      </c>
      <c r="D21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7" s="395" t="s">
        <v>2863</v>
      </c>
      <c r="F217" s="397" t="s">
        <v>2706</v>
      </c>
      <c r="G217" s="397"/>
      <c r="H217" s="401"/>
      <c r="I217" s="402"/>
      <c r="J217" s="402">
        <v>5050</v>
      </c>
      <c r="K217" s="398">
        <f ca="1">+IF('[2]BROUILLARD DE CAISSE '!$C217="","",SUMIFS(INDIRECT("$K$7:K"&amp;ROW()),INDIRECT("$D$7:D"&amp;ROW()),"="&amp;"Report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2534566</v>
      </c>
      <c r="L217" s="399">
        <f ca="1">+IF($B217="","",SUMIFS(INDIRECT("$K$7:K"&amp;ROW()),INDIRECT("$B$7:B"&amp;ROW()),Tableau1535678910111213162523692[[#This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2988066</v>
      </c>
      <c r="M217" s="368"/>
      <c r="R217" s="368"/>
      <c r="S217" s="368"/>
      <c r="T217" s="368"/>
    </row>
    <row r="218" spans="1:20" ht="30" x14ac:dyDescent="0.3">
      <c r="A218" s="391" t="s">
        <v>2660</v>
      </c>
      <c r="B218" s="392" t="s">
        <v>2678</v>
      </c>
      <c r="C218" s="393">
        <v>45947</v>
      </c>
      <c r="D21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8" s="395" t="s">
        <v>2714</v>
      </c>
      <c r="F218" s="397" t="s">
        <v>2948</v>
      </c>
      <c r="G218" s="397"/>
      <c r="H218" s="401"/>
      <c r="I218" s="402"/>
      <c r="J218" s="402">
        <v>3000</v>
      </c>
      <c r="K218" s="398">
        <f ca="1">+IF('[2]BROUILLARD DE CAISSE '!$C218="","",SUMIFS(INDIRECT("$K$7:K"&amp;ROW()),INDIRECT("$D$7:D"&amp;ROW()),"="&amp;"Report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2531566</v>
      </c>
      <c r="L218" s="403">
        <f ca="1">+IF($B218="","",SUMIFS(INDIRECT("$K$7:K"&amp;ROW()),INDIRECT("$B$7:B"&amp;ROW()),Tableau1535678910111213162523692[[#This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2985066</v>
      </c>
      <c r="M218" s="368"/>
      <c r="R218" s="368"/>
      <c r="S218" s="368"/>
      <c r="T218" s="368"/>
    </row>
    <row r="219" spans="1:20" s="423" customFormat="1" ht="30" x14ac:dyDescent="0.3">
      <c r="A219" s="391" t="s">
        <v>2660</v>
      </c>
      <c r="B219" s="392" t="s">
        <v>2678</v>
      </c>
      <c r="C219" s="415">
        <v>45947</v>
      </c>
      <c r="D219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19" s="417" t="s">
        <v>2912</v>
      </c>
      <c r="F219" s="418" t="s">
        <v>2949</v>
      </c>
      <c r="G219" s="418"/>
      <c r="H219" s="419"/>
      <c r="I219" s="420"/>
      <c r="J219" s="420">
        <v>3000</v>
      </c>
      <c r="K219" s="421">
        <f ca="1">+IF('[2]BROUILLARD DE CAISSE '!$C219="","",SUMIFS(INDIRECT("$K$7:K"&amp;ROW()),INDIRECT("$D$7:D"&amp;ROW()),"="&amp;"Report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2528566</v>
      </c>
      <c r="L219" s="422">
        <f ca="1">+IF($B219="","",SUMIFS(INDIRECT("$K$7:K"&amp;ROW()),INDIRECT("$B$7:B"&amp;ROW()),Tableau1535678910111213162523692[[#This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2982066</v>
      </c>
    </row>
    <row r="220" spans="1:20" s="423" customFormat="1" ht="30" x14ac:dyDescent="0.3">
      <c r="A220" s="391" t="s">
        <v>2660</v>
      </c>
      <c r="B220" s="392" t="s">
        <v>2678</v>
      </c>
      <c r="C220" s="415">
        <v>45947</v>
      </c>
      <c r="D220" s="41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0" s="417" t="s">
        <v>2928</v>
      </c>
      <c r="F220" s="418" t="s">
        <v>2950</v>
      </c>
      <c r="G220" s="418"/>
      <c r="H220" s="419"/>
      <c r="I220" s="420"/>
      <c r="J220" s="420">
        <v>2600</v>
      </c>
      <c r="K220" s="421">
        <f ca="1">+IF('[2]BROUILLARD DE CAISSE '!$C220="","",SUMIFS(INDIRECT("$K$7:K"&amp;ROW()),INDIRECT("$D$7:D"&amp;ROW()),"="&amp;"Report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2525966</v>
      </c>
      <c r="L220" s="422">
        <f ca="1">+IF($B220="","",SUMIFS(INDIRECT("$K$7:K"&amp;ROW()),INDIRECT("$B$7:B"&amp;ROW()),Tableau1535678910111213162523692[[#This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2979466</v>
      </c>
    </row>
    <row r="221" spans="1:20" ht="30" x14ac:dyDescent="0.3">
      <c r="A221" s="391" t="s">
        <v>2660</v>
      </c>
      <c r="B221" s="392" t="s">
        <v>2678</v>
      </c>
      <c r="C221" s="415">
        <v>45947</v>
      </c>
      <c r="D22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1" s="395" t="s">
        <v>2951</v>
      </c>
      <c r="F221" s="397" t="s">
        <v>2952</v>
      </c>
      <c r="G221" s="397"/>
      <c r="H221" s="401" t="s">
        <v>2685</v>
      </c>
      <c r="I221" s="402"/>
      <c r="J221" s="402">
        <v>40400</v>
      </c>
      <c r="K221" s="398">
        <f ca="1">+IF('[2]BROUILLARD DE CAISSE '!$C221="","",SUMIFS(INDIRECT("$K$7:K"&amp;ROW()),INDIRECT("$D$7:D"&amp;ROW()),"="&amp;"Report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2485566</v>
      </c>
      <c r="L221" s="403">
        <f ca="1">+IF($B221="","",SUMIFS(INDIRECT("$K$7:K"&amp;ROW()),INDIRECT("$B$7:B"&amp;ROW()),Tableau1535678910111213162523692[[#This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2939066</v>
      </c>
      <c r="M221" s="368"/>
      <c r="R221" s="368"/>
      <c r="S221" s="368"/>
      <c r="T221" s="368"/>
    </row>
    <row r="222" spans="1:20" ht="30" x14ac:dyDescent="0.3">
      <c r="A222" s="391" t="s">
        <v>2660</v>
      </c>
      <c r="B222" s="392" t="s">
        <v>2678</v>
      </c>
      <c r="C222" s="393">
        <v>45947</v>
      </c>
      <c r="D22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2" s="395" t="s">
        <v>2717</v>
      </c>
      <c r="F222" s="397" t="s">
        <v>2953</v>
      </c>
      <c r="G222" s="397"/>
      <c r="H222" s="401"/>
      <c r="I222" s="402"/>
      <c r="J222" s="402">
        <v>3000</v>
      </c>
      <c r="K222" s="398">
        <f ca="1">+IF('[2]BROUILLARD DE CAISSE '!$C222="","",SUMIFS(INDIRECT("$K$7:K"&amp;ROW()),INDIRECT("$D$7:D"&amp;ROW()),"="&amp;"Report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2482566</v>
      </c>
      <c r="L222" s="403">
        <f ca="1">+IF($B222="","",SUMIFS(INDIRECT("$K$7:K"&amp;ROW()),INDIRECT("$B$7:B"&amp;ROW()),Tableau1535678910111213162523692[[#This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2936066</v>
      </c>
      <c r="M222" s="368"/>
      <c r="R222" s="368"/>
      <c r="S222" s="368"/>
      <c r="T222" s="368"/>
    </row>
    <row r="223" spans="1:20" ht="30" x14ac:dyDescent="0.3">
      <c r="A223" s="391" t="s">
        <v>2660</v>
      </c>
      <c r="B223" s="392" t="s">
        <v>2678</v>
      </c>
      <c r="C223" s="393">
        <v>45947</v>
      </c>
      <c r="D22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3" s="395" t="s">
        <v>2951</v>
      </c>
      <c r="F223" s="397" t="s">
        <v>2954</v>
      </c>
      <c r="G223" s="397"/>
      <c r="H223" s="401" t="s">
        <v>2698</v>
      </c>
      <c r="I223" s="402"/>
      <c r="J223" s="402">
        <v>70700</v>
      </c>
      <c r="K223" s="398">
        <f ca="1">+IF('[2]BROUILLARD DE CAISSE '!$C223="","",SUMIFS(INDIRECT("$K$7:K"&amp;ROW()),INDIRECT("$D$7:D"&amp;ROW()),"="&amp;"Report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2411866</v>
      </c>
      <c r="L223" s="403">
        <f ca="1">+IF($B223="","",SUMIFS(INDIRECT("$K$7:K"&amp;ROW()),INDIRECT("$B$7:B"&amp;ROW()),Tableau1535678910111213162523692[[#This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2865366</v>
      </c>
      <c r="M223" s="368"/>
      <c r="R223" s="368"/>
      <c r="S223" s="368"/>
      <c r="T223" s="368"/>
    </row>
    <row r="224" spans="1:20" ht="30" x14ac:dyDescent="0.3">
      <c r="A224" s="391" t="s">
        <v>2660</v>
      </c>
      <c r="B224" s="392" t="s">
        <v>2678</v>
      </c>
      <c r="C224" s="393">
        <v>45947</v>
      </c>
      <c r="D22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4" s="395" t="s">
        <v>2714</v>
      </c>
      <c r="F224" s="397" t="s">
        <v>2955</v>
      </c>
      <c r="G224" s="397"/>
      <c r="H224" s="401"/>
      <c r="I224" s="402"/>
      <c r="J224" s="402">
        <v>7600</v>
      </c>
      <c r="K224" s="398">
        <f ca="1">+IF('[2]BROUILLARD DE CAISSE '!$C224="","",SUMIFS(INDIRECT("$K$7:K"&amp;ROW()),INDIRECT("$D$7:D"&amp;ROW()),"="&amp;"Report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2404266</v>
      </c>
      <c r="L224" s="403">
        <f ca="1">+IF($B224="","",SUMIFS(INDIRECT("$K$7:K"&amp;ROW()),INDIRECT("$B$7:B"&amp;ROW()),Tableau1535678910111213162523692[[#This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2857766</v>
      </c>
      <c r="M224" s="368"/>
      <c r="R224" s="368"/>
      <c r="S224" s="368"/>
      <c r="T224" s="368"/>
    </row>
    <row r="225" spans="1:20" ht="30" x14ac:dyDescent="0.3">
      <c r="A225" s="391" t="s">
        <v>2660</v>
      </c>
      <c r="B225" s="392" t="s">
        <v>2678</v>
      </c>
      <c r="C225" s="393">
        <v>45947</v>
      </c>
      <c r="D22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5" s="395" t="s">
        <v>2758</v>
      </c>
      <c r="F225" s="397" t="s">
        <v>2956</v>
      </c>
      <c r="G225" s="397"/>
      <c r="H225" s="432"/>
      <c r="I225" s="402"/>
      <c r="J225" s="402">
        <v>300000</v>
      </c>
      <c r="K225" s="398">
        <f ca="1">+IF('[2]BROUILLARD DE CAISSE '!$C225="","",SUMIFS(INDIRECT("$K$7:K"&amp;ROW()),INDIRECT("$D$7:D"&amp;ROW()),"="&amp;"Report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2104266</v>
      </c>
      <c r="L225" s="403">
        <f ca="1">+IF($B225="","",SUMIFS(INDIRECT("$K$7:K"&amp;ROW()),INDIRECT("$B$7:B"&amp;ROW()),Tableau1535678910111213162523692[[#This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2557766</v>
      </c>
      <c r="M225" s="368"/>
      <c r="R225" s="368"/>
      <c r="S225" s="368"/>
      <c r="T225" s="368"/>
    </row>
    <row r="226" spans="1:20" ht="30" x14ac:dyDescent="0.3">
      <c r="A226" s="391" t="s">
        <v>2660</v>
      </c>
      <c r="B226" s="392" t="s">
        <v>2678</v>
      </c>
      <c r="C226" s="393">
        <v>45947</v>
      </c>
      <c r="D22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6" s="395" t="s">
        <v>2764</v>
      </c>
      <c r="F226" s="397" t="s">
        <v>2957</v>
      </c>
      <c r="G226" s="397"/>
      <c r="H226" s="401" t="s">
        <v>2698</v>
      </c>
      <c r="I226" s="402"/>
      <c r="J226" s="402">
        <v>3535</v>
      </c>
      <c r="K226" s="398">
        <f ca="1">+IF('[2]BROUILLARD DE CAISSE '!$C226="","",SUMIFS(INDIRECT("$K$7:K"&amp;ROW()),INDIRECT("$D$7:D"&amp;ROW()),"="&amp;"Report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2100731</v>
      </c>
      <c r="L226" s="403">
        <f ca="1">+IF($B226="","",SUMIFS(INDIRECT("$K$7:K"&amp;ROW()),INDIRECT("$B$7:B"&amp;ROW()),Tableau1535678910111213162523692[[#This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2554231</v>
      </c>
      <c r="M226" s="368"/>
      <c r="R226" s="368"/>
      <c r="S226" s="368"/>
      <c r="T226" s="368"/>
    </row>
    <row r="227" spans="1:20" ht="30" x14ac:dyDescent="0.3">
      <c r="A227" s="391" t="s">
        <v>2660</v>
      </c>
      <c r="B227" s="392" t="s">
        <v>2678</v>
      </c>
      <c r="C227" s="393">
        <v>45948</v>
      </c>
      <c r="D22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7" s="395" t="s">
        <v>2710</v>
      </c>
      <c r="F227" s="397" t="s">
        <v>2958</v>
      </c>
      <c r="G227" s="397"/>
      <c r="H227" s="432" t="s">
        <v>2959</v>
      </c>
      <c r="I227" s="402"/>
      <c r="J227" s="402">
        <v>5050</v>
      </c>
      <c r="K227" s="398">
        <f ca="1">+IF('[2]BROUILLARD DE CAISSE '!$C227="","",SUMIFS(INDIRECT("$K$7:K"&amp;ROW()),INDIRECT("$D$7:D"&amp;ROW()),"="&amp;"Report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2095681</v>
      </c>
      <c r="L227" s="403">
        <f ca="1">+IF($B227="","",SUMIFS(INDIRECT("$K$7:K"&amp;ROW()),INDIRECT("$B$7:B"&amp;ROW()),Tableau1535678910111213162523692[[#This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2549181</v>
      </c>
      <c r="M227" s="368"/>
      <c r="R227" s="368"/>
      <c r="S227" s="368"/>
      <c r="T227" s="368"/>
    </row>
    <row r="228" spans="1:20" ht="30" x14ac:dyDescent="0.3">
      <c r="A228" s="391" t="s">
        <v>2660</v>
      </c>
      <c r="B228" s="392" t="s">
        <v>2678</v>
      </c>
      <c r="C228" s="393">
        <v>45948</v>
      </c>
      <c r="D22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8" s="395" t="s">
        <v>2863</v>
      </c>
      <c r="F228" s="397" t="s">
        <v>2960</v>
      </c>
      <c r="G228" s="397"/>
      <c r="H228" s="401" t="s">
        <v>2698</v>
      </c>
      <c r="I228" s="402"/>
      <c r="J228" s="402">
        <v>10100</v>
      </c>
      <c r="K228" s="398">
        <f ca="1">+IF('[2]BROUILLARD DE CAISSE '!$C228="","",SUMIFS(INDIRECT("$K$7:K"&amp;ROW()),INDIRECT("$D$7:D"&amp;ROW()),"="&amp;"Report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2085581</v>
      </c>
      <c r="L228" s="403">
        <f ca="1">+IF($B228="","",SUMIFS(INDIRECT("$K$7:K"&amp;ROW()),INDIRECT("$B$7:B"&amp;ROW()),Tableau1535678910111213162523692[[#This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2539081</v>
      </c>
      <c r="M228" s="368"/>
      <c r="R228" s="368"/>
      <c r="S228" s="368"/>
      <c r="T228" s="368"/>
    </row>
    <row r="229" spans="1:20" s="412" customFormat="1" ht="30" x14ac:dyDescent="0.3">
      <c r="A229" s="391" t="s">
        <v>2660</v>
      </c>
      <c r="B229" s="392" t="s">
        <v>2678</v>
      </c>
      <c r="C229" s="406">
        <v>45948</v>
      </c>
      <c r="D229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29" s="408" t="s">
        <v>2961</v>
      </c>
      <c r="F229" s="409" t="s">
        <v>2962</v>
      </c>
      <c r="G229" s="397"/>
      <c r="H229" s="433" t="s">
        <v>2707</v>
      </c>
      <c r="I229" s="405"/>
      <c r="J229" s="405">
        <v>50500</v>
      </c>
      <c r="K229" s="411">
        <f ca="1">+IF('[2]BROUILLARD DE CAISSE '!$C229="","",SUMIFS(INDIRECT("$K$7:K"&amp;ROW()),INDIRECT("$D$7:D"&amp;ROW()),"="&amp;"Report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2035081</v>
      </c>
      <c r="L229" s="403">
        <f ca="1">+IF($B229="","",SUMIFS(INDIRECT("$K$7:K"&amp;ROW()),INDIRECT("$B$7:B"&amp;ROW()),Tableau1535678910111213162523692[[#This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2488581</v>
      </c>
    </row>
    <row r="230" spans="1:20" ht="30" x14ac:dyDescent="0.3">
      <c r="A230" s="391" t="s">
        <v>2660</v>
      </c>
      <c r="B230" s="392" t="s">
        <v>2678</v>
      </c>
      <c r="C230" s="393">
        <v>45948</v>
      </c>
      <c r="D23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0" s="395" t="s">
        <v>2727</v>
      </c>
      <c r="F230" s="397" t="s">
        <v>2963</v>
      </c>
      <c r="G230" s="397"/>
      <c r="H230" s="432" t="s">
        <v>2729</v>
      </c>
      <c r="I230" s="402"/>
      <c r="J230" s="402">
        <v>5050</v>
      </c>
      <c r="K230" s="398">
        <f ca="1">+IF('[2]BROUILLARD DE CAISSE '!$C230="","",SUMIFS(INDIRECT("$K$7:K"&amp;ROW()),INDIRECT("$D$7:D"&amp;ROW()),"="&amp;"Report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2030031</v>
      </c>
      <c r="L230" s="403">
        <f ca="1">+IF($B230="","",SUMIFS(INDIRECT("$K$7:K"&amp;ROW()),INDIRECT("$B$7:B"&amp;ROW()),Tableau1535678910111213162523692[[#This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2483531</v>
      </c>
      <c r="M230" s="368"/>
      <c r="R230" s="368"/>
      <c r="S230" s="368"/>
      <c r="T230" s="368"/>
    </row>
    <row r="231" spans="1:20" s="412" customFormat="1" ht="30" x14ac:dyDescent="0.3">
      <c r="A231" s="391" t="s">
        <v>2660</v>
      </c>
      <c r="B231" s="392" t="s">
        <v>2678</v>
      </c>
      <c r="C231" s="406">
        <v>45948</v>
      </c>
      <c r="D231" s="40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1" s="408" t="s">
        <v>2725</v>
      </c>
      <c r="F231" s="409" t="s">
        <v>2879</v>
      </c>
      <c r="G231" s="397"/>
      <c r="H231" s="433" t="s">
        <v>2964</v>
      </c>
      <c r="I231" s="405"/>
      <c r="J231" s="405">
        <v>15150</v>
      </c>
      <c r="K231" s="411">
        <f ca="1">+IF('[2]BROUILLARD DE CAISSE '!$C231="","",SUMIFS(INDIRECT("$K$7:K"&amp;ROW()),INDIRECT("$D$7:D"&amp;ROW()),"="&amp;"Report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2014881</v>
      </c>
      <c r="L231" s="403">
        <f ca="1">+IF($B231="","",SUMIFS(INDIRECT("$K$7:K"&amp;ROW()),INDIRECT("$B$7:B"&amp;ROW()),Tableau1535678910111213162523692[[#This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2468381</v>
      </c>
    </row>
    <row r="232" spans="1:20" ht="30" x14ac:dyDescent="0.3">
      <c r="A232" s="391" t="s">
        <v>2660</v>
      </c>
      <c r="B232" s="392" t="s">
        <v>2678</v>
      </c>
      <c r="C232" s="393">
        <v>45950</v>
      </c>
      <c r="D23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2" s="395" t="s">
        <v>2813</v>
      </c>
      <c r="F232" s="397" t="s">
        <v>2965</v>
      </c>
      <c r="G232" s="397"/>
      <c r="H232" s="432"/>
      <c r="I232" s="402"/>
      <c r="J232" s="402">
        <v>3030</v>
      </c>
      <c r="K232" s="398">
        <f ca="1">+IF('[2]BROUILLARD DE CAISSE '!$C232="","",SUMIFS(INDIRECT("$K$7:K"&amp;ROW()),INDIRECT("$D$7:D"&amp;ROW()),"="&amp;"Report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2011851</v>
      </c>
      <c r="L232" s="403">
        <f ca="1">+IF($B232="","",SUMIFS(INDIRECT("$K$7:K"&amp;ROW()),INDIRECT("$B$7:B"&amp;ROW()),Tableau1535678910111213162523692[[#This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2465351</v>
      </c>
      <c r="M232" s="368"/>
      <c r="R232" s="368"/>
      <c r="S232" s="368"/>
      <c r="T232" s="368"/>
    </row>
    <row r="233" spans="1:20" ht="30" x14ac:dyDescent="0.3">
      <c r="A233" s="391" t="s">
        <v>2660</v>
      </c>
      <c r="B233" s="392" t="s">
        <v>2678</v>
      </c>
      <c r="C233" s="393">
        <v>45950</v>
      </c>
      <c r="D23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3" s="395" t="s">
        <v>2727</v>
      </c>
      <c r="F233" s="397" t="s">
        <v>2896</v>
      </c>
      <c r="G233" s="397"/>
      <c r="H233" s="432" t="s">
        <v>2729</v>
      </c>
      <c r="I233" s="402"/>
      <c r="J233" s="402">
        <v>2000</v>
      </c>
      <c r="K233" s="398">
        <f ca="1">+IF('[2]BROUILLARD DE CAISSE '!$C233="","",SUMIFS(INDIRECT("$K$7:K"&amp;ROW()),INDIRECT("$D$7:D"&amp;ROW()),"="&amp;"Report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2009851</v>
      </c>
      <c r="L233" s="403">
        <f ca="1">+IF($B233="","",SUMIFS(INDIRECT("$K$7:K"&amp;ROW()),INDIRECT("$B$7:B"&amp;ROW()),Tableau1535678910111213162523692[[#This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2463351</v>
      </c>
      <c r="M233" s="368"/>
      <c r="R233" s="368"/>
      <c r="S233" s="368"/>
      <c r="T233" s="368"/>
    </row>
    <row r="234" spans="1:20" ht="30" x14ac:dyDescent="0.3">
      <c r="A234" s="391" t="s">
        <v>2660</v>
      </c>
      <c r="B234" s="392" t="s">
        <v>2678</v>
      </c>
      <c r="C234" s="393">
        <v>45950</v>
      </c>
      <c r="D23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4" s="395" t="s">
        <v>2951</v>
      </c>
      <c r="F234" s="397" t="s">
        <v>2966</v>
      </c>
      <c r="G234" s="397"/>
      <c r="H234" s="432"/>
      <c r="I234" s="402"/>
      <c r="J234" s="402">
        <v>191900</v>
      </c>
      <c r="K234" s="398">
        <f ca="1">+IF('[2]BROUILLARD DE CAISSE '!$C234="","",SUMIFS(INDIRECT("$K$7:K"&amp;ROW()),INDIRECT("$D$7:D"&amp;ROW()),"="&amp;"Report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1817951</v>
      </c>
      <c r="L234" s="403">
        <f ca="1">+IF($B234="","",SUMIFS(INDIRECT("$K$7:K"&amp;ROW()),INDIRECT("$B$7:B"&amp;ROW()),Tableau1535678910111213162523692[[#This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2271451</v>
      </c>
      <c r="M234" s="368"/>
      <c r="R234" s="368"/>
      <c r="S234" s="368"/>
      <c r="T234" s="368"/>
    </row>
    <row r="235" spans="1:20" ht="30" x14ac:dyDescent="0.3">
      <c r="A235" s="391" t="s">
        <v>2660</v>
      </c>
      <c r="B235" s="392" t="s">
        <v>2678</v>
      </c>
      <c r="C235" s="393">
        <v>45950</v>
      </c>
      <c r="D23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5" s="395" t="s">
        <v>2714</v>
      </c>
      <c r="F235" s="397" t="s">
        <v>2967</v>
      </c>
      <c r="G235" s="397"/>
      <c r="H235" s="432"/>
      <c r="I235" s="402"/>
      <c r="J235" s="402">
        <v>4500</v>
      </c>
      <c r="K235" s="398">
        <f ca="1">+IF('[2]BROUILLARD DE CAISSE '!$C235="","",SUMIFS(INDIRECT("$K$7:K"&amp;ROW()),INDIRECT("$D$7:D"&amp;ROW()),"="&amp;"Report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1813451</v>
      </c>
      <c r="L235" s="403">
        <f ca="1">+IF($B235="","",SUMIFS(INDIRECT("$K$7:K"&amp;ROW()),INDIRECT("$B$7:B"&amp;ROW()),Tableau1535678910111213162523692[[#This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2266951</v>
      </c>
      <c r="M235" s="368"/>
      <c r="R235" s="368"/>
      <c r="S235" s="368"/>
      <c r="T235" s="368"/>
    </row>
    <row r="236" spans="1:20" ht="30" x14ac:dyDescent="0.3">
      <c r="A236" s="391" t="s">
        <v>2660</v>
      </c>
      <c r="B236" s="392" t="s">
        <v>2678</v>
      </c>
      <c r="C236" s="393">
        <v>45950</v>
      </c>
      <c r="D23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6" s="395" t="s">
        <v>2694</v>
      </c>
      <c r="F236" s="397" t="s">
        <v>2968</v>
      </c>
      <c r="G236" s="397"/>
      <c r="H236" s="432"/>
      <c r="I236" s="402"/>
      <c r="J236" s="402">
        <v>10000</v>
      </c>
      <c r="K236" s="398">
        <f ca="1">+IF('[2]BROUILLARD DE CAISSE '!$C236="","",SUMIFS(INDIRECT("$K$7:K"&amp;ROW()),INDIRECT("$D$7:D"&amp;ROW()),"="&amp;"Report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1803451</v>
      </c>
      <c r="L236" s="403">
        <f ca="1">+IF($B236="","",SUMIFS(INDIRECT("$K$7:K"&amp;ROW()),INDIRECT("$B$7:B"&amp;ROW()),Tableau1535678910111213162523692[[#This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2256951</v>
      </c>
      <c r="M236" s="368"/>
      <c r="R236" s="368"/>
      <c r="S236" s="368"/>
      <c r="T236" s="368"/>
    </row>
    <row r="237" spans="1:20" ht="30" x14ac:dyDescent="0.3">
      <c r="A237" s="391" t="s">
        <v>2660</v>
      </c>
      <c r="B237" s="392" t="s">
        <v>2678</v>
      </c>
      <c r="C237" s="393">
        <v>45950</v>
      </c>
      <c r="D23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7" s="395" t="s">
        <v>2714</v>
      </c>
      <c r="F237" s="397" t="s">
        <v>2969</v>
      </c>
      <c r="G237" s="397"/>
      <c r="H237" s="432"/>
      <c r="I237" s="402"/>
      <c r="J237" s="402">
        <v>7300</v>
      </c>
      <c r="K237" s="398">
        <f ca="1">+IF('[2]BROUILLARD DE CAISSE '!$C237="","",SUMIFS(INDIRECT("$K$7:K"&amp;ROW()),INDIRECT("$D$7:D"&amp;ROW()),"="&amp;"Report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1796151</v>
      </c>
      <c r="L237" s="403">
        <f ca="1">+IF($B237="","",SUMIFS(INDIRECT("$K$7:K"&amp;ROW()),INDIRECT("$B$7:B"&amp;ROW()),Tableau1535678910111213162523692[[#This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2249651</v>
      </c>
      <c r="M237" s="368"/>
      <c r="R237" s="368"/>
      <c r="S237" s="368"/>
      <c r="T237" s="368"/>
    </row>
    <row r="238" spans="1:20" ht="30" x14ac:dyDescent="0.3">
      <c r="A238" s="391" t="s">
        <v>2660</v>
      </c>
      <c r="B238" s="392" t="s">
        <v>2678</v>
      </c>
      <c r="C238" s="393">
        <v>45950</v>
      </c>
      <c r="D23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38" s="395" t="s">
        <v>2970</v>
      </c>
      <c r="F238" s="397" t="s">
        <v>2971</v>
      </c>
      <c r="G238" s="397"/>
      <c r="H238" s="432" t="s">
        <v>2964</v>
      </c>
      <c r="I238" s="402"/>
      <c r="J238" s="402">
        <v>20000</v>
      </c>
      <c r="K238" s="398">
        <f ca="1">+IF('[2]BROUILLARD DE CAISSE '!$C238="","",SUMIFS(INDIRECT("$K$7:K"&amp;ROW()),INDIRECT("$D$7:D"&amp;ROW()),"="&amp;"Report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1776151</v>
      </c>
      <c r="L238" s="403">
        <f ca="1">+IF($B238="","",SUMIFS(INDIRECT("$K$7:K"&amp;ROW()),INDIRECT("$B$7:B"&amp;ROW()),Tableau1535678910111213162523692[[#This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38" s="368"/>
      <c r="R238" s="368"/>
      <c r="S238" s="368"/>
      <c r="T238" s="368"/>
    </row>
    <row r="239" spans="1:20" ht="15" hidden="1" x14ac:dyDescent="0.3">
      <c r="A239" s="392" t="s">
        <v>2660</v>
      </c>
      <c r="B239" s="392" t="s">
        <v>2678</v>
      </c>
      <c r="C239" s="393"/>
      <c r="D23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39" s="395"/>
      <c r="F239" s="397"/>
      <c r="G239" s="397"/>
      <c r="H239" s="432"/>
      <c r="I239" s="402"/>
      <c r="J239" s="402"/>
      <c r="K239" s="398" t="str">
        <f ca="1">+IF('[2]BROUILLARD DE CAISSE '!$C239="","",SUMIFS(INDIRECT("$K$7:K"&amp;ROW()),INDIRECT("$D$7:D"&amp;ROW()),"="&amp;"Report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39" s="403">
        <f ca="1">+IF($B239="","",SUMIFS(INDIRECT("$K$7:K"&amp;ROW()),INDIRECT("$B$7:B"&amp;ROW()),Tableau1535678910111213162523692[[#This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39" s="368"/>
      <c r="R239" s="368"/>
      <c r="S239" s="368"/>
      <c r="T239" s="368"/>
    </row>
    <row r="240" spans="1:20" ht="15" hidden="1" x14ac:dyDescent="0.3">
      <c r="A240" s="392" t="s">
        <v>2660</v>
      </c>
      <c r="B240" s="392" t="s">
        <v>2678</v>
      </c>
      <c r="C240" s="393"/>
      <c r="D24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0" s="395"/>
      <c r="F240" s="397"/>
      <c r="G240" s="397"/>
      <c r="H240" s="432"/>
      <c r="I240" s="402"/>
      <c r="J240" s="402"/>
      <c r="K240" s="398" t="str">
        <f ca="1">+IF('[2]BROUILLARD DE CAISSE '!$C240="","",SUMIFS(INDIRECT("$K$7:K"&amp;ROW()),INDIRECT("$D$7:D"&amp;ROW()),"="&amp;"Report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0" s="403">
        <f ca="1">+IF($B240="","",SUMIFS(INDIRECT("$K$7:K"&amp;ROW()),INDIRECT("$B$7:B"&amp;ROW()),Tableau1535678910111213162523692[[#This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0" s="368"/>
      <c r="R240" s="368"/>
      <c r="S240" s="368"/>
      <c r="T240" s="368"/>
    </row>
    <row r="241" spans="1:20" ht="15" hidden="1" x14ac:dyDescent="0.3">
      <c r="A241" s="392" t="s">
        <v>2660</v>
      </c>
      <c r="B241" s="392" t="s">
        <v>2678</v>
      </c>
      <c r="C241" s="393"/>
      <c r="D24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1" s="395"/>
      <c r="F241" s="397"/>
      <c r="G241" s="397"/>
      <c r="H241" s="432"/>
      <c r="I241" s="402"/>
      <c r="J241" s="402"/>
      <c r="K241" s="398" t="str">
        <f ca="1">+IF('[2]BROUILLARD DE CAISSE '!$C241="","",SUMIFS(INDIRECT("$K$7:K"&amp;ROW()),INDIRECT("$D$7:D"&amp;ROW()),"="&amp;"Report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1" s="403">
        <f ca="1">+IF($B241="","",SUMIFS(INDIRECT("$K$7:K"&amp;ROW()),INDIRECT("$B$7:B"&amp;ROW()),Tableau1535678910111213162523692[[#This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1" s="368"/>
      <c r="R241" s="368"/>
      <c r="S241" s="368"/>
      <c r="T241" s="368"/>
    </row>
    <row r="242" spans="1:20" ht="15" hidden="1" x14ac:dyDescent="0.3">
      <c r="A242" s="392" t="s">
        <v>2660</v>
      </c>
      <c r="B242" s="392" t="s">
        <v>2678</v>
      </c>
      <c r="C242" s="393"/>
      <c r="D24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2" s="395"/>
      <c r="F242" s="397"/>
      <c r="G242" s="397"/>
      <c r="H242" s="432"/>
      <c r="I242" s="402"/>
      <c r="J242" s="402"/>
      <c r="K242" s="398" t="str">
        <f ca="1">+IF('[2]BROUILLARD DE CAISSE '!$C242="","",SUMIFS(INDIRECT("$K$7:K"&amp;ROW()),INDIRECT("$D$7:D"&amp;ROW()),"="&amp;"Report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2" s="403">
        <f ca="1">+IF($B242="","",SUMIFS(INDIRECT("$K$7:K"&amp;ROW()),INDIRECT("$B$7:B"&amp;ROW()),Tableau1535678910111213162523692[[#This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2" s="368"/>
      <c r="R242" s="368"/>
      <c r="S242" s="368"/>
      <c r="T242" s="368"/>
    </row>
    <row r="243" spans="1:20" ht="15" hidden="1" x14ac:dyDescent="0.3">
      <c r="A243" s="392" t="s">
        <v>2660</v>
      </c>
      <c r="B243" s="392" t="s">
        <v>2678</v>
      </c>
      <c r="C243" s="393"/>
      <c r="D24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3" s="395"/>
      <c r="F243" s="397"/>
      <c r="G243" s="397"/>
      <c r="H243" s="432"/>
      <c r="I243" s="402"/>
      <c r="J243" s="402"/>
      <c r="K243" s="398" t="str">
        <f ca="1">+IF('[2]BROUILLARD DE CAISSE '!$C243="","",SUMIFS(INDIRECT("$K$7:K"&amp;ROW()),INDIRECT("$D$7:D"&amp;ROW()),"="&amp;"Report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3" s="403">
        <f ca="1">+IF($B243="","",SUMIFS(INDIRECT("$K$7:K"&amp;ROW()),INDIRECT("$B$7:B"&amp;ROW()),Tableau1535678910111213162523692[[#This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3" s="368"/>
      <c r="R243" s="368"/>
      <c r="S243" s="368"/>
      <c r="T243" s="368"/>
    </row>
    <row r="244" spans="1:20" ht="15" hidden="1" x14ac:dyDescent="0.3">
      <c r="A244" s="392" t="s">
        <v>2660</v>
      </c>
      <c r="B244" s="392" t="s">
        <v>2678</v>
      </c>
      <c r="C244" s="393"/>
      <c r="D24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4" s="395"/>
      <c r="F244" s="397"/>
      <c r="G244" s="397"/>
      <c r="H244" s="432"/>
      <c r="I244" s="402"/>
      <c r="J244" s="402"/>
      <c r="K244" s="398" t="str">
        <f ca="1">+IF('[2]BROUILLARD DE CAISSE '!$C244="","",SUMIFS(INDIRECT("$K$7:K"&amp;ROW()),INDIRECT("$D$7:D"&amp;ROW()),"="&amp;"Report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4" s="403">
        <f ca="1">+IF($B244="","",SUMIFS(INDIRECT("$K$7:K"&amp;ROW()),INDIRECT("$B$7:B"&amp;ROW()),Tableau1535678910111213162523692[[#This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4" s="368"/>
      <c r="R244" s="368"/>
      <c r="S244" s="368"/>
      <c r="T244" s="368"/>
    </row>
    <row r="245" spans="1:20" ht="15" hidden="1" x14ac:dyDescent="0.3">
      <c r="A245" s="392" t="s">
        <v>2660</v>
      </c>
      <c r="B245" s="392" t="s">
        <v>2678</v>
      </c>
      <c r="C245" s="393"/>
      <c r="D24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5" s="395"/>
      <c r="F245" s="397"/>
      <c r="G245" s="397"/>
      <c r="H245" s="432"/>
      <c r="I245" s="402"/>
      <c r="J245" s="402"/>
      <c r="K245" s="398" t="str">
        <f ca="1">+IF('[2]BROUILLARD DE CAISSE '!$C245="","",SUMIFS(INDIRECT("$K$7:K"&amp;ROW()),INDIRECT("$D$7:D"&amp;ROW()),"="&amp;"Report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5" s="403">
        <f ca="1">+IF($B245="","",SUMIFS(INDIRECT("$K$7:K"&amp;ROW()),INDIRECT("$B$7:B"&amp;ROW()),Tableau1535678910111213162523692[[#This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5" s="368"/>
      <c r="R245" s="368"/>
      <c r="S245" s="368"/>
      <c r="T245" s="368"/>
    </row>
    <row r="246" spans="1:20" ht="15" hidden="1" x14ac:dyDescent="0.3">
      <c r="A246" s="392" t="s">
        <v>2660</v>
      </c>
      <c r="B246" s="392" t="s">
        <v>2678</v>
      </c>
      <c r="C246" s="393"/>
      <c r="D24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6" s="395"/>
      <c r="F246" s="397"/>
      <c r="G246" s="397"/>
      <c r="H246" s="432"/>
      <c r="I246" s="402"/>
      <c r="J246" s="402"/>
      <c r="K246" s="398" t="str">
        <f ca="1">+IF('[2]BROUILLARD DE CAISSE '!$C246="","",SUMIFS(INDIRECT("$K$7:K"&amp;ROW()),INDIRECT("$D$7:D"&amp;ROW()),"="&amp;"Report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6" s="403">
        <f ca="1">+IF($B246="","",SUMIFS(INDIRECT("$K$7:K"&amp;ROW()),INDIRECT("$B$7:B"&amp;ROW()),Tableau1535678910111213162523692[[#This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46" s="368"/>
      <c r="R246" s="368"/>
      <c r="S246" s="368"/>
      <c r="T246" s="368"/>
    </row>
    <row r="247" spans="1:20" ht="15" hidden="1" x14ac:dyDescent="0.3">
      <c r="A247" s="392"/>
      <c r="B247" s="392"/>
      <c r="C247" s="393"/>
      <c r="D24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7" s="395"/>
      <c r="F247" s="397"/>
      <c r="G247" s="397"/>
      <c r="H247" s="432"/>
      <c r="I247" s="402"/>
      <c r="J247" s="402"/>
      <c r="K247" s="398" t="str">
        <f ca="1">+IF('[2]BROUILLARD DE CAISSE '!$C247="","",SUMIFS(INDIRECT("$K$7:K"&amp;ROW()),INDIRECT("$D$7:D"&amp;ROW()),"="&amp;"Report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7" s="403" t="str">
        <f ca="1">+IF($B247="","",SUMIFS(INDIRECT("$K$7:K"&amp;ROW()),INDIRECT("$B$7:B"&amp;ROW()),Tableau1535678910111213162523692[[#This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47" s="368"/>
      <c r="R247" s="368"/>
      <c r="S247" s="368"/>
      <c r="T247" s="368"/>
    </row>
    <row r="248" spans="1:20" ht="15" hidden="1" x14ac:dyDescent="0.3">
      <c r="A248" s="392"/>
      <c r="B248" s="392"/>
      <c r="C248" s="393"/>
      <c r="D24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8" s="395"/>
      <c r="F248" s="397"/>
      <c r="G248" s="397"/>
      <c r="H248" s="432"/>
      <c r="I248" s="402"/>
      <c r="J248" s="402"/>
      <c r="K248" s="398" t="str">
        <f ca="1">+IF('[2]BROUILLARD DE CAISSE '!$C248="","",SUMIFS(INDIRECT("$K$7:K"&amp;ROW()),INDIRECT("$D$7:D"&amp;ROW()),"="&amp;"Report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8" s="403" t="str">
        <f ca="1">+IF($B248="","",SUMIFS(INDIRECT("$K$7:K"&amp;ROW()),INDIRECT("$B$7:B"&amp;ROW()),Tableau1535678910111213162523692[[#This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48" s="368"/>
      <c r="O248"/>
      <c r="P248"/>
      <c r="Q248"/>
      <c r="R248" s="368"/>
      <c r="S248" s="368"/>
      <c r="T248" s="368"/>
    </row>
    <row r="249" spans="1:20" ht="15" hidden="1" x14ac:dyDescent="0.3">
      <c r="A249" s="392"/>
      <c r="B249" s="392"/>
      <c r="C249" s="393"/>
      <c r="D24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49" s="395"/>
      <c r="F249" s="397"/>
      <c r="G249" s="397"/>
      <c r="H249" s="432"/>
      <c r="I249" s="402"/>
      <c r="J249" s="402"/>
      <c r="K249" s="398" t="str">
        <f ca="1">+IF('[2]BROUILLARD DE CAISSE '!$C249="","",SUMIFS(INDIRECT("$K$7:K"&amp;ROW()),INDIRECT("$D$7:D"&amp;ROW()),"="&amp;"Report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49" s="403" t="str">
        <f ca="1">+IF($B249="","",SUMIFS(INDIRECT("$K$7:K"&amp;ROW()),INDIRECT("$B$7:B"&amp;ROW()),Tableau1535678910111213162523692[[#This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49" s="368"/>
      <c r="O249"/>
      <c r="P249"/>
      <c r="Q249"/>
      <c r="R249" s="368"/>
      <c r="S249" s="368"/>
      <c r="T249" s="368"/>
    </row>
    <row r="250" spans="1:20" ht="15" hidden="1" x14ac:dyDescent="0.3">
      <c r="A250" s="392"/>
      <c r="B250" s="392"/>
      <c r="C250" s="393"/>
      <c r="D25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0" s="395"/>
      <c r="F250" s="397"/>
      <c r="G250" s="397"/>
      <c r="H250" s="432"/>
      <c r="I250" s="402"/>
      <c r="J250" s="402"/>
      <c r="K250" s="398" t="str">
        <f ca="1">+IF('[2]BROUILLARD DE CAISSE '!$C250="","",SUMIFS(INDIRECT("$K$7:K"&amp;ROW()),INDIRECT("$D$7:D"&amp;ROW()),"="&amp;"Report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0" s="403" t="str">
        <f ca="1">+IF($B250="","",SUMIFS(INDIRECT("$K$7:K"&amp;ROW()),INDIRECT("$B$7:B"&amp;ROW()),Tableau1535678910111213162523692[[#This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0" s="368"/>
      <c r="O250"/>
      <c r="P250"/>
      <c r="Q250"/>
      <c r="R250" s="368"/>
      <c r="S250" s="368"/>
      <c r="T250" s="368"/>
    </row>
    <row r="251" spans="1:20" ht="15" hidden="1" x14ac:dyDescent="0.3">
      <c r="A251" s="392"/>
      <c r="B251" s="392"/>
      <c r="C251" s="393"/>
      <c r="D25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1" s="395"/>
      <c r="F251" s="397"/>
      <c r="G251" s="397"/>
      <c r="H251" s="432"/>
      <c r="I251" s="402"/>
      <c r="J251" s="402"/>
      <c r="K251" s="398" t="str">
        <f ca="1">+IF('[2]BROUILLARD DE CAISSE '!$C251="","",SUMIFS(INDIRECT("$K$7:K"&amp;ROW()),INDIRECT("$D$7:D"&amp;ROW()),"="&amp;"Report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1" s="403" t="str">
        <f ca="1">+IF($B251="","",SUMIFS(INDIRECT("$K$7:K"&amp;ROW()),INDIRECT("$B$7:B"&amp;ROW()),Tableau1535678910111213162523692[[#This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1" s="368"/>
      <c r="O251"/>
      <c r="P251"/>
      <c r="Q251"/>
      <c r="R251" s="368"/>
      <c r="S251" s="368"/>
      <c r="T251" s="368"/>
    </row>
    <row r="252" spans="1:20" ht="15" hidden="1" x14ac:dyDescent="0.3">
      <c r="A252" s="392"/>
      <c r="B252" s="392"/>
      <c r="C252" s="393"/>
      <c r="D25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2" s="395"/>
      <c r="F252" s="397"/>
      <c r="G252" s="397"/>
      <c r="H252" s="432"/>
      <c r="I252" s="402"/>
      <c r="J252" s="402"/>
      <c r="K252" s="398" t="str">
        <f ca="1">+IF('[2]BROUILLARD DE CAISSE '!$C252="","",SUMIFS(INDIRECT("$K$7:K"&amp;ROW()),INDIRECT("$D$7:D"&amp;ROW()),"="&amp;"Report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2" s="403" t="str">
        <f ca="1">+IF($B252="","",SUMIFS(INDIRECT("$K$7:K"&amp;ROW()),INDIRECT("$B$7:B"&amp;ROW()),Tableau1535678910111213162523692[[#This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2" s="368"/>
      <c r="O252"/>
      <c r="P252"/>
      <c r="Q252"/>
      <c r="R252" s="368"/>
      <c r="S252" s="368"/>
      <c r="T252" s="368"/>
    </row>
    <row r="253" spans="1:20" ht="15" hidden="1" x14ac:dyDescent="0.3">
      <c r="A253" s="392"/>
      <c r="B253" s="392"/>
      <c r="C253" s="393"/>
      <c r="D253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3" s="395"/>
      <c r="F253" s="397"/>
      <c r="G253" s="397"/>
      <c r="H253" s="432"/>
      <c r="I253" s="402"/>
      <c r="J253" s="402"/>
      <c r="K253" s="398" t="str">
        <f ca="1">+IF('[2]BROUILLARD DE CAISSE '!$C253="","",SUMIFS(INDIRECT("$K$7:K"&amp;ROW()),INDIRECT("$D$7:D"&amp;ROW()),"="&amp;"Report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3" s="403" t="str">
        <f ca="1">+IF($B253="","",SUMIFS(INDIRECT("$K$7:K"&amp;ROW()),INDIRECT("$B$7:B"&amp;ROW()),Tableau1535678910111213162523692[[#This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3" s="368"/>
      <c r="O253"/>
      <c r="P253"/>
      <c r="Q253"/>
      <c r="R253" s="368"/>
      <c r="S253" s="368"/>
      <c r="T253" s="368"/>
    </row>
    <row r="254" spans="1:20" ht="15" hidden="1" x14ac:dyDescent="0.3">
      <c r="A254" s="392"/>
      <c r="B254" s="392"/>
      <c r="C254" s="393"/>
      <c r="D254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4" s="395"/>
      <c r="F254" s="397"/>
      <c r="G254" s="397"/>
      <c r="H254" s="432"/>
      <c r="I254" s="402"/>
      <c r="J254" s="402"/>
      <c r="K254" s="398" t="str">
        <f ca="1">+IF('[2]BROUILLARD DE CAISSE '!$C254="","",SUMIFS(INDIRECT("$K$7:K"&amp;ROW()),INDIRECT("$D$7:D"&amp;ROW()),"="&amp;"Report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4" s="403" t="str">
        <f ca="1">+IF($B254="","",SUMIFS(INDIRECT("$K$7:K"&amp;ROW()),INDIRECT("$B$7:B"&amp;ROW()),Tableau1535678910111213162523692[[#This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4" s="368"/>
      <c r="O254"/>
      <c r="P254"/>
      <c r="Q254"/>
      <c r="R254" s="368"/>
      <c r="S254" s="368"/>
      <c r="T254" s="368"/>
    </row>
    <row r="255" spans="1:20" ht="15" hidden="1" x14ac:dyDescent="0.3">
      <c r="A255" s="392"/>
      <c r="B255" s="392"/>
      <c r="C255" s="393"/>
      <c r="D255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5" s="395"/>
      <c r="F255" s="397"/>
      <c r="G255" s="397"/>
      <c r="H255" s="432"/>
      <c r="I255" s="402"/>
      <c r="J255" s="402"/>
      <c r="K255" s="398" t="str">
        <f ca="1">+IF('[2]BROUILLARD DE CAISSE '!$C255="","",SUMIFS(INDIRECT("$K$7:K"&amp;ROW()),INDIRECT("$D$7:D"&amp;ROW()),"="&amp;"Report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5" s="403" t="str">
        <f ca="1">+IF($B255="","",SUMIFS(INDIRECT("$K$7:K"&amp;ROW()),INDIRECT("$B$7:B"&amp;ROW()),Tableau1535678910111213162523692[[#This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5" s="368"/>
      <c r="O255"/>
      <c r="P255"/>
      <c r="Q255"/>
      <c r="R255" s="368"/>
      <c r="S255" s="368"/>
      <c r="T255" s="368"/>
    </row>
    <row r="256" spans="1:20" ht="15" hidden="1" x14ac:dyDescent="0.3">
      <c r="A256" s="392"/>
      <c r="B256" s="392"/>
      <c r="C256" s="393"/>
      <c r="D256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6" s="395"/>
      <c r="F256" s="397"/>
      <c r="G256" s="397"/>
      <c r="H256" s="432"/>
      <c r="I256" s="402"/>
      <c r="J256" s="402"/>
      <c r="K256" s="398" t="str">
        <f ca="1">+IF('[2]BROUILLARD DE CAISSE '!$C256="","",SUMIFS(INDIRECT("$K$7:K"&amp;ROW()),INDIRECT("$D$7:D"&amp;ROW()),"="&amp;"Report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6" s="403" t="str">
        <f ca="1">+IF($B256="","",SUMIFS(INDIRECT("$K$7:K"&amp;ROW()),INDIRECT("$B$7:B"&amp;ROW()),Tableau1535678910111213162523692[[#This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6" s="368"/>
      <c r="O256"/>
      <c r="P256"/>
      <c r="Q256"/>
      <c r="R256" s="368"/>
      <c r="S256" s="368"/>
      <c r="T256" s="368"/>
    </row>
    <row r="257" spans="1:20" ht="15" hidden="1" x14ac:dyDescent="0.3">
      <c r="A257" s="392"/>
      <c r="B257" s="392"/>
      <c r="C257" s="393"/>
      <c r="D257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7" s="395"/>
      <c r="F257" s="397"/>
      <c r="G257" s="397"/>
      <c r="H257" s="432"/>
      <c r="I257" s="402"/>
      <c r="J257" s="402"/>
      <c r="K257" s="398" t="str">
        <f ca="1">+IF('[2]BROUILLARD DE CAISSE '!$C257="","",SUMIFS(INDIRECT("$K$7:K"&amp;ROW()),INDIRECT("$D$7:D"&amp;ROW()),"="&amp;"Report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7" s="403" t="str">
        <f ca="1">+IF($B257="","",SUMIFS(INDIRECT("$K$7:K"&amp;ROW()),INDIRECT("$B$7:B"&amp;ROW()),Tableau1535678910111213162523692[[#This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7" s="368"/>
      <c r="O257"/>
      <c r="P257"/>
      <c r="Q257"/>
      <c r="R257" s="368"/>
      <c r="S257" s="368"/>
      <c r="T257" s="368"/>
    </row>
    <row r="258" spans="1:20" ht="15" hidden="1" x14ac:dyDescent="0.3">
      <c r="A258" s="392"/>
      <c r="B258" s="392"/>
      <c r="C258" s="393"/>
      <c r="D258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8" s="395"/>
      <c r="F258" s="397"/>
      <c r="G258" s="397"/>
      <c r="H258" s="432"/>
      <c r="I258" s="402"/>
      <c r="J258" s="402"/>
      <c r="K258" s="398" t="str">
        <f ca="1">+IF('[2]BROUILLARD DE CAISSE '!$C258="","",SUMIFS(INDIRECT("$K$7:K"&amp;ROW()),INDIRECT("$D$7:D"&amp;ROW()),"="&amp;"Report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8" s="403" t="str">
        <f ca="1">+IF($B258="","",SUMIFS(INDIRECT("$K$7:K"&amp;ROW()),INDIRECT("$B$7:B"&amp;ROW()),Tableau1535678910111213162523692[[#This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8" s="368"/>
      <c r="O258"/>
      <c r="P258"/>
      <c r="Q258"/>
      <c r="R258" s="368"/>
      <c r="S258" s="368"/>
      <c r="T258" s="368"/>
    </row>
    <row r="259" spans="1:20" ht="15" hidden="1" x14ac:dyDescent="0.3">
      <c r="A259" s="392"/>
      <c r="B259" s="392"/>
      <c r="C259" s="393"/>
      <c r="D259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59" s="395"/>
      <c r="F259" s="397"/>
      <c r="G259" s="397"/>
      <c r="H259" s="432"/>
      <c r="I259" s="402"/>
      <c r="J259" s="402"/>
      <c r="K259" s="398" t="str">
        <f ca="1">+IF('[2]BROUILLARD DE CAISSE '!$C259="","",SUMIFS(INDIRECT("$K$7:K"&amp;ROW()),INDIRECT("$D$7:D"&amp;ROW()),"="&amp;"Report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59" s="403" t="str">
        <f ca="1">+IF($B259="","",SUMIFS(INDIRECT("$K$7:K"&amp;ROW()),INDIRECT("$B$7:B"&amp;ROW()),Tableau1535678910111213162523692[[#This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59" s="368"/>
      <c r="O259"/>
      <c r="P259"/>
      <c r="Q259"/>
      <c r="R259" s="368"/>
      <c r="S259" s="368"/>
      <c r="T259" s="368"/>
    </row>
    <row r="260" spans="1:20" ht="15" hidden="1" x14ac:dyDescent="0.3">
      <c r="A260" s="392"/>
      <c r="B260" s="392"/>
      <c r="C260" s="393"/>
      <c r="D260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60" s="395"/>
      <c r="F260" s="397"/>
      <c r="G260" s="397"/>
      <c r="H260" s="432"/>
      <c r="I260" s="402"/>
      <c r="J260" s="402"/>
      <c r="K260" s="398" t="str">
        <f ca="1">+IF('[2]BROUILLARD DE CAISSE '!$C260="","",SUMIFS(INDIRECT("$K$7:K"&amp;ROW()),INDIRECT("$D$7:D"&amp;ROW()),"="&amp;"Report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60" s="403" t="str">
        <f ca="1">+IF($B260="","",SUMIFS(INDIRECT("$K$7:K"&amp;ROW()),INDIRECT("$B$7:B"&amp;ROW()),Tableau1535678910111213162523692[[#This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60" s="368"/>
      <c r="O260"/>
      <c r="P260"/>
      <c r="Q260"/>
      <c r="R260" s="368"/>
      <c r="S260" s="368"/>
      <c r="T260" s="368"/>
    </row>
    <row r="261" spans="1:20" ht="15" hidden="1" x14ac:dyDescent="0.3">
      <c r="A261" s="392"/>
      <c r="B261" s="392"/>
      <c r="C261" s="393"/>
      <c r="D261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61" s="395"/>
      <c r="F261" s="397"/>
      <c r="G261" s="397"/>
      <c r="H261" s="432"/>
      <c r="I261" s="402"/>
      <c r="J261" s="402"/>
      <c r="K261" s="398" t="str">
        <f ca="1">+IF('[2]BROUILLARD DE CAISSE '!$C261="","",SUMIFS(INDIRECT("$K$7:K"&amp;ROW()),INDIRECT("$D$7:D"&amp;ROW()),"="&amp;"Report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61" s="403" t="str">
        <f ca="1">+IF($B261="","",SUMIFS(INDIRECT("$K$7:K"&amp;ROW()),INDIRECT("$B$7:B"&amp;ROW()),Tableau1535678910111213162523692[[#This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61" s="368"/>
      <c r="O261"/>
      <c r="P261"/>
      <c r="Q261"/>
      <c r="R261" s="368"/>
      <c r="S261" s="368"/>
      <c r="T261" s="368"/>
    </row>
    <row r="262" spans="1:20" ht="15" hidden="1" x14ac:dyDescent="0.3">
      <c r="A262" s="392" t="s">
        <v>2660</v>
      </c>
      <c r="B262" s="392" t="s">
        <v>2678</v>
      </c>
      <c r="C262" s="393"/>
      <c r="D262" s="394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62" s="395"/>
      <c r="F262" s="397"/>
      <c r="G262" s="397"/>
      <c r="H262" s="432"/>
      <c r="I262" s="402"/>
      <c r="J262" s="402"/>
      <c r="K262" s="398" t="str">
        <f ca="1">+IF('[2]BROUILLARD DE CAISSE '!$C262="","",SUMIFS(INDIRECT("$K$7:K"&amp;ROW()),INDIRECT("$D$7:D"&amp;ROW()),"="&amp;"Report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62" s="403">
        <f ca="1">+IF($B262="","",SUMIFS(INDIRECT("$K$7:K"&amp;ROW()),INDIRECT("$B$7:B"&amp;ROW()),Tableau1535678910111213162523692[[#This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2229651</v>
      </c>
      <c r="M262" s="368"/>
      <c r="O262"/>
      <c r="P262"/>
      <c r="Q262"/>
      <c r="R262" s="368"/>
      <c r="S262" s="368"/>
      <c r="T262" s="368"/>
    </row>
    <row r="263" spans="1:20" ht="15" hidden="1" x14ac:dyDescent="0.3">
      <c r="A263" s="434"/>
      <c r="B263" s="392"/>
      <c r="C263" s="435"/>
      <c r="D26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63" s="437"/>
      <c r="F263" s="397"/>
      <c r="G263" s="397"/>
      <c r="H263" s="432"/>
      <c r="I263" s="403"/>
      <c r="J263" s="403"/>
      <c r="K263" s="403" t="str">
        <f ca="1">+IF('[2]BROUILLARD DE CAISSE '!$C263="","",SUMIFS(INDIRECT("$K$7:K"&amp;ROW()),INDIRECT("$D$7:D"&amp;ROW()),"="&amp;"Report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63" s="403" t="str">
        <f ca="1">+IF($B263="","",SUMIFS(INDIRECT("$K$7:K"&amp;ROW()),INDIRECT("$B$7:B"&amp;ROW()),Tableau1535678910111213162523692[[#This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63" s="368"/>
      <c r="O263"/>
      <c r="P263"/>
      <c r="Q263"/>
      <c r="R263" s="368"/>
      <c r="S263" s="368"/>
      <c r="T263" s="368"/>
    </row>
    <row r="264" spans="1:20" ht="30" x14ac:dyDescent="0.3">
      <c r="A264" s="391" t="s">
        <v>2660</v>
      </c>
      <c r="B264" s="392" t="s">
        <v>2678</v>
      </c>
      <c r="C264" s="393">
        <v>45950</v>
      </c>
      <c r="D26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64" s="437" t="s">
        <v>2839</v>
      </c>
      <c r="F264" s="397" t="s">
        <v>2972</v>
      </c>
      <c r="G264" s="397"/>
      <c r="H264" s="432"/>
      <c r="I264" s="403"/>
      <c r="J264" s="403">
        <v>20000</v>
      </c>
      <c r="K264" s="438">
        <f ca="1">+IF('[2]BROUILLARD DE CAISSE '!$C264="","",SUMIFS(INDIRECT("$K$7:K"&amp;ROW()),INDIRECT("$D$7:D"&amp;ROW()),"="&amp;"Report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1756151</v>
      </c>
      <c r="L264" s="403">
        <f ca="1">+IF($B264="","",SUMIFS(INDIRECT("$K$7:K"&amp;ROW()),INDIRECT("$B$7:B"&amp;ROW()),Tableau1535678910111213162523692[[#This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2209651</v>
      </c>
      <c r="M264" s="368"/>
      <c r="O264"/>
      <c r="P264"/>
      <c r="Q264"/>
      <c r="R264" s="368"/>
      <c r="S264" s="368"/>
      <c r="T264" s="368"/>
    </row>
    <row r="265" spans="1:20" ht="30" x14ac:dyDescent="0.3">
      <c r="A265" s="391" t="s">
        <v>2660</v>
      </c>
      <c r="B265" s="392" t="s">
        <v>2678</v>
      </c>
      <c r="C265" s="393">
        <v>45950</v>
      </c>
      <c r="D26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65" s="437" t="s">
        <v>2727</v>
      </c>
      <c r="F265" s="397" t="s">
        <v>2879</v>
      </c>
      <c r="G265" s="397"/>
      <c r="H265" s="432" t="s">
        <v>2729</v>
      </c>
      <c r="I265" s="403"/>
      <c r="J265" s="403">
        <v>20200</v>
      </c>
      <c r="K265" s="438">
        <f ca="1">+IF('[2]BROUILLARD DE CAISSE '!$C265="","",SUMIFS(INDIRECT("$K$7:K"&amp;ROW()),INDIRECT("$D$7:D"&amp;ROW()),"="&amp;"Report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1735951</v>
      </c>
      <c r="L265" s="403">
        <f ca="1">+IF($B265="","",SUMIFS(INDIRECT("$K$7:K"&amp;ROW()),INDIRECT("$B$7:B"&amp;ROW()),Tableau1535678910111213162523692[[#This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2189451</v>
      </c>
      <c r="M265" s="368"/>
      <c r="O265"/>
      <c r="P265"/>
      <c r="Q265"/>
      <c r="R265" s="368"/>
      <c r="S265" s="368"/>
      <c r="T265" s="368"/>
    </row>
    <row r="266" spans="1:20" ht="30" x14ac:dyDescent="0.3">
      <c r="A266" s="391" t="s">
        <v>2660</v>
      </c>
      <c r="B266" s="392" t="s">
        <v>2678</v>
      </c>
      <c r="C266" s="393">
        <v>45950</v>
      </c>
      <c r="D26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66" s="437" t="s">
        <v>2679</v>
      </c>
      <c r="F266" s="409" t="s">
        <v>2973</v>
      </c>
      <c r="G266" s="397"/>
      <c r="H266" s="432"/>
      <c r="I266" s="403">
        <v>2500000</v>
      </c>
      <c r="J266" s="403"/>
      <c r="K266" s="438">
        <f ca="1">+IF('[2]BROUILLARD DE CAISSE '!$C266="","",SUMIFS(INDIRECT("$K$7:K"&amp;ROW()),INDIRECT("$D$7:D"&amp;ROW()),"="&amp;"Report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4235951</v>
      </c>
      <c r="L266" s="403">
        <f ca="1">+IF($B266="","",SUMIFS(INDIRECT("$K$7:K"&amp;ROW()),INDIRECT("$B$7:B"&amp;ROW()),Tableau1535678910111213162523692[[#This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4689451</v>
      </c>
      <c r="M266" s="368"/>
      <c r="O266"/>
      <c r="P266"/>
      <c r="Q266"/>
      <c r="R266" s="368"/>
      <c r="S266" s="368"/>
      <c r="T266" s="368"/>
    </row>
    <row r="267" spans="1:20" ht="30" x14ac:dyDescent="0.3">
      <c r="A267" s="391" t="s">
        <v>2660</v>
      </c>
      <c r="B267" s="392" t="s">
        <v>2678</v>
      </c>
      <c r="C267" s="393" t="s">
        <v>2974</v>
      </c>
      <c r="D26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267" s="437" t="s">
        <v>2679</v>
      </c>
      <c r="F267" s="409" t="s">
        <v>2975</v>
      </c>
      <c r="G267" s="397"/>
      <c r="H267" s="432"/>
      <c r="I267" s="403">
        <v>2000000</v>
      </c>
      <c r="J267" s="403"/>
      <c r="K267" s="438">
        <f ca="1">+IF('[2]BROUILLARD DE CAISSE '!$C267="","",SUMIFS(INDIRECT("$K$7:K"&amp;ROW()),INDIRECT("$D$7:D"&amp;ROW()),"="&amp;"Report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6235951</v>
      </c>
      <c r="L267" s="403">
        <f ca="1">+IF($B267="","",SUMIFS(INDIRECT("$K$7:K"&amp;ROW()),INDIRECT("$B$7:B"&amp;ROW()),Tableau1535678910111213162523692[[#This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6689451</v>
      </c>
      <c r="M267" s="368"/>
      <c r="O267"/>
      <c r="P267"/>
      <c r="Q267"/>
      <c r="R267" s="368"/>
      <c r="S267" s="368"/>
      <c r="T267" s="368"/>
    </row>
    <row r="268" spans="1:20" ht="30" x14ac:dyDescent="0.3">
      <c r="A268" s="391" t="s">
        <v>2660</v>
      </c>
      <c r="B268" s="392" t="s">
        <v>2678</v>
      </c>
      <c r="C268" s="393">
        <v>45951</v>
      </c>
      <c r="D26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68" s="395" t="s">
        <v>2818</v>
      </c>
      <c r="F268" s="397" t="s">
        <v>2947</v>
      </c>
      <c r="G268" s="397"/>
      <c r="H268" s="432"/>
      <c r="I268" s="403"/>
      <c r="J268" s="403">
        <v>1000</v>
      </c>
      <c r="K268" s="438">
        <f ca="1">+IF('[2]BROUILLARD DE CAISSE '!$C268="","",SUMIFS(INDIRECT("$K$7:K"&amp;ROW()),INDIRECT("$D$7:D"&amp;ROW()),"="&amp;"Report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6234951</v>
      </c>
      <c r="L268" s="403">
        <f ca="1">+IF($B268="","",SUMIFS(INDIRECT("$K$7:K"&amp;ROW()),INDIRECT("$B$7:B"&amp;ROW()),Tableau1535678910111213162523692[[#This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6688451</v>
      </c>
      <c r="M268" s="368"/>
      <c r="O268"/>
      <c r="P268"/>
      <c r="Q268"/>
      <c r="R268" s="368"/>
      <c r="S268" s="368"/>
      <c r="T268" s="368"/>
    </row>
    <row r="269" spans="1:20" ht="30" x14ac:dyDescent="0.3">
      <c r="A269" s="391" t="s">
        <v>2660</v>
      </c>
      <c r="B269" s="392" t="s">
        <v>2678</v>
      </c>
      <c r="C269" s="393">
        <v>45951</v>
      </c>
      <c r="D26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69" s="437" t="s">
        <v>2764</v>
      </c>
      <c r="F269" s="397" t="s">
        <v>2976</v>
      </c>
      <c r="G269" s="397"/>
      <c r="H269" s="432"/>
      <c r="I269" s="403"/>
      <c r="J269" s="403">
        <v>2325</v>
      </c>
      <c r="K269" s="438">
        <f ca="1">+IF('[2]BROUILLARD DE CAISSE '!$C269="","",SUMIFS(INDIRECT("$K$7:K"&amp;ROW()),INDIRECT("$D$7:D"&amp;ROW()),"="&amp;"Report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6232626</v>
      </c>
      <c r="L269" s="403">
        <f ca="1">+IF($B269="","",SUMIFS(INDIRECT("$K$7:K"&amp;ROW()),INDIRECT("$B$7:B"&amp;ROW()),Tableau1535678910111213162523692[[#This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6686126</v>
      </c>
      <c r="M269" s="368"/>
      <c r="O269"/>
      <c r="P269"/>
      <c r="Q269"/>
      <c r="R269" s="368"/>
      <c r="S269" s="368"/>
      <c r="T269" s="368"/>
    </row>
    <row r="270" spans="1:20" s="412" customFormat="1" ht="30" x14ac:dyDescent="0.3">
      <c r="A270" s="391" t="s">
        <v>2660</v>
      </c>
      <c r="B270" s="392" t="s">
        <v>2678</v>
      </c>
      <c r="C270" s="406">
        <v>45951</v>
      </c>
      <c r="D270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0" s="440" t="s">
        <v>2977</v>
      </c>
      <c r="F270" s="409" t="s">
        <v>2978</v>
      </c>
      <c r="G270" s="397"/>
      <c r="H270" s="433"/>
      <c r="I270" s="414"/>
      <c r="J270" s="414">
        <v>20450</v>
      </c>
      <c r="K270" s="441">
        <f ca="1">+IF('[2]BROUILLARD DE CAISSE '!$C270="","",SUMIFS(INDIRECT("$K$7:K"&amp;ROW()),INDIRECT("$D$7:D"&amp;ROW()),"="&amp;"Report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6212176</v>
      </c>
      <c r="L270" s="403">
        <f ca="1">+IF($B270="","",SUMIFS(INDIRECT("$K$7:K"&amp;ROW()),INDIRECT("$B$7:B"&amp;ROW()),Tableau1535678910111213162523692[[#This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6665676</v>
      </c>
      <c r="O270" s="314"/>
      <c r="P270" s="314"/>
      <c r="Q270" s="314"/>
    </row>
    <row r="271" spans="1:20" s="412" customFormat="1" ht="30" x14ac:dyDescent="0.3">
      <c r="A271" s="391" t="s">
        <v>2660</v>
      </c>
      <c r="B271" s="392" t="s">
        <v>2678</v>
      </c>
      <c r="C271" s="406">
        <v>45951</v>
      </c>
      <c r="D271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1" s="440" t="s">
        <v>2979</v>
      </c>
      <c r="F271" s="409" t="s">
        <v>2980</v>
      </c>
      <c r="G271" s="397"/>
      <c r="H271" s="433" t="s">
        <v>2707</v>
      </c>
      <c r="I271" s="414"/>
      <c r="J271" s="414">
        <v>45450</v>
      </c>
      <c r="K271" s="441">
        <f ca="1">+IF('[2]BROUILLARD DE CAISSE '!$C271="","",SUMIFS(INDIRECT("$K$7:K"&amp;ROW()),INDIRECT("$D$7:D"&amp;ROW()),"="&amp;"Report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6166726</v>
      </c>
      <c r="L271" s="403">
        <f ca="1">+IF($B271="","",SUMIFS(INDIRECT("$K$7:K"&amp;ROW()),INDIRECT("$B$7:B"&amp;ROW()),Tableau1535678910111213162523692[[#This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6620226</v>
      </c>
      <c r="O271" s="314"/>
      <c r="P271" s="314"/>
      <c r="Q271" s="314"/>
    </row>
    <row r="272" spans="1:20" ht="30" x14ac:dyDescent="0.3">
      <c r="A272" s="391" t="s">
        <v>2660</v>
      </c>
      <c r="B272" s="392" t="s">
        <v>2678</v>
      </c>
      <c r="C272" s="393">
        <v>45951</v>
      </c>
      <c r="D27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2" s="437" t="s">
        <v>2981</v>
      </c>
      <c r="F272" s="397" t="s">
        <v>2982</v>
      </c>
      <c r="G272" s="397"/>
      <c r="H272" s="432"/>
      <c r="I272" s="403"/>
      <c r="J272" s="403">
        <v>303000</v>
      </c>
      <c r="K272" s="438">
        <f ca="1">+IF('[2]BROUILLARD DE CAISSE '!$C272="","",SUMIFS(INDIRECT("$K$7:K"&amp;ROW()),INDIRECT("$D$7:D"&amp;ROW()),"="&amp;"Report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5863726</v>
      </c>
      <c r="L272" s="403">
        <f ca="1">+IF($B272="","",SUMIFS(INDIRECT("$K$7:K"&amp;ROW()),INDIRECT("$B$7:B"&amp;ROW()),Tableau1535678910111213162523692[[#This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6317226</v>
      </c>
      <c r="M272" s="368"/>
      <c r="O272"/>
      <c r="P272"/>
      <c r="Q272"/>
      <c r="R272" s="368"/>
      <c r="S272" s="368"/>
      <c r="T272" s="368"/>
    </row>
    <row r="273" spans="1:20" ht="30" x14ac:dyDescent="0.3">
      <c r="A273" s="391" t="s">
        <v>2660</v>
      </c>
      <c r="B273" s="392" t="s">
        <v>2678</v>
      </c>
      <c r="C273" s="393">
        <v>45951</v>
      </c>
      <c r="D27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3" s="437" t="s">
        <v>2683</v>
      </c>
      <c r="F273" s="397" t="s">
        <v>2983</v>
      </c>
      <c r="G273" s="397"/>
      <c r="H273" s="432" t="s">
        <v>2685</v>
      </c>
      <c r="I273" s="403"/>
      <c r="J273" s="403">
        <v>132815</v>
      </c>
      <c r="K273" s="438">
        <f ca="1">+IF('[2]BROUILLARD DE CAISSE '!$C273="","",SUMIFS(INDIRECT("$K$7:K"&amp;ROW()),INDIRECT("$D$7:D"&amp;ROW()),"="&amp;"Report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5730911</v>
      </c>
      <c r="L273" s="403">
        <f ca="1">+IF($B273="","",SUMIFS(INDIRECT("$K$7:K"&amp;ROW()),INDIRECT("$B$7:B"&amp;ROW()),Tableau1535678910111213162523692[[#This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6184411</v>
      </c>
      <c r="M273" s="368"/>
      <c r="O273"/>
      <c r="P273"/>
      <c r="Q273"/>
      <c r="R273" s="368"/>
      <c r="S273" s="368"/>
      <c r="T273" s="368"/>
    </row>
    <row r="274" spans="1:20" ht="30" x14ac:dyDescent="0.3">
      <c r="A274" s="391" t="s">
        <v>2660</v>
      </c>
      <c r="B274" s="392" t="s">
        <v>2678</v>
      </c>
      <c r="C274" s="393">
        <v>45951</v>
      </c>
      <c r="D27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4" s="437" t="s">
        <v>2717</v>
      </c>
      <c r="F274" s="397" t="s">
        <v>2984</v>
      </c>
      <c r="G274" s="397"/>
      <c r="H274" s="432"/>
      <c r="I274" s="403"/>
      <c r="J274" s="403">
        <v>5000</v>
      </c>
      <c r="K274" s="438">
        <f ca="1">+IF('[2]BROUILLARD DE CAISSE '!$C274="","",SUMIFS(INDIRECT("$K$7:K"&amp;ROW()),INDIRECT("$D$7:D"&amp;ROW()),"="&amp;"Report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5725911</v>
      </c>
      <c r="L274" s="403">
        <f ca="1">+IF($B274="","",SUMIFS(INDIRECT("$K$7:K"&amp;ROW()),INDIRECT("$B$7:B"&amp;ROW()),Tableau1535678910111213162523692[[#This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6179411</v>
      </c>
      <c r="M274" s="368"/>
      <c r="O274"/>
      <c r="P274"/>
      <c r="Q274"/>
      <c r="R274" s="368"/>
      <c r="S274" s="368"/>
      <c r="T274" s="368"/>
    </row>
    <row r="275" spans="1:20" ht="30" x14ac:dyDescent="0.3">
      <c r="A275" s="391" t="s">
        <v>2660</v>
      </c>
      <c r="B275" s="392" t="s">
        <v>2678</v>
      </c>
      <c r="C275" s="393">
        <v>45951</v>
      </c>
      <c r="D27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5" s="395" t="s">
        <v>2818</v>
      </c>
      <c r="F275" s="397" t="s">
        <v>2985</v>
      </c>
      <c r="G275" s="397"/>
      <c r="H275" s="432"/>
      <c r="I275" s="403"/>
      <c r="J275" s="403">
        <v>2161000</v>
      </c>
      <c r="K275" s="438">
        <f ca="1">+IF('[2]BROUILLARD DE CAISSE '!$C275="","",SUMIFS(INDIRECT("$K$7:K"&amp;ROW()),INDIRECT("$D$7:D"&amp;ROW()),"="&amp;"Report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3564911</v>
      </c>
      <c r="L275" s="403">
        <f ca="1">+IF($B275="","",SUMIFS(INDIRECT("$K$7:K"&amp;ROW()),INDIRECT("$B$7:B"&amp;ROW()),Tableau1535678910111213162523692[[#This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4018411</v>
      </c>
      <c r="M275" s="368"/>
      <c r="O275"/>
      <c r="P275"/>
      <c r="Q275"/>
      <c r="R275" s="368"/>
      <c r="S275" s="368"/>
      <c r="T275" s="368"/>
    </row>
    <row r="276" spans="1:20" ht="30" x14ac:dyDescent="0.3">
      <c r="A276" s="391" t="s">
        <v>2660</v>
      </c>
      <c r="B276" s="392" t="s">
        <v>2678</v>
      </c>
      <c r="C276" s="393">
        <v>45951</v>
      </c>
      <c r="D27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6" s="437" t="s">
        <v>2859</v>
      </c>
      <c r="F276" s="397" t="s">
        <v>2986</v>
      </c>
      <c r="G276" s="397"/>
      <c r="H276" s="432" t="s">
        <v>2987</v>
      </c>
      <c r="I276" s="403"/>
      <c r="J276" s="403">
        <v>6060</v>
      </c>
      <c r="K276" s="438">
        <f ca="1">+IF('[2]BROUILLARD DE CAISSE '!$C276="","",SUMIFS(INDIRECT("$K$7:K"&amp;ROW()),INDIRECT("$D$7:D"&amp;ROW()),"="&amp;"Report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3558851</v>
      </c>
      <c r="L276" s="403">
        <f ca="1">+IF($B276="","",SUMIFS(INDIRECT("$K$7:K"&amp;ROW()),INDIRECT("$B$7:B"&amp;ROW()),Tableau1535678910111213162523692[[#This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4012351</v>
      </c>
      <c r="M276" s="368"/>
      <c r="O276"/>
      <c r="P276"/>
      <c r="Q276"/>
      <c r="R276" s="368"/>
      <c r="S276" s="368"/>
      <c r="T276" s="368"/>
    </row>
    <row r="277" spans="1:20" ht="15" x14ac:dyDescent="0.3">
      <c r="A277" s="391"/>
      <c r="B277" s="392"/>
      <c r="C277" s="393">
        <v>45951</v>
      </c>
      <c r="D27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7" s="437" t="s">
        <v>2749</v>
      </c>
      <c r="F277" s="397" t="s">
        <v>2988</v>
      </c>
      <c r="G277" s="397"/>
      <c r="H277" s="432"/>
      <c r="I277" s="403"/>
      <c r="J277" s="403">
        <v>15000</v>
      </c>
      <c r="K277" s="438">
        <f ca="1">+IF('[2]BROUILLARD DE CAISSE '!$C277="","",SUMIFS(INDIRECT("$K$7:K"&amp;ROW()),INDIRECT("$D$7:D"&amp;ROW()),"="&amp;"Report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3543851</v>
      </c>
      <c r="L277" s="403" t="str">
        <f ca="1">+IF($B277="","",SUMIFS(INDIRECT("$K$7:K"&amp;ROW()),INDIRECT("$B$7:B"&amp;ROW()),Tableau1535678910111213162523692[[#This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77" s="368"/>
      <c r="O277"/>
      <c r="P277"/>
      <c r="Q277"/>
      <c r="R277" s="368"/>
      <c r="S277" s="368"/>
      <c r="T277" s="368"/>
    </row>
    <row r="278" spans="1:20" ht="30" x14ac:dyDescent="0.3">
      <c r="A278" s="391" t="s">
        <v>2660</v>
      </c>
      <c r="B278" s="392" t="s">
        <v>2678</v>
      </c>
      <c r="C278" s="393">
        <v>45952</v>
      </c>
      <c r="D27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278" s="437" t="s">
        <v>2820</v>
      </c>
      <c r="F278" s="397" t="s">
        <v>2989</v>
      </c>
      <c r="G278" s="397"/>
      <c r="H278" s="432" t="s">
        <v>2687</v>
      </c>
      <c r="I278" s="403"/>
      <c r="J278" s="403">
        <v>10100</v>
      </c>
      <c r="K278" s="438">
        <f ca="1">+IF('[2]BROUILLARD DE CAISSE '!$C278="","",SUMIFS(INDIRECT("$K$7:K"&amp;ROW()),INDIRECT("$D$7:D"&amp;ROW()),"="&amp;"Report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3533751</v>
      </c>
      <c r="L278" s="403">
        <f ca="1">+IF($B278="","",SUMIFS(INDIRECT("$K$7:K"&amp;ROW()),INDIRECT("$B$7:B"&amp;ROW()),Tableau1535678910111213162523692[[#This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4002251</v>
      </c>
      <c r="M278" s="368"/>
      <c r="O278"/>
      <c r="P278"/>
      <c r="Q278"/>
      <c r="R278" s="368"/>
      <c r="S278" s="368"/>
      <c r="T278" s="368"/>
    </row>
    <row r="279" spans="1:20" ht="15" hidden="1" x14ac:dyDescent="0.3">
      <c r="A279" s="434"/>
      <c r="B279" s="392"/>
      <c r="C279" s="393"/>
      <c r="D27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79" s="437"/>
      <c r="F279" s="397"/>
      <c r="G279" s="397"/>
      <c r="H279" s="432"/>
      <c r="I279" s="403"/>
      <c r="J279" s="403"/>
      <c r="K279" s="438" t="str">
        <f ca="1">+IF('[2]BROUILLARD DE CAISSE '!$C279="","",SUMIFS(INDIRECT("$K$7:K"&amp;ROW()),INDIRECT("$D$7:D"&amp;ROW()),"="&amp;"Report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79" s="403" t="str">
        <f ca="1">+IF($B279="","",SUMIFS(INDIRECT("$K$7:K"&amp;ROW()),INDIRECT("$B$7:B"&amp;ROW()),Tableau1535678910111213162523692[[#This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79" s="368"/>
      <c r="O279"/>
      <c r="P279"/>
      <c r="Q279"/>
      <c r="R279" s="368"/>
      <c r="S279" s="368"/>
      <c r="T279" s="368"/>
    </row>
    <row r="280" spans="1:20" ht="15" hidden="1" x14ac:dyDescent="0.3">
      <c r="A280" s="434"/>
      <c r="B280" s="392"/>
      <c r="C280" s="393"/>
      <c r="D28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0" s="437"/>
      <c r="F280" s="397"/>
      <c r="G280" s="397"/>
      <c r="H280" s="432"/>
      <c r="I280" s="403"/>
      <c r="J280" s="403"/>
      <c r="K280" s="438" t="str">
        <f ca="1">+IF('[2]BROUILLARD DE CAISSE '!$C280="","",SUMIFS(INDIRECT("$K$7:K"&amp;ROW()),INDIRECT("$D$7:D"&amp;ROW()),"="&amp;"Report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0" s="403" t="str">
        <f ca="1">+IF($B280="","",SUMIFS(INDIRECT("$K$7:K"&amp;ROW()),INDIRECT("$B$7:B"&amp;ROW()),Tableau1535678910111213162523692[[#This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0" s="368"/>
      <c r="O280"/>
      <c r="P280"/>
      <c r="Q280"/>
      <c r="R280" s="368"/>
      <c r="S280" s="368"/>
      <c r="T280" s="368"/>
    </row>
    <row r="281" spans="1:20" ht="15" hidden="1" x14ac:dyDescent="0.3">
      <c r="A281" s="434"/>
      <c r="B281" s="392"/>
      <c r="C281" s="393"/>
      <c r="D28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1" s="437"/>
      <c r="F281" s="397"/>
      <c r="G281" s="397"/>
      <c r="H281" s="432"/>
      <c r="I281" s="403"/>
      <c r="J281" s="403"/>
      <c r="K281" s="438" t="str">
        <f ca="1">+IF('[2]BROUILLARD DE CAISSE '!$C281="","",SUMIFS(INDIRECT("$K$7:K"&amp;ROW()),INDIRECT("$D$7:D"&amp;ROW()),"="&amp;"Report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1" s="403" t="str">
        <f ca="1">+IF($B281="","",SUMIFS(INDIRECT("$K$7:K"&amp;ROW()),INDIRECT("$B$7:B"&amp;ROW()),Tableau1535678910111213162523692[[#This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1" s="368"/>
      <c r="O281"/>
      <c r="P281"/>
      <c r="Q281"/>
      <c r="R281" s="368"/>
      <c r="S281" s="368"/>
      <c r="T281" s="368"/>
    </row>
    <row r="282" spans="1:20" ht="15" hidden="1" x14ac:dyDescent="0.3">
      <c r="A282" s="434"/>
      <c r="B282" s="392"/>
      <c r="C282" s="393"/>
      <c r="D28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2" s="437"/>
      <c r="F282" s="397"/>
      <c r="G282" s="397"/>
      <c r="H282" s="432"/>
      <c r="I282" s="403"/>
      <c r="J282" s="403"/>
      <c r="K282" s="438" t="str">
        <f ca="1">+IF('[2]BROUILLARD DE CAISSE '!$C282="","",SUMIFS(INDIRECT("$K$7:K"&amp;ROW()),INDIRECT("$D$7:D"&amp;ROW()),"="&amp;"Report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2" s="403" t="str">
        <f ca="1">+IF($B282="","",SUMIFS(INDIRECT("$K$7:K"&amp;ROW()),INDIRECT("$B$7:B"&amp;ROW()),Tableau1535678910111213162523692[[#This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2" s="368"/>
      <c r="O282"/>
      <c r="P282"/>
      <c r="Q282"/>
      <c r="R282" s="368"/>
      <c r="S282" s="368"/>
      <c r="T282" s="368"/>
    </row>
    <row r="283" spans="1:20" ht="15" hidden="1" x14ac:dyDescent="0.3">
      <c r="A283" s="434"/>
      <c r="B283" s="392"/>
      <c r="C283" s="393"/>
      <c r="D28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3" s="437"/>
      <c r="F283" s="397"/>
      <c r="G283" s="397"/>
      <c r="H283" s="432"/>
      <c r="I283" s="403"/>
      <c r="J283" s="403"/>
      <c r="K283" s="438" t="str">
        <f ca="1">+IF('[2]BROUILLARD DE CAISSE '!$C283="","",SUMIFS(INDIRECT("$K$7:K"&amp;ROW()),INDIRECT("$D$7:D"&amp;ROW()),"="&amp;"Report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3" s="403" t="str">
        <f ca="1">+IF($B283="","",SUMIFS(INDIRECT("$K$7:K"&amp;ROW()),INDIRECT("$B$7:B"&amp;ROW()),Tableau1535678910111213162523692[[#This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3" s="368"/>
      <c r="O283"/>
      <c r="P283"/>
      <c r="Q283"/>
      <c r="R283" s="368"/>
      <c r="S283" s="368"/>
      <c r="T283" s="368"/>
    </row>
    <row r="284" spans="1:20" ht="15" hidden="1" x14ac:dyDescent="0.3">
      <c r="A284" s="434"/>
      <c r="B284" s="392"/>
      <c r="C284" s="393"/>
      <c r="D28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4" s="437"/>
      <c r="F284" s="397"/>
      <c r="G284" s="397"/>
      <c r="H284" s="432"/>
      <c r="I284" s="403"/>
      <c r="J284" s="403"/>
      <c r="K284" s="438" t="str">
        <f ca="1">+IF('[2]BROUILLARD DE CAISSE '!$C284="","",SUMIFS(INDIRECT("$K$7:K"&amp;ROW()),INDIRECT("$D$7:D"&amp;ROW()),"="&amp;"Report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4" s="403" t="str">
        <f ca="1">+IF($B284="","",SUMIFS(INDIRECT("$K$7:K"&amp;ROW()),INDIRECT("$B$7:B"&amp;ROW()),Tableau1535678910111213162523692[[#This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4" s="368"/>
      <c r="O284"/>
      <c r="P284"/>
      <c r="Q284"/>
      <c r="R284" s="368"/>
      <c r="S284" s="368"/>
      <c r="T284" s="368"/>
    </row>
    <row r="285" spans="1:20" ht="15" hidden="1" x14ac:dyDescent="0.3">
      <c r="A285" s="434"/>
      <c r="B285" s="392"/>
      <c r="C285" s="393"/>
      <c r="D28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5" s="437"/>
      <c r="F285" s="397"/>
      <c r="G285" s="397"/>
      <c r="H285" s="432"/>
      <c r="I285" s="403"/>
      <c r="J285" s="403"/>
      <c r="K285" s="438" t="str">
        <f ca="1">+IF('[2]BROUILLARD DE CAISSE '!$C285="","",SUMIFS(INDIRECT("$K$7:K"&amp;ROW()),INDIRECT("$D$7:D"&amp;ROW()),"="&amp;"Report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5" s="403" t="str">
        <f ca="1">+IF($B285="","",SUMIFS(INDIRECT("$K$7:K"&amp;ROW()),INDIRECT("$B$7:B"&amp;ROW()),Tableau1535678910111213162523692[[#This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5" s="368"/>
      <c r="O285"/>
      <c r="P285"/>
      <c r="Q285"/>
      <c r="R285" s="368"/>
      <c r="S285" s="368"/>
      <c r="T285" s="368"/>
    </row>
    <row r="286" spans="1:20" ht="15" hidden="1" x14ac:dyDescent="0.3">
      <c r="A286" s="434"/>
      <c r="B286" s="392"/>
      <c r="C286" s="393"/>
      <c r="D28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6" s="437"/>
      <c r="F286" s="397"/>
      <c r="G286" s="397"/>
      <c r="H286" s="432"/>
      <c r="I286" s="403"/>
      <c r="J286" s="403"/>
      <c r="K286" s="438" t="str">
        <f ca="1">+IF('[2]BROUILLARD DE CAISSE '!$C286="","",SUMIFS(INDIRECT("$K$7:K"&amp;ROW()),INDIRECT("$D$7:D"&amp;ROW()),"="&amp;"Report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6" s="403" t="str">
        <f ca="1">+IF($B286="","",SUMIFS(INDIRECT("$K$7:K"&amp;ROW()),INDIRECT("$B$7:B"&amp;ROW()),Tableau1535678910111213162523692[[#This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6" s="368"/>
      <c r="O286"/>
      <c r="P286"/>
      <c r="Q286"/>
      <c r="R286" s="368"/>
      <c r="S286" s="368"/>
      <c r="T286" s="368"/>
    </row>
    <row r="287" spans="1:20" ht="15" hidden="1" x14ac:dyDescent="0.3">
      <c r="A287" s="434"/>
      <c r="B287" s="392"/>
      <c r="C287" s="393"/>
      <c r="D28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7" s="437"/>
      <c r="F287" s="397"/>
      <c r="G287" s="397"/>
      <c r="H287" s="432"/>
      <c r="I287" s="403"/>
      <c r="J287" s="403"/>
      <c r="K287" s="438" t="str">
        <f ca="1">+IF('[2]BROUILLARD DE CAISSE '!$C287="","",SUMIFS(INDIRECT("$K$7:K"&amp;ROW()),INDIRECT("$D$7:D"&amp;ROW()),"="&amp;"Report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7" s="403" t="str">
        <f ca="1">+IF($B287="","",SUMIFS(INDIRECT("$K$7:K"&amp;ROW()),INDIRECT("$B$7:B"&amp;ROW()),Tableau1535678910111213162523692[[#This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7" s="368"/>
      <c r="O287"/>
      <c r="P287"/>
      <c r="Q287"/>
      <c r="R287" s="368"/>
      <c r="S287" s="368"/>
      <c r="T287" s="368"/>
    </row>
    <row r="288" spans="1:20" ht="15" hidden="1" x14ac:dyDescent="0.3">
      <c r="A288" s="434"/>
      <c r="B288" s="392"/>
      <c r="C288" s="393"/>
      <c r="D28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8" s="437"/>
      <c r="F288" s="397"/>
      <c r="G288" s="397"/>
      <c r="H288" s="432"/>
      <c r="I288" s="403"/>
      <c r="J288" s="403"/>
      <c r="K288" s="438" t="str">
        <f ca="1">+IF('[2]BROUILLARD DE CAISSE '!$C288="","",SUMIFS(INDIRECT("$K$7:K"&amp;ROW()),INDIRECT("$D$7:D"&amp;ROW()),"="&amp;"Report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8" s="403" t="str">
        <f ca="1">+IF($B288="","",SUMIFS(INDIRECT("$K$7:K"&amp;ROW()),INDIRECT("$B$7:B"&amp;ROW()),Tableau1535678910111213162523692[[#This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8" s="368"/>
      <c r="O288"/>
      <c r="P288"/>
      <c r="Q288"/>
      <c r="R288" s="368"/>
      <c r="S288" s="368"/>
      <c r="T288" s="368"/>
    </row>
    <row r="289" spans="1:20" ht="15" hidden="1" x14ac:dyDescent="0.3">
      <c r="A289" s="434"/>
      <c r="B289" s="392"/>
      <c r="C289" s="393"/>
      <c r="D28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89" s="437"/>
      <c r="F289" s="397"/>
      <c r="G289" s="397"/>
      <c r="H289" s="432"/>
      <c r="I289" s="403"/>
      <c r="J289" s="403"/>
      <c r="K289" s="438" t="str">
        <f ca="1">+IF('[2]BROUILLARD DE CAISSE '!$C289="","",SUMIFS(INDIRECT("$K$7:K"&amp;ROW()),INDIRECT("$D$7:D"&amp;ROW()),"="&amp;"Report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89" s="403" t="str">
        <f ca="1">+IF($B289="","",SUMIFS(INDIRECT("$K$7:K"&amp;ROW()),INDIRECT("$B$7:B"&amp;ROW()),Tableau1535678910111213162523692[[#This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89" s="368"/>
      <c r="O289"/>
      <c r="P289"/>
      <c r="Q289"/>
      <c r="R289" s="368"/>
      <c r="S289" s="368"/>
      <c r="T289" s="368"/>
    </row>
    <row r="290" spans="1:20" ht="15" hidden="1" x14ac:dyDescent="0.3">
      <c r="A290" s="434"/>
      <c r="B290" s="392"/>
      <c r="C290" s="393"/>
      <c r="D29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0" s="437"/>
      <c r="F290" s="397"/>
      <c r="G290" s="397"/>
      <c r="H290" s="432"/>
      <c r="I290" s="403"/>
      <c r="J290" s="403"/>
      <c r="K290" s="438" t="str">
        <f ca="1">+IF('[2]BROUILLARD DE CAISSE '!$C290="","",SUMIFS(INDIRECT("$K$7:K"&amp;ROW()),INDIRECT("$D$7:D"&amp;ROW()),"="&amp;"Report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0" s="403" t="str">
        <f ca="1">+IF($B290="","",SUMIFS(INDIRECT("$K$7:K"&amp;ROW()),INDIRECT("$B$7:B"&amp;ROW()),Tableau1535678910111213162523692[[#This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0" s="368"/>
      <c r="O290"/>
      <c r="P290"/>
      <c r="Q290"/>
      <c r="R290" s="368"/>
      <c r="S290" s="368"/>
      <c r="T290" s="368"/>
    </row>
    <row r="291" spans="1:20" ht="15" hidden="1" x14ac:dyDescent="0.3">
      <c r="A291" s="434"/>
      <c r="B291" s="392"/>
      <c r="C291" s="393"/>
      <c r="D29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1" s="437"/>
      <c r="F291" s="397"/>
      <c r="G291" s="397"/>
      <c r="H291" s="432"/>
      <c r="I291" s="403"/>
      <c r="J291" s="403"/>
      <c r="K291" s="438" t="str">
        <f ca="1">+IF('[2]BROUILLARD DE CAISSE '!$C291="","",SUMIFS(INDIRECT("$K$7:K"&amp;ROW()),INDIRECT("$D$7:D"&amp;ROW()),"="&amp;"Report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1" s="403" t="str">
        <f ca="1">+IF($B291="","",SUMIFS(INDIRECT("$K$7:K"&amp;ROW()),INDIRECT("$B$7:B"&amp;ROW()),Tableau1535678910111213162523692[[#This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1" s="368"/>
      <c r="O291"/>
      <c r="P291"/>
      <c r="Q291"/>
      <c r="R291" s="368"/>
      <c r="S291" s="368"/>
      <c r="T291" s="368"/>
    </row>
    <row r="292" spans="1:20" ht="15" hidden="1" x14ac:dyDescent="0.3">
      <c r="A292" s="434"/>
      <c r="B292" s="392"/>
      <c r="C292" s="393"/>
      <c r="D29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2" s="437"/>
      <c r="F292" s="397"/>
      <c r="G292" s="397"/>
      <c r="H292" s="432"/>
      <c r="I292" s="403"/>
      <c r="J292" s="403"/>
      <c r="K292" s="438" t="str">
        <f ca="1">+IF('[2]BROUILLARD DE CAISSE '!$C292="","",SUMIFS(INDIRECT("$K$7:K"&amp;ROW()),INDIRECT("$D$7:D"&amp;ROW()),"="&amp;"Report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2" s="403" t="str">
        <f ca="1">+IF($B292="","",SUMIFS(INDIRECT("$K$7:K"&amp;ROW()),INDIRECT("$B$7:B"&amp;ROW()),Tableau1535678910111213162523692[[#This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2" s="368"/>
      <c r="O292"/>
      <c r="P292"/>
      <c r="Q292"/>
      <c r="R292" s="368"/>
      <c r="S292" s="368"/>
      <c r="T292" s="368"/>
    </row>
    <row r="293" spans="1:20" ht="15" hidden="1" x14ac:dyDescent="0.3">
      <c r="A293" s="434"/>
      <c r="B293" s="392"/>
      <c r="C293" s="393"/>
      <c r="D29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3" s="437"/>
      <c r="F293" s="397"/>
      <c r="G293" s="397"/>
      <c r="H293" s="432"/>
      <c r="I293" s="403"/>
      <c r="J293" s="403"/>
      <c r="K293" s="438" t="str">
        <f ca="1">+IF('[2]BROUILLARD DE CAISSE '!$C293="","",SUMIFS(INDIRECT("$K$7:K"&amp;ROW()),INDIRECT("$D$7:D"&amp;ROW()),"="&amp;"Report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3" s="403" t="str">
        <f ca="1">+IF($B293="","",SUMIFS(INDIRECT("$K$7:K"&amp;ROW()),INDIRECT("$B$7:B"&amp;ROW()),Tableau1535678910111213162523692[[#This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3" s="368"/>
      <c r="O293"/>
      <c r="P293"/>
      <c r="Q293"/>
      <c r="R293" s="368"/>
      <c r="S293" s="368"/>
      <c r="T293" s="368"/>
    </row>
    <row r="294" spans="1:20" ht="15" hidden="1" x14ac:dyDescent="0.3">
      <c r="A294" s="434"/>
      <c r="B294" s="392"/>
      <c r="C294" s="393"/>
      <c r="D29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4" s="437"/>
      <c r="F294" s="397"/>
      <c r="G294" s="397"/>
      <c r="H294" s="432"/>
      <c r="I294" s="403"/>
      <c r="J294" s="403"/>
      <c r="K294" s="438" t="str">
        <f ca="1">+IF('[2]BROUILLARD DE CAISSE '!$C294="","",SUMIFS(INDIRECT("$K$7:K"&amp;ROW()),INDIRECT("$D$7:D"&amp;ROW()),"="&amp;"Report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4" s="403" t="str">
        <f ca="1">+IF($B294="","",SUMIFS(INDIRECT("$K$7:K"&amp;ROW()),INDIRECT("$B$7:B"&amp;ROW()),Tableau1535678910111213162523692[[#This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4" s="368"/>
      <c r="O294"/>
      <c r="P294"/>
      <c r="Q294"/>
      <c r="R294" s="368"/>
      <c r="S294" s="368"/>
      <c r="T294" s="368"/>
    </row>
    <row r="295" spans="1:20" ht="15" hidden="1" x14ac:dyDescent="0.3">
      <c r="A295" s="434"/>
      <c r="B295" s="392"/>
      <c r="C295" s="393"/>
      <c r="D29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5" s="437"/>
      <c r="F295" s="397"/>
      <c r="G295" s="397"/>
      <c r="H295" s="432"/>
      <c r="I295" s="403"/>
      <c r="J295" s="403"/>
      <c r="K295" s="438" t="str">
        <f ca="1">+IF('[2]BROUILLARD DE CAISSE '!$C295="","",SUMIFS(INDIRECT("$K$7:K"&amp;ROW()),INDIRECT("$D$7:D"&amp;ROW()),"="&amp;"Report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5" s="403" t="str">
        <f ca="1">+IF($B295="","",SUMIFS(INDIRECT("$K$7:K"&amp;ROW()),INDIRECT("$B$7:B"&amp;ROW()),Tableau1535678910111213162523692[[#This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5" s="368"/>
      <c r="O295"/>
      <c r="P295"/>
      <c r="Q295"/>
      <c r="R295" s="368"/>
      <c r="S295" s="368"/>
      <c r="T295" s="368"/>
    </row>
    <row r="296" spans="1:20" ht="15" hidden="1" x14ac:dyDescent="0.3">
      <c r="A296" s="434"/>
      <c r="B296" s="392"/>
      <c r="C296" s="393"/>
      <c r="D29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6" s="437"/>
      <c r="F296" s="397"/>
      <c r="G296" s="397"/>
      <c r="H296" s="432"/>
      <c r="I296" s="403"/>
      <c r="J296" s="403"/>
      <c r="K296" s="438" t="str">
        <f ca="1">+IF('[2]BROUILLARD DE CAISSE '!$C296="","",SUMIFS(INDIRECT("$K$7:K"&amp;ROW()),INDIRECT("$D$7:D"&amp;ROW()),"="&amp;"Report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6" s="403" t="str">
        <f ca="1">+IF($B296="","",SUMIFS(INDIRECT("$K$7:K"&amp;ROW()),INDIRECT("$B$7:B"&amp;ROW()),Tableau1535678910111213162523692[[#This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6" s="368"/>
      <c r="O296"/>
      <c r="P296"/>
      <c r="Q296"/>
      <c r="R296" s="368"/>
      <c r="S296" s="368"/>
      <c r="T296" s="368"/>
    </row>
    <row r="297" spans="1:20" ht="15" hidden="1" x14ac:dyDescent="0.3">
      <c r="A297" s="434"/>
      <c r="B297" s="392"/>
      <c r="C297" s="393"/>
      <c r="D29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7" s="437"/>
      <c r="F297" s="397"/>
      <c r="G297" s="397"/>
      <c r="H297" s="432"/>
      <c r="I297" s="403"/>
      <c r="J297" s="403"/>
      <c r="K297" s="438" t="str">
        <f ca="1">+IF('[2]BROUILLARD DE CAISSE '!$C297="","",SUMIFS(INDIRECT("$K$7:K"&amp;ROW()),INDIRECT("$D$7:D"&amp;ROW()),"="&amp;"Report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7" s="403" t="str">
        <f ca="1">+IF($B297="","",SUMIFS(INDIRECT("$K$7:K"&amp;ROW()),INDIRECT("$B$7:B"&amp;ROW()),Tableau1535678910111213162523692[[#This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7" s="368"/>
      <c r="O297"/>
      <c r="P297"/>
      <c r="Q297"/>
      <c r="R297" s="368"/>
      <c r="S297" s="368"/>
      <c r="T297" s="368"/>
    </row>
    <row r="298" spans="1:20" ht="15" hidden="1" x14ac:dyDescent="0.3">
      <c r="A298" s="434"/>
      <c r="B298" s="392"/>
      <c r="C298" s="393"/>
      <c r="D29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8" s="437"/>
      <c r="F298" s="397"/>
      <c r="G298" s="397"/>
      <c r="H298" s="432"/>
      <c r="I298" s="403"/>
      <c r="J298" s="403"/>
      <c r="K298" s="438" t="str">
        <f ca="1">+IF('[2]BROUILLARD DE CAISSE '!$C298="","",SUMIFS(INDIRECT("$K$7:K"&amp;ROW()),INDIRECT("$D$7:D"&amp;ROW()),"="&amp;"Report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8" s="403" t="str">
        <f ca="1">+IF($B298="","",SUMIFS(INDIRECT("$K$7:K"&amp;ROW()),INDIRECT("$B$7:B"&amp;ROW()),Tableau1535678910111213162523692[[#This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8" s="368"/>
      <c r="O298"/>
      <c r="P298"/>
      <c r="Q298"/>
      <c r="R298" s="368"/>
      <c r="S298" s="368"/>
      <c r="T298" s="368"/>
    </row>
    <row r="299" spans="1:20" ht="15" hidden="1" x14ac:dyDescent="0.3">
      <c r="A299" s="434"/>
      <c r="B299" s="392"/>
      <c r="C299" s="393"/>
      <c r="D29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299" s="437"/>
      <c r="F299" s="397"/>
      <c r="G299" s="397"/>
      <c r="H299" s="432"/>
      <c r="I299" s="403"/>
      <c r="J299" s="403"/>
      <c r="K299" s="438" t="str">
        <f ca="1">+IF('[2]BROUILLARD DE CAISSE '!$C299="","",SUMIFS(INDIRECT("$K$7:K"&amp;ROW()),INDIRECT("$D$7:D"&amp;ROW()),"="&amp;"Report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299" s="403" t="str">
        <f ca="1">+IF($B299="","",SUMIFS(INDIRECT("$K$7:K"&amp;ROW()),INDIRECT("$B$7:B"&amp;ROW()),Tableau1535678910111213162523692[[#This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299" s="368"/>
      <c r="O299"/>
      <c r="P299"/>
      <c r="Q299"/>
      <c r="R299" s="368"/>
      <c r="S299" s="368"/>
      <c r="T299" s="368"/>
    </row>
    <row r="300" spans="1:20" ht="15" hidden="1" x14ac:dyDescent="0.3">
      <c r="A300" s="434"/>
      <c r="B300" s="392"/>
      <c r="C300" s="393"/>
      <c r="D30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0" s="437"/>
      <c r="F300" s="397"/>
      <c r="G300" s="397"/>
      <c r="H300" s="432"/>
      <c r="I300" s="403"/>
      <c r="J300" s="403"/>
      <c r="K300" s="438" t="str">
        <f ca="1">+IF('[2]BROUILLARD DE CAISSE '!$C300="","",SUMIFS(INDIRECT("$K$7:K"&amp;ROW()),INDIRECT("$D$7:D"&amp;ROW()),"="&amp;"Report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0" s="403" t="str">
        <f ca="1">+IF($B300="","",SUMIFS(INDIRECT("$K$7:K"&amp;ROW()),INDIRECT("$B$7:B"&amp;ROW()),Tableau1535678910111213162523692[[#This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0" s="368"/>
      <c r="O300"/>
      <c r="P300"/>
      <c r="Q300"/>
      <c r="R300" s="368"/>
      <c r="S300" s="368"/>
      <c r="T300" s="368"/>
    </row>
    <row r="301" spans="1:20" ht="15" hidden="1" x14ac:dyDescent="0.3">
      <c r="A301" s="434"/>
      <c r="B301" s="392"/>
      <c r="C301" s="393"/>
      <c r="D30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1" s="437"/>
      <c r="F301" s="397"/>
      <c r="G301" s="397"/>
      <c r="H301" s="432"/>
      <c r="I301" s="403"/>
      <c r="J301" s="403"/>
      <c r="K301" s="438" t="str">
        <f ca="1">+IF('[2]BROUILLARD DE CAISSE '!$C301="","",SUMIFS(INDIRECT("$K$7:K"&amp;ROW()),INDIRECT("$D$7:D"&amp;ROW()),"="&amp;"Report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1" s="403" t="str">
        <f ca="1">+IF($B301="","",SUMIFS(INDIRECT("$K$7:K"&amp;ROW()),INDIRECT("$B$7:B"&amp;ROW()),Tableau1535678910111213162523692[[#This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1" s="368"/>
      <c r="O301"/>
      <c r="P301"/>
      <c r="Q301"/>
      <c r="R301" s="368"/>
      <c r="S301" s="368"/>
      <c r="T301" s="368"/>
    </row>
    <row r="302" spans="1:20" ht="15" hidden="1" x14ac:dyDescent="0.3">
      <c r="A302" s="434"/>
      <c r="B302" s="392"/>
      <c r="C302" s="393"/>
      <c r="D30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2" s="437"/>
      <c r="F302" s="397"/>
      <c r="G302" s="397"/>
      <c r="H302" s="432"/>
      <c r="I302" s="403"/>
      <c r="J302" s="403"/>
      <c r="K302" s="438" t="str">
        <f ca="1">+IF('[2]BROUILLARD DE CAISSE '!$C302="","",SUMIFS(INDIRECT("$K$7:K"&amp;ROW()),INDIRECT("$D$7:D"&amp;ROW()),"="&amp;"Report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2" s="403" t="str">
        <f ca="1">+IF($B302="","",SUMIFS(INDIRECT("$K$7:K"&amp;ROW()),INDIRECT("$B$7:B"&amp;ROW()),Tableau1535678910111213162523692[[#This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2" s="368"/>
      <c r="O302"/>
      <c r="P302"/>
      <c r="Q302"/>
      <c r="R302" s="368"/>
      <c r="S302" s="368"/>
      <c r="T302" s="368"/>
    </row>
    <row r="303" spans="1:20" ht="15" hidden="1" x14ac:dyDescent="0.3">
      <c r="A303" s="434"/>
      <c r="B303" s="392"/>
      <c r="C303" s="393"/>
      <c r="D30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3" s="437"/>
      <c r="F303" s="397"/>
      <c r="G303" s="397"/>
      <c r="H303" s="432"/>
      <c r="I303" s="403"/>
      <c r="J303" s="403"/>
      <c r="K303" s="438" t="str">
        <f ca="1">+IF('[2]BROUILLARD DE CAISSE '!$C303="","",SUMIFS(INDIRECT("$K$7:K"&amp;ROW()),INDIRECT("$D$7:D"&amp;ROW()),"="&amp;"Report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3" s="403" t="str">
        <f ca="1">+IF($B303="","",SUMIFS(INDIRECT("$K$7:K"&amp;ROW()),INDIRECT("$B$7:B"&amp;ROW()),Tableau1535678910111213162523692[[#This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3" s="368"/>
      <c r="O303"/>
      <c r="P303"/>
      <c r="Q303"/>
      <c r="R303" s="368"/>
      <c r="S303" s="368"/>
      <c r="T303" s="368"/>
    </row>
    <row r="304" spans="1:20" ht="15" hidden="1" x14ac:dyDescent="0.3">
      <c r="A304" s="434"/>
      <c r="B304" s="392"/>
      <c r="C304" s="393"/>
      <c r="D30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4" s="437"/>
      <c r="F304" s="397"/>
      <c r="G304" s="397"/>
      <c r="H304" s="432"/>
      <c r="I304" s="403"/>
      <c r="J304" s="403"/>
      <c r="K304" s="438" t="str">
        <f ca="1">+IF('[2]BROUILLARD DE CAISSE '!$C304="","",SUMIFS(INDIRECT("$K$7:K"&amp;ROW()),INDIRECT("$D$7:D"&amp;ROW()),"="&amp;"Report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4" s="403" t="str">
        <f ca="1">+IF($B304="","",SUMIFS(INDIRECT("$K$7:K"&amp;ROW()),INDIRECT("$B$7:B"&amp;ROW()),Tableau1535678910111213162523692[[#This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4" s="368"/>
      <c r="O304"/>
      <c r="P304"/>
      <c r="Q304"/>
      <c r="R304" s="368"/>
      <c r="S304" s="368"/>
      <c r="T304" s="368"/>
    </row>
    <row r="305" spans="1:20" ht="15" hidden="1" x14ac:dyDescent="0.3">
      <c r="A305" s="434"/>
      <c r="B305" s="392"/>
      <c r="C305" s="393"/>
      <c r="D30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5" s="437"/>
      <c r="F305" s="397"/>
      <c r="G305" s="397"/>
      <c r="H305" s="432"/>
      <c r="I305" s="403"/>
      <c r="J305" s="403"/>
      <c r="K305" s="438" t="str">
        <f ca="1">+IF('[2]BROUILLARD DE CAISSE '!$C305="","",SUMIFS(INDIRECT("$K$7:K"&amp;ROW()),INDIRECT("$D$7:D"&amp;ROW()),"="&amp;"Report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5" s="403" t="str">
        <f ca="1">+IF($B305="","",SUMIFS(INDIRECT("$K$7:K"&amp;ROW()),INDIRECT("$B$7:B"&amp;ROW()),Tableau1535678910111213162523692[[#This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5" s="368"/>
      <c r="O305"/>
      <c r="P305"/>
      <c r="Q305"/>
      <c r="R305" s="368"/>
      <c r="S305" s="368"/>
      <c r="T305" s="368"/>
    </row>
    <row r="306" spans="1:20" ht="15" hidden="1" x14ac:dyDescent="0.3">
      <c r="A306" s="434"/>
      <c r="B306" s="392"/>
      <c r="C306" s="393"/>
      <c r="D30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6" s="437"/>
      <c r="F306" s="397"/>
      <c r="G306" s="397"/>
      <c r="H306" s="432"/>
      <c r="I306" s="403"/>
      <c r="J306" s="403"/>
      <c r="K306" s="438" t="str">
        <f ca="1">+IF('[2]BROUILLARD DE CAISSE '!$C306="","",SUMIFS(INDIRECT("$K$7:K"&amp;ROW()),INDIRECT("$D$7:D"&amp;ROW()),"="&amp;"Report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6" s="403" t="str">
        <f ca="1">+IF($B306="","",SUMIFS(INDIRECT("$K$7:K"&amp;ROW()),INDIRECT("$B$7:B"&amp;ROW()),Tableau1535678910111213162523692[[#This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6" s="368"/>
      <c r="O306"/>
      <c r="P306"/>
      <c r="Q306"/>
      <c r="R306" s="368"/>
      <c r="S306" s="368"/>
      <c r="T306" s="368"/>
    </row>
    <row r="307" spans="1:20" ht="15" hidden="1" x14ac:dyDescent="0.3">
      <c r="A307" s="434"/>
      <c r="B307" s="392"/>
      <c r="C307" s="393"/>
      <c r="D30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7" s="437"/>
      <c r="F307" s="397"/>
      <c r="G307" s="397"/>
      <c r="H307" s="432"/>
      <c r="I307" s="403"/>
      <c r="J307" s="403"/>
      <c r="K307" s="438" t="str">
        <f ca="1">+IF('[2]BROUILLARD DE CAISSE '!$C307="","",SUMIFS(INDIRECT("$K$7:K"&amp;ROW()),INDIRECT("$D$7:D"&amp;ROW()),"="&amp;"Report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7" s="403" t="str">
        <f ca="1">+IF($B307="","",SUMIFS(INDIRECT("$K$7:K"&amp;ROW()),INDIRECT("$B$7:B"&amp;ROW()),Tableau1535678910111213162523692[[#This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7" s="368"/>
      <c r="O307"/>
      <c r="P307"/>
      <c r="Q307"/>
      <c r="R307" s="368"/>
      <c r="S307" s="368"/>
      <c r="T307" s="368"/>
    </row>
    <row r="308" spans="1:20" ht="15" hidden="1" x14ac:dyDescent="0.3">
      <c r="A308" s="434"/>
      <c r="B308" s="392"/>
      <c r="C308" s="393"/>
      <c r="D30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08" s="437"/>
      <c r="F308" s="397"/>
      <c r="G308" s="397"/>
      <c r="H308" s="432"/>
      <c r="I308" s="403"/>
      <c r="J308" s="403"/>
      <c r="K308" s="438" t="str">
        <f ca="1">+IF('[2]BROUILLARD DE CAISSE '!$C308="","",SUMIFS(INDIRECT("$K$7:K"&amp;ROW()),INDIRECT("$D$7:D"&amp;ROW()),"="&amp;"Report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08" s="403" t="str">
        <f ca="1">+IF($B308="","",SUMIFS(INDIRECT("$K$7:K"&amp;ROW()),INDIRECT("$B$7:B"&amp;ROW()),Tableau1535678910111213162523692[[#This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08" s="368"/>
      <c r="O308"/>
      <c r="P308"/>
      <c r="Q308"/>
      <c r="R308" s="368"/>
      <c r="S308" s="368"/>
      <c r="T308" s="368"/>
    </row>
    <row r="309" spans="1:20" ht="30" x14ac:dyDescent="0.3">
      <c r="A309" s="391" t="s">
        <v>2660</v>
      </c>
      <c r="B309" s="392" t="s">
        <v>2678</v>
      </c>
      <c r="C309" s="435">
        <v>45952</v>
      </c>
      <c r="D30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09" s="437" t="s">
        <v>2990</v>
      </c>
      <c r="F309" s="397" t="s">
        <v>2991</v>
      </c>
      <c r="G309" s="397"/>
      <c r="H309" s="432"/>
      <c r="I309" s="403"/>
      <c r="J309" s="403">
        <v>370000</v>
      </c>
      <c r="K309" s="438">
        <f ca="1">+IF('[2]BROUILLARD DE CAISSE '!$C309="","",SUMIFS(INDIRECT("$K$7:K"&amp;ROW()),INDIRECT("$D$7:D"&amp;ROW()),"="&amp;"Report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3163751</v>
      </c>
      <c r="L309" s="403">
        <f ca="1">+IF($B309="","",SUMIFS(INDIRECT("$K$7:K"&amp;ROW()),INDIRECT("$B$7:B"&amp;ROW()),Tableau1535678910111213162523692[[#This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3632251</v>
      </c>
      <c r="M309" s="368"/>
      <c r="O309"/>
      <c r="P309"/>
      <c r="Q309"/>
      <c r="R309" s="368"/>
      <c r="S309" s="368"/>
      <c r="T309" s="368"/>
    </row>
    <row r="310" spans="1:20" ht="30" x14ac:dyDescent="0.3">
      <c r="A310" s="391" t="s">
        <v>2660</v>
      </c>
      <c r="B310" s="392" t="s">
        <v>2678</v>
      </c>
      <c r="C310" s="442">
        <v>45952</v>
      </c>
      <c r="D310" s="443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10" s="444" t="s">
        <v>2679</v>
      </c>
      <c r="F310" s="445" t="s">
        <v>2992</v>
      </c>
      <c r="G310" s="397"/>
      <c r="H310" s="446"/>
      <c r="I310" s="447">
        <v>1455000</v>
      </c>
      <c r="J310" s="447"/>
      <c r="K310" s="448">
        <f ca="1">+IF('[2]BROUILLARD DE CAISSE '!$C310="","",SUMIFS(INDIRECT("$K$7:K"&amp;ROW()),INDIRECT("$D$7:D"&amp;ROW()),"="&amp;"Report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4618751</v>
      </c>
      <c r="L310" s="403">
        <f ca="1">+IF($B310="","",SUMIFS(INDIRECT("$K$7:K"&amp;ROW()),INDIRECT("$B$7:B"&amp;ROW()),Tableau1535678910111213162523692[[#This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5087251</v>
      </c>
      <c r="M310" s="368"/>
      <c r="O310"/>
      <c r="P310"/>
      <c r="Q310"/>
      <c r="R310" s="368"/>
      <c r="S310" s="368"/>
      <c r="T310" s="368"/>
    </row>
    <row r="311" spans="1:20" ht="30" x14ac:dyDescent="0.3">
      <c r="A311" s="391" t="s">
        <v>2660</v>
      </c>
      <c r="B311" s="392" t="s">
        <v>2678</v>
      </c>
      <c r="C311" s="442">
        <v>45952</v>
      </c>
      <c r="D311" s="443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11" s="444" t="s">
        <v>2679</v>
      </c>
      <c r="F311" s="445" t="s">
        <v>2993</v>
      </c>
      <c r="G311" s="397"/>
      <c r="H311" s="446"/>
      <c r="I311" s="447">
        <v>682000</v>
      </c>
      <c r="J311" s="447"/>
      <c r="K311" s="448">
        <f ca="1">+IF('[2]BROUILLARD DE CAISSE '!$C311="","",SUMIFS(INDIRECT("$K$7:K"&amp;ROW()),INDIRECT("$D$7:D"&amp;ROW()),"="&amp;"Report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5300751</v>
      </c>
      <c r="L311" s="403">
        <f ca="1">+IF($B311="","",SUMIFS(INDIRECT("$K$7:K"&amp;ROW()),INDIRECT("$B$7:B"&amp;ROW()),Tableau1535678910111213162523692[[#This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5769251</v>
      </c>
      <c r="M311" s="368"/>
      <c r="O311"/>
      <c r="P311"/>
      <c r="Q311"/>
      <c r="R311" s="368"/>
      <c r="S311" s="368"/>
      <c r="T311" s="368"/>
    </row>
    <row r="312" spans="1:20" ht="30" x14ac:dyDescent="0.3">
      <c r="A312" s="391" t="s">
        <v>2660</v>
      </c>
      <c r="B312" s="392" t="s">
        <v>2678</v>
      </c>
      <c r="C312" s="435">
        <v>45952</v>
      </c>
      <c r="D31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2" s="437" t="s">
        <v>2717</v>
      </c>
      <c r="F312" s="397" t="s">
        <v>2994</v>
      </c>
      <c r="G312" s="397"/>
      <c r="H312" s="432"/>
      <c r="I312" s="403"/>
      <c r="J312" s="403">
        <v>2525</v>
      </c>
      <c r="K312" s="438">
        <f ca="1">+IF('[2]BROUILLARD DE CAISSE '!$C312="","",SUMIFS(INDIRECT("$K$7:K"&amp;ROW()),INDIRECT("$D$7:D"&amp;ROW()),"="&amp;"Report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5298226</v>
      </c>
      <c r="L312" s="403">
        <f ca="1">+IF($B312="","",SUMIFS(INDIRECT("$K$7:K"&amp;ROW()),INDIRECT("$B$7:B"&amp;ROW()),Tableau1535678910111213162523692[[#This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5766726</v>
      </c>
      <c r="M312" s="368"/>
      <c r="O312"/>
      <c r="P312"/>
      <c r="Q312"/>
      <c r="R312" s="368"/>
      <c r="S312" s="368"/>
      <c r="T312" s="368"/>
    </row>
    <row r="313" spans="1:20" ht="30" x14ac:dyDescent="0.3">
      <c r="A313" s="391" t="s">
        <v>2660</v>
      </c>
      <c r="B313" s="392" t="s">
        <v>2678</v>
      </c>
      <c r="C313" s="435">
        <v>45952</v>
      </c>
      <c r="D31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3" s="437" t="s">
        <v>2749</v>
      </c>
      <c r="F313" s="397" t="s">
        <v>2995</v>
      </c>
      <c r="G313" s="397"/>
      <c r="H313" s="432" t="s">
        <v>2729</v>
      </c>
      <c r="I313" s="403"/>
      <c r="J313" s="403">
        <v>141000</v>
      </c>
      <c r="K313" s="438">
        <f ca="1">+IF('[2]BROUILLARD DE CAISSE '!$C313="","",SUMIFS(INDIRECT("$K$7:K"&amp;ROW()),INDIRECT("$D$7:D"&amp;ROW()),"="&amp;"Report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5157226</v>
      </c>
      <c r="L313" s="403">
        <f ca="1">+IF($B313="","",SUMIFS(INDIRECT("$K$7:K"&amp;ROW()),INDIRECT("$B$7:B"&amp;ROW()),Tableau1535678910111213162523692[[#This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5625726</v>
      </c>
      <c r="M313" s="368"/>
      <c r="O313"/>
      <c r="P313"/>
      <c r="Q313"/>
      <c r="R313" s="368"/>
      <c r="S313" s="368"/>
      <c r="T313" s="368"/>
    </row>
    <row r="314" spans="1:20" ht="30" x14ac:dyDescent="0.3">
      <c r="A314" s="391" t="s">
        <v>2660</v>
      </c>
      <c r="B314" s="392" t="s">
        <v>2678</v>
      </c>
      <c r="C314" s="435">
        <v>45952</v>
      </c>
      <c r="D31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4" s="437" t="s">
        <v>2749</v>
      </c>
      <c r="F314" s="397" t="s">
        <v>2996</v>
      </c>
      <c r="G314" s="397"/>
      <c r="H314" s="432" t="s">
        <v>2685</v>
      </c>
      <c r="I314" s="403"/>
      <c r="J314" s="403">
        <v>5100</v>
      </c>
      <c r="K314" s="438">
        <f ca="1">+IF('[2]BROUILLARD DE CAISSE '!$C314="","",SUMIFS(INDIRECT("$K$7:K"&amp;ROW()),INDIRECT("$D$7:D"&amp;ROW()),"="&amp;"Report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5152126</v>
      </c>
      <c r="L314" s="403">
        <f ca="1">+IF($B314="","",SUMIFS(INDIRECT("$K$7:K"&amp;ROW()),INDIRECT("$B$7:B"&amp;ROW()),Tableau1535678910111213162523692[[#This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5620626</v>
      </c>
      <c r="M314" s="368"/>
      <c r="O314"/>
      <c r="P314"/>
      <c r="Q314"/>
      <c r="R314" s="368"/>
      <c r="S314" s="368"/>
      <c r="T314" s="368"/>
    </row>
    <row r="315" spans="1:20" ht="30" x14ac:dyDescent="0.3">
      <c r="A315" s="391" t="s">
        <v>2660</v>
      </c>
      <c r="B315" s="392" t="s">
        <v>2678</v>
      </c>
      <c r="C315" s="435">
        <v>45952</v>
      </c>
      <c r="D31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5" s="437" t="s">
        <v>2997</v>
      </c>
      <c r="F315" s="397" t="s">
        <v>2998</v>
      </c>
      <c r="G315" s="397"/>
      <c r="H315" s="432"/>
      <c r="I315" s="403"/>
      <c r="J315" s="403">
        <v>121200</v>
      </c>
      <c r="K315" s="438">
        <f ca="1">+IF('[2]BROUILLARD DE CAISSE '!$C315="","",SUMIFS(INDIRECT("$K$7:K"&amp;ROW()),INDIRECT("$D$7:D"&amp;ROW()),"="&amp;"Report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5030926</v>
      </c>
      <c r="L315" s="403">
        <f ca="1">+IF($B315="","",SUMIFS(INDIRECT("$K$7:K"&amp;ROW()),INDIRECT("$B$7:B"&amp;ROW()),Tableau1535678910111213162523692[[#This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5499426</v>
      </c>
      <c r="M315" s="368"/>
      <c r="O315"/>
      <c r="P315"/>
      <c r="Q315"/>
      <c r="R315" s="368"/>
      <c r="S315" s="368"/>
      <c r="T315" s="368"/>
    </row>
    <row r="316" spans="1:20" ht="30" x14ac:dyDescent="0.3">
      <c r="A316" s="391" t="s">
        <v>2660</v>
      </c>
      <c r="B316" s="392" t="s">
        <v>2678</v>
      </c>
      <c r="C316" s="435">
        <v>45952</v>
      </c>
      <c r="D31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6" s="437" t="s">
        <v>2714</v>
      </c>
      <c r="F316" s="397" t="s">
        <v>2999</v>
      </c>
      <c r="G316" s="397"/>
      <c r="H316" s="432"/>
      <c r="I316" s="403"/>
      <c r="J316" s="403">
        <v>3400</v>
      </c>
      <c r="K316" s="438">
        <f ca="1">+IF('[2]BROUILLARD DE CAISSE '!$C316="","",SUMIFS(INDIRECT("$K$7:K"&amp;ROW()),INDIRECT("$D$7:D"&amp;ROW()),"="&amp;"Report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5027526</v>
      </c>
      <c r="L316" s="403">
        <f ca="1">+IF($B316="","",SUMIFS(INDIRECT("$K$7:K"&amp;ROW()),INDIRECT("$B$7:B"&amp;ROW()),Tableau1535678910111213162523692[[#This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5496026</v>
      </c>
      <c r="M316" s="368"/>
      <c r="O316"/>
      <c r="P316"/>
      <c r="Q316"/>
      <c r="R316" s="368"/>
      <c r="S316" s="368"/>
      <c r="T316" s="368"/>
    </row>
    <row r="317" spans="1:20" ht="30" x14ac:dyDescent="0.3">
      <c r="A317" s="391" t="s">
        <v>2660</v>
      </c>
      <c r="B317" s="392" t="s">
        <v>2678</v>
      </c>
      <c r="C317" s="435">
        <v>45952</v>
      </c>
      <c r="D31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7" s="395" t="s">
        <v>2731</v>
      </c>
      <c r="F317" s="397" t="s">
        <v>3000</v>
      </c>
      <c r="G317" s="397"/>
      <c r="H317" s="432"/>
      <c r="I317" s="403"/>
      <c r="J317" s="403">
        <v>4900</v>
      </c>
      <c r="K317" s="438">
        <f ca="1">+IF('[2]BROUILLARD DE CAISSE '!$C317="","",SUMIFS(INDIRECT("$K$7:K"&amp;ROW()),INDIRECT("$D$7:D"&amp;ROW()),"="&amp;"Report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5022626</v>
      </c>
      <c r="L317" s="403">
        <f ca="1">+IF($B317="","",SUMIFS(INDIRECT("$K$7:K"&amp;ROW()),INDIRECT("$B$7:B"&amp;ROW()),Tableau1535678910111213162523692[[#This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>5491126</v>
      </c>
      <c r="M317" s="368"/>
      <c r="O317"/>
      <c r="P317"/>
      <c r="Q317"/>
      <c r="R317" s="368"/>
      <c r="S317" s="368"/>
      <c r="T317" s="368"/>
    </row>
    <row r="318" spans="1:20" ht="15" x14ac:dyDescent="0.3">
      <c r="A318" s="434"/>
      <c r="B318" s="392"/>
      <c r="C318" s="435">
        <v>45953</v>
      </c>
      <c r="D31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8" s="437" t="s">
        <v>3001</v>
      </c>
      <c r="F318" s="397" t="s">
        <v>3002</v>
      </c>
      <c r="G318" s="397" t="s">
        <v>2702</v>
      </c>
      <c r="H318" s="432"/>
      <c r="I318" s="403"/>
      <c r="J318" s="403">
        <v>344410</v>
      </c>
      <c r="K318" s="438">
        <f ca="1">+IF('[2]BROUILLARD DE CAISSE '!$C318="","",SUMIFS(INDIRECT("$K$7:K"&amp;ROW()),INDIRECT("$D$7:D"&amp;ROW()),"="&amp;"Report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4678216</v>
      </c>
      <c r="L318" s="403" t="str">
        <f ca="1">+IF($B318="","",SUMIFS(INDIRECT("$K$7:K"&amp;ROW()),INDIRECT("$B$7:B"&amp;ROW()),Tableau1535678910111213162523692[[#This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18" s="368"/>
      <c r="O318"/>
      <c r="P318"/>
      <c r="Q318"/>
      <c r="R318" s="368"/>
      <c r="S318" s="368"/>
      <c r="T318" s="368"/>
    </row>
    <row r="319" spans="1:20" ht="15" x14ac:dyDescent="0.3">
      <c r="A319" s="434"/>
      <c r="B319" s="392"/>
      <c r="C319" s="435">
        <v>45953</v>
      </c>
      <c r="D31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19" s="437" t="s">
        <v>3001</v>
      </c>
      <c r="F319" s="397" t="s">
        <v>3003</v>
      </c>
      <c r="G319" s="397" t="s">
        <v>2702</v>
      </c>
      <c r="H319" s="432"/>
      <c r="I319" s="403"/>
      <c r="J319" s="403">
        <v>688820</v>
      </c>
      <c r="K319" s="438">
        <f ca="1">+IF('[2]BROUILLARD DE CAISSE '!$C319="","",SUMIFS(INDIRECT("$K$7:K"&amp;ROW()),INDIRECT("$D$7:D"&amp;ROW()),"="&amp;"Report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3989396</v>
      </c>
      <c r="L319" s="403" t="str">
        <f ca="1">+IF($B319="","",SUMIFS(INDIRECT("$K$7:K"&amp;ROW()),INDIRECT("$B$7:B"&amp;ROW()),Tableau1535678910111213162523692[[#This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19" s="368"/>
      <c r="O319"/>
      <c r="P319"/>
      <c r="Q319"/>
      <c r="R319" s="368"/>
      <c r="S319" s="368"/>
      <c r="T319" s="368"/>
    </row>
    <row r="320" spans="1:20" ht="15" x14ac:dyDescent="0.3">
      <c r="A320" s="434"/>
      <c r="B320" s="392"/>
      <c r="C320" s="435">
        <v>45953</v>
      </c>
      <c r="D32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0" s="437" t="s">
        <v>2749</v>
      </c>
      <c r="F320" s="397" t="s">
        <v>3004</v>
      </c>
      <c r="G320" s="397"/>
      <c r="H320" s="432"/>
      <c r="I320" s="403"/>
      <c r="J320" s="403">
        <v>237000</v>
      </c>
      <c r="K320" s="438">
        <f ca="1">+IF('[2]BROUILLARD DE CAISSE '!$C320="","",SUMIFS(INDIRECT("$K$7:K"&amp;ROW()),INDIRECT("$D$7:D"&amp;ROW()),"="&amp;"Report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3752396</v>
      </c>
      <c r="L320" s="403" t="str">
        <f ca="1">+IF($B320="","",SUMIFS(INDIRECT("$K$7:K"&amp;ROW()),INDIRECT("$B$7:B"&amp;ROW()),Tableau1535678910111213162523692[[#This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0" s="368"/>
      <c r="O320"/>
      <c r="P320"/>
      <c r="Q320"/>
      <c r="R320" s="368"/>
      <c r="S320" s="368"/>
      <c r="T320" s="368"/>
    </row>
    <row r="321" spans="1:20" ht="15" x14ac:dyDescent="0.3">
      <c r="A321" s="434"/>
      <c r="B321" s="392"/>
      <c r="C321" s="435">
        <v>45953</v>
      </c>
      <c r="D32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1" s="437" t="s">
        <v>2714</v>
      </c>
      <c r="F321" s="397" t="s">
        <v>3005</v>
      </c>
      <c r="G321" s="397"/>
      <c r="H321" s="432"/>
      <c r="I321" s="403"/>
      <c r="J321" s="403">
        <v>7000</v>
      </c>
      <c r="K321" s="438">
        <f ca="1">+IF('[2]BROUILLARD DE CAISSE '!$C321="","",SUMIFS(INDIRECT("$K$7:K"&amp;ROW()),INDIRECT("$D$7:D"&amp;ROW()),"="&amp;"Report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3745396</v>
      </c>
      <c r="L321" s="403" t="str">
        <f ca="1">+IF($B321="","",SUMIFS(INDIRECT("$K$7:K"&amp;ROW()),INDIRECT("$B$7:B"&amp;ROW()),Tableau1535678910111213162523692[[#This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1" s="368"/>
      <c r="O321"/>
      <c r="P321"/>
      <c r="Q321"/>
      <c r="R321" s="368"/>
      <c r="S321" s="368"/>
      <c r="T321" s="368"/>
    </row>
    <row r="322" spans="1:20" ht="15" x14ac:dyDescent="0.3">
      <c r="A322" s="434"/>
      <c r="B322" s="392"/>
      <c r="C322" s="435">
        <v>45953</v>
      </c>
      <c r="D32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2" s="437" t="s">
        <v>3006</v>
      </c>
      <c r="F322" s="397" t="s">
        <v>2790</v>
      </c>
      <c r="G322" s="397"/>
      <c r="H322" s="432"/>
      <c r="I322" s="403"/>
      <c r="J322" s="403">
        <v>348450</v>
      </c>
      <c r="K322" s="438">
        <f ca="1">+IF('[2]BROUILLARD DE CAISSE '!$C322="","",SUMIFS(INDIRECT("$K$7:K"&amp;ROW()),INDIRECT("$D$7:D"&amp;ROW()),"="&amp;"Report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3396946</v>
      </c>
      <c r="L322" s="403" t="str">
        <f ca="1">+IF($B322="","",SUMIFS(INDIRECT("$K$7:K"&amp;ROW()),INDIRECT("$B$7:B"&amp;ROW()),Tableau1535678910111213162523692[[#This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2" s="368"/>
      <c r="O322"/>
      <c r="P322"/>
      <c r="Q322"/>
      <c r="R322" s="368"/>
      <c r="S322" s="368"/>
      <c r="T322" s="368"/>
    </row>
    <row r="323" spans="1:20" ht="15" x14ac:dyDescent="0.3">
      <c r="A323" s="434"/>
      <c r="B323" s="392"/>
      <c r="C323" s="435">
        <v>45953</v>
      </c>
      <c r="D32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3" s="437" t="s">
        <v>2717</v>
      </c>
      <c r="F323" s="397" t="s">
        <v>3007</v>
      </c>
      <c r="G323" s="397"/>
      <c r="H323" s="432"/>
      <c r="I323" s="403"/>
      <c r="J323" s="403">
        <v>2020</v>
      </c>
      <c r="K323" s="438">
        <f ca="1">+IF('[2]BROUILLARD DE CAISSE '!$C323="","",SUMIFS(INDIRECT("$K$7:K"&amp;ROW()),INDIRECT("$D$7:D"&amp;ROW()),"="&amp;"Report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3394926</v>
      </c>
      <c r="L323" s="403" t="str">
        <f ca="1">+IF($B323="","",SUMIFS(INDIRECT("$K$7:K"&amp;ROW()),INDIRECT("$B$7:B"&amp;ROW()),Tableau1535678910111213162523692[[#This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3" s="368"/>
      <c r="O323"/>
      <c r="P323"/>
      <c r="Q323"/>
      <c r="R323" s="368"/>
      <c r="S323" s="368"/>
      <c r="T323" s="368"/>
    </row>
    <row r="324" spans="1:20" ht="15" x14ac:dyDescent="0.3">
      <c r="A324" s="434"/>
      <c r="B324" s="392"/>
      <c r="C324" s="435">
        <v>45953</v>
      </c>
      <c r="D32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4" s="437" t="s">
        <v>2714</v>
      </c>
      <c r="F324" s="397" t="s">
        <v>3008</v>
      </c>
      <c r="G324" s="397"/>
      <c r="H324" s="432"/>
      <c r="I324" s="403"/>
      <c r="J324" s="403">
        <v>2600</v>
      </c>
      <c r="K324" s="438">
        <f ca="1">+IF('[2]BROUILLARD DE CAISSE '!$C324="","",SUMIFS(INDIRECT("$K$7:K"&amp;ROW()),INDIRECT("$D$7:D"&amp;ROW()),"="&amp;"Report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3392326</v>
      </c>
      <c r="L324" s="403" t="str">
        <f ca="1">+IF($B324="","",SUMIFS(INDIRECT("$K$7:K"&amp;ROW()),INDIRECT("$B$7:B"&amp;ROW()),Tableau1535678910111213162523692[[#This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4" s="368"/>
      <c r="O324"/>
      <c r="P324"/>
      <c r="Q324"/>
      <c r="R324" s="368"/>
      <c r="S324" s="368"/>
      <c r="T324" s="368"/>
    </row>
    <row r="325" spans="1:20" ht="15" x14ac:dyDescent="0.3">
      <c r="A325" s="434"/>
      <c r="B325" s="392"/>
      <c r="C325" s="435">
        <v>45953</v>
      </c>
      <c r="D32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5" s="437" t="s">
        <v>2813</v>
      </c>
      <c r="F325" s="397" t="s">
        <v>3009</v>
      </c>
      <c r="G325" s="397"/>
      <c r="H325" s="432"/>
      <c r="I325" s="403"/>
      <c r="J325" s="403">
        <v>3030</v>
      </c>
      <c r="K325" s="438">
        <f ca="1">+IF('[2]BROUILLARD DE CAISSE '!$C325="","",SUMIFS(INDIRECT("$K$7:K"&amp;ROW()),INDIRECT("$D$7:D"&amp;ROW()),"="&amp;"Report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3389296</v>
      </c>
      <c r="L325" s="403" t="str">
        <f ca="1">+IF($B325="","",SUMIFS(INDIRECT("$K$7:K"&amp;ROW()),INDIRECT("$B$7:B"&amp;ROW()),Tableau1535678910111213162523692[[#This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5" s="368"/>
      <c r="O325"/>
      <c r="P325"/>
      <c r="Q325"/>
      <c r="R325" s="368"/>
      <c r="S325" s="368"/>
      <c r="T325" s="368"/>
    </row>
    <row r="326" spans="1:20" ht="15" x14ac:dyDescent="0.3">
      <c r="A326" s="434"/>
      <c r="B326" s="392"/>
      <c r="C326" s="435">
        <v>45953</v>
      </c>
      <c r="D32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6" s="437" t="s">
        <v>2887</v>
      </c>
      <c r="F326" s="397" t="s">
        <v>3010</v>
      </c>
      <c r="G326" s="397"/>
      <c r="H326" s="432"/>
      <c r="I326" s="403"/>
      <c r="J326" s="403">
        <v>3030</v>
      </c>
      <c r="K326" s="438">
        <f ca="1">+IF('[2]BROUILLARD DE CAISSE '!$C326="","",SUMIFS(INDIRECT("$K$7:K"&amp;ROW()),INDIRECT("$D$7:D"&amp;ROW()),"="&amp;"Report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3386266</v>
      </c>
      <c r="L326" s="403" t="str">
        <f ca="1">+IF($B326="","",SUMIFS(INDIRECT("$K$7:K"&amp;ROW()),INDIRECT("$B$7:B"&amp;ROW()),Tableau1535678910111213162523692[[#This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6" s="368"/>
      <c r="O326"/>
      <c r="P326"/>
      <c r="Q326"/>
      <c r="R326" s="368"/>
      <c r="S326" s="368"/>
      <c r="T326" s="368"/>
    </row>
    <row r="327" spans="1:20" s="412" customFormat="1" ht="15" x14ac:dyDescent="0.3">
      <c r="A327" s="434"/>
      <c r="B327" s="392"/>
      <c r="C327" s="449">
        <v>45953</v>
      </c>
      <c r="D327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7" s="440" t="s">
        <v>2710</v>
      </c>
      <c r="F327" s="409" t="s">
        <v>3011</v>
      </c>
      <c r="G327" s="397"/>
      <c r="H327" s="433"/>
      <c r="I327" s="414"/>
      <c r="J327" s="414">
        <v>8080</v>
      </c>
      <c r="K327" s="441">
        <f ca="1">+IF('[2]BROUILLARD DE CAISSE '!$C327="","",SUMIFS(INDIRECT("$K$7:K"&amp;ROW()),INDIRECT("$D$7:D"&amp;ROW()),"="&amp;"Report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3378186</v>
      </c>
      <c r="L327" s="403" t="str">
        <f ca="1">+IF($B327="","",SUMIFS(INDIRECT("$K$7:K"&amp;ROW()),INDIRECT("$B$7:B"&amp;ROW()),Tableau1535678910111213162523692[[#This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27" s="314"/>
      <c r="P327" s="314"/>
      <c r="Q327" s="314"/>
    </row>
    <row r="328" spans="1:20" s="412" customFormat="1" ht="15" x14ac:dyDescent="0.3">
      <c r="A328" s="434"/>
      <c r="B328" s="392"/>
      <c r="C328" s="449">
        <v>45953</v>
      </c>
      <c r="D328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28" s="440" t="s">
        <v>2928</v>
      </c>
      <c r="F328" s="409" t="s">
        <v>3012</v>
      </c>
      <c r="G328" s="450"/>
      <c r="H328" s="433"/>
      <c r="I328" s="414"/>
      <c r="J328" s="414">
        <v>5000</v>
      </c>
      <c r="K328" s="441">
        <f ca="1">+IF('[2]BROUILLARD DE CAISSE '!$C328="","",SUMIFS(INDIRECT("$K$7:K"&amp;ROW()),INDIRECT("$D$7:D"&amp;ROW()),"="&amp;"Report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3373186</v>
      </c>
      <c r="L328" s="403" t="str">
        <f ca="1">+IF($B328="","",SUMIFS(INDIRECT("$K$7:K"&amp;ROW()),INDIRECT("$B$7:B"&amp;ROW()),Tableau1535678910111213162523692[[#This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28" s="314"/>
      <c r="P328" s="314"/>
      <c r="Q328" s="314"/>
    </row>
    <row r="329" spans="1:20" ht="15" x14ac:dyDescent="0.3">
      <c r="A329" s="434"/>
      <c r="B329" s="392"/>
      <c r="C329" s="435">
        <v>45953</v>
      </c>
      <c r="D32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29" s="437" t="s">
        <v>2679</v>
      </c>
      <c r="F329" s="397" t="s">
        <v>2735</v>
      </c>
      <c r="G329" s="397"/>
      <c r="H329" s="432"/>
      <c r="I329" s="403">
        <v>1000000</v>
      </c>
      <c r="J329" s="403"/>
      <c r="K329" s="438">
        <f ca="1">+IF('[2]BROUILLARD DE CAISSE '!$C329="","",SUMIFS(INDIRECT("$K$7:K"&amp;ROW()),INDIRECT("$D$7:D"&amp;ROW()),"="&amp;"Report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4373186</v>
      </c>
      <c r="L329" s="403" t="str">
        <f ca="1">+IF($B329="","",SUMIFS(INDIRECT("$K$7:K"&amp;ROW()),INDIRECT("$B$7:B"&amp;ROW()),Tableau1535678910111213162523692[[#This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29" s="368"/>
      <c r="O329"/>
      <c r="P329"/>
      <c r="Q329"/>
      <c r="R329" s="368"/>
      <c r="S329" s="368"/>
      <c r="T329" s="368"/>
    </row>
    <row r="330" spans="1:20" ht="15" x14ac:dyDescent="0.3">
      <c r="A330" s="434"/>
      <c r="B330" s="392"/>
      <c r="C330" s="435">
        <v>45953</v>
      </c>
      <c r="D33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0" s="437" t="s">
        <v>2736</v>
      </c>
      <c r="F330" s="397" t="s">
        <v>3013</v>
      </c>
      <c r="G330" s="397"/>
      <c r="H330" s="432"/>
      <c r="I330" s="403"/>
      <c r="J330" s="403">
        <v>1000000</v>
      </c>
      <c r="K330" s="438">
        <f ca="1">+IF('[2]BROUILLARD DE CAISSE '!$C330="","",SUMIFS(INDIRECT("$K$7:K"&amp;ROW()),INDIRECT("$D$7:D"&amp;ROW()),"="&amp;"Report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3373186</v>
      </c>
      <c r="L330" s="403" t="str">
        <f ca="1">+IF($B330="","",SUMIFS(INDIRECT("$K$7:K"&amp;ROW()),INDIRECT("$B$7:B"&amp;ROW()),Tableau1535678910111213162523692[[#This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0" s="368"/>
      <c r="O330"/>
      <c r="P330"/>
      <c r="Q330"/>
      <c r="R330" s="368"/>
      <c r="S330" s="368"/>
      <c r="T330" s="368"/>
    </row>
    <row r="331" spans="1:20" ht="15" x14ac:dyDescent="0.3">
      <c r="A331" s="434"/>
      <c r="B331" s="392"/>
      <c r="C331" s="451">
        <v>45954</v>
      </c>
      <c r="D33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1" s="437" t="s">
        <v>2727</v>
      </c>
      <c r="F331" s="397" t="s">
        <v>3014</v>
      </c>
      <c r="G331" s="397"/>
      <c r="H331" s="432" t="s">
        <v>2729</v>
      </c>
      <c r="I331" s="403"/>
      <c r="J331" s="403">
        <v>10000</v>
      </c>
      <c r="K331" s="438">
        <f ca="1">+IF('[2]BROUILLARD DE CAISSE '!$C331="","",SUMIFS(INDIRECT("$K$7:K"&amp;ROW()),INDIRECT("$D$7:D"&amp;ROW()),"="&amp;"Report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3363186</v>
      </c>
      <c r="L331" s="403" t="str">
        <f ca="1">+IF($B331="","",SUMIFS(INDIRECT("$K$7:K"&amp;ROW()),INDIRECT("$B$7:B"&amp;ROW()),Tableau1535678910111213162523692[[#This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1" s="368"/>
      <c r="O331"/>
      <c r="P331"/>
      <c r="Q331"/>
      <c r="R331" s="368"/>
      <c r="S331" s="368"/>
      <c r="T331" s="368"/>
    </row>
    <row r="332" spans="1:20" ht="15" x14ac:dyDescent="0.3">
      <c r="A332" s="434"/>
      <c r="B332" s="392"/>
      <c r="C332" s="451">
        <v>45954</v>
      </c>
      <c r="D33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2" s="437" t="s">
        <v>3015</v>
      </c>
      <c r="F332" s="397" t="s">
        <v>3016</v>
      </c>
      <c r="G332" s="397"/>
      <c r="H332" s="432"/>
      <c r="I332" s="403"/>
      <c r="J332" s="403">
        <v>15150</v>
      </c>
      <c r="K332" s="438">
        <f ca="1">+IF('[2]BROUILLARD DE CAISSE '!$C332="","",SUMIFS(INDIRECT("$K$7:K"&amp;ROW()),INDIRECT("$D$7:D"&amp;ROW()),"="&amp;"Report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3348036</v>
      </c>
      <c r="L332" s="403" t="str">
        <f ca="1">+IF($B332="","",SUMIFS(INDIRECT("$K$7:K"&amp;ROW()),INDIRECT("$B$7:B"&amp;ROW()),Tableau1535678910111213162523692[[#This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2" s="368"/>
      <c r="O332"/>
      <c r="P332"/>
      <c r="Q332"/>
      <c r="R332" s="368"/>
      <c r="S332" s="368"/>
      <c r="T332" s="368"/>
    </row>
    <row r="333" spans="1:20" s="412" customFormat="1" ht="15" x14ac:dyDescent="0.3">
      <c r="A333" s="434"/>
      <c r="B333" s="392"/>
      <c r="C333" s="452">
        <v>45954</v>
      </c>
      <c r="D333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3" s="440" t="s">
        <v>3017</v>
      </c>
      <c r="F333" s="409" t="s">
        <v>3018</v>
      </c>
      <c r="G333" s="397"/>
      <c r="H333" s="433"/>
      <c r="I333" s="414"/>
      <c r="J333" s="414">
        <f>220000+2600</f>
        <v>222600</v>
      </c>
      <c r="K333" s="441">
        <f ca="1">+IF('[2]BROUILLARD DE CAISSE '!$C333="","",SUMIFS(INDIRECT("$K$7:K"&amp;ROW()),INDIRECT("$D$7:D"&amp;ROW()),"="&amp;"Report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3125436</v>
      </c>
      <c r="L333" s="403" t="str">
        <f ca="1">+IF($B333="","",SUMIFS(INDIRECT("$K$7:K"&amp;ROW()),INDIRECT("$B$7:B"&amp;ROW()),Tableau1535678910111213162523692[[#This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33" s="314"/>
      <c r="P333" s="314"/>
      <c r="Q333" s="314"/>
    </row>
    <row r="334" spans="1:20" ht="15" x14ac:dyDescent="0.3">
      <c r="A334" s="434"/>
      <c r="B334" s="392"/>
      <c r="C334" s="451">
        <v>45957</v>
      </c>
      <c r="D33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4" s="437" t="s">
        <v>2878</v>
      </c>
      <c r="F334" s="397" t="s">
        <v>3019</v>
      </c>
      <c r="G334" s="397" t="s">
        <v>2702</v>
      </c>
      <c r="H334" s="432"/>
      <c r="I334" s="403"/>
      <c r="J334" s="403">
        <v>400000</v>
      </c>
      <c r="K334" s="438">
        <f ca="1">+IF('[2]BROUILLARD DE CAISSE '!$C334="","",SUMIFS(INDIRECT("$K$7:K"&amp;ROW()),INDIRECT("$D$7:D"&amp;ROW()),"="&amp;"Report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2725436</v>
      </c>
      <c r="L334" s="403" t="str">
        <f ca="1">+IF($B334="","",SUMIFS(INDIRECT("$K$7:K"&amp;ROW()),INDIRECT("$B$7:B"&amp;ROW()),Tableau1535678910111213162523692[[#This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4" s="368"/>
      <c r="O334"/>
      <c r="P334"/>
      <c r="Q334"/>
      <c r="R334" s="368"/>
      <c r="S334" s="368"/>
      <c r="T334" s="368"/>
    </row>
    <row r="335" spans="1:20" ht="15" x14ac:dyDescent="0.3">
      <c r="A335" s="434"/>
      <c r="B335" s="392"/>
      <c r="C335" s="451">
        <v>45957</v>
      </c>
      <c r="D33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5" s="437" t="s">
        <v>2878</v>
      </c>
      <c r="F335" s="397" t="s">
        <v>3020</v>
      </c>
      <c r="G335" s="397" t="s">
        <v>2702</v>
      </c>
      <c r="H335" s="432"/>
      <c r="I335" s="403"/>
      <c r="J335" s="403">
        <v>800000</v>
      </c>
      <c r="K335" s="438">
        <f ca="1">+IF('[2]BROUILLARD DE CAISSE '!$C335="","",SUMIFS(INDIRECT("$K$7:K"&amp;ROW()),INDIRECT("$D$7:D"&amp;ROW()),"="&amp;"Report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1925436</v>
      </c>
      <c r="L335" s="403" t="str">
        <f ca="1">+IF($B335="","",SUMIFS(INDIRECT("$K$7:K"&amp;ROW()),INDIRECT("$B$7:B"&amp;ROW()),Tableau1535678910111213162523692[[#This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5" s="368"/>
      <c r="O335"/>
      <c r="P335"/>
      <c r="Q335"/>
      <c r="R335" s="368"/>
      <c r="S335" s="368"/>
      <c r="T335" s="368"/>
    </row>
    <row r="336" spans="1:20" ht="15" x14ac:dyDescent="0.3">
      <c r="A336" s="434"/>
      <c r="B336" s="392"/>
      <c r="C336" s="451">
        <v>45957</v>
      </c>
      <c r="D33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6" s="437" t="s">
        <v>2714</v>
      </c>
      <c r="F336" s="397" t="s">
        <v>3021</v>
      </c>
      <c r="G336" s="397"/>
      <c r="H336" s="432"/>
      <c r="I336" s="403"/>
      <c r="J336" s="403">
        <v>3600</v>
      </c>
      <c r="K336" s="438">
        <f ca="1">+IF('[2]BROUILLARD DE CAISSE '!$C336="","",SUMIFS(INDIRECT("$K$7:K"&amp;ROW()),INDIRECT("$D$7:D"&amp;ROW()),"="&amp;"Report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1921836</v>
      </c>
      <c r="L336" s="403" t="str">
        <f ca="1">+IF($B336="","",SUMIFS(INDIRECT("$K$7:K"&amp;ROW()),INDIRECT("$B$7:B"&amp;ROW()),Tableau1535678910111213162523692[[#This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6" s="368"/>
      <c r="O336"/>
      <c r="P336"/>
      <c r="Q336"/>
      <c r="R336" s="368"/>
      <c r="S336" s="368"/>
      <c r="T336" s="368"/>
    </row>
    <row r="337" spans="1:20" ht="15" x14ac:dyDescent="0.3">
      <c r="A337" s="434"/>
      <c r="B337" s="392"/>
      <c r="C337" s="451">
        <v>45957</v>
      </c>
      <c r="D33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7" s="437" t="s">
        <v>2813</v>
      </c>
      <c r="F337" s="397" t="s">
        <v>3022</v>
      </c>
      <c r="G337" s="397"/>
      <c r="H337" s="432"/>
      <c r="I337" s="403"/>
      <c r="J337" s="403">
        <v>48480</v>
      </c>
      <c r="K337" s="438">
        <f ca="1">+IF('[2]BROUILLARD DE CAISSE '!$C337="","",SUMIFS(INDIRECT("$K$7:K"&amp;ROW()),INDIRECT("$D$7:D"&amp;ROW()),"="&amp;"Report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1873356</v>
      </c>
      <c r="L337" s="403" t="str">
        <f ca="1">+IF($B337="","",SUMIFS(INDIRECT("$K$7:K"&amp;ROW()),INDIRECT("$B$7:B"&amp;ROW()),Tableau1535678910111213162523692[[#This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7" s="368"/>
      <c r="O337"/>
      <c r="P337"/>
      <c r="Q337"/>
      <c r="R337" s="368"/>
      <c r="S337" s="368"/>
      <c r="T337" s="368"/>
    </row>
    <row r="338" spans="1:20" ht="15" x14ac:dyDescent="0.3">
      <c r="A338" s="434"/>
      <c r="B338" s="392"/>
      <c r="C338" s="451">
        <v>45957</v>
      </c>
      <c r="D33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38" s="437" t="s">
        <v>3023</v>
      </c>
      <c r="F338" s="397" t="s">
        <v>3024</v>
      </c>
      <c r="G338" s="397"/>
      <c r="H338" s="432"/>
      <c r="I338" s="403"/>
      <c r="J338" s="403">
        <v>36360</v>
      </c>
      <c r="K338" s="438">
        <f ca="1">+IF('[2]BROUILLARD DE CAISSE '!$C338="","",SUMIFS(INDIRECT("$K$7:K"&amp;ROW()),INDIRECT("$D$7:D"&amp;ROW()),"="&amp;"Report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1836996</v>
      </c>
      <c r="L338" s="403" t="str">
        <f ca="1">+IF($B338="","",SUMIFS(INDIRECT("$K$7:K"&amp;ROW()),INDIRECT("$B$7:B"&amp;ROW()),Tableau1535678910111213162523692[[#This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8" s="368"/>
      <c r="O338"/>
      <c r="P338"/>
      <c r="Q338"/>
      <c r="R338" s="368"/>
      <c r="S338" s="368"/>
      <c r="T338" s="368"/>
    </row>
    <row r="339" spans="1:20" ht="15" x14ac:dyDescent="0.3">
      <c r="A339" s="434"/>
      <c r="B339" s="392"/>
      <c r="C339" s="451">
        <v>45957</v>
      </c>
      <c r="D33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39" s="437" t="s">
        <v>2679</v>
      </c>
      <c r="F339" s="397" t="s">
        <v>3025</v>
      </c>
      <c r="G339" s="397"/>
      <c r="H339" s="432"/>
      <c r="I339" s="403">
        <v>2000000</v>
      </c>
      <c r="J339" s="403"/>
      <c r="K339" s="438">
        <f ca="1">+IF('[2]BROUILLARD DE CAISSE '!$C339="","",SUMIFS(INDIRECT("$K$7:K"&amp;ROW()),INDIRECT("$D$7:D"&amp;ROW()),"="&amp;"Report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3836996</v>
      </c>
      <c r="L339" s="403" t="str">
        <f ca="1">+IF($B339="","",SUMIFS(INDIRECT("$K$7:K"&amp;ROW()),INDIRECT("$B$7:B"&amp;ROW()),Tableau1535678910111213162523692[[#This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39" s="368"/>
      <c r="O339"/>
      <c r="P339"/>
      <c r="Q339"/>
      <c r="R339" s="368"/>
      <c r="S339" s="368"/>
      <c r="T339" s="368"/>
    </row>
    <row r="340" spans="1:20" ht="15" x14ac:dyDescent="0.3">
      <c r="A340" s="434"/>
      <c r="B340" s="392"/>
      <c r="C340" s="451">
        <v>45958</v>
      </c>
      <c r="D34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40" s="437" t="s">
        <v>2679</v>
      </c>
      <c r="F340" s="397" t="s">
        <v>3026</v>
      </c>
      <c r="G340" s="397"/>
      <c r="H340" s="432"/>
      <c r="I340" s="403">
        <v>100000</v>
      </c>
      <c r="J340" s="403"/>
      <c r="K340" s="438">
        <f ca="1">+IF('[2]BROUILLARD DE CAISSE '!$C340="","",SUMIFS(INDIRECT("$K$7:K"&amp;ROW()),INDIRECT("$D$7:D"&amp;ROW()),"="&amp;"Report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3936996</v>
      </c>
      <c r="L340" s="403" t="str">
        <f ca="1">+IF($B340="","",SUMIFS(INDIRECT("$K$7:K"&amp;ROW()),INDIRECT("$B$7:B"&amp;ROW()),Tableau1535678910111213162523692[[#This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0" s="368"/>
      <c r="O340"/>
      <c r="P340"/>
      <c r="Q340"/>
      <c r="R340" s="368"/>
      <c r="S340" s="368"/>
      <c r="T340" s="368"/>
    </row>
    <row r="341" spans="1:20" ht="15" x14ac:dyDescent="0.3">
      <c r="A341" s="434"/>
      <c r="B341" s="392"/>
      <c r="C341" s="451">
        <v>45958</v>
      </c>
      <c r="D34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1" s="437" t="s">
        <v>2844</v>
      </c>
      <c r="F341" s="397" t="s">
        <v>3027</v>
      </c>
      <c r="G341" s="397"/>
      <c r="H341" s="432" t="s">
        <v>2811</v>
      </c>
      <c r="I341" s="403"/>
      <c r="J341" s="403">
        <v>65000</v>
      </c>
      <c r="K341" s="438">
        <f ca="1">+IF('[2]BROUILLARD DE CAISSE '!$C341="","",SUMIFS(INDIRECT("$K$7:K"&amp;ROW()),INDIRECT("$D$7:D"&amp;ROW()),"="&amp;"Report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3871996</v>
      </c>
      <c r="L341" s="403" t="str">
        <f ca="1">+IF($B341="","",SUMIFS(INDIRECT("$K$7:K"&amp;ROW()),INDIRECT("$B$7:B"&amp;ROW()),Tableau1535678910111213162523692[[#This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1" s="368"/>
      <c r="O341"/>
      <c r="P341"/>
      <c r="Q341"/>
      <c r="R341" s="368"/>
      <c r="S341" s="368"/>
      <c r="T341" s="368"/>
    </row>
    <row r="342" spans="1:20" ht="15" x14ac:dyDescent="0.3">
      <c r="A342" s="434"/>
      <c r="B342" s="392"/>
      <c r="C342" s="451">
        <v>45958</v>
      </c>
      <c r="D34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2" s="437" t="s">
        <v>3028</v>
      </c>
      <c r="F342" s="397" t="s">
        <v>3029</v>
      </c>
      <c r="G342" s="397"/>
      <c r="H342" s="432"/>
      <c r="I342" s="403"/>
      <c r="J342" s="403">
        <v>3000</v>
      </c>
      <c r="K342" s="438">
        <f ca="1">+IF('[2]BROUILLARD DE CAISSE '!$C342="","",SUMIFS(INDIRECT("$K$7:K"&amp;ROW()),INDIRECT("$D$7:D"&amp;ROW()),"="&amp;"Report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3868996</v>
      </c>
      <c r="L342" s="403" t="str">
        <f ca="1">+IF($B342="","",SUMIFS(INDIRECT("$K$7:K"&amp;ROW()),INDIRECT("$B$7:B"&amp;ROW()),Tableau1535678910111213162523692[[#This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2" s="368"/>
      <c r="O342"/>
      <c r="P342"/>
      <c r="Q342"/>
      <c r="R342" s="368"/>
      <c r="S342" s="368"/>
      <c r="T342" s="368"/>
    </row>
    <row r="343" spans="1:20" ht="15" x14ac:dyDescent="0.3">
      <c r="A343" s="434"/>
      <c r="B343" s="392"/>
      <c r="C343" s="451">
        <v>45958</v>
      </c>
      <c r="D34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3" s="437" t="s">
        <v>3028</v>
      </c>
      <c r="F343" s="397" t="s">
        <v>3030</v>
      </c>
      <c r="G343" s="397"/>
      <c r="H343" s="432"/>
      <c r="I343" s="403"/>
      <c r="J343" s="403">
        <v>2000</v>
      </c>
      <c r="K343" s="438">
        <f ca="1">+IF('[2]BROUILLARD DE CAISSE '!$C343="","",SUMIFS(INDIRECT("$K$7:K"&amp;ROW()),INDIRECT("$D$7:D"&amp;ROW()),"="&amp;"Report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3866996</v>
      </c>
      <c r="L343" s="403" t="str">
        <f ca="1">+IF($B343="","",SUMIFS(INDIRECT("$K$7:K"&amp;ROW()),INDIRECT("$B$7:B"&amp;ROW()),Tableau1535678910111213162523692[[#This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3" s="368"/>
      <c r="O343"/>
      <c r="P343"/>
      <c r="Q343"/>
      <c r="R343" s="368"/>
      <c r="S343" s="368"/>
      <c r="T343" s="368"/>
    </row>
    <row r="344" spans="1:20" ht="15" x14ac:dyDescent="0.3">
      <c r="A344" s="434"/>
      <c r="B344" s="392"/>
      <c r="C344" s="451">
        <v>45958</v>
      </c>
      <c r="D34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4" s="437" t="s">
        <v>3031</v>
      </c>
      <c r="F344" s="397" t="s">
        <v>3032</v>
      </c>
      <c r="G344" s="397"/>
      <c r="H344" s="432" t="s">
        <v>3033</v>
      </c>
      <c r="I344" s="403"/>
      <c r="J344" s="403">
        <v>305635</v>
      </c>
      <c r="K344" s="438">
        <f ca="1">+IF('[2]BROUILLARD DE CAISSE '!$C344="","",SUMIFS(INDIRECT("$K$7:K"&amp;ROW()),INDIRECT("$D$7:D"&amp;ROW()),"="&amp;"Report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3561361</v>
      </c>
      <c r="L344" s="403" t="str">
        <f ca="1">+IF($B344="","",SUMIFS(INDIRECT("$K$7:K"&amp;ROW()),INDIRECT("$B$7:B"&amp;ROW()),Tableau1535678910111213162523692[[#This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4" s="368"/>
      <c r="O344"/>
      <c r="P344"/>
      <c r="Q344"/>
      <c r="R344" s="368"/>
      <c r="S344" s="368"/>
      <c r="T344" s="368"/>
    </row>
    <row r="345" spans="1:20" ht="15" x14ac:dyDescent="0.3">
      <c r="A345" s="434"/>
      <c r="B345" s="392"/>
      <c r="C345" s="451">
        <v>45958</v>
      </c>
      <c r="D34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5" s="437" t="s">
        <v>3034</v>
      </c>
      <c r="F345" s="397" t="s">
        <v>3035</v>
      </c>
      <c r="G345" s="397"/>
      <c r="H345" s="432"/>
      <c r="I345" s="403"/>
      <c r="J345" s="403">
        <v>18180</v>
      </c>
      <c r="K345" s="438">
        <f ca="1">+IF('[2]BROUILLARD DE CAISSE '!$C345="","",SUMIFS(INDIRECT("$K$7:K"&amp;ROW()),INDIRECT("$D$7:D"&amp;ROW()),"="&amp;"Report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3543181</v>
      </c>
      <c r="L345" s="403" t="str">
        <f ca="1">+IF($B345="","",SUMIFS(INDIRECT("$K$7:K"&amp;ROW()),INDIRECT("$B$7:B"&amp;ROW()),Tableau1535678910111213162523692[[#This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5" s="368"/>
      <c r="O345"/>
      <c r="P345"/>
      <c r="Q345"/>
      <c r="R345" s="368"/>
      <c r="S345" s="368"/>
      <c r="T345" s="368"/>
    </row>
    <row r="346" spans="1:20" ht="15" x14ac:dyDescent="0.3">
      <c r="A346" s="434"/>
      <c r="B346" s="392"/>
      <c r="C346" s="451">
        <v>45958</v>
      </c>
      <c r="D34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6" s="437" t="s">
        <v>2813</v>
      </c>
      <c r="F346" s="397" t="s">
        <v>3036</v>
      </c>
      <c r="G346" s="397"/>
      <c r="H346" s="432"/>
      <c r="I346" s="403"/>
      <c r="J346" s="403">
        <v>6060</v>
      </c>
      <c r="K346" s="438">
        <f ca="1">+IF('[2]BROUILLARD DE CAISSE '!$C346="","",SUMIFS(INDIRECT("$K$7:K"&amp;ROW()),INDIRECT("$D$7:D"&amp;ROW()),"="&amp;"Report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3537121</v>
      </c>
      <c r="L346" s="403" t="str">
        <f ca="1">+IF($B346="","",SUMIFS(INDIRECT("$K$7:K"&amp;ROW()),INDIRECT("$B$7:B"&amp;ROW()),Tableau1535678910111213162523692[[#This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6" s="368"/>
      <c r="O346"/>
      <c r="P346"/>
      <c r="Q346"/>
      <c r="R346" s="368"/>
      <c r="S346" s="368"/>
      <c r="T346" s="368"/>
    </row>
    <row r="347" spans="1:20" ht="15" x14ac:dyDescent="0.3">
      <c r="A347" s="434"/>
      <c r="B347" s="392"/>
      <c r="C347" s="451">
        <v>45958</v>
      </c>
      <c r="D34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7" s="395" t="s">
        <v>2818</v>
      </c>
      <c r="F347" s="397" t="s">
        <v>3037</v>
      </c>
      <c r="G347" s="397"/>
      <c r="H347" s="432"/>
      <c r="I347" s="403"/>
      <c r="J347" s="403">
        <v>2000</v>
      </c>
      <c r="K347" s="438">
        <f ca="1">+IF('[2]BROUILLARD DE CAISSE '!$C347="","",SUMIFS(INDIRECT("$K$7:K"&amp;ROW()),INDIRECT("$D$7:D"&amp;ROW()),"="&amp;"Report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3535121</v>
      </c>
      <c r="L347" s="403" t="str">
        <f ca="1">+IF($B347="","",SUMIFS(INDIRECT("$K$7:K"&amp;ROW()),INDIRECT("$B$7:B"&amp;ROW()),Tableau1535678910111213162523692[[#This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7" s="368"/>
      <c r="O347"/>
      <c r="P347"/>
      <c r="Q347"/>
      <c r="R347" s="368"/>
      <c r="S347" s="368"/>
      <c r="T347" s="368"/>
    </row>
    <row r="348" spans="1:20" ht="15" x14ac:dyDescent="0.3">
      <c r="A348" s="434"/>
      <c r="B348" s="392"/>
      <c r="C348" s="451">
        <v>45958</v>
      </c>
      <c r="D34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8" s="437" t="s">
        <v>2997</v>
      </c>
      <c r="F348" s="397" t="s">
        <v>3038</v>
      </c>
      <c r="G348" s="397"/>
      <c r="H348" s="432"/>
      <c r="I348" s="403"/>
      <c r="J348" s="403">
        <v>20000</v>
      </c>
      <c r="K348" s="438">
        <f ca="1">+IF('[2]BROUILLARD DE CAISSE '!$C348="","",SUMIFS(INDIRECT("$K$7:K"&amp;ROW()),INDIRECT("$D$7:D"&amp;ROW()),"="&amp;"Report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3515121</v>
      </c>
      <c r="L348" s="403" t="str">
        <f ca="1">+IF($B348="","",SUMIFS(INDIRECT("$K$7:K"&amp;ROW()),INDIRECT("$B$7:B"&amp;ROW()),Tableau1535678910111213162523692[[#This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8" s="368"/>
      <c r="O348"/>
      <c r="P348"/>
      <c r="Q348"/>
      <c r="R348" s="368"/>
      <c r="S348" s="368"/>
      <c r="T348" s="368"/>
    </row>
    <row r="349" spans="1:20" ht="15" x14ac:dyDescent="0.3">
      <c r="A349" s="434"/>
      <c r="B349" s="392"/>
      <c r="C349" s="451">
        <v>45958</v>
      </c>
      <c r="D34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49" s="437" t="s">
        <v>2714</v>
      </c>
      <c r="F349" s="397" t="s">
        <v>3039</v>
      </c>
      <c r="G349" s="397"/>
      <c r="H349" s="432"/>
      <c r="I349" s="403"/>
      <c r="J349" s="403">
        <v>6800</v>
      </c>
      <c r="K349" s="438">
        <f ca="1">+IF('[2]BROUILLARD DE CAISSE '!$C349="","",SUMIFS(INDIRECT("$K$7:K"&amp;ROW()),INDIRECT("$D$7:D"&amp;ROW()),"="&amp;"Report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3508321</v>
      </c>
      <c r="L349" s="403" t="str">
        <f ca="1">+IF($B349="","",SUMIFS(INDIRECT("$K$7:K"&amp;ROW()),INDIRECT("$B$7:B"&amp;ROW()),Tableau1535678910111213162523692[[#This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49" s="368"/>
      <c r="O349"/>
      <c r="P349"/>
      <c r="Q349"/>
      <c r="R349" s="368"/>
      <c r="S349" s="368"/>
      <c r="T349" s="368"/>
    </row>
    <row r="350" spans="1:20" ht="15" x14ac:dyDescent="0.3">
      <c r="A350" s="434"/>
      <c r="B350" s="392"/>
      <c r="C350" s="451">
        <v>45958</v>
      </c>
      <c r="D35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0" s="437" t="s">
        <v>2901</v>
      </c>
      <c r="F350" s="397" t="s">
        <v>3040</v>
      </c>
      <c r="G350" s="397"/>
      <c r="H350" s="432"/>
      <c r="I350" s="403"/>
      <c r="J350" s="403">
        <v>150000</v>
      </c>
      <c r="K350" s="438">
        <f ca="1">+IF('[2]BROUILLARD DE CAISSE '!$C350="","",SUMIFS(INDIRECT("$K$7:K"&amp;ROW()),INDIRECT("$D$7:D"&amp;ROW()),"="&amp;"Report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3358321</v>
      </c>
      <c r="L350" s="403" t="str">
        <f ca="1">+IF($B350="","",SUMIFS(INDIRECT("$K$7:K"&amp;ROW()),INDIRECT("$B$7:B"&amp;ROW()),Tableau1535678910111213162523692[[#This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50" s="368"/>
      <c r="O350"/>
      <c r="P350"/>
      <c r="Q350"/>
      <c r="R350" s="368"/>
      <c r="S350" s="368"/>
      <c r="T350" s="368"/>
    </row>
    <row r="351" spans="1:20" ht="15" x14ac:dyDescent="0.3">
      <c r="A351" s="434"/>
      <c r="B351" s="392"/>
      <c r="C351" s="451">
        <v>45959</v>
      </c>
      <c r="D35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1" s="437" t="s">
        <v>2714</v>
      </c>
      <c r="F351" s="397" t="s">
        <v>3041</v>
      </c>
      <c r="G351" s="397"/>
      <c r="H351" s="432"/>
      <c r="I351" s="403"/>
      <c r="J351" s="403">
        <v>2600</v>
      </c>
      <c r="K351" s="438">
        <f ca="1">+IF('[2]BROUILLARD DE CAISSE '!$C351="","",SUMIFS(INDIRECT("$K$7:K"&amp;ROW()),INDIRECT("$D$7:D"&amp;ROW()),"="&amp;"Report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3355721</v>
      </c>
      <c r="L351" s="403" t="str">
        <f ca="1">+IF($B351="","",SUMIFS(INDIRECT("$K$7:K"&amp;ROW()),INDIRECT("$B$7:B"&amp;ROW()),Tableau1535678910111213162523692[[#This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51" s="368"/>
      <c r="O351"/>
      <c r="P351"/>
      <c r="Q351"/>
      <c r="R351" s="368"/>
      <c r="S351" s="368"/>
      <c r="T351" s="368"/>
    </row>
    <row r="352" spans="1:20" ht="15" x14ac:dyDescent="0.3">
      <c r="A352" s="434"/>
      <c r="B352" s="392"/>
      <c r="C352" s="451">
        <v>45959</v>
      </c>
      <c r="D35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2" s="437" t="s">
        <v>2844</v>
      </c>
      <c r="F352" s="397" t="s">
        <v>3042</v>
      </c>
      <c r="G352" s="397"/>
      <c r="H352" s="432" t="s">
        <v>2811</v>
      </c>
      <c r="I352" s="403"/>
      <c r="J352" s="403">
        <v>100000</v>
      </c>
      <c r="K352" s="438">
        <f ca="1">+IF('[2]BROUILLARD DE CAISSE '!$C352="","",SUMIFS(INDIRECT("$K$7:K"&amp;ROW()),INDIRECT("$D$7:D"&amp;ROW()),"="&amp;"Report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3255721</v>
      </c>
      <c r="L352" s="403" t="str">
        <f ca="1">+IF($B352="","",SUMIFS(INDIRECT("$K$7:K"&amp;ROW()),INDIRECT("$B$7:B"&amp;ROW()),Tableau1535678910111213162523692[[#This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52" s="368"/>
      <c r="O352"/>
      <c r="P352"/>
      <c r="Q352"/>
      <c r="R352" s="368"/>
      <c r="S352" s="368"/>
      <c r="T352" s="368"/>
    </row>
    <row r="353" spans="1:20" s="412" customFormat="1" ht="15" x14ac:dyDescent="0.3">
      <c r="A353" s="434"/>
      <c r="B353" s="392"/>
      <c r="C353" s="452">
        <v>45959</v>
      </c>
      <c r="D353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3" s="440" t="s">
        <v>2878</v>
      </c>
      <c r="F353" s="409" t="s">
        <v>2879</v>
      </c>
      <c r="G353" s="397"/>
      <c r="H353" s="433"/>
      <c r="I353" s="414"/>
      <c r="J353" s="414">
        <v>20200</v>
      </c>
      <c r="K353" s="441">
        <f ca="1">+IF('[2]BROUILLARD DE CAISSE '!$C353="","",SUMIFS(INDIRECT("$K$7:K"&amp;ROW()),INDIRECT("$D$7:D"&amp;ROW()),"="&amp;"Report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3235521</v>
      </c>
      <c r="L353" s="403" t="str">
        <f ca="1">+IF($B353="","",SUMIFS(INDIRECT("$K$7:K"&amp;ROW()),INDIRECT("$B$7:B"&amp;ROW()),Tableau1535678910111213162523692[[#This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53" s="314"/>
      <c r="P353" s="314"/>
      <c r="Q353" s="314"/>
    </row>
    <row r="354" spans="1:20" s="412" customFormat="1" ht="15" x14ac:dyDescent="0.3">
      <c r="A354" s="434"/>
      <c r="B354" s="392"/>
      <c r="C354" s="452">
        <v>45959</v>
      </c>
      <c r="D354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4" s="440" t="s">
        <v>3043</v>
      </c>
      <c r="F354" s="409" t="s">
        <v>3044</v>
      </c>
      <c r="G354" s="397"/>
      <c r="H354" s="432"/>
      <c r="I354" s="414"/>
      <c r="J354" s="414">
        <v>4100</v>
      </c>
      <c r="K354" s="441">
        <f ca="1">+IF('[2]BROUILLARD DE CAISSE '!$C354="","",SUMIFS(INDIRECT("$K$7:K"&amp;ROW()),INDIRECT("$D$7:D"&amp;ROW()),"="&amp;"Report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3231421</v>
      </c>
      <c r="L354" s="403" t="str">
        <f ca="1">+IF($B354="","",SUMIFS(INDIRECT("$K$7:K"&amp;ROW()),INDIRECT("$B$7:B"&amp;ROW()),Tableau1535678910111213162523692[[#This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54" s="314"/>
      <c r="P354" s="314"/>
      <c r="Q354" s="314"/>
    </row>
    <row r="355" spans="1:20" ht="15" x14ac:dyDescent="0.3">
      <c r="A355" s="434"/>
      <c r="B355" s="392"/>
      <c r="C355" s="451">
        <v>45959</v>
      </c>
      <c r="D35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5" s="437" t="s">
        <v>2717</v>
      </c>
      <c r="F355" s="397" t="s">
        <v>3045</v>
      </c>
      <c r="G355" s="397"/>
      <c r="H355" s="432"/>
      <c r="I355" s="403"/>
      <c r="J355" s="403">
        <v>3500</v>
      </c>
      <c r="K355" s="438">
        <f ca="1">+IF('[2]BROUILLARD DE CAISSE '!$C355="","",SUMIFS(INDIRECT("$K$7:K"&amp;ROW()),INDIRECT("$D$7:D"&amp;ROW()),"="&amp;"Report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3227921</v>
      </c>
      <c r="L355" s="403" t="str">
        <f ca="1">+IF($B355="","",SUMIFS(INDIRECT("$K$7:K"&amp;ROW()),INDIRECT("$B$7:B"&amp;ROW()),Tableau1535678910111213162523692[[#This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55" s="368"/>
      <c r="O355"/>
      <c r="P355"/>
      <c r="Q355"/>
      <c r="R355" s="368"/>
      <c r="S355" s="368"/>
      <c r="T355" s="368"/>
    </row>
    <row r="356" spans="1:20" s="423" customFormat="1" ht="15" x14ac:dyDescent="0.2">
      <c r="A356" s="434"/>
      <c r="B356" s="392"/>
      <c r="C356" s="451">
        <v>45959</v>
      </c>
      <c r="D356" s="453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6" s="395" t="s">
        <v>2818</v>
      </c>
      <c r="F356" s="454" t="s">
        <v>3046</v>
      </c>
      <c r="G356" s="397"/>
      <c r="H356" s="455"/>
      <c r="I356" s="456"/>
      <c r="J356" s="456">
        <v>5000</v>
      </c>
      <c r="K356" s="457">
        <f ca="1">+IF('[2]BROUILLARD DE CAISSE '!$C356="","",SUMIFS(INDIRECT("$K$7:K"&amp;ROW()),INDIRECT("$D$7:D"&amp;ROW()),"="&amp;"Report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3222921</v>
      </c>
      <c r="L356" s="403" t="str">
        <f ca="1">+IF($B356="","",SUMIFS(INDIRECT("$K$7:K"&amp;ROW()),INDIRECT("$B$7:B"&amp;ROW()),Tableau1535678910111213162523692[[#This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56" s="458"/>
      <c r="P356" s="458"/>
      <c r="Q356" s="458"/>
    </row>
    <row r="357" spans="1:20" s="423" customFormat="1" ht="15" x14ac:dyDescent="0.2">
      <c r="A357" s="434"/>
      <c r="B357" s="392"/>
      <c r="C357" s="451">
        <v>45959</v>
      </c>
      <c r="D357" s="453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7" s="459" t="s">
        <v>2725</v>
      </c>
      <c r="F357" s="454" t="s">
        <v>2947</v>
      </c>
      <c r="G357" s="404"/>
      <c r="H357" s="455"/>
      <c r="I357" s="456"/>
      <c r="J357" s="456">
        <v>5000</v>
      </c>
      <c r="K357" s="457">
        <f ca="1">+IF('[2]BROUILLARD DE CAISSE '!$C357="","",SUMIFS(INDIRECT("$K$7:K"&amp;ROW()),INDIRECT("$D$7:D"&amp;ROW()),"="&amp;"Report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3217921</v>
      </c>
      <c r="L357" s="403" t="str">
        <f ca="1">+IF($B357="","",SUMIFS(INDIRECT("$K$7:K"&amp;ROW()),INDIRECT("$B$7:B"&amp;ROW()),Tableau1535678910111213162523692[[#This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57" s="458"/>
      <c r="P357" s="458"/>
      <c r="Q357" s="458"/>
    </row>
    <row r="358" spans="1:20" ht="15" x14ac:dyDescent="0.3">
      <c r="A358" s="434"/>
      <c r="B358" s="392"/>
      <c r="C358" s="451">
        <v>45959</v>
      </c>
      <c r="D35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8" s="437" t="s">
        <v>3047</v>
      </c>
      <c r="F358" s="397" t="s">
        <v>3048</v>
      </c>
      <c r="G358" s="397" t="s">
        <v>2702</v>
      </c>
      <c r="H358" s="432"/>
      <c r="I358" s="403"/>
      <c r="J358" s="403">
        <v>933000</v>
      </c>
      <c r="K358" s="438">
        <f ca="1">+IF('[2]BROUILLARD DE CAISSE '!$C358="","",SUMIFS(INDIRECT("$K$7:K"&amp;ROW()),INDIRECT("$D$7:D"&amp;ROW()),"="&amp;"Report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2284921</v>
      </c>
      <c r="L358" s="403" t="str">
        <f ca="1">+IF($B358="","",SUMIFS(INDIRECT("$K$7:K"&amp;ROW()),INDIRECT("$B$7:B"&amp;ROW()),Tableau1535678910111213162523692[[#This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58" s="368"/>
      <c r="O358"/>
      <c r="P358"/>
      <c r="Q358"/>
      <c r="R358" s="368"/>
      <c r="S358" s="368"/>
      <c r="T358" s="368"/>
    </row>
    <row r="359" spans="1:20" s="464" customFormat="1" ht="15" x14ac:dyDescent="0.2">
      <c r="A359" s="434"/>
      <c r="B359" s="392"/>
      <c r="C359" s="452">
        <v>45959</v>
      </c>
      <c r="D359" s="460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59" s="461" t="s">
        <v>2951</v>
      </c>
      <c r="F359" s="418" t="s">
        <v>3049</v>
      </c>
      <c r="G359" s="404"/>
      <c r="H359" s="462" t="s">
        <v>2964</v>
      </c>
      <c r="I359" s="422"/>
      <c r="J359" s="422">
        <v>20000</v>
      </c>
      <c r="K359" s="463">
        <f ca="1">+IF('[2]BROUILLARD DE CAISSE '!$C359="","",SUMIFS(INDIRECT("$K$7:K"&amp;ROW()),INDIRECT("$D$7:D"&amp;ROW()),"="&amp;"Report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2264921</v>
      </c>
      <c r="L359" s="403" t="str">
        <f ca="1">+IF($B359="","",SUMIFS(INDIRECT("$K$7:K"&amp;ROW()),INDIRECT("$B$7:B"&amp;ROW()),Tableau1535678910111213162523692[[#This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59" s="465"/>
      <c r="P359" s="465"/>
      <c r="Q359" s="465"/>
    </row>
    <row r="360" spans="1:20" ht="15" x14ac:dyDescent="0.3">
      <c r="A360" s="434"/>
      <c r="B360" s="392"/>
      <c r="C360" s="451">
        <v>45959</v>
      </c>
      <c r="D36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0" s="437" t="s">
        <v>3050</v>
      </c>
      <c r="F360" s="397" t="s">
        <v>3051</v>
      </c>
      <c r="G360" s="397" t="s">
        <v>2702</v>
      </c>
      <c r="H360" s="432"/>
      <c r="I360" s="403"/>
      <c r="J360" s="403">
        <v>553000</v>
      </c>
      <c r="K360" s="438">
        <f ca="1">+IF('[2]BROUILLARD DE CAISSE '!$C360="","",SUMIFS(INDIRECT("$K$7:K"&amp;ROW()),INDIRECT("$D$7:D"&amp;ROW()),"="&amp;"Report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1711921</v>
      </c>
      <c r="L360" s="403" t="str">
        <f ca="1">+IF($B360="","",SUMIFS(INDIRECT("$K$7:K"&amp;ROW()),INDIRECT("$B$7:B"&amp;ROW()),Tableau1535678910111213162523692[[#This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0" s="368"/>
      <c r="O360"/>
      <c r="P360"/>
      <c r="Q360"/>
      <c r="R360" s="368"/>
      <c r="S360" s="368"/>
      <c r="T360" s="368"/>
    </row>
    <row r="361" spans="1:20" ht="15" x14ac:dyDescent="0.3">
      <c r="A361" s="434"/>
      <c r="B361" s="392"/>
      <c r="C361" s="451">
        <v>45959</v>
      </c>
      <c r="D36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1" s="437" t="s">
        <v>2694</v>
      </c>
      <c r="F361" s="397" t="s">
        <v>3052</v>
      </c>
      <c r="G361" s="397"/>
      <c r="H361" s="432"/>
      <c r="I361" s="403"/>
      <c r="J361" s="403">
        <v>195000</v>
      </c>
      <c r="K361" s="438">
        <f ca="1">+IF('[2]BROUILLARD DE CAISSE '!$C361="","",SUMIFS(INDIRECT("$K$7:K"&amp;ROW()),INDIRECT("$D$7:D"&amp;ROW()),"="&amp;"Report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1516921</v>
      </c>
      <c r="L361" s="403" t="str">
        <f ca="1">+IF($B361="","",SUMIFS(INDIRECT("$K$7:K"&amp;ROW()),INDIRECT("$B$7:B"&amp;ROW()),Tableau1535678910111213162523692[[#This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1" s="368"/>
      <c r="O361"/>
      <c r="P361"/>
      <c r="Q361"/>
      <c r="R361" s="368"/>
      <c r="S361" s="368"/>
      <c r="T361" s="368"/>
    </row>
    <row r="362" spans="1:20" s="412" customFormat="1" ht="15" x14ac:dyDescent="0.3">
      <c r="A362" s="434"/>
      <c r="B362" s="392"/>
      <c r="C362" s="452">
        <v>45959</v>
      </c>
      <c r="D362" s="439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2" s="440" t="s">
        <v>2844</v>
      </c>
      <c r="F362" s="409" t="s">
        <v>3053</v>
      </c>
      <c r="G362" s="397"/>
      <c r="H362" s="433" t="s">
        <v>2811</v>
      </c>
      <c r="I362" s="414"/>
      <c r="J362" s="414">
        <v>10100</v>
      </c>
      <c r="K362" s="441">
        <f ca="1">+IF('[2]BROUILLARD DE CAISSE '!$C362="","",SUMIFS(INDIRECT("$K$7:K"&amp;ROW()),INDIRECT("$D$7:D"&amp;ROW()),"="&amp;"Report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1506821</v>
      </c>
      <c r="L362" s="403" t="str">
        <f ca="1">+IF($B362="","",SUMIFS(INDIRECT("$K$7:K"&amp;ROW()),INDIRECT("$B$7:B"&amp;ROW()),Tableau1535678910111213162523692[[#This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62" s="314"/>
      <c r="P362" s="314"/>
      <c r="Q362" s="314"/>
    </row>
    <row r="363" spans="1:20" ht="15" x14ac:dyDescent="0.3">
      <c r="A363" s="434"/>
      <c r="B363" s="392"/>
      <c r="C363" s="451">
        <v>45959</v>
      </c>
      <c r="D36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3" s="437" t="s">
        <v>2813</v>
      </c>
      <c r="F363" s="397" t="s">
        <v>3054</v>
      </c>
      <c r="G363" s="397"/>
      <c r="H363" s="432"/>
      <c r="I363" s="403"/>
      <c r="J363" s="403">
        <v>3030</v>
      </c>
      <c r="K363" s="438">
        <f ca="1">+IF('[2]BROUILLARD DE CAISSE '!$C363="","",SUMIFS(INDIRECT("$K$7:K"&amp;ROW()),INDIRECT("$D$7:D"&amp;ROW()),"="&amp;"Report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1503791</v>
      </c>
      <c r="L363" s="403" t="str">
        <f ca="1">+IF($B363="","",SUMIFS(INDIRECT("$K$7:K"&amp;ROW()),INDIRECT("$B$7:B"&amp;ROW()),Tableau1535678910111213162523692[[#This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3" s="368"/>
      <c r="O363"/>
      <c r="P363"/>
      <c r="Q363"/>
      <c r="R363" s="368"/>
      <c r="S363" s="368"/>
      <c r="T363" s="368"/>
    </row>
    <row r="364" spans="1:20" ht="15" x14ac:dyDescent="0.3">
      <c r="A364" s="434"/>
      <c r="B364" s="392"/>
      <c r="C364" s="451">
        <v>45959</v>
      </c>
      <c r="D36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4" s="437" t="s">
        <v>2813</v>
      </c>
      <c r="F364" s="397" t="s">
        <v>3055</v>
      </c>
      <c r="G364" s="397"/>
      <c r="H364" s="432"/>
      <c r="I364" s="403"/>
      <c r="J364" s="403">
        <v>5050</v>
      </c>
      <c r="K364" s="438">
        <f ca="1">+IF('[2]BROUILLARD DE CAISSE '!$C364="","",SUMIFS(INDIRECT("$K$7:K"&amp;ROW()),INDIRECT("$D$7:D"&amp;ROW()),"="&amp;"Report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1498741</v>
      </c>
      <c r="L364" s="403" t="str">
        <f ca="1">+IF($B364="","",SUMIFS(INDIRECT("$K$7:K"&amp;ROW()),INDIRECT("$B$7:B"&amp;ROW()),Tableau1535678910111213162523692[[#This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4" s="368"/>
      <c r="O364"/>
      <c r="P364"/>
      <c r="Q364"/>
      <c r="R364" s="368"/>
      <c r="S364" s="368"/>
      <c r="T364" s="368"/>
    </row>
    <row r="365" spans="1:20" ht="15" x14ac:dyDescent="0.3">
      <c r="A365" s="434"/>
      <c r="B365" s="392"/>
      <c r="C365" s="451">
        <v>45959</v>
      </c>
      <c r="D36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5" s="437" t="s">
        <v>2951</v>
      </c>
      <c r="F365" s="397" t="s">
        <v>3056</v>
      </c>
      <c r="G365" s="397"/>
      <c r="H365" s="432" t="s">
        <v>2729</v>
      </c>
      <c r="I365" s="403"/>
      <c r="J365" s="403">
        <v>117000</v>
      </c>
      <c r="K365" s="438">
        <f ca="1">+IF('[2]BROUILLARD DE CAISSE '!$C365="","",SUMIFS(INDIRECT("$K$7:K"&amp;ROW()),INDIRECT("$D$7:D"&amp;ROW()),"="&amp;"Report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1381741</v>
      </c>
      <c r="L365" s="403" t="str">
        <f ca="1">+IF($B365="","",SUMIFS(INDIRECT("$K$7:K"&amp;ROW()),INDIRECT("$B$7:B"&amp;ROW()),Tableau1535678910111213162523692[[#This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5" s="368"/>
      <c r="O365"/>
      <c r="P365"/>
      <c r="Q365"/>
      <c r="R365" s="368"/>
      <c r="S365" s="368"/>
      <c r="T365" s="368"/>
    </row>
    <row r="366" spans="1:20" ht="15" x14ac:dyDescent="0.3">
      <c r="A366" s="434"/>
      <c r="B366" s="392"/>
      <c r="C366" s="435">
        <v>45959</v>
      </c>
      <c r="D36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6" s="437" t="s">
        <v>2683</v>
      </c>
      <c r="F366" s="397" t="s">
        <v>2706</v>
      </c>
      <c r="G366" s="397"/>
      <c r="H366" s="432" t="s">
        <v>2685</v>
      </c>
      <c r="I366" s="403"/>
      <c r="J366" s="403">
        <v>10100</v>
      </c>
      <c r="K366" s="438">
        <f ca="1">+IF('[2]BROUILLARD DE CAISSE '!$C366="","",SUMIFS(INDIRECT("$K$7:K"&amp;ROW()),INDIRECT("$D$7:D"&amp;ROW()),"="&amp;"Report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1371641</v>
      </c>
      <c r="L366" s="403" t="str">
        <f ca="1">+IF($B366="","",SUMIFS(INDIRECT("$K$7:K"&amp;ROW()),INDIRECT("$B$7:B"&amp;ROW()),Tableau1535678910111213162523692[[#This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6" s="368"/>
      <c r="O366"/>
      <c r="P366"/>
      <c r="Q366"/>
      <c r="R366" s="368"/>
      <c r="S366" s="368"/>
      <c r="T366" s="368"/>
    </row>
    <row r="367" spans="1:20" ht="15" x14ac:dyDescent="0.3">
      <c r="A367" s="434"/>
      <c r="B367" s="392"/>
      <c r="C367" s="435">
        <v>45960</v>
      </c>
      <c r="D36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7" s="437" t="s">
        <v>3057</v>
      </c>
      <c r="F367" s="397" t="s">
        <v>3058</v>
      </c>
      <c r="G367" s="397"/>
      <c r="H367" s="432"/>
      <c r="I367" s="403"/>
      <c r="J367" s="403">
        <v>3030</v>
      </c>
      <c r="K367" s="438">
        <f ca="1">+IF('[2]BROUILLARD DE CAISSE '!$C367="","",SUMIFS(INDIRECT("$K$7:K"&amp;ROW()),INDIRECT("$D$7:D"&amp;ROW()),"="&amp;"Report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1368611</v>
      </c>
      <c r="L367" s="403" t="str">
        <f ca="1">+IF($B367="","",SUMIFS(INDIRECT("$K$7:K"&amp;ROW()),INDIRECT("$B$7:B"&amp;ROW()),Tableau1535678910111213162523692[[#This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7" s="368"/>
      <c r="O367"/>
      <c r="P367"/>
      <c r="Q367"/>
      <c r="R367" s="368"/>
      <c r="S367" s="368"/>
      <c r="T367" s="368"/>
    </row>
    <row r="368" spans="1:20" ht="15" x14ac:dyDescent="0.3">
      <c r="A368" s="434"/>
      <c r="B368" s="392"/>
      <c r="C368" s="435">
        <v>45960</v>
      </c>
      <c r="D36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8" s="437" t="s">
        <v>2813</v>
      </c>
      <c r="F368" s="397" t="s">
        <v>3059</v>
      </c>
      <c r="G368" s="397"/>
      <c r="H368" s="432" t="s">
        <v>2937</v>
      </c>
      <c r="I368" s="403"/>
      <c r="J368" s="403">
        <v>18180</v>
      </c>
      <c r="K368" s="438">
        <f ca="1">+IF('[2]BROUILLARD DE CAISSE '!$C368="","",SUMIFS(INDIRECT("$K$7:K"&amp;ROW()),INDIRECT("$D$7:D"&amp;ROW()),"="&amp;"Report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1350431</v>
      </c>
      <c r="L368" s="403" t="str">
        <f ca="1">+IF($B368="","",SUMIFS(INDIRECT("$K$7:K"&amp;ROW()),INDIRECT("$B$7:B"&amp;ROW()),Tableau1535678910111213162523692[[#This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8" s="368"/>
      <c r="O368"/>
      <c r="P368"/>
      <c r="Q368"/>
      <c r="R368" s="368"/>
      <c r="S368" s="368"/>
      <c r="T368" s="368"/>
    </row>
    <row r="369" spans="1:20" ht="15" x14ac:dyDescent="0.3">
      <c r="A369" s="434"/>
      <c r="B369" s="392"/>
      <c r="C369" s="435">
        <v>45960</v>
      </c>
      <c r="D36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69" s="437" t="s">
        <v>2708</v>
      </c>
      <c r="F369" s="397" t="s">
        <v>3060</v>
      </c>
      <c r="G369" s="397"/>
      <c r="H369" s="432"/>
      <c r="I369" s="403"/>
      <c r="J369" s="403">
        <v>2000</v>
      </c>
      <c r="K369" s="438">
        <f ca="1">+IF('[2]BROUILLARD DE CAISSE '!$C369="","",SUMIFS(INDIRECT("$K$7:K"&amp;ROW()),INDIRECT("$D$7:D"&amp;ROW()),"="&amp;"Report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1348431</v>
      </c>
      <c r="L369" s="403" t="str">
        <f ca="1">+IF($B369="","",SUMIFS(INDIRECT("$K$7:K"&amp;ROW()),INDIRECT("$B$7:B"&amp;ROW()),Tableau1535678910111213162523692[[#This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69" s="368"/>
      <c r="O369"/>
      <c r="P369"/>
      <c r="Q369"/>
      <c r="R369" s="368"/>
      <c r="S369" s="368"/>
      <c r="T369" s="368"/>
    </row>
    <row r="370" spans="1:20" ht="15" x14ac:dyDescent="0.3">
      <c r="A370" s="434"/>
      <c r="B370" s="392"/>
      <c r="C370" s="435">
        <v>45960</v>
      </c>
      <c r="D37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0" s="437" t="s">
        <v>3043</v>
      </c>
      <c r="F370" s="397" t="s">
        <v>3061</v>
      </c>
      <c r="G370" s="397"/>
      <c r="H370" s="432" t="s">
        <v>3062</v>
      </c>
      <c r="I370" s="403"/>
      <c r="J370" s="403">
        <v>645000</v>
      </c>
      <c r="K370" s="438">
        <f ca="1">+IF('[2]BROUILLARD DE CAISSE '!$C370="","",SUMIFS(INDIRECT("$K$7:K"&amp;ROW()),INDIRECT("$D$7:D"&amp;ROW()),"="&amp;"Report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703431</v>
      </c>
      <c r="L370" s="403" t="str">
        <f ca="1">+IF($B370="","",SUMIFS(INDIRECT("$K$7:K"&amp;ROW()),INDIRECT("$B$7:B"&amp;ROW()),Tableau1535678910111213162523692[[#This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0" s="368"/>
      <c r="O370"/>
      <c r="P370"/>
      <c r="Q370"/>
      <c r="R370" s="368"/>
      <c r="S370" s="368"/>
      <c r="T370" s="368"/>
    </row>
    <row r="371" spans="1:20" ht="15" x14ac:dyDescent="0.3">
      <c r="A371" s="434"/>
      <c r="B371" s="392"/>
      <c r="C371" s="435">
        <v>45960</v>
      </c>
      <c r="D37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1" s="395" t="s">
        <v>2818</v>
      </c>
      <c r="F371" s="397" t="s">
        <v>3063</v>
      </c>
      <c r="G371" s="397"/>
      <c r="H371" s="432"/>
      <c r="I371" s="403"/>
      <c r="J371" s="403">
        <v>10000</v>
      </c>
      <c r="K371" s="438">
        <f ca="1">+IF('[2]BROUILLARD DE CAISSE '!$C371="","",SUMIFS(INDIRECT("$K$7:K"&amp;ROW()),INDIRECT("$D$7:D"&amp;ROW()),"="&amp;"Report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693431</v>
      </c>
      <c r="L371" s="403" t="str">
        <f ca="1">+IF($B371="","",SUMIFS(INDIRECT("$K$7:K"&amp;ROW()),INDIRECT("$B$7:B"&amp;ROW()),Tableau1535678910111213162523692[[#This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1" s="368"/>
      <c r="O371"/>
      <c r="P371"/>
      <c r="Q371"/>
      <c r="R371" s="368"/>
      <c r="S371" s="368"/>
      <c r="T371" s="368"/>
    </row>
    <row r="372" spans="1:20" ht="15" x14ac:dyDescent="0.3">
      <c r="A372" s="434"/>
      <c r="B372" s="392"/>
      <c r="C372" s="435">
        <v>45960</v>
      </c>
      <c r="D37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2" s="395" t="s">
        <v>2818</v>
      </c>
      <c r="F372" s="397" t="s">
        <v>3064</v>
      </c>
      <c r="G372" s="397"/>
      <c r="H372" s="432"/>
      <c r="I372" s="403"/>
      <c r="J372" s="403">
        <v>5000</v>
      </c>
      <c r="K372" s="438">
        <f ca="1">+IF('[2]BROUILLARD DE CAISSE '!$C372="","",SUMIFS(INDIRECT("$K$7:K"&amp;ROW()),INDIRECT("$D$7:D"&amp;ROW()),"="&amp;"Report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688431</v>
      </c>
      <c r="L372" s="403" t="str">
        <f ca="1">+IF($B372="","",SUMIFS(INDIRECT("$K$7:K"&amp;ROW()),INDIRECT("$B$7:B"&amp;ROW()),Tableau1535678910111213162523692[[#This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2" s="368"/>
      <c r="O372"/>
      <c r="P372"/>
      <c r="Q372"/>
      <c r="R372" s="368"/>
      <c r="S372" s="368"/>
      <c r="T372" s="368"/>
    </row>
    <row r="373" spans="1:20" ht="15" x14ac:dyDescent="0.3">
      <c r="A373" s="434"/>
      <c r="B373" s="392"/>
      <c r="C373" s="435">
        <v>45960</v>
      </c>
      <c r="D37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3" s="437" t="s">
        <v>2773</v>
      </c>
      <c r="F373" s="397" t="s">
        <v>3065</v>
      </c>
      <c r="G373" s="397"/>
      <c r="H373" s="432"/>
      <c r="I373" s="403"/>
      <c r="J373" s="403">
        <v>22500</v>
      </c>
      <c r="K373" s="438">
        <f ca="1">+IF('[2]BROUILLARD DE CAISSE '!$C373="","",SUMIFS(INDIRECT("$K$7:K"&amp;ROW()),INDIRECT("$D$7:D"&amp;ROW()),"="&amp;"Report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665931</v>
      </c>
      <c r="L373" s="403" t="str">
        <f ca="1">+IF($B373="","",SUMIFS(INDIRECT("$K$7:K"&amp;ROW()),INDIRECT("$B$7:B"&amp;ROW()),Tableau1535678910111213162523692[[#This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3" s="368"/>
      <c r="O373"/>
      <c r="P373"/>
      <c r="Q373"/>
      <c r="R373" s="368"/>
      <c r="S373" s="368"/>
      <c r="T373" s="368"/>
    </row>
    <row r="374" spans="1:20" ht="15" x14ac:dyDescent="0.3">
      <c r="A374" s="434"/>
      <c r="B374" s="392"/>
      <c r="C374" s="435">
        <v>45960</v>
      </c>
      <c r="D37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4" s="437" t="s">
        <v>2764</v>
      </c>
      <c r="F374" s="397" t="s">
        <v>3066</v>
      </c>
      <c r="G374" s="397"/>
      <c r="H374" s="432"/>
      <c r="I374" s="403"/>
      <c r="J374" s="403">
        <v>1900</v>
      </c>
      <c r="K374" s="438">
        <f ca="1">+IF('[2]BROUILLARD DE CAISSE '!$C374="","",SUMIFS(INDIRECT("$K$7:K"&amp;ROW()),INDIRECT("$D$7:D"&amp;ROW()),"="&amp;"Report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664031</v>
      </c>
      <c r="L374" s="403" t="str">
        <f ca="1">+IF($B374="","",SUMIFS(INDIRECT("$K$7:K"&amp;ROW()),INDIRECT("$B$7:B"&amp;ROW()),Tableau1535678910111213162523692[[#This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4" s="368"/>
      <c r="O374"/>
      <c r="P374"/>
      <c r="Q374"/>
      <c r="R374" s="368"/>
      <c r="S374" s="368"/>
      <c r="T374" s="368"/>
    </row>
    <row r="375" spans="1:20" ht="15" x14ac:dyDescent="0.3">
      <c r="A375" s="434"/>
      <c r="B375" s="392"/>
      <c r="C375" s="435">
        <v>45960</v>
      </c>
      <c r="D37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5" s="437" t="s">
        <v>2714</v>
      </c>
      <c r="F375" s="397" t="s">
        <v>3067</v>
      </c>
      <c r="G375" s="397"/>
      <c r="H375" s="432"/>
      <c r="I375" s="403"/>
      <c r="J375" s="403">
        <v>1500</v>
      </c>
      <c r="K375" s="438">
        <f ca="1">+IF('[2]BROUILLARD DE CAISSE '!$C375="","",SUMIFS(INDIRECT("$K$7:K"&amp;ROW()),INDIRECT("$D$7:D"&amp;ROW()),"="&amp;"Report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662531</v>
      </c>
      <c r="L375" s="403" t="str">
        <f ca="1">+IF($B375="","",SUMIFS(INDIRECT("$K$7:K"&amp;ROW()),INDIRECT("$B$7:B"&amp;ROW()),Tableau1535678910111213162523692[[#This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5" s="368"/>
      <c r="O375"/>
      <c r="P375"/>
      <c r="Q375"/>
      <c r="R375" s="368"/>
      <c r="S375" s="368"/>
      <c r="T375" s="368"/>
    </row>
    <row r="376" spans="1:20" ht="15" x14ac:dyDescent="0.3">
      <c r="A376" s="434"/>
      <c r="B376" s="392"/>
      <c r="C376" s="435">
        <v>45960</v>
      </c>
      <c r="D37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6" s="437" t="s">
        <v>2813</v>
      </c>
      <c r="F376" s="397" t="s">
        <v>3068</v>
      </c>
      <c r="G376" s="397"/>
      <c r="H376" s="432"/>
      <c r="I376" s="403"/>
      <c r="J376" s="403">
        <v>3030</v>
      </c>
      <c r="K376" s="438">
        <f ca="1">+IF('[2]BROUILLARD DE CAISSE '!$C376="","",SUMIFS(INDIRECT("$K$7:K"&amp;ROW()),INDIRECT("$D$7:D"&amp;ROW()),"="&amp;"Report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659501</v>
      </c>
      <c r="L376" s="403" t="str">
        <f ca="1">+IF($B376="","",SUMIFS(INDIRECT("$K$7:K"&amp;ROW()),INDIRECT("$B$7:B"&amp;ROW()),Tableau1535678910111213162523692[[#This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6" s="368"/>
      <c r="O376"/>
      <c r="P376"/>
      <c r="Q376"/>
      <c r="R376" s="368"/>
      <c r="S376" s="368"/>
      <c r="T376" s="368"/>
    </row>
    <row r="377" spans="1:20" ht="15" x14ac:dyDescent="0.3">
      <c r="A377" s="434"/>
      <c r="B377" s="392"/>
      <c r="C377" s="435">
        <v>45960</v>
      </c>
      <c r="D37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7" s="437" t="s">
        <v>2717</v>
      </c>
      <c r="F377" s="397" t="s">
        <v>3045</v>
      </c>
      <c r="G377" s="397"/>
      <c r="H377" s="432"/>
      <c r="I377" s="403"/>
      <c r="J377" s="403">
        <v>2500</v>
      </c>
      <c r="K377" s="438">
        <f ca="1">+IF('[2]BROUILLARD DE CAISSE '!$C377="","",SUMIFS(INDIRECT("$K$7:K"&amp;ROW()),INDIRECT("$D$7:D"&amp;ROW()),"="&amp;"Report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657001</v>
      </c>
      <c r="L377" s="403" t="str">
        <f ca="1">+IF($B377="","",SUMIFS(INDIRECT("$K$7:K"&amp;ROW()),INDIRECT("$B$7:B"&amp;ROW()),Tableau1535678910111213162523692[[#This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7" s="368"/>
      <c r="O377"/>
      <c r="P377"/>
      <c r="Q377"/>
      <c r="R377" s="368"/>
      <c r="S377" s="368"/>
      <c r="T377" s="368"/>
    </row>
    <row r="378" spans="1:20" ht="15" x14ac:dyDescent="0.3">
      <c r="A378" s="434"/>
      <c r="B378" s="392"/>
      <c r="C378" s="435">
        <v>45960</v>
      </c>
      <c r="D37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8" s="437" t="s">
        <v>2756</v>
      </c>
      <c r="F378" s="397" t="s">
        <v>3069</v>
      </c>
      <c r="G378" s="397"/>
      <c r="H378" s="432"/>
      <c r="I378" s="403"/>
      <c r="J378" s="403">
        <v>9090</v>
      </c>
      <c r="K378" s="438">
        <f ca="1">+IF('[2]BROUILLARD DE CAISSE '!$C378="","",SUMIFS(INDIRECT("$K$7:K"&amp;ROW()),INDIRECT("$D$7:D"&amp;ROW()),"="&amp;"Report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647911</v>
      </c>
      <c r="L378" s="403" t="str">
        <f ca="1">+IF($B378="","",SUMIFS(INDIRECT("$K$7:K"&amp;ROW()),INDIRECT("$B$7:B"&amp;ROW()),Tableau1535678910111213162523692[[#This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8" s="368"/>
      <c r="O378"/>
      <c r="P378"/>
      <c r="Q378"/>
      <c r="R378" s="368"/>
      <c r="S378" s="368"/>
      <c r="T378" s="368"/>
    </row>
    <row r="379" spans="1:20" ht="15" x14ac:dyDescent="0.3">
      <c r="A379" s="434"/>
      <c r="B379" s="392"/>
      <c r="C379" s="435">
        <v>45960</v>
      </c>
      <c r="D37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79" s="437" t="s">
        <v>2714</v>
      </c>
      <c r="F379" s="397" t="s">
        <v>3070</v>
      </c>
      <c r="G379" s="397"/>
      <c r="H379" s="432"/>
      <c r="I379" s="403"/>
      <c r="J379" s="403">
        <v>2500</v>
      </c>
      <c r="K379" s="438">
        <f ca="1">+IF('[2]BROUILLARD DE CAISSE '!$C379="","",SUMIFS(INDIRECT("$K$7:K"&amp;ROW()),INDIRECT("$D$7:D"&amp;ROW()),"="&amp;"Report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645411</v>
      </c>
      <c r="L379" s="403" t="str">
        <f ca="1">+IF($B379="","",SUMIFS(INDIRECT("$K$7:K"&amp;ROW()),INDIRECT("$B$7:B"&amp;ROW()),Tableau1535678910111213162523692[[#This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79" s="368"/>
      <c r="O379"/>
      <c r="P379"/>
      <c r="Q379"/>
      <c r="R379" s="368"/>
      <c r="S379" s="368"/>
      <c r="T379" s="368"/>
    </row>
    <row r="380" spans="1:20" ht="15" x14ac:dyDescent="0.3">
      <c r="A380" s="434"/>
      <c r="B380" s="392"/>
      <c r="C380" s="435">
        <v>45960</v>
      </c>
      <c r="D38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0" s="395" t="s">
        <v>2818</v>
      </c>
      <c r="F380" s="397" t="s">
        <v>3071</v>
      </c>
      <c r="G380" s="397"/>
      <c r="H380" s="432"/>
      <c r="I380" s="403"/>
      <c r="J380" s="403">
        <v>8000</v>
      </c>
      <c r="K380" s="438">
        <f ca="1">+IF('[2]BROUILLARD DE CAISSE '!$C380="","",SUMIFS(INDIRECT("$K$7:K"&amp;ROW()),INDIRECT("$D$7:D"&amp;ROW()),"="&amp;"Report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637411</v>
      </c>
      <c r="L380" s="403" t="str">
        <f ca="1">+IF($B380="","",SUMIFS(INDIRECT("$K$7:K"&amp;ROW()),INDIRECT("$B$7:B"&amp;ROW()),Tableau1535678910111213162523692[[#This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0" s="368"/>
      <c r="O380"/>
      <c r="P380"/>
      <c r="Q380"/>
      <c r="R380" s="368"/>
      <c r="S380" s="368"/>
      <c r="T380" s="368"/>
    </row>
    <row r="381" spans="1:20" ht="15" x14ac:dyDescent="0.3">
      <c r="A381" s="434"/>
      <c r="B381" s="392"/>
      <c r="C381" s="435">
        <v>45961</v>
      </c>
      <c r="D38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1" s="437" t="s">
        <v>2844</v>
      </c>
      <c r="F381" s="397" t="s">
        <v>3072</v>
      </c>
      <c r="G381" s="397"/>
      <c r="H381" s="432" t="s">
        <v>3033</v>
      </c>
      <c r="I381" s="403"/>
      <c r="J381" s="403">
        <v>140000</v>
      </c>
      <c r="K381" s="438">
        <f ca="1">+IF('[2]BROUILLARD DE CAISSE '!$C381="","",SUMIFS(INDIRECT("$K$7:K"&amp;ROW()),INDIRECT("$D$7:D"&amp;ROW()),"="&amp;"Report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497411</v>
      </c>
      <c r="L381" s="403" t="str">
        <f ca="1">+IF($B381="","",SUMIFS(INDIRECT("$K$7:K"&amp;ROW()),INDIRECT("$B$7:B"&amp;ROW()),Tableau1535678910111213162523692[[#This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1" s="368"/>
      <c r="O381"/>
      <c r="P381"/>
      <c r="Q381"/>
      <c r="R381" s="368"/>
      <c r="S381" s="368"/>
      <c r="T381" s="368"/>
    </row>
    <row r="382" spans="1:20" ht="15" x14ac:dyDescent="0.3">
      <c r="A382" s="434"/>
      <c r="B382" s="392"/>
      <c r="C382" s="435">
        <v>45961</v>
      </c>
      <c r="D382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2" s="437" t="s">
        <v>3073</v>
      </c>
      <c r="F382" s="397" t="s">
        <v>3074</v>
      </c>
      <c r="G382" s="397"/>
      <c r="H382" s="432"/>
      <c r="I382" s="403"/>
      <c r="J382" s="403">
        <v>1500</v>
      </c>
      <c r="K382" s="438">
        <f ca="1">+IF('[2]BROUILLARD DE CAISSE '!$C382="","",SUMIFS(INDIRECT("$K$7:K"&amp;ROW()),INDIRECT("$D$7:D"&amp;ROW()),"="&amp;"Report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495911</v>
      </c>
      <c r="L382" s="403" t="str">
        <f ca="1">+IF($B382="","",SUMIFS(INDIRECT("$K$7:K"&amp;ROW()),INDIRECT("$B$7:B"&amp;ROW()),Tableau1535678910111213162523692[[#This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2" s="368"/>
      <c r="O382"/>
      <c r="P382"/>
      <c r="Q382"/>
      <c r="R382" s="368"/>
      <c r="S382" s="368"/>
      <c r="T382" s="368"/>
    </row>
    <row r="383" spans="1:20" ht="15" x14ac:dyDescent="0.3">
      <c r="A383" s="434"/>
      <c r="B383" s="392"/>
      <c r="C383" s="435">
        <v>45961</v>
      </c>
      <c r="D38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3" s="437" t="s">
        <v>2727</v>
      </c>
      <c r="F383" s="397" t="s">
        <v>2879</v>
      </c>
      <c r="G383" s="397"/>
      <c r="H383" s="432" t="s">
        <v>2729</v>
      </c>
      <c r="I383" s="403"/>
      <c r="J383" s="403">
        <v>20000</v>
      </c>
      <c r="K383" s="438">
        <f ca="1">+IF('[2]BROUILLARD DE CAISSE '!$C383="","",SUMIFS(INDIRECT("$K$7:K"&amp;ROW()),INDIRECT("$D$7:D"&amp;ROW()),"="&amp;"Report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475911</v>
      </c>
      <c r="L383" s="403" t="str">
        <f ca="1">+IF($B383="","",SUMIFS(INDIRECT("$K$7:K"&amp;ROW()),INDIRECT("$B$7:B"&amp;ROW()),Tableau1535678910111213162523692[[#This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3" s="368"/>
      <c r="O383"/>
      <c r="P383"/>
      <c r="Q383"/>
      <c r="R383" s="368"/>
      <c r="S383" s="368"/>
      <c r="T383" s="368"/>
    </row>
    <row r="384" spans="1:20" ht="15" x14ac:dyDescent="0.3">
      <c r="A384" s="434"/>
      <c r="B384" s="392"/>
      <c r="C384" s="435">
        <v>45961</v>
      </c>
      <c r="D38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4" s="437" t="s">
        <v>2710</v>
      </c>
      <c r="F384" s="397" t="s">
        <v>3075</v>
      </c>
      <c r="G384" s="397"/>
      <c r="H384" s="432" t="s">
        <v>2908</v>
      </c>
      <c r="I384" s="403"/>
      <c r="J384" s="403">
        <v>4545</v>
      </c>
      <c r="K384" s="438">
        <f ca="1">+IF('[2]BROUILLARD DE CAISSE '!$C384="","",SUMIFS(INDIRECT("$K$7:K"&amp;ROW()),INDIRECT("$D$7:D"&amp;ROW()),"="&amp;"Report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471366</v>
      </c>
      <c r="L384" s="403" t="str">
        <f ca="1">+IF($B384="","",SUMIFS(INDIRECT("$K$7:K"&amp;ROW()),INDIRECT("$B$7:B"&amp;ROW()),Tableau1535678910111213162523692[[#This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4" s="368"/>
      <c r="O384"/>
      <c r="P384"/>
      <c r="Q384"/>
      <c r="R384" s="368"/>
      <c r="S384" s="368"/>
      <c r="T384" s="368"/>
    </row>
    <row r="385" spans="1:20" ht="15" x14ac:dyDescent="0.3">
      <c r="A385" s="434"/>
      <c r="B385" s="392"/>
      <c r="C385" s="435">
        <v>45961</v>
      </c>
      <c r="D38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5" s="437" t="s">
        <v>2717</v>
      </c>
      <c r="F385" s="397" t="s">
        <v>2953</v>
      </c>
      <c r="G385" s="397"/>
      <c r="H385" s="432"/>
      <c r="I385" s="403"/>
      <c r="J385" s="403">
        <v>3000</v>
      </c>
      <c r="K385" s="438">
        <f ca="1">+IF('[2]BROUILLARD DE CAISSE '!$C385="","",SUMIFS(INDIRECT("$K$7:K"&amp;ROW()),INDIRECT("$D$7:D"&amp;ROW()),"="&amp;"Report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468366</v>
      </c>
      <c r="L385" s="403" t="str">
        <f ca="1">+IF($B385="","",SUMIFS(INDIRECT("$K$7:K"&amp;ROW()),INDIRECT("$B$7:B"&amp;ROW()),Tableau1535678910111213162523692[[#This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5" s="368"/>
      <c r="O385"/>
      <c r="P385"/>
      <c r="Q385"/>
      <c r="R385" s="368"/>
      <c r="S385" s="368"/>
      <c r="T385" s="368"/>
    </row>
    <row r="386" spans="1:20" ht="15" x14ac:dyDescent="0.3">
      <c r="A386" s="434"/>
      <c r="B386" s="392"/>
      <c r="C386" s="435">
        <v>45961</v>
      </c>
      <c r="D38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6" s="437" t="s">
        <v>2725</v>
      </c>
      <c r="F386" s="397" t="s">
        <v>3076</v>
      </c>
      <c r="G386" s="397"/>
      <c r="H386" s="432"/>
      <c r="I386" s="403"/>
      <c r="J386" s="403">
        <v>150000</v>
      </c>
      <c r="K386" s="438">
        <f ca="1">+IF('[2]BROUILLARD DE CAISSE '!$C386="","",SUMIFS(INDIRECT("$K$7:K"&amp;ROW()),INDIRECT("$D$7:D"&amp;ROW()),"="&amp;"Report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318366</v>
      </c>
      <c r="L386" s="403" t="str">
        <f ca="1">+IF($B386="","",SUMIFS(INDIRECT("$K$7:K"&amp;ROW()),INDIRECT("$B$7:B"&amp;ROW()),Tableau1535678910111213162523692[[#This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6" s="368"/>
      <c r="O386"/>
      <c r="P386"/>
      <c r="Q386"/>
      <c r="R386" s="368"/>
      <c r="S386" s="368"/>
      <c r="T386" s="368"/>
    </row>
    <row r="387" spans="1:20" ht="15" x14ac:dyDescent="0.3">
      <c r="A387" s="434"/>
      <c r="B387" s="392"/>
      <c r="C387" s="435">
        <v>45961</v>
      </c>
      <c r="D38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7" s="437" t="s">
        <v>2773</v>
      </c>
      <c r="F387" s="397" t="s">
        <v>2748</v>
      </c>
      <c r="G387" s="397"/>
      <c r="H387" s="432"/>
      <c r="I387" s="403"/>
      <c r="J387" s="403">
        <v>20000</v>
      </c>
      <c r="K387" s="438">
        <f ca="1">+IF('[2]BROUILLARD DE CAISSE '!$C387="","",SUMIFS(INDIRECT("$K$7:K"&amp;ROW()),INDIRECT("$D$7:D"&amp;ROW()),"="&amp;"Report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298366</v>
      </c>
      <c r="L387" s="403" t="str">
        <f ca="1">+IF($B387="","",SUMIFS(INDIRECT("$K$7:K"&amp;ROW()),INDIRECT("$B$7:B"&amp;ROW()),Tableau1535678910111213162523692[[#This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7" s="368"/>
      <c r="O387"/>
      <c r="P387"/>
      <c r="Q387"/>
      <c r="R387" s="368"/>
      <c r="S387" s="368"/>
      <c r="T387" s="368"/>
    </row>
    <row r="388" spans="1:20" ht="15" x14ac:dyDescent="0.3">
      <c r="A388" s="434"/>
      <c r="B388" s="392"/>
      <c r="C388" s="435">
        <v>45961</v>
      </c>
      <c r="D38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8" s="437" t="s">
        <v>2820</v>
      </c>
      <c r="F388" s="397" t="s">
        <v>2706</v>
      </c>
      <c r="G388" s="397"/>
      <c r="H388" s="432" t="s">
        <v>2687</v>
      </c>
      <c r="I388" s="403"/>
      <c r="J388" s="403">
        <v>10100</v>
      </c>
      <c r="K388" s="438">
        <f ca="1">+IF('[2]BROUILLARD DE CAISSE '!$C388="","",SUMIFS(INDIRECT("$K$7:K"&amp;ROW()),INDIRECT("$D$7:D"&amp;ROW()),"="&amp;"Report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288266</v>
      </c>
      <c r="L388" s="403" t="str">
        <f ca="1">+IF($B388="","",SUMIFS(INDIRECT("$K$7:K"&amp;ROW()),INDIRECT("$B$7:B"&amp;ROW()),Tableau1535678910111213162523692[[#This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8" s="368"/>
      <c r="O388"/>
      <c r="P388"/>
      <c r="Q388"/>
      <c r="R388" s="368"/>
      <c r="S388" s="368"/>
      <c r="T388" s="368"/>
    </row>
    <row r="389" spans="1:20" ht="15" x14ac:dyDescent="0.3">
      <c r="A389" s="434"/>
      <c r="B389" s="392"/>
      <c r="C389" s="435">
        <v>45961</v>
      </c>
      <c r="D389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89" s="437" t="s">
        <v>2727</v>
      </c>
      <c r="F389" s="397" t="s">
        <v>3077</v>
      </c>
      <c r="G389" s="397"/>
      <c r="H389" s="432" t="s">
        <v>2729</v>
      </c>
      <c r="I389" s="403"/>
      <c r="J389" s="403">
        <v>30300</v>
      </c>
      <c r="K389" s="438">
        <f ca="1">+IF('[2]BROUILLARD DE CAISSE '!$C389="","",SUMIFS(INDIRECT("$K$7:K"&amp;ROW()),INDIRECT("$D$7:D"&amp;ROW()),"="&amp;"Report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257966</v>
      </c>
      <c r="L389" s="403" t="str">
        <f ca="1">+IF($B389="","",SUMIFS(INDIRECT("$K$7:K"&amp;ROW()),INDIRECT("$B$7:B"&amp;ROW()),Tableau1535678910111213162523692[[#This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89" s="368"/>
      <c r="O389"/>
      <c r="P389"/>
      <c r="Q389"/>
      <c r="R389" s="368"/>
      <c r="S389" s="368"/>
      <c r="T389" s="368"/>
    </row>
    <row r="390" spans="1:20" ht="15" x14ac:dyDescent="0.3">
      <c r="A390" s="434"/>
      <c r="B390" s="392"/>
      <c r="C390" s="435">
        <v>45961</v>
      </c>
      <c r="D390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90" s="437" t="s">
        <v>3078</v>
      </c>
      <c r="F390" s="397" t="s">
        <v>3079</v>
      </c>
      <c r="G390" s="397"/>
      <c r="H390" s="432"/>
      <c r="I390" s="403"/>
      <c r="J390" s="403">
        <v>104000</v>
      </c>
      <c r="K390" s="438">
        <f ca="1">+IF('[2]BROUILLARD DE CAISSE '!$C390="","",SUMIFS(INDIRECT("$K$7:K"&amp;ROW()),INDIRECT("$D$7:D"&amp;ROW()),"="&amp;"Report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153966</v>
      </c>
      <c r="L390" s="403" t="str">
        <f ca="1">+IF($B390="","",SUMIFS(INDIRECT("$K$7:K"&amp;ROW()),INDIRECT("$B$7:B"&amp;ROW()),Tableau1535678910111213162523692[[#This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0" s="368"/>
      <c r="O390"/>
      <c r="P390"/>
      <c r="Q390"/>
      <c r="R390" s="368"/>
      <c r="S390" s="368"/>
      <c r="T390" s="368"/>
    </row>
    <row r="391" spans="1:20" ht="15" x14ac:dyDescent="0.3">
      <c r="A391" s="434"/>
      <c r="B391" s="392"/>
      <c r="C391" s="435">
        <v>45961</v>
      </c>
      <c r="D391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91" s="437" t="s">
        <v>2714</v>
      </c>
      <c r="F391" s="397" t="s">
        <v>3080</v>
      </c>
      <c r="G391" s="397"/>
      <c r="H391" s="432"/>
      <c r="I391" s="403"/>
      <c r="J391" s="403">
        <v>5000</v>
      </c>
      <c r="K391" s="438">
        <f ca="1">+IF('[2]BROUILLARD DE CAISSE '!$C391="","",SUMIFS(INDIRECT("$K$7:K"&amp;ROW()),INDIRECT("$D$7:D"&amp;ROW()),"="&amp;"Report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148966</v>
      </c>
      <c r="L391" s="403" t="str">
        <f ca="1">+IF($B391="","",SUMIFS(INDIRECT("$K$7:K"&amp;ROW()),INDIRECT("$B$7:B"&amp;ROW()),Tableau1535678910111213162523692[[#This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1" s="368"/>
      <c r="O391"/>
      <c r="P391"/>
      <c r="Q391"/>
      <c r="R391" s="368"/>
      <c r="S391" s="368"/>
      <c r="T391" s="368"/>
    </row>
    <row r="392" spans="1:20" s="473" customFormat="1" ht="15" x14ac:dyDescent="0.3">
      <c r="A392" s="434"/>
      <c r="B392" s="392"/>
      <c r="C392" s="466">
        <v>45961</v>
      </c>
      <c r="D392" s="467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Entrée</v>
      </c>
      <c r="E392" s="468" t="s">
        <v>2679</v>
      </c>
      <c r="F392" s="469" t="s">
        <v>3081</v>
      </c>
      <c r="G392" s="397"/>
      <c r="H392" s="470"/>
      <c r="I392" s="471">
        <v>1000000</v>
      </c>
      <c r="J392" s="471"/>
      <c r="K392" s="472">
        <f ca="1">+IF('[2]BROUILLARD DE CAISSE '!$C392="","",SUMIFS(INDIRECT("$K$7:K"&amp;ROW()),INDIRECT("$D$7:D"&amp;ROW()),"="&amp;"Report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1148966</v>
      </c>
      <c r="L392" s="403" t="str">
        <f ca="1">+IF($B392="","",SUMIFS(INDIRECT("$K$7:K"&amp;ROW()),INDIRECT("$B$7:B"&amp;ROW()),Tableau1535678910111213162523692[[#This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O392" s="474"/>
      <c r="P392" s="474"/>
      <c r="Q392" s="474"/>
    </row>
    <row r="393" spans="1:20" ht="15" x14ac:dyDescent="0.3">
      <c r="A393" s="434"/>
      <c r="B393" s="392"/>
      <c r="C393" s="435">
        <v>45961</v>
      </c>
      <c r="D393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93" s="437" t="s">
        <v>2679</v>
      </c>
      <c r="F393" s="397" t="s">
        <v>3082</v>
      </c>
      <c r="G393" s="397"/>
      <c r="H393" s="432"/>
      <c r="I393" s="403"/>
      <c r="J393" s="403">
        <v>9900</v>
      </c>
      <c r="K393" s="438">
        <f ca="1">+IF('[2]BROUILLARD DE CAISSE '!$C393="","",SUMIFS(INDIRECT("$K$7:K"&amp;ROW()),INDIRECT("$D$7:D"&amp;ROW()),"="&amp;"Report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1139066</v>
      </c>
      <c r="L393" s="403" t="str">
        <f ca="1">+IF($B393="","",SUMIFS(INDIRECT("$K$7:K"&amp;ROW()),INDIRECT("$B$7:B"&amp;ROW()),Tableau1535678910111213162523692[[#This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3" s="368"/>
      <c r="O393"/>
      <c r="P393"/>
      <c r="Q393"/>
      <c r="R393" s="368"/>
      <c r="S393" s="368"/>
      <c r="T393" s="368"/>
    </row>
    <row r="394" spans="1:20" ht="15" x14ac:dyDescent="0.3">
      <c r="A394" s="434"/>
      <c r="B394" s="392"/>
      <c r="C394" s="435">
        <v>45961</v>
      </c>
      <c r="D394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94" s="437" t="s">
        <v>3083</v>
      </c>
      <c r="F394" s="397" t="s">
        <v>3084</v>
      </c>
      <c r="G394" s="397"/>
      <c r="H394" s="432"/>
      <c r="I394" s="403"/>
      <c r="J394" s="403">
        <v>808000</v>
      </c>
      <c r="K394" s="438">
        <f ca="1">+IF('[2]BROUILLARD DE CAISSE '!$C394="","",SUMIFS(INDIRECT("$K$7:K"&amp;ROW()),INDIRECT("$D$7:D"&amp;ROW()),"="&amp;"Report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331066</v>
      </c>
      <c r="L394" s="403" t="str">
        <f ca="1">+IF($B394="","",SUMIFS(INDIRECT("$K$7:K"&amp;ROW()),INDIRECT("$B$7:B"&amp;ROW()),Tableau1535678910111213162523692[[#This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4" s="368"/>
      <c r="O394"/>
      <c r="P394"/>
      <c r="Q394"/>
      <c r="R394" s="368"/>
      <c r="S394" s="368"/>
      <c r="T394" s="368"/>
    </row>
    <row r="395" spans="1:20" ht="15" x14ac:dyDescent="0.3">
      <c r="A395" s="434"/>
      <c r="B395" s="392"/>
      <c r="C395" s="435">
        <v>45961</v>
      </c>
      <c r="D395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>Sortie</v>
      </c>
      <c r="E395" s="437" t="s">
        <v>3085</v>
      </c>
      <c r="F395" s="397" t="s">
        <v>3086</v>
      </c>
      <c r="G395" s="397"/>
      <c r="H395" s="432"/>
      <c r="I395" s="403"/>
      <c r="J395" s="403">
        <v>4040</v>
      </c>
      <c r="K395" s="438">
        <f ca="1">+IF('[2]BROUILLARD DE CAISSE '!$C395="","",SUMIFS(INDIRECT("$K$7:K"&amp;ROW()),INDIRECT("$D$7:D"&amp;ROW()),"="&amp;"Report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327026</v>
      </c>
      <c r="L395" s="403" t="str">
        <f ca="1">+IF($B395="","",SUMIFS(INDIRECT("$K$7:K"&amp;ROW()),INDIRECT("$B$7:B"&amp;ROW()),Tableau1535678910111213162523692[[#This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5" s="368"/>
      <c r="O395"/>
      <c r="P395"/>
      <c r="Q395"/>
      <c r="R395" s="368"/>
      <c r="S395" s="368"/>
      <c r="T395" s="368"/>
    </row>
    <row r="396" spans="1:20" ht="15" x14ac:dyDescent="0.3">
      <c r="A396" s="434"/>
      <c r="B396" s="392"/>
      <c r="C396" s="435">
        <v>45961</v>
      </c>
      <c r="D396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96" s="437"/>
      <c r="F396" s="397"/>
      <c r="G396" s="397"/>
      <c r="H396" s="432"/>
      <c r="I396" s="403"/>
      <c r="J396" s="403"/>
      <c r="K396" s="438">
        <f ca="1">+IF('[2]BROUILLARD DE CAISSE '!$C396="","",SUMIFS(INDIRECT("$K$7:K"&amp;ROW()),INDIRECT("$D$7:D"&amp;ROW()),"="&amp;"Report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327026</v>
      </c>
      <c r="L396" s="403" t="str">
        <f ca="1">+IF($B396="","",SUMIFS(INDIRECT("$K$7:K"&amp;ROW()),INDIRECT("$B$7:B"&amp;ROW()),Tableau1535678910111213162523692[[#This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6" s="368"/>
      <c r="O396"/>
      <c r="P396"/>
      <c r="Q396"/>
      <c r="R396" s="368"/>
      <c r="S396" s="368"/>
      <c r="T396" s="368"/>
    </row>
    <row r="397" spans="1:20" ht="15" x14ac:dyDescent="0.3">
      <c r="A397" s="434"/>
      <c r="B397" s="392"/>
      <c r="C397" s="435">
        <v>45961</v>
      </c>
      <c r="D397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97" s="437"/>
      <c r="F397" s="397"/>
      <c r="G397" s="397"/>
      <c r="H397" s="432"/>
      <c r="I397" s="403"/>
      <c r="J397" s="403"/>
      <c r="K397" s="438">
        <f ca="1">+IF('[2]BROUILLARD DE CAISSE '!$C397="","",SUMIFS(INDIRECT("$K$7:K"&amp;ROW()),INDIRECT("$D$7:D"&amp;ROW()),"="&amp;"Report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327026</v>
      </c>
      <c r="L397" s="403" t="str">
        <f ca="1">+IF($B397="","",SUMIFS(INDIRECT("$K$7:K"&amp;ROW()),INDIRECT("$B$7:B"&amp;ROW()),Tableau1535678910111213162523692[[#This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7" s="368"/>
      <c r="O397"/>
      <c r="P397"/>
      <c r="Q397"/>
      <c r="R397" s="368"/>
      <c r="S397" s="368"/>
      <c r="T397" s="368"/>
    </row>
    <row r="398" spans="1:20" ht="15" x14ac:dyDescent="0.3">
      <c r="A398" s="434"/>
      <c r="B398" s="392"/>
      <c r="C398" s="435">
        <v>45961</v>
      </c>
      <c r="D398" s="436" t="str">
        <f>+IF(AND(Tableau1535678910111213162523692[[#This Row],[RECETTE]]&lt;&gt;"",Tableau1535678910111213162523692[[#This Row],[LIBELLE]]="Report du Solde du mois précedent"),"Report à nouveau",IF(Tableau1535678910111213162523692[[#This Row],[RECETTE]]&lt;&gt;"","Entrée",IF(Tableau1535678910111213162523692[[#This Row],[DÉPENSE]]&lt;&gt;"","Sortie","")))</f>
        <v/>
      </c>
      <c r="E398" s="437"/>
      <c r="F398" s="397"/>
      <c r="G398" s="397"/>
      <c r="H398" s="432"/>
      <c r="I398" s="403"/>
      <c r="J398" s="403"/>
      <c r="K398" s="438">
        <f ca="1">+IF('[2]BROUILLARD DE CAISSE '!$C398="","",SUMIFS(INDIRECT("$K$7:K"&amp;ROW()),INDIRECT("$D$7:D"&amp;ROW()),"="&amp;"Report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327026</v>
      </c>
      <c r="L398" s="403" t="str">
        <f ca="1">+IF($B398="","",SUMIFS(INDIRECT("$K$7:K"&amp;ROW()),INDIRECT("$B$7:B"&amp;ROW()),Tableau1535678910111213162523692[[#This Row],[ACTIVITES]],INDIRECT("$D$7:D"&amp;ROW()),"="&amp;"Report à nouveau")+SUMIFS(INDIRECT("$K$7:K"&amp;ROW()),INDIRECT("$B$7:B"&amp;ROW()),Tableau1535678910111213162523692[[#This Row],[ACTIVITES]],INDIRECT("$D$7:D"&amp;ROW()),"="&amp;"Entrée")-SUMIFS(INDIRECT("$L$7:L"&amp;ROW()),INDIRECT("$B$7:B"&amp;ROW()),Tableau1535678910111213162523692[[#This Row],[ACTIVITES]],INDIRECT("$D$7:D"&amp;ROW()),"="&amp;"Sortie"))</f>
        <v/>
      </c>
      <c r="M398" s="368"/>
      <c r="O398"/>
      <c r="P398"/>
      <c r="Q398"/>
      <c r="R398" s="368"/>
      <c r="S398" s="368"/>
      <c r="T398" s="368"/>
    </row>
    <row r="399" spans="1:20" x14ac:dyDescent="0.3">
      <c r="K399" s="475"/>
    </row>
    <row r="400" spans="1:20" ht="15.6" customHeight="1" x14ac:dyDescent="0.3"/>
    <row r="401" spans="5:6" ht="40.200000000000003" customHeight="1" x14ac:dyDescent="0.3">
      <c r="E401" s="574" t="s">
        <v>22</v>
      </c>
      <c r="F401" s="574"/>
    </row>
    <row r="402" spans="5:6" ht="26.4" customHeight="1" x14ac:dyDescent="0.3">
      <c r="E402" s="476" t="s">
        <v>3087</v>
      </c>
      <c r="F402" s="477">
        <v>1422140</v>
      </c>
    </row>
    <row r="403" spans="5:6" ht="25.8" customHeight="1" x14ac:dyDescent="0.3">
      <c r="E403" s="476" t="s">
        <v>3088</v>
      </c>
      <c r="F403" s="477">
        <f>SUM(I8:I398)</f>
        <v>37333800</v>
      </c>
    </row>
    <row r="404" spans="5:6" ht="30" customHeight="1" x14ac:dyDescent="0.3">
      <c r="E404" s="478" t="s">
        <v>3089</v>
      </c>
      <c r="F404" s="479">
        <v>6611030</v>
      </c>
    </row>
    <row r="405" spans="5:6" ht="26.4" customHeight="1" x14ac:dyDescent="0.3">
      <c r="E405" s="476" t="s">
        <v>3090</v>
      </c>
      <c r="F405" s="480">
        <f>38268914-F404+20000+140000</f>
        <v>31817884</v>
      </c>
    </row>
    <row r="406" spans="5:6" ht="43.2" customHeight="1" x14ac:dyDescent="0.3">
      <c r="F406" s="481">
        <f>+F402+F403-F404-F405</f>
        <v>327026</v>
      </c>
    </row>
  </sheetData>
  <mergeCells count="1">
    <mergeCell ref="E401:F401"/>
  </mergeCells>
  <conditionalFormatting sqref="A7:L263 D264:L267 A264:B278 C264:C398 E268 E275 A309:B317 E317 E347 E356 E371:E372 E380">
    <cfRule type="expression" dxfId="27" priority="3">
      <formula>#REF!="FF"</formula>
    </cfRule>
  </conditionalFormatting>
  <conditionalFormatting sqref="A7:L333 A334:B343 D334:L343 C334:C398 E347 E356 E371:E372 E380">
    <cfRule type="expression" dxfId="26" priority="2" stopIfTrue="1">
      <formula>$I7&lt;&gt;""</formula>
    </cfRule>
  </conditionalFormatting>
  <conditionalFormatting sqref="F392:F393">
    <cfRule type="expression" dxfId="25" priority="1" stopIfTrue="1">
      <formula>$I392&lt;&gt;""</formula>
    </cfRule>
  </conditionalFormatting>
  <conditionalFormatting sqref="M33">
    <cfRule type="expression" dxfId="24" priority="4">
      <formula>#REF!="FF"</formula>
    </cfRule>
    <cfRule type="expression" dxfId="23" priority="5" stopIfTrue="1">
      <formula>$I32&lt;&gt;""</formula>
    </cfRule>
  </conditionalFormatting>
  <dataValidations count="2">
    <dataValidation type="list" allowBlank="1" showInputMessage="1" showErrorMessage="1" sqref="H7:H398" xr:uid="{901EED2A-6585-4BDA-9EEB-C1BF5F3A2909}">
      <formula1>ID_ENGIN</formula1>
    </dataValidation>
    <dataValidation type="list" allowBlank="1" showInputMessage="1" showErrorMessage="1" sqref="B7:B398" xr:uid="{47A6DA89-5519-47A3-9C22-6319E47A90B7}">
      <formula1>ACTIVITE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3A53-1AF9-488F-A9F3-192EC0243F20}">
  <dimension ref="A1:Q399"/>
  <sheetViews>
    <sheetView topLeftCell="C378" zoomScale="60" zoomScaleNormal="60" workbookViewId="0">
      <selection activeCell="G399" sqref="G399"/>
    </sheetView>
  </sheetViews>
  <sheetFormatPr baseColWidth="10" defaultColWidth="10.109375" defaultRowHeight="14.4" x14ac:dyDescent="0.3"/>
  <cols>
    <col min="1" max="1" width="20.21875" style="368" hidden="1" customWidth="1"/>
    <col min="2" max="2" width="30.88671875" style="368" hidden="1" customWidth="1"/>
    <col min="3" max="3" width="19.44140625" style="368" bestFit="1" customWidth="1"/>
    <col min="4" max="4" width="22" style="368" bestFit="1" customWidth="1"/>
    <col min="5" max="5" width="31.21875" bestFit="1" customWidth="1"/>
    <col min="6" max="6" width="99.109375" style="368" customWidth="1"/>
    <col min="7" max="7" width="37.77734375" style="368" customWidth="1"/>
    <col min="8" max="8" width="27.44140625" style="368" customWidth="1"/>
    <col min="9" max="9" width="19" bestFit="1" customWidth="1"/>
    <col min="10" max="10" width="19.44140625" bestFit="1" customWidth="1"/>
    <col min="11" max="11" width="18.21875" style="368" customWidth="1"/>
    <col min="12" max="12" width="25.33203125" hidden="1" customWidth="1"/>
    <col min="13" max="13" width="19.6640625" style="368" bestFit="1" customWidth="1"/>
    <col min="14" max="14" width="27.77734375" style="368" bestFit="1" customWidth="1"/>
    <col min="15" max="15" width="11.109375" bestFit="1" customWidth="1"/>
    <col min="17" max="17" width="24.109375" customWidth="1"/>
    <col min="18" max="18" width="21.88671875" style="368" bestFit="1" customWidth="1"/>
    <col min="19" max="19" width="30.33203125" style="368" customWidth="1"/>
    <col min="20" max="20" width="53.21875" style="368" customWidth="1"/>
    <col min="21" max="16384" width="10.109375" style="368"/>
  </cols>
  <sheetData>
    <row r="1" spans="1:17" ht="17.399999999999999" x14ac:dyDescent="0.3">
      <c r="A1" s="365" t="s">
        <v>2659</v>
      </c>
      <c r="B1" s="366" t="s">
        <v>2660</v>
      </c>
      <c r="C1" s="367"/>
      <c r="E1" s="368"/>
      <c r="I1" s="368"/>
      <c r="J1" s="368"/>
      <c r="L1" s="368"/>
      <c r="O1" s="368"/>
      <c r="P1" s="368"/>
      <c r="Q1" s="368"/>
    </row>
    <row r="2" spans="1:17" s="374" customFormat="1" ht="57" customHeight="1" x14ac:dyDescent="0.3">
      <c r="A2" s="371" t="s">
        <v>2662</v>
      </c>
      <c r="B2" s="372" t="s">
        <v>2663</v>
      </c>
      <c r="C2" s="373">
        <v>45962</v>
      </c>
      <c r="F2" s="375"/>
      <c r="I2" s="376" t="s">
        <v>2664</v>
      </c>
      <c r="J2" s="377" t="s">
        <v>2665</v>
      </c>
      <c r="K2" s="376" t="s">
        <v>2666</v>
      </c>
    </row>
    <row r="3" spans="1:17" s="382" customFormat="1" ht="23.4" x14ac:dyDescent="0.3">
      <c r="A3" s="379" t="s">
        <v>2667</v>
      </c>
      <c r="B3" s="380" t="s">
        <v>2668</v>
      </c>
      <c r="C3" s="381">
        <f>+EDATE(C2,1)-1</f>
        <v>45991</v>
      </c>
      <c r="H3" s="383"/>
      <c r="I3" s="483">
        <f>+SUBTOTAL(9,Tableau15356789101112131625236923[RECETTE])</f>
        <v>45265036</v>
      </c>
      <c r="J3" s="483">
        <f>+SUBTOTAL(9,Tableau15356789101112131625236923[DÉPENSE])</f>
        <v>43279315</v>
      </c>
      <c r="K3" s="483">
        <f>+I3-J3</f>
        <v>1985721</v>
      </c>
      <c r="L3" s="484">
        <v>925160</v>
      </c>
    </row>
    <row r="4" spans="1:17" s="385" customFormat="1" ht="16.8" x14ac:dyDescent="0.3"/>
    <row r="5" spans="1:17" ht="3" customHeight="1" x14ac:dyDescent="0.3">
      <c r="E5" s="368"/>
      <c r="I5" s="368"/>
      <c r="J5" s="368"/>
      <c r="L5" s="368"/>
      <c r="O5" s="368"/>
      <c r="P5" s="368"/>
      <c r="Q5" s="368"/>
    </row>
    <row r="6" spans="1:17" s="388" customFormat="1" ht="45.6" customHeight="1" x14ac:dyDescent="0.3">
      <c r="A6" s="386" t="s">
        <v>2659</v>
      </c>
      <c r="B6" s="387" t="s">
        <v>2669</v>
      </c>
      <c r="C6" s="388" t="s">
        <v>2670</v>
      </c>
      <c r="D6" s="389" t="s">
        <v>2671</v>
      </c>
      <c r="E6" s="388" t="s">
        <v>2672</v>
      </c>
      <c r="F6" s="388" t="s">
        <v>1</v>
      </c>
      <c r="G6" s="387" t="s">
        <v>2673</v>
      </c>
      <c r="H6" s="390" t="s">
        <v>2674</v>
      </c>
      <c r="I6" s="388" t="s">
        <v>2675</v>
      </c>
      <c r="J6" s="388" t="s">
        <v>2676</v>
      </c>
      <c r="K6" s="389" t="s">
        <v>2666</v>
      </c>
      <c r="L6" s="389" t="s">
        <v>2677</v>
      </c>
    </row>
    <row r="7" spans="1:17" s="493" customFormat="1" ht="15" x14ac:dyDescent="0.3">
      <c r="A7" s="485" t="s">
        <v>2660</v>
      </c>
      <c r="B7" s="486" t="s">
        <v>2678</v>
      </c>
      <c r="C7" s="487">
        <v>45962</v>
      </c>
      <c r="D7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Report à nouveau</v>
      </c>
      <c r="E7" s="489" t="s">
        <v>2679</v>
      </c>
      <c r="F7" s="490" t="s">
        <v>2680</v>
      </c>
      <c r="G7" s="454"/>
      <c r="H7" s="490"/>
      <c r="I7" s="491">
        <f>467026-140000</f>
        <v>327026</v>
      </c>
      <c r="J7" s="491"/>
      <c r="K7" s="491">
        <f ca="1">+IF('[3]BROUILLARD DE CAISSE '!$C7="","",SUMIFS(INDIRECT("$K$7:K"&amp;ROW()),INDIRECT("$D$7:D"&amp;ROW()),"="&amp;"Report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0</v>
      </c>
      <c r="L7" s="492">
        <f ca="1">+IF($B7="","",SUMIFS(INDIRECT("$K$7:K"&amp;ROW()),INDIRECT("$B$7:B"&amp;ROW()),Tableau15356789101112131625236923[[#This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0</v>
      </c>
    </row>
    <row r="8" spans="1:17" s="494" customFormat="1" ht="15" x14ac:dyDescent="0.3">
      <c r="A8" s="485" t="s">
        <v>2660</v>
      </c>
      <c r="B8" s="486" t="s">
        <v>2678</v>
      </c>
      <c r="C8" s="487">
        <v>45962</v>
      </c>
      <c r="D8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" s="489" t="s">
        <v>2773</v>
      </c>
      <c r="F8" s="489" t="s">
        <v>3092</v>
      </c>
      <c r="G8" s="454"/>
      <c r="I8" s="495"/>
      <c r="J8" s="496">
        <v>15150</v>
      </c>
      <c r="K8" s="491">
        <f ca="1">+K7+Tableau15356789101112131625236923[[#This Row],[RECETTE]]-Tableau15356789101112131625236923[[#This Row],[DÉPENSE]]</f>
        <v>-15150</v>
      </c>
      <c r="L8" s="492">
        <f ca="1">+IF($B8="","",SUMIFS(INDIRECT("$K$7:K"&amp;ROW()),INDIRECT("$B$7:B"&amp;ROW()),Tableau15356789101112131625236923[[#This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15150</v>
      </c>
    </row>
    <row r="9" spans="1:17" s="494" customFormat="1" ht="15" x14ac:dyDescent="0.3">
      <c r="A9" s="485" t="s">
        <v>2660</v>
      </c>
      <c r="B9" s="486" t="s">
        <v>2678</v>
      </c>
      <c r="C9" s="487">
        <v>45962</v>
      </c>
      <c r="D9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" s="489" t="s">
        <v>2683</v>
      </c>
      <c r="F9" s="489" t="s">
        <v>2896</v>
      </c>
      <c r="G9" s="454"/>
      <c r="H9" s="494" t="s">
        <v>2685</v>
      </c>
      <c r="I9" s="495"/>
      <c r="J9" s="496">
        <v>10100</v>
      </c>
      <c r="K9" s="491">
        <f ca="1">+IF('[3]BROUILLARD DE CAISSE '!$C9="","",SUMIFS(INDIRECT("$K$7:K"&amp;ROW()),INDIRECT("$D$7:D"&amp;ROW()),"="&amp;"Report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301776</v>
      </c>
      <c r="L9" s="492">
        <f ca="1">+IF($B9="","",SUMIFS(INDIRECT("$K$7:K"&amp;ROW()),INDIRECT("$B$7:B"&amp;ROW()),Tableau15356789101112131625236923[[#This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301776</v>
      </c>
    </row>
    <row r="10" spans="1:17" s="494" customFormat="1" ht="15" x14ac:dyDescent="0.3">
      <c r="A10" s="485" t="s">
        <v>2660</v>
      </c>
      <c r="B10" s="486" t="s">
        <v>2678</v>
      </c>
      <c r="C10" s="487">
        <v>45962</v>
      </c>
      <c r="D10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" s="489" t="s">
        <v>2710</v>
      </c>
      <c r="F10" s="489" t="s">
        <v>3093</v>
      </c>
      <c r="G10" s="454"/>
      <c r="I10" s="495"/>
      <c r="J10" s="496">
        <v>16160</v>
      </c>
      <c r="K10" s="491">
        <f ca="1">+IF('[3]BROUILLARD DE CAISSE '!$C10="","",SUMIFS(INDIRECT("$K$7:K"&amp;ROW()),INDIRECT("$D$7:D"&amp;ROW()),"="&amp;"Report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285616</v>
      </c>
      <c r="L10" s="492">
        <f ca="1">+IF($B10="","",SUMIFS(INDIRECT("$K$7:K"&amp;ROW()),INDIRECT("$B$7:B"&amp;ROW()),Tableau15356789101112131625236923[[#This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285616</v>
      </c>
    </row>
    <row r="11" spans="1:17" s="423" customFormat="1" ht="15" x14ac:dyDescent="0.3">
      <c r="A11" s="485" t="s">
        <v>2660</v>
      </c>
      <c r="B11" s="486" t="s">
        <v>2678</v>
      </c>
      <c r="C11" s="487">
        <v>45962</v>
      </c>
      <c r="D11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" s="489" t="s">
        <v>3094</v>
      </c>
      <c r="F11" s="489" t="s">
        <v>3095</v>
      </c>
      <c r="G11" s="454"/>
      <c r="H11" s="494" t="s">
        <v>2707</v>
      </c>
      <c r="I11" s="495"/>
      <c r="J11" s="496">
        <v>121200</v>
      </c>
      <c r="K11" s="491">
        <f ca="1">+IF('[3]BROUILLARD DE CAISSE '!$C11="","",SUMIFS(INDIRECT("$K$7:K"&amp;ROW()),INDIRECT("$D$7:D"&amp;ROW()),"="&amp;"Report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164416</v>
      </c>
      <c r="L11" s="492">
        <f ca="1">+IF($B11="","",SUMIFS(INDIRECT("$K$7:K"&amp;ROW()),INDIRECT("$B$7:B"&amp;ROW()),Tableau15356789101112131625236923[[#This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164416</v>
      </c>
    </row>
    <row r="12" spans="1:17" s="423" customFormat="1" ht="15" x14ac:dyDescent="0.3">
      <c r="A12" s="485" t="s">
        <v>2660</v>
      </c>
      <c r="B12" s="486" t="s">
        <v>2678</v>
      </c>
      <c r="C12" s="487">
        <v>45962</v>
      </c>
      <c r="D12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" s="489" t="s">
        <v>2710</v>
      </c>
      <c r="F12" s="489" t="s">
        <v>3096</v>
      </c>
      <c r="G12" s="454"/>
      <c r="H12" s="494" t="s">
        <v>2741</v>
      </c>
      <c r="I12" s="495"/>
      <c r="J12" s="496">
        <v>16160</v>
      </c>
      <c r="K12" s="491">
        <f ca="1">+IF('[3]BROUILLARD DE CAISSE '!$C12="","",SUMIFS(INDIRECT("$K$7:K"&amp;ROW()),INDIRECT("$D$7:D"&amp;ROW()),"="&amp;"Report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148256</v>
      </c>
      <c r="L12" s="492">
        <f ca="1">+IF($B12="","",SUMIFS(INDIRECT("$K$7:K"&amp;ROW()),INDIRECT("$B$7:B"&amp;ROW()),Tableau15356789101112131625236923[[#This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148256</v>
      </c>
    </row>
    <row r="13" spans="1:17" s="423" customFormat="1" ht="15" x14ac:dyDescent="0.3">
      <c r="A13" s="485" t="s">
        <v>2660</v>
      </c>
      <c r="B13" s="486" t="s">
        <v>2678</v>
      </c>
      <c r="C13" s="487">
        <v>45963</v>
      </c>
      <c r="D13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" s="489" t="s">
        <v>2813</v>
      </c>
      <c r="F13" s="489" t="s">
        <v>3097</v>
      </c>
      <c r="G13" s="454"/>
      <c r="H13" s="494"/>
      <c r="I13" s="495"/>
      <c r="J13" s="496">
        <v>11110</v>
      </c>
      <c r="K13" s="491">
        <f ca="1">+IF('[3]BROUILLARD DE CAISSE '!$C13="","",SUMIFS(INDIRECT("$K$7:K"&amp;ROW()),INDIRECT("$D$7:D"&amp;ROW()),"="&amp;"Report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137146</v>
      </c>
      <c r="L13" s="492">
        <f ca="1">+IF($B13="","",SUMIFS(INDIRECT("$K$7:K"&amp;ROW()),INDIRECT("$B$7:B"&amp;ROW()),Tableau15356789101112131625236923[[#This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137146</v>
      </c>
    </row>
    <row r="14" spans="1:17" s="423" customFormat="1" ht="15" x14ac:dyDescent="0.3">
      <c r="A14" s="485" t="s">
        <v>2660</v>
      </c>
      <c r="B14" s="486" t="s">
        <v>2678</v>
      </c>
      <c r="C14" s="487">
        <v>45963</v>
      </c>
      <c r="D14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14" s="489" t="s">
        <v>2679</v>
      </c>
      <c r="F14" s="489" t="s">
        <v>3081</v>
      </c>
      <c r="G14" s="454"/>
      <c r="H14" s="494"/>
      <c r="I14" s="495">
        <v>1000000</v>
      </c>
      <c r="J14" s="496"/>
      <c r="K14" s="491">
        <f ca="1">+IF('[3]BROUILLARD DE CAISSE '!$C14="","",SUMIFS(INDIRECT("$K$7:K"&amp;ROW()),INDIRECT("$D$7:D"&amp;ROW()),"="&amp;"Report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1137146</v>
      </c>
      <c r="L14" s="492">
        <f ca="1">+IF($B14="","",SUMIFS(INDIRECT("$K$7:K"&amp;ROW()),INDIRECT("$B$7:B"&amp;ROW()),Tableau15356789101112131625236923[[#This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1137146</v>
      </c>
    </row>
    <row r="15" spans="1:17" s="423" customFormat="1" ht="15" x14ac:dyDescent="0.3">
      <c r="A15" s="485" t="s">
        <v>2660</v>
      </c>
      <c r="B15" s="486" t="s">
        <v>2678</v>
      </c>
      <c r="C15" s="487">
        <v>45963</v>
      </c>
      <c r="D15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" s="489" t="s">
        <v>2679</v>
      </c>
      <c r="F15" s="489" t="s">
        <v>3082</v>
      </c>
      <c r="G15" s="454"/>
      <c r="H15" s="494"/>
      <c r="I15" s="495"/>
      <c r="J15" s="496">
        <v>9900</v>
      </c>
      <c r="K15" s="491">
        <f ca="1">+IF('[3]BROUILLARD DE CAISSE '!$C15="","",SUMIFS(INDIRECT("$K$7:K"&amp;ROW()),INDIRECT("$D$7:D"&amp;ROW()),"="&amp;"Report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1127246</v>
      </c>
      <c r="L15" s="492">
        <f ca="1">+IF($B15="","",SUMIFS(INDIRECT("$K$7:K"&amp;ROW()),INDIRECT("$B$7:B"&amp;ROW()),Tableau15356789101112131625236923[[#This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1127246</v>
      </c>
    </row>
    <row r="16" spans="1:17" ht="15" x14ac:dyDescent="0.3">
      <c r="A16" s="391" t="s">
        <v>2660</v>
      </c>
      <c r="B16" s="392" t="s">
        <v>2678</v>
      </c>
      <c r="C16" s="497">
        <v>45963</v>
      </c>
      <c r="D1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6" s="395" t="s">
        <v>2951</v>
      </c>
      <c r="F16" s="395" t="s">
        <v>3098</v>
      </c>
      <c r="G16" s="397"/>
      <c r="H16" s="401"/>
      <c r="I16" s="498"/>
      <c r="J16" s="499">
        <v>505000</v>
      </c>
      <c r="K16" s="491">
        <f ca="1">+IF('[3]BROUILLARD DE CAISSE '!$C16="","",SUMIFS(INDIRECT("$K$7:K"&amp;ROW()),INDIRECT("$D$7:D"&amp;ROW()),"="&amp;"Report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622246</v>
      </c>
      <c r="L16" s="399">
        <f ca="1">+IF($B16="","",SUMIFS(INDIRECT("$K$7:K"&amp;ROW()),INDIRECT("$B$7:B"&amp;ROW()),Tableau15356789101112131625236923[[#This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622246</v>
      </c>
      <c r="O16" s="368"/>
      <c r="P16" s="368"/>
      <c r="Q16" s="368"/>
    </row>
    <row r="17" spans="1:17" ht="15" x14ac:dyDescent="0.3">
      <c r="A17" s="391" t="s">
        <v>2660</v>
      </c>
      <c r="B17" s="392" t="s">
        <v>2678</v>
      </c>
      <c r="C17" s="497">
        <v>45964</v>
      </c>
      <c r="D1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7" s="395" t="s">
        <v>3094</v>
      </c>
      <c r="F17" s="395" t="s">
        <v>3099</v>
      </c>
      <c r="G17" s="397"/>
      <c r="H17" s="401" t="s">
        <v>3100</v>
      </c>
      <c r="I17" s="498"/>
      <c r="J17" s="499">
        <v>252500</v>
      </c>
      <c r="K17" s="491">
        <f ca="1">+IF('[3]BROUILLARD DE CAISSE '!$C17="","",SUMIFS(INDIRECT("$K$7:K"&amp;ROW()),INDIRECT("$D$7:D"&amp;ROW()),"="&amp;"Report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369746</v>
      </c>
      <c r="L17" s="399">
        <f ca="1">+IF($B17="","",SUMIFS(INDIRECT("$K$7:K"&amp;ROW()),INDIRECT("$B$7:B"&amp;ROW()),Tableau15356789101112131625236923[[#This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369746</v>
      </c>
      <c r="O17" s="368"/>
      <c r="P17" s="368"/>
      <c r="Q17" s="368"/>
    </row>
    <row r="18" spans="1:17" ht="15" x14ac:dyDescent="0.3">
      <c r="A18" s="391" t="s">
        <v>2660</v>
      </c>
      <c r="B18" s="392" t="s">
        <v>2678</v>
      </c>
      <c r="C18" s="497">
        <v>45964</v>
      </c>
      <c r="D1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8" s="395" t="s">
        <v>2714</v>
      </c>
      <c r="F18" s="395" t="s">
        <v>3101</v>
      </c>
      <c r="G18" s="397"/>
      <c r="H18" s="401"/>
      <c r="I18" s="498"/>
      <c r="J18" s="499">
        <v>6300</v>
      </c>
      <c r="K18" s="491">
        <f ca="1">+IF('[3]BROUILLARD DE CAISSE '!$C18="","",SUMIFS(INDIRECT("$K$7:K"&amp;ROW()),INDIRECT("$D$7:D"&amp;ROW()),"="&amp;"Report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363446</v>
      </c>
      <c r="L18" s="399">
        <f ca="1">+IF($B18="","",SUMIFS(INDIRECT("$K$7:K"&amp;ROW()),INDIRECT("$B$7:B"&amp;ROW()),Tableau15356789101112131625236923[[#This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363446</v>
      </c>
      <c r="O18" s="368"/>
      <c r="P18" s="368"/>
      <c r="Q18" s="368"/>
    </row>
    <row r="19" spans="1:17" ht="15" x14ac:dyDescent="0.3">
      <c r="A19" s="391" t="s">
        <v>2660</v>
      </c>
      <c r="B19" s="392" t="s">
        <v>2678</v>
      </c>
      <c r="C19" s="497">
        <v>45964</v>
      </c>
      <c r="D1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9" s="395" t="s">
        <v>2694</v>
      </c>
      <c r="F19" s="395" t="s">
        <v>3102</v>
      </c>
      <c r="G19" s="397"/>
      <c r="H19" s="401"/>
      <c r="I19" s="498"/>
      <c r="J19" s="499">
        <v>10000</v>
      </c>
      <c r="K19" s="491">
        <f ca="1">+IF('[3]BROUILLARD DE CAISSE '!$C19="","",SUMIFS(INDIRECT("$K$7:K"&amp;ROW()),INDIRECT("$D$7:D"&amp;ROW()),"="&amp;"Report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353446</v>
      </c>
      <c r="L19" s="399">
        <f ca="1">+IF($B19="","",SUMIFS(INDIRECT("$K$7:K"&amp;ROW()),INDIRECT("$B$7:B"&amp;ROW()),Tableau15356789101112131625236923[[#This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353446</v>
      </c>
      <c r="O19" s="368"/>
      <c r="P19" s="368"/>
      <c r="Q19" s="368"/>
    </row>
    <row r="20" spans="1:17" ht="15" x14ac:dyDescent="0.3">
      <c r="A20" s="391" t="s">
        <v>2660</v>
      </c>
      <c r="B20" s="392" t="s">
        <v>2678</v>
      </c>
      <c r="C20" s="497">
        <v>45964</v>
      </c>
      <c r="D2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" s="395" t="s">
        <v>2714</v>
      </c>
      <c r="F20" s="395" t="s">
        <v>3103</v>
      </c>
      <c r="G20" s="397"/>
      <c r="H20" s="401"/>
      <c r="I20" s="498"/>
      <c r="J20" s="499">
        <v>2300</v>
      </c>
      <c r="K20" s="491">
        <f ca="1">+IF('[3]BROUILLARD DE CAISSE '!$C20="","",SUMIFS(INDIRECT("$K$7:K"&amp;ROW()),INDIRECT("$D$7:D"&amp;ROW()),"="&amp;"Report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351146</v>
      </c>
      <c r="L20" s="399">
        <f ca="1">+IF($B20="","",SUMIFS(INDIRECT("$K$7:K"&amp;ROW()),INDIRECT("$B$7:B"&amp;ROW()),Tableau15356789101112131625236923[[#This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351146</v>
      </c>
      <c r="O20" s="368"/>
      <c r="P20" s="368"/>
      <c r="Q20" s="368"/>
    </row>
    <row r="21" spans="1:17" ht="15" x14ac:dyDescent="0.3">
      <c r="A21" s="391" t="s">
        <v>2660</v>
      </c>
      <c r="B21" s="392" t="s">
        <v>2678</v>
      </c>
      <c r="C21" s="497">
        <v>45964</v>
      </c>
      <c r="D2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1" s="395" t="s">
        <v>2865</v>
      </c>
      <c r="F21" s="395" t="s">
        <v>3104</v>
      </c>
      <c r="G21" s="397"/>
      <c r="H21" s="401"/>
      <c r="I21" s="498"/>
      <c r="J21" s="499">
        <v>20200</v>
      </c>
      <c r="K21" s="491">
        <f ca="1">+IF('[3]BROUILLARD DE CAISSE '!$C21="","",SUMIFS(INDIRECT("$K$7:K"&amp;ROW()),INDIRECT("$D$7:D"&amp;ROW()),"="&amp;"Report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330946</v>
      </c>
      <c r="L21" s="399">
        <f ca="1">+IF($B21="","",SUMIFS(INDIRECT("$K$7:K"&amp;ROW()),INDIRECT("$B$7:B"&amp;ROW()),Tableau15356789101112131625236923[[#This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330946</v>
      </c>
      <c r="O21" s="368"/>
      <c r="P21" s="368"/>
      <c r="Q21" s="368"/>
    </row>
    <row r="22" spans="1:17" ht="15" x14ac:dyDescent="0.3">
      <c r="A22" s="391" t="s">
        <v>2660</v>
      </c>
      <c r="B22" s="392" t="s">
        <v>2678</v>
      </c>
      <c r="C22" s="497">
        <v>45964</v>
      </c>
      <c r="D2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2" s="395" t="s">
        <v>2727</v>
      </c>
      <c r="F22" s="395" t="s">
        <v>2879</v>
      </c>
      <c r="G22" s="397"/>
      <c r="H22" s="401" t="s">
        <v>2729</v>
      </c>
      <c r="I22" s="498"/>
      <c r="J22" s="499">
        <v>20000</v>
      </c>
      <c r="K22" s="491">
        <f ca="1">+IF('[3]BROUILLARD DE CAISSE '!$C22="","",SUMIFS(INDIRECT("$K$7:K"&amp;ROW()),INDIRECT("$D$7:D"&amp;ROW()),"="&amp;"Report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310946</v>
      </c>
      <c r="L22" s="399">
        <f ca="1">+IF($B22="","",SUMIFS(INDIRECT("$K$7:K"&amp;ROW()),INDIRECT("$B$7:B"&amp;ROW()),Tableau15356789101112131625236923[[#This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310946</v>
      </c>
      <c r="O22" s="368"/>
      <c r="P22" s="368"/>
      <c r="Q22" s="368"/>
    </row>
    <row r="23" spans="1:17" ht="15" x14ac:dyDescent="0.3">
      <c r="A23" s="391" t="s">
        <v>2660</v>
      </c>
      <c r="B23" s="392" t="s">
        <v>2678</v>
      </c>
      <c r="C23" s="497">
        <v>45964</v>
      </c>
      <c r="D2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3" s="395" t="s">
        <v>2813</v>
      </c>
      <c r="F23" s="395" t="s">
        <v>3105</v>
      </c>
      <c r="G23" s="397"/>
      <c r="H23" s="401"/>
      <c r="I23" s="498"/>
      <c r="J23" s="499">
        <v>10100</v>
      </c>
      <c r="K23" s="491">
        <f ca="1">+IF('[3]BROUILLARD DE CAISSE '!$C23="","",SUMIFS(INDIRECT("$K$7:K"&amp;ROW()),INDIRECT("$D$7:D"&amp;ROW()),"="&amp;"Report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300846</v>
      </c>
      <c r="L23" s="399">
        <f ca="1">+IF($B23="","",SUMIFS(INDIRECT("$K$7:K"&amp;ROW()),INDIRECT("$B$7:B"&amp;ROW()),Tableau15356789101112131625236923[[#This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300846</v>
      </c>
      <c r="O23" s="368"/>
      <c r="P23" s="368"/>
      <c r="Q23" s="368"/>
    </row>
    <row r="24" spans="1:17" ht="15" x14ac:dyDescent="0.3">
      <c r="A24" s="391" t="s">
        <v>2660</v>
      </c>
      <c r="B24" s="392" t="s">
        <v>2678</v>
      </c>
      <c r="C24" s="497">
        <v>45964</v>
      </c>
      <c r="D2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4" s="395" t="s">
        <v>2683</v>
      </c>
      <c r="F24" s="395" t="s">
        <v>3106</v>
      </c>
      <c r="G24" s="397"/>
      <c r="H24" s="401" t="s">
        <v>2685</v>
      </c>
      <c r="I24" s="498"/>
      <c r="J24" s="499">
        <v>10100</v>
      </c>
      <c r="K24" s="491">
        <f ca="1">+IF('[3]BROUILLARD DE CAISSE '!$C24="","",SUMIFS(INDIRECT("$K$7:K"&amp;ROW()),INDIRECT("$D$7:D"&amp;ROW()),"="&amp;"Report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290746</v>
      </c>
      <c r="L24" s="399">
        <f ca="1">+IF($B24="","",SUMIFS(INDIRECT("$K$7:K"&amp;ROW()),INDIRECT("$B$7:B"&amp;ROW()),Tableau15356789101112131625236923[[#This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290746</v>
      </c>
      <c r="O24" s="368"/>
      <c r="P24" s="368"/>
      <c r="Q24" s="368"/>
    </row>
    <row r="25" spans="1:17" ht="15" x14ac:dyDescent="0.3">
      <c r="A25" s="391" t="s">
        <v>2660</v>
      </c>
      <c r="B25" s="392" t="s">
        <v>2678</v>
      </c>
      <c r="C25" s="497">
        <v>45964</v>
      </c>
      <c r="D2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5" s="395" t="s">
        <v>2694</v>
      </c>
      <c r="F25" s="395" t="s">
        <v>3107</v>
      </c>
      <c r="G25" s="397"/>
      <c r="H25" s="401"/>
      <c r="I25" s="498"/>
      <c r="J25" s="499">
        <v>30000</v>
      </c>
      <c r="K25" s="491">
        <f ca="1">+IF('[3]BROUILLARD DE CAISSE '!$C25="","",SUMIFS(INDIRECT("$K$7:K"&amp;ROW()),INDIRECT("$D$7:D"&amp;ROW()),"="&amp;"Report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260746</v>
      </c>
      <c r="L25" s="399">
        <f ca="1">+IF($B25="","",SUMIFS(INDIRECT("$K$7:K"&amp;ROW()),INDIRECT("$B$7:B"&amp;ROW()),Tableau15356789101112131625236923[[#This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260746</v>
      </c>
      <c r="O25" s="368"/>
      <c r="P25" s="368"/>
      <c r="Q25" s="368"/>
    </row>
    <row r="26" spans="1:17" ht="15" x14ac:dyDescent="0.3">
      <c r="A26" s="391" t="s">
        <v>2660</v>
      </c>
      <c r="B26" s="392" t="s">
        <v>2678</v>
      </c>
      <c r="C26" s="497">
        <v>45964</v>
      </c>
      <c r="D2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6" s="395" t="s">
        <v>3108</v>
      </c>
      <c r="F26" s="395" t="s">
        <v>3109</v>
      </c>
      <c r="G26" s="397"/>
      <c r="H26" s="401"/>
      <c r="I26" s="498"/>
      <c r="J26" s="499">
        <v>35000</v>
      </c>
      <c r="K26" s="491">
        <f ca="1">+IF('[3]BROUILLARD DE CAISSE '!$C26="","",SUMIFS(INDIRECT("$K$7:K"&amp;ROW()),INDIRECT("$D$7:D"&amp;ROW()),"="&amp;"Report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225746</v>
      </c>
      <c r="L26" s="399">
        <f ca="1">+IF($B26="","",SUMIFS(INDIRECT("$K$7:K"&amp;ROW()),INDIRECT("$B$7:B"&amp;ROW()),Tableau15356789101112131625236923[[#This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225746</v>
      </c>
      <c r="O26" s="368"/>
      <c r="P26" s="368"/>
      <c r="Q26" s="368"/>
    </row>
    <row r="27" spans="1:17" ht="15" x14ac:dyDescent="0.3">
      <c r="A27" s="391" t="s">
        <v>2660</v>
      </c>
      <c r="B27" s="392" t="s">
        <v>2678</v>
      </c>
      <c r="C27" s="497">
        <v>45964</v>
      </c>
      <c r="D2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27" s="395" t="s">
        <v>2679</v>
      </c>
      <c r="F27" s="395" t="s">
        <v>3110</v>
      </c>
      <c r="G27" s="397"/>
      <c r="H27" s="401"/>
      <c r="I27" s="498">
        <v>2000000</v>
      </c>
      <c r="J27" s="499"/>
      <c r="K27" s="491">
        <f ca="1">+IF('[3]BROUILLARD DE CAISSE '!$C27="","",SUMIFS(INDIRECT("$K$7:K"&amp;ROW()),INDIRECT("$D$7:D"&amp;ROW()),"="&amp;"Report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2225746</v>
      </c>
      <c r="L27" s="399">
        <f ca="1">+IF($B27="","",SUMIFS(INDIRECT("$K$7:K"&amp;ROW()),INDIRECT("$B$7:B"&amp;ROW()),Tableau15356789101112131625236923[[#This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2225746</v>
      </c>
      <c r="O27" s="368"/>
      <c r="P27" s="368"/>
      <c r="Q27" s="368"/>
    </row>
    <row r="28" spans="1:17" ht="15" x14ac:dyDescent="0.3">
      <c r="A28" s="391" t="s">
        <v>2660</v>
      </c>
      <c r="B28" s="392" t="s">
        <v>2678</v>
      </c>
      <c r="C28" s="497">
        <v>45964</v>
      </c>
      <c r="D2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28" s="395" t="s">
        <v>2679</v>
      </c>
      <c r="F28" s="395" t="s">
        <v>3111</v>
      </c>
      <c r="G28" s="397"/>
      <c r="H28" s="401"/>
      <c r="I28" s="498">
        <v>800000</v>
      </c>
      <c r="J28" s="499"/>
      <c r="K28" s="491">
        <f ca="1">+IF('[3]BROUILLARD DE CAISSE '!$C28="","",SUMIFS(INDIRECT("$K$7:K"&amp;ROW()),INDIRECT("$D$7:D"&amp;ROW()),"="&amp;"Report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3025746</v>
      </c>
      <c r="L28" s="399">
        <f ca="1">+IF($B28="","",SUMIFS(INDIRECT("$K$7:K"&amp;ROW()),INDIRECT("$B$7:B"&amp;ROW()),Tableau15356789101112131625236923[[#This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3025746</v>
      </c>
      <c r="O28" s="368"/>
      <c r="P28" s="368"/>
      <c r="Q28" s="368"/>
    </row>
    <row r="29" spans="1:17" ht="15" x14ac:dyDescent="0.3">
      <c r="A29" s="391" t="s">
        <v>2660</v>
      </c>
      <c r="B29" s="392" t="s">
        <v>2678</v>
      </c>
      <c r="C29" s="497">
        <v>45964</v>
      </c>
      <c r="D2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9" s="395" t="s">
        <v>3112</v>
      </c>
      <c r="F29" s="395" t="s">
        <v>3113</v>
      </c>
      <c r="G29" s="397"/>
      <c r="H29" s="401" t="s">
        <v>3114</v>
      </c>
      <c r="I29" s="498"/>
      <c r="J29" s="499">
        <v>79790</v>
      </c>
      <c r="K29" s="491">
        <f ca="1">+IF('[3]BROUILLARD DE CAISSE '!$C29="","",SUMIFS(INDIRECT("$K$7:K"&amp;ROW()),INDIRECT("$D$7:D"&amp;ROW()),"="&amp;"Report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2945956</v>
      </c>
      <c r="L29" s="399">
        <f ca="1">+IF($B29="","",SUMIFS(INDIRECT("$K$7:K"&amp;ROW()),INDIRECT("$B$7:B"&amp;ROW()),Tableau15356789101112131625236923[[#This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2945956</v>
      </c>
      <c r="O29" s="368"/>
      <c r="P29" s="368"/>
      <c r="Q29" s="368"/>
    </row>
    <row r="30" spans="1:17" ht="15" x14ac:dyDescent="0.3">
      <c r="A30" s="391" t="s">
        <v>2660</v>
      </c>
      <c r="B30" s="392" t="s">
        <v>2678</v>
      </c>
      <c r="C30" s="497">
        <v>45964</v>
      </c>
      <c r="D3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0" s="395" t="s">
        <v>3112</v>
      </c>
      <c r="F30" s="395" t="s">
        <v>3115</v>
      </c>
      <c r="G30" s="397"/>
      <c r="H30" s="401"/>
      <c r="I30" s="498"/>
      <c r="J30" s="499">
        <v>50500</v>
      </c>
      <c r="K30" s="491">
        <f ca="1">+IF('[3]BROUILLARD DE CAISSE '!$C30="","",SUMIFS(INDIRECT("$K$7:K"&amp;ROW()),INDIRECT("$D$7:D"&amp;ROW()),"="&amp;"Report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2895456</v>
      </c>
      <c r="L30" s="399">
        <f ca="1">+IF($B30="","",SUMIFS(INDIRECT("$K$7:K"&amp;ROW()),INDIRECT("$B$7:B"&amp;ROW()),Tableau15356789101112131625236923[[#This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2895456</v>
      </c>
      <c r="O30" s="368"/>
      <c r="P30" s="368"/>
      <c r="Q30" s="368"/>
    </row>
    <row r="31" spans="1:17" ht="15" x14ac:dyDescent="0.3">
      <c r="A31" s="391" t="s">
        <v>2660</v>
      </c>
      <c r="B31" s="392" t="s">
        <v>2678</v>
      </c>
      <c r="C31" s="497">
        <v>45964</v>
      </c>
      <c r="D3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1" s="395" t="s">
        <v>3112</v>
      </c>
      <c r="F31" s="395" t="s">
        <v>3116</v>
      </c>
      <c r="G31" s="397"/>
      <c r="H31" s="401" t="s">
        <v>3114</v>
      </c>
      <c r="I31" s="498"/>
      <c r="J31" s="499">
        <v>214120</v>
      </c>
      <c r="K31" s="491">
        <f ca="1">+IF('[3]BROUILLARD DE CAISSE '!$C31="","",SUMIFS(INDIRECT("$K$7:K"&amp;ROW()),INDIRECT("$D$7:D"&amp;ROW()),"="&amp;"Report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2681336</v>
      </c>
      <c r="L31" s="399">
        <f ca="1">+IF($B31="","",SUMIFS(INDIRECT("$K$7:K"&amp;ROW()),INDIRECT("$B$7:B"&amp;ROW()),Tableau15356789101112131625236923[[#This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2681336</v>
      </c>
      <c r="O31" s="368"/>
      <c r="P31" s="368"/>
      <c r="Q31" s="368"/>
    </row>
    <row r="32" spans="1:17" ht="15" x14ac:dyDescent="0.3">
      <c r="A32" s="391" t="s">
        <v>2660</v>
      </c>
      <c r="B32" s="392" t="s">
        <v>2678</v>
      </c>
      <c r="C32" s="497">
        <v>45964</v>
      </c>
      <c r="D3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" s="395" t="s">
        <v>2764</v>
      </c>
      <c r="F32" s="395" t="s">
        <v>3117</v>
      </c>
      <c r="G32" s="397"/>
      <c r="H32" s="401"/>
      <c r="I32" s="498"/>
      <c r="J32" s="499">
        <v>11500</v>
      </c>
      <c r="K32" s="491">
        <f ca="1">+IF('[3]BROUILLARD DE CAISSE '!$C32="","",SUMIFS(INDIRECT("$K$7:K"&amp;ROW()),INDIRECT("$D$7:D"&amp;ROW()),"="&amp;"Report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2669836</v>
      </c>
      <c r="L32" s="399">
        <f ca="1">+IF($B32="","",SUMIFS(INDIRECT("$K$7:K"&amp;ROW()),INDIRECT("$B$7:B"&amp;ROW()),Tableau15356789101112131625236923[[#This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2669836</v>
      </c>
      <c r="M32" s="404"/>
      <c r="O32" s="368"/>
      <c r="P32" s="368"/>
      <c r="Q32" s="368"/>
    </row>
    <row r="33" spans="1:17" ht="15" x14ac:dyDescent="0.3">
      <c r="A33" s="391"/>
      <c r="B33" s="392"/>
      <c r="C33" s="497">
        <v>45964</v>
      </c>
      <c r="D3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3" s="395" t="s">
        <v>2756</v>
      </c>
      <c r="F33" s="395" t="s">
        <v>3118</v>
      </c>
      <c r="G33" s="397"/>
      <c r="H33" s="401" t="s">
        <v>3114</v>
      </c>
      <c r="I33" s="498"/>
      <c r="J33" s="499"/>
      <c r="K33" s="491">
        <f ca="1">+IF('[3]BROUILLARD DE CAISSE '!$C33="","",SUMIFS(INDIRECT("$K$7:K"&amp;ROW()),INDIRECT("$D$7:D"&amp;ROW()),"="&amp;"Report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2669836</v>
      </c>
      <c r="L33" s="399" t="str">
        <f ca="1">+IF($B33="","",SUMIFS(INDIRECT("$K$7:K"&amp;ROW()),INDIRECT("$B$7:B"&amp;ROW()),Tableau15356789101112131625236923[[#This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M33" s="404"/>
      <c r="O33" s="368"/>
      <c r="P33" s="368"/>
      <c r="Q33" s="368"/>
    </row>
    <row r="34" spans="1:17" ht="15" x14ac:dyDescent="0.3">
      <c r="A34" s="391"/>
      <c r="B34" s="392"/>
      <c r="C34" s="497">
        <v>45964</v>
      </c>
      <c r="D3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" s="395" t="s">
        <v>3112</v>
      </c>
      <c r="F34" s="395" t="s">
        <v>3119</v>
      </c>
      <c r="G34" s="397"/>
      <c r="H34" s="401" t="s">
        <v>3120</v>
      </c>
      <c r="I34" s="498"/>
      <c r="J34" s="499">
        <v>20000</v>
      </c>
      <c r="K34" s="491">
        <f ca="1">+IF('[3]BROUILLARD DE CAISSE '!$C34="","",SUMIFS(INDIRECT("$K$7:K"&amp;ROW()),INDIRECT("$D$7:D"&amp;ROW()),"="&amp;"Report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2649836</v>
      </c>
      <c r="L34" s="399" t="str">
        <f ca="1">+IF($B34="","",SUMIFS(INDIRECT("$K$7:K"&amp;ROW()),INDIRECT("$B$7:B"&amp;ROW()),Tableau15356789101112131625236923[[#This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M34" s="404"/>
      <c r="O34" s="368"/>
      <c r="P34" s="368"/>
      <c r="Q34" s="368"/>
    </row>
    <row r="35" spans="1:17" ht="15" x14ac:dyDescent="0.3">
      <c r="A35" s="391"/>
      <c r="B35" s="392"/>
      <c r="C35" s="497">
        <v>45965</v>
      </c>
      <c r="D3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" s="395" t="s">
        <v>3121</v>
      </c>
      <c r="F35" s="395" t="s">
        <v>2879</v>
      </c>
      <c r="G35" s="397"/>
      <c r="H35" s="401" t="s">
        <v>2964</v>
      </c>
      <c r="I35" s="498"/>
      <c r="J35" s="499">
        <v>20000</v>
      </c>
      <c r="K35" s="491">
        <f ca="1">+IF('[3]BROUILLARD DE CAISSE '!$C35="","",SUMIFS(INDIRECT("$K$7:K"&amp;ROW()),INDIRECT("$D$7:D"&amp;ROW()),"="&amp;"Report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2629836</v>
      </c>
      <c r="L35" s="399" t="str">
        <f ca="1">+IF($B35="","",SUMIFS(INDIRECT("$K$7:K"&amp;ROW()),INDIRECT("$B$7:B"&amp;ROW()),Tableau15356789101112131625236923[[#This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M35" s="404"/>
      <c r="O35" s="368"/>
      <c r="P35" s="368"/>
      <c r="Q35" s="368"/>
    </row>
    <row r="36" spans="1:17" ht="15" x14ac:dyDescent="0.3">
      <c r="A36" s="391" t="s">
        <v>2660</v>
      </c>
      <c r="B36" s="392" t="s">
        <v>2678</v>
      </c>
      <c r="C36" s="497">
        <v>45965</v>
      </c>
      <c r="D3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" s="395" t="s">
        <v>3122</v>
      </c>
      <c r="F36" s="395" t="s">
        <v>3123</v>
      </c>
      <c r="G36" s="397"/>
      <c r="H36" s="401"/>
      <c r="I36" s="498"/>
      <c r="J36" s="499">
        <v>362600</v>
      </c>
      <c r="K36" s="491">
        <f ca="1">+IF('[3]BROUILLARD DE CAISSE '!$C36="","",SUMIFS(INDIRECT("$K$7:K"&amp;ROW()),INDIRECT("$D$7:D"&amp;ROW()),"="&amp;"Report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2267236</v>
      </c>
      <c r="L36" s="399">
        <f ca="1">+IF($B36="","",SUMIFS(INDIRECT("$K$7:K"&amp;ROW()),INDIRECT("$B$7:B"&amp;ROW()),Tableau15356789101112131625236923[[#This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2307236</v>
      </c>
      <c r="O36" s="368"/>
      <c r="P36" s="368"/>
      <c r="Q36" s="368"/>
    </row>
    <row r="37" spans="1:17" ht="15" x14ac:dyDescent="0.3">
      <c r="A37" s="391" t="s">
        <v>2660</v>
      </c>
      <c r="B37" s="392" t="s">
        <v>2678</v>
      </c>
      <c r="C37" s="497">
        <v>45965</v>
      </c>
      <c r="D3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" s="395" t="s">
        <v>2714</v>
      </c>
      <c r="F37" s="395" t="s">
        <v>3124</v>
      </c>
      <c r="G37" s="397"/>
      <c r="H37" s="401"/>
      <c r="I37" s="498"/>
      <c r="J37" s="499">
        <v>1300</v>
      </c>
      <c r="K37" s="491">
        <f ca="1">+IF('[3]BROUILLARD DE CAISSE '!$C37="","",SUMIFS(INDIRECT("$K$7:K"&amp;ROW()),INDIRECT("$D$7:D"&amp;ROW()),"="&amp;"Report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2265936</v>
      </c>
      <c r="L37" s="399">
        <f ca="1">+IF($B37="","",SUMIFS(INDIRECT("$K$7:K"&amp;ROW()),INDIRECT("$B$7:B"&amp;ROW()),Tableau15356789101112131625236923[[#This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2305936</v>
      </c>
      <c r="O37" s="368"/>
      <c r="P37" s="368"/>
      <c r="Q37" s="368"/>
    </row>
    <row r="38" spans="1:17" ht="15" x14ac:dyDescent="0.3">
      <c r="A38" s="391" t="s">
        <v>2660</v>
      </c>
      <c r="B38" s="392" t="s">
        <v>2678</v>
      </c>
      <c r="C38" s="497">
        <v>45965</v>
      </c>
      <c r="D3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8" s="395" t="s">
        <v>2679</v>
      </c>
      <c r="F38" s="395" t="s">
        <v>3125</v>
      </c>
      <c r="G38" s="397"/>
      <c r="H38" s="401"/>
      <c r="I38" s="498">
        <v>1000000</v>
      </c>
      <c r="J38" s="499"/>
      <c r="K38" s="491">
        <f ca="1">+IF('[3]BROUILLARD DE CAISSE '!$C38="","",SUMIFS(INDIRECT("$K$7:K"&amp;ROW()),INDIRECT("$D$7:D"&amp;ROW()),"="&amp;"Report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3265936</v>
      </c>
      <c r="L38" s="399">
        <f ca="1">+IF($B38="","",SUMIFS(INDIRECT("$K$7:K"&amp;ROW()),INDIRECT("$B$7:B"&amp;ROW()),Tableau15356789101112131625236923[[#This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3305936</v>
      </c>
      <c r="O38" s="368"/>
      <c r="P38" s="368"/>
      <c r="Q38" s="368"/>
    </row>
    <row r="39" spans="1:17" ht="15" x14ac:dyDescent="0.3">
      <c r="A39" s="391" t="s">
        <v>2660</v>
      </c>
      <c r="B39" s="392" t="s">
        <v>2678</v>
      </c>
      <c r="C39" s="497">
        <v>45965</v>
      </c>
      <c r="D3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9" s="395" t="s">
        <v>3126</v>
      </c>
      <c r="F39" s="395" t="s">
        <v>3127</v>
      </c>
      <c r="G39" s="397" t="s">
        <v>2702</v>
      </c>
      <c r="H39" s="401"/>
      <c r="I39" s="498"/>
      <c r="J39" s="499">
        <v>127000</v>
      </c>
      <c r="K39" s="491">
        <f ca="1">+IF('[3]BROUILLARD DE CAISSE '!$C39="","",SUMIFS(INDIRECT("$K$7:K"&amp;ROW()),INDIRECT("$D$7:D"&amp;ROW()),"="&amp;"Report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3138936</v>
      </c>
      <c r="L39" s="399">
        <f ca="1">+IF($B39="","",SUMIFS(INDIRECT("$K$7:K"&amp;ROW()),INDIRECT("$B$7:B"&amp;ROW()),Tableau15356789101112131625236923[[#This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3178936</v>
      </c>
      <c r="O39" s="368"/>
      <c r="P39" s="368"/>
      <c r="Q39" s="368"/>
    </row>
    <row r="40" spans="1:17" ht="15" x14ac:dyDescent="0.3">
      <c r="A40" s="391" t="s">
        <v>2660</v>
      </c>
      <c r="B40" s="392" t="s">
        <v>2678</v>
      </c>
      <c r="C40" s="497">
        <v>45965</v>
      </c>
      <c r="D4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0" s="395" t="s">
        <v>3128</v>
      </c>
      <c r="F40" s="395" t="s">
        <v>3129</v>
      </c>
      <c r="G40" s="397"/>
      <c r="H40" s="401"/>
      <c r="I40" s="498"/>
      <c r="J40" s="499">
        <v>367000</v>
      </c>
      <c r="K40" s="491">
        <f ca="1">+IF('[3]BROUILLARD DE CAISSE '!$C40="","",SUMIFS(INDIRECT("$K$7:K"&amp;ROW()),INDIRECT("$D$7:D"&amp;ROW()),"="&amp;"Report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2771936</v>
      </c>
      <c r="L40" s="399">
        <f ca="1">+IF($B40="","",SUMIFS(INDIRECT("$K$7:K"&amp;ROW()),INDIRECT("$B$7:B"&amp;ROW()),Tableau15356789101112131625236923[[#This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2811936</v>
      </c>
      <c r="O40" s="368"/>
      <c r="P40" s="368"/>
      <c r="Q40" s="368"/>
    </row>
    <row r="41" spans="1:17" ht="15" x14ac:dyDescent="0.3">
      <c r="A41" s="391" t="s">
        <v>2660</v>
      </c>
      <c r="B41" s="392" t="s">
        <v>2678</v>
      </c>
      <c r="C41" s="497">
        <v>45965</v>
      </c>
      <c r="D4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1" s="395" t="s">
        <v>3130</v>
      </c>
      <c r="F41" s="395" t="s">
        <v>3131</v>
      </c>
      <c r="G41" s="397"/>
      <c r="H41" s="401"/>
      <c r="I41" s="498"/>
      <c r="J41" s="499">
        <v>500000</v>
      </c>
      <c r="K41" s="491">
        <f ca="1">+IF('[3]BROUILLARD DE CAISSE '!$C41="","",SUMIFS(INDIRECT("$K$7:K"&amp;ROW()),INDIRECT("$D$7:D"&amp;ROW()),"="&amp;"Report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2271936</v>
      </c>
      <c r="L41" s="399">
        <f ca="1">+IF($B41="","",SUMIFS(INDIRECT("$K$7:K"&amp;ROW()),INDIRECT("$B$7:B"&amp;ROW()),Tableau15356789101112131625236923[[#This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2311936</v>
      </c>
      <c r="O41" s="368"/>
      <c r="P41" s="368"/>
      <c r="Q41" s="368"/>
    </row>
    <row r="42" spans="1:17" ht="15" x14ac:dyDescent="0.3">
      <c r="A42" s="391" t="s">
        <v>2660</v>
      </c>
      <c r="B42" s="392" t="s">
        <v>2678</v>
      </c>
      <c r="C42" s="497">
        <v>45965</v>
      </c>
      <c r="D4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2" s="395" t="s">
        <v>3132</v>
      </c>
      <c r="F42" s="395" t="s">
        <v>2879</v>
      </c>
      <c r="G42" s="397"/>
      <c r="H42" s="401"/>
      <c r="I42" s="498"/>
      <c r="J42" s="499">
        <v>10000</v>
      </c>
      <c r="K42" s="491">
        <f ca="1">+IF('[3]BROUILLARD DE CAISSE '!$C42="","",SUMIFS(INDIRECT("$K$7:K"&amp;ROW()),INDIRECT("$D$7:D"&amp;ROW()),"="&amp;"Report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2261936</v>
      </c>
      <c r="L42" s="399">
        <f ca="1">+IF($B42="","",SUMIFS(INDIRECT("$K$7:K"&amp;ROW()),INDIRECT("$B$7:B"&amp;ROW()),Tableau15356789101112131625236923[[#This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2301936</v>
      </c>
      <c r="O42" s="368"/>
      <c r="P42" s="368"/>
      <c r="Q42" s="368"/>
    </row>
    <row r="43" spans="1:17" ht="15" x14ac:dyDescent="0.3">
      <c r="A43" s="391" t="s">
        <v>2660</v>
      </c>
      <c r="B43" s="392" t="s">
        <v>2678</v>
      </c>
      <c r="C43" s="497">
        <v>45965</v>
      </c>
      <c r="D4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3" s="395" t="s">
        <v>3133</v>
      </c>
      <c r="F43" s="395" t="s">
        <v>3134</v>
      </c>
      <c r="G43" s="397" t="s">
        <v>2702</v>
      </c>
      <c r="H43" s="401"/>
      <c r="I43" s="498"/>
      <c r="J43" s="499">
        <v>800000</v>
      </c>
      <c r="K43" s="491">
        <f ca="1">+IF('[3]BROUILLARD DE CAISSE '!$C43="","",SUMIFS(INDIRECT("$K$7:K"&amp;ROW()),INDIRECT("$D$7:D"&amp;ROW()),"="&amp;"Report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1461936</v>
      </c>
      <c r="L43" s="399">
        <f ca="1">+IF($B43="","",SUMIFS(INDIRECT("$K$7:K"&amp;ROW()),INDIRECT("$B$7:B"&amp;ROW()),Tableau15356789101112131625236923[[#This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1501936</v>
      </c>
      <c r="O43" s="368"/>
      <c r="P43" s="368"/>
      <c r="Q43" s="368"/>
    </row>
    <row r="44" spans="1:17" ht="15" x14ac:dyDescent="0.3">
      <c r="A44" s="391" t="s">
        <v>2660</v>
      </c>
      <c r="B44" s="392" t="s">
        <v>2678</v>
      </c>
      <c r="C44" s="497">
        <v>45965</v>
      </c>
      <c r="D4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4" s="395" t="s">
        <v>2727</v>
      </c>
      <c r="F44" s="395" t="s">
        <v>3135</v>
      </c>
      <c r="G44" s="397"/>
      <c r="H44" s="401"/>
      <c r="I44" s="498"/>
      <c r="J44" s="499">
        <v>3030</v>
      </c>
      <c r="K44" s="491">
        <f ca="1">+IF('[3]BROUILLARD DE CAISSE '!$C44="","",SUMIFS(INDIRECT("$K$7:K"&amp;ROW()),INDIRECT("$D$7:D"&amp;ROW()),"="&amp;"Report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1458906</v>
      </c>
      <c r="L44" s="399">
        <f ca="1">+IF($B44="","",SUMIFS(INDIRECT("$K$7:K"&amp;ROW()),INDIRECT("$B$7:B"&amp;ROW()),Tableau15356789101112131625236923[[#This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1498906</v>
      </c>
      <c r="O44" s="368"/>
      <c r="P44" s="368"/>
      <c r="Q44" s="368"/>
    </row>
    <row r="45" spans="1:17" ht="15" x14ac:dyDescent="0.3">
      <c r="A45" s="391" t="s">
        <v>2660</v>
      </c>
      <c r="B45" s="392" t="s">
        <v>2678</v>
      </c>
      <c r="C45" s="497">
        <v>45965</v>
      </c>
      <c r="D4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5" s="395" t="s">
        <v>3136</v>
      </c>
      <c r="F45" s="395" t="s">
        <v>3137</v>
      </c>
      <c r="G45" s="397"/>
      <c r="H45" s="401"/>
      <c r="I45" s="498"/>
      <c r="J45" s="499">
        <v>75750</v>
      </c>
      <c r="K45" s="491">
        <f ca="1">+IF('[3]BROUILLARD DE CAISSE '!$C45="","",SUMIFS(INDIRECT("$K$7:K"&amp;ROW()),INDIRECT("$D$7:D"&amp;ROW()),"="&amp;"Report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1383156</v>
      </c>
      <c r="L45" s="399">
        <f ca="1">+IF($B45="","",SUMIFS(INDIRECT("$K$7:K"&amp;ROW()),INDIRECT("$B$7:B"&amp;ROW()),Tableau15356789101112131625236923[[#This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1423156</v>
      </c>
      <c r="O45" s="368"/>
      <c r="P45" s="368"/>
      <c r="Q45" s="368"/>
    </row>
    <row r="46" spans="1:17" ht="15" x14ac:dyDescent="0.3">
      <c r="A46" s="391" t="s">
        <v>2660</v>
      </c>
      <c r="B46" s="392" t="s">
        <v>2678</v>
      </c>
      <c r="C46" s="497">
        <v>45965</v>
      </c>
      <c r="D4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6" s="395" t="s">
        <v>3112</v>
      </c>
      <c r="F46" s="395" t="s">
        <v>3138</v>
      </c>
      <c r="G46" s="397"/>
      <c r="H46" s="401" t="s">
        <v>2811</v>
      </c>
      <c r="I46" s="498"/>
      <c r="J46" s="499">
        <v>65650</v>
      </c>
      <c r="K46" s="491">
        <f ca="1">+IF('[3]BROUILLARD DE CAISSE '!$C46="","",SUMIFS(INDIRECT("$K$7:K"&amp;ROW()),INDIRECT("$D$7:D"&amp;ROW()),"="&amp;"Report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1317506</v>
      </c>
      <c r="L46" s="399">
        <f ca="1">+IF($B46="","",SUMIFS(INDIRECT("$K$7:K"&amp;ROW()),INDIRECT("$B$7:B"&amp;ROW()),Tableau15356789101112131625236923[[#This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1357506</v>
      </c>
      <c r="O46" s="368"/>
      <c r="P46" s="368"/>
      <c r="Q46" s="368"/>
    </row>
    <row r="47" spans="1:17" ht="15" x14ac:dyDescent="0.3">
      <c r="A47" s="391" t="s">
        <v>2660</v>
      </c>
      <c r="B47" s="392" t="s">
        <v>2678</v>
      </c>
      <c r="C47" s="497">
        <v>45965</v>
      </c>
      <c r="D4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7" s="395" t="s">
        <v>2694</v>
      </c>
      <c r="F47" s="395" t="s">
        <v>3139</v>
      </c>
      <c r="G47" s="397"/>
      <c r="H47" s="401"/>
      <c r="I47" s="498"/>
      <c r="J47" s="499">
        <v>50000</v>
      </c>
      <c r="K47" s="491">
        <f ca="1">+IF('[3]BROUILLARD DE CAISSE '!$C47="","",SUMIFS(INDIRECT("$K$7:K"&amp;ROW()),INDIRECT("$D$7:D"&amp;ROW()),"="&amp;"Report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1267506</v>
      </c>
      <c r="L47" s="399">
        <f ca="1">+IF($B47="","",SUMIFS(INDIRECT("$K$7:K"&amp;ROW()),INDIRECT("$B$7:B"&amp;ROW()),Tableau15356789101112131625236923[[#This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1307506</v>
      </c>
      <c r="O47" s="368"/>
      <c r="P47" s="368"/>
      <c r="Q47" s="368"/>
    </row>
    <row r="48" spans="1:17" ht="15" x14ac:dyDescent="0.3">
      <c r="A48" s="391" t="s">
        <v>2660</v>
      </c>
      <c r="B48" s="392" t="s">
        <v>2678</v>
      </c>
      <c r="C48" s="497">
        <v>45965</v>
      </c>
      <c r="D4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8" s="395" t="s">
        <v>2764</v>
      </c>
      <c r="F48" s="395" t="s">
        <v>3140</v>
      </c>
      <c r="G48" s="397"/>
      <c r="H48" s="401"/>
      <c r="I48" s="498"/>
      <c r="J48" s="499">
        <v>11615</v>
      </c>
      <c r="K48" s="491">
        <f ca="1">+IF('[3]BROUILLARD DE CAISSE '!$C48="","",SUMIFS(INDIRECT("$K$7:K"&amp;ROW()),INDIRECT("$D$7:D"&amp;ROW()),"="&amp;"Report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1255891</v>
      </c>
      <c r="L48" s="399">
        <f ca="1">+IF($B48="","",SUMIFS(INDIRECT("$K$7:K"&amp;ROW()),INDIRECT("$B$7:B"&amp;ROW()),Tableau15356789101112131625236923[[#This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1295891</v>
      </c>
      <c r="O48" s="368"/>
      <c r="P48" s="368"/>
      <c r="Q48" s="368"/>
    </row>
    <row r="49" spans="1:17" ht="15" x14ac:dyDescent="0.3">
      <c r="A49" s="391" t="s">
        <v>2660</v>
      </c>
      <c r="B49" s="392" t="s">
        <v>2678</v>
      </c>
      <c r="C49" s="497">
        <v>45965</v>
      </c>
      <c r="D4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49" s="395" t="s">
        <v>2727</v>
      </c>
      <c r="F49" s="395" t="s">
        <v>3141</v>
      </c>
      <c r="G49" s="397"/>
      <c r="H49" s="401"/>
      <c r="I49" s="498"/>
      <c r="J49" s="499">
        <v>4040</v>
      </c>
      <c r="K49" s="491">
        <f ca="1">+IF('[3]BROUILLARD DE CAISSE '!$C49="","",SUMIFS(INDIRECT("$K$7:K"&amp;ROW()),INDIRECT("$D$7:D"&amp;ROW()),"="&amp;"Report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1251851</v>
      </c>
      <c r="L49" s="399">
        <f ca="1">+IF($B49="","",SUMIFS(INDIRECT("$K$7:K"&amp;ROW()),INDIRECT("$B$7:B"&amp;ROW()),Tableau15356789101112131625236923[[#This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1291851</v>
      </c>
      <c r="O49" s="368"/>
      <c r="P49" s="368"/>
      <c r="Q49" s="368"/>
    </row>
    <row r="50" spans="1:17" ht="15" x14ac:dyDescent="0.3">
      <c r="A50" s="391" t="s">
        <v>2660</v>
      </c>
      <c r="B50" s="392" t="s">
        <v>2678</v>
      </c>
      <c r="C50" s="497">
        <v>45966</v>
      </c>
      <c r="D5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0" s="395" t="s">
        <v>3122</v>
      </c>
      <c r="F50" s="395" t="s">
        <v>3142</v>
      </c>
      <c r="G50" s="397"/>
      <c r="H50" s="401" t="s">
        <v>3114</v>
      </c>
      <c r="I50" s="498"/>
      <c r="J50" s="499">
        <v>250480</v>
      </c>
      <c r="K50" s="491">
        <f ca="1">+IF('[3]BROUILLARD DE CAISSE '!$C50="","",SUMIFS(INDIRECT("$K$7:K"&amp;ROW()),INDIRECT("$D$7:D"&amp;ROW()),"="&amp;"Report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1001371</v>
      </c>
      <c r="L50" s="399">
        <f ca="1">+IF($B50="","",SUMIFS(INDIRECT("$K$7:K"&amp;ROW()),INDIRECT("$B$7:B"&amp;ROW()),Tableau15356789101112131625236923[[#This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1041371</v>
      </c>
      <c r="O50" s="368"/>
      <c r="P50" s="368"/>
      <c r="Q50" s="368"/>
    </row>
    <row r="51" spans="1:17" ht="15" x14ac:dyDescent="0.3">
      <c r="A51" s="391" t="s">
        <v>2660</v>
      </c>
      <c r="B51" s="392" t="s">
        <v>2678</v>
      </c>
      <c r="C51" s="497">
        <v>45966</v>
      </c>
      <c r="D5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1" s="395" t="s">
        <v>3143</v>
      </c>
      <c r="F51" s="395" t="s">
        <v>2896</v>
      </c>
      <c r="G51" s="397"/>
      <c r="H51" s="401" t="s">
        <v>2781</v>
      </c>
      <c r="I51" s="498"/>
      <c r="J51" s="499">
        <v>8080</v>
      </c>
      <c r="K51" s="491">
        <f ca="1">+IF('[3]BROUILLARD DE CAISSE '!$C51="","",SUMIFS(INDIRECT("$K$7:K"&amp;ROW()),INDIRECT("$D$7:D"&amp;ROW()),"="&amp;"Report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993291</v>
      </c>
      <c r="L51" s="399">
        <f ca="1">+IF($B51="","",SUMIFS(INDIRECT("$K$7:K"&amp;ROW()),INDIRECT("$B$7:B"&amp;ROW()),Tableau15356789101112131625236923[[#This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1033291</v>
      </c>
      <c r="O51" s="368"/>
      <c r="P51" s="368"/>
      <c r="Q51" s="368"/>
    </row>
    <row r="52" spans="1:17" ht="15" x14ac:dyDescent="0.3">
      <c r="A52" s="391" t="s">
        <v>2660</v>
      </c>
      <c r="B52" s="392" t="s">
        <v>2678</v>
      </c>
      <c r="C52" s="497">
        <v>45966</v>
      </c>
      <c r="D5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2" s="395" t="s">
        <v>3144</v>
      </c>
      <c r="F52" s="395" t="s">
        <v>2893</v>
      </c>
      <c r="G52" s="397"/>
      <c r="H52" s="401"/>
      <c r="I52" s="498"/>
      <c r="J52" s="499">
        <v>5050</v>
      </c>
      <c r="K52" s="491">
        <f ca="1">+IF('[3]BROUILLARD DE CAISSE '!$C52="","",SUMIFS(INDIRECT("$K$7:K"&amp;ROW()),INDIRECT("$D$7:D"&amp;ROW()),"="&amp;"Report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988241</v>
      </c>
      <c r="L52" s="399">
        <f ca="1">+IF($B52="","",SUMIFS(INDIRECT("$K$7:K"&amp;ROW()),INDIRECT("$B$7:B"&amp;ROW()),Tableau15356789101112131625236923[[#This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1028241</v>
      </c>
      <c r="O52" s="368"/>
      <c r="P52" s="368"/>
      <c r="Q52" s="368"/>
    </row>
    <row r="53" spans="1:17" ht="15" x14ac:dyDescent="0.3">
      <c r="A53" s="391" t="s">
        <v>2660</v>
      </c>
      <c r="B53" s="392" t="s">
        <v>2678</v>
      </c>
      <c r="C53" s="497">
        <v>45966</v>
      </c>
      <c r="D5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53" s="395" t="s">
        <v>2679</v>
      </c>
      <c r="F53" s="395" t="s">
        <v>3125</v>
      </c>
      <c r="G53" s="397"/>
      <c r="H53" s="401"/>
      <c r="I53" s="498">
        <v>3000000</v>
      </c>
      <c r="J53" s="499"/>
      <c r="K53" s="491">
        <f ca="1">+IF('[3]BROUILLARD DE CAISSE '!$C53="","",SUMIFS(INDIRECT("$K$7:K"&amp;ROW()),INDIRECT("$D$7:D"&amp;ROW()),"="&amp;"Report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3988241</v>
      </c>
      <c r="L53" s="399">
        <f ca="1">+IF($B53="","",SUMIFS(INDIRECT("$K$7:K"&amp;ROW()),INDIRECT("$B$7:B"&amp;ROW()),Tableau15356789101112131625236923[[#This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4028241</v>
      </c>
      <c r="O53" s="368"/>
      <c r="P53" s="368"/>
      <c r="Q53" s="368"/>
    </row>
    <row r="54" spans="1:17" ht="15" x14ac:dyDescent="0.3">
      <c r="A54" s="391" t="s">
        <v>2660</v>
      </c>
      <c r="B54" s="392" t="s">
        <v>2678</v>
      </c>
      <c r="C54" s="497">
        <v>45966</v>
      </c>
      <c r="D5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4" s="395" t="s">
        <v>3145</v>
      </c>
      <c r="F54" s="395" t="s">
        <v>3146</v>
      </c>
      <c r="G54" s="397"/>
      <c r="H54" s="401"/>
      <c r="I54" s="498"/>
      <c r="J54" s="499">
        <v>555500</v>
      </c>
      <c r="K54" s="491">
        <f ca="1">+IF('[3]BROUILLARD DE CAISSE '!$C54="","",SUMIFS(INDIRECT("$K$7:K"&amp;ROW()),INDIRECT("$D$7:D"&amp;ROW()),"="&amp;"Report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3432741</v>
      </c>
      <c r="L54" s="399">
        <f ca="1">+IF($B54="","",SUMIFS(INDIRECT("$K$7:K"&amp;ROW()),INDIRECT("$B$7:B"&amp;ROW()),Tableau15356789101112131625236923[[#This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3472741</v>
      </c>
      <c r="O54" s="368"/>
      <c r="P54" s="368"/>
      <c r="Q54" s="368"/>
    </row>
    <row r="55" spans="1:17" ht="15" x14ac:dyDescent="0.3">
      <c r="A55" s="391" t="s">
        <v>2660</v>
      </c>
      <c r="B55" s="392" t="s">
        <v>2678</v>
      </c>
      <c r="C55" s="497">
        <v>45966</v>
      </c>
      <c r="D5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55" s="395" t="s">
        <v>2679</v>
      </c>
      <c r="F55" s="395" t="s">
        <v>3147</v>
      </c>
      <c r="G55" s="401" t="s">
        <v>3148</v>
      </c>
      <c r="H55" s="401"/>
      <c r="I55" s="498">
        <v>5400000</v>
      </c>
      <c r="J55" s="499"/>
      <c r="K55" s="491">
        <f ca="1">+IF('[3]BROUILLARD DE CAISSE '!$C55="","",SUMIFS(INDIRECT("$K$7:K"&amp;ROW()),INDIRECT("$D$7:D"&amp;ROW()),"="&amp;"Report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8832741</v>
      </c>
      <c r="L55" s="399">
        <f ca="1">+IF($B55="","",SUMIFS(INDIRECT("$K$7:K"&amp;ROW()),INDIRECT("$B$7:B"&amp;ROW()),Tableau15356789101112131625236923[[#This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8872741</v>
      </c>
      <c r="O55" s="368"/>
      <c r="P55" s="368"/>
      <c r="Q55" s="368"/>
    </row>
    <row r="56" spans="1:17" s="412" customFormat="1" ht="15" x14ac:dyDescent="0.3">
      <c r="A56" s="391" t="s">
        <v>2660</v>
      </c>
      <c r="B56" s="392" t="s">
        <v>2678</v>
      </c>
      <c r="C56" s="497">
        <v>45966</v>
      </c>
      <c r="D5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6" s="395" t="s">
        <v>3132</v>
      </c>
      <c r="F56" s="395" t="s">
        <v>3149</v>
      </c>
      <c r="G56" s="397"/>
      <c r="H56" s="401"/>
      <c r="I56" s="498"/>
      <c r="J56" s="499">
        <v>5400000</v>
      </c>
      <c r="K56" s="491">
        <f ca="1">+IF('[3]BROUILLARD DE CAISSE '!$C56="","",SUMIFS(INDIRECT("$K$7:K"&amp;ROW()),INDIRECT("$D$7:D"&amp;ROW()),"="&amp;"Report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3432741</v>
      </c>
      <c r="L56" s="399">
        <f ca="1">+IF($B56="","",SUMIFS(INDIRECT("$K$7:K"&amp;ROW()),INDIRECT("$B$7:B"&amp;ROW()),Tableau15356789101112131625236923[[#This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3472741</v>
      </c>
    </row>
    <row r="57" spans="1:17" ht="15" x14ac:dyDescent="0.3">
      <c r="A57" s="391" t="s">
        <v>2660</v>
      </c>
      <c r="B57" s="392" t="s">
        <v>2678</v>
      </c>
      <c r="C57" s="497">
        <v>45966</v>
      </c>
      <c r="D5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57" s="395" t="s">
        <v>640</v>
      </c>
      <c r="F57" s="395" t="s">
        <v>3150</v>
      </c>
      <c r="G57" s="397"/>
      <c r="H57" s="401"/>
      <c r="I57" s="498"/>
      <c r="J57" s="499">
        <v>1000000</v>
      </c>
      <c r="K57" s="491">
        <f ca="1">+IF('[3]BROUILLARD DE CAISSE '!$C57="","",SUMIFS(INDIRECT("$K$7:K"&amp;ROW()),INDIRECT("$D$7:D"&amp;ROW()),"="&amp;"Report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2432741</v>
      </c>
      <c r="L57" s="399">
        <f ca="1">+IF($B57="","",SUMIFS(INDIRECT("$K$7:K"&amp;ROW()),INDIRECT("$B$7:B"&amp;ROW()),Tableau15356789101112131625236923[[#This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2472741</v>
      </c>
      <c r="O57" s="368"/>
      <c r="P57" s="368"/>
      <c r="Q57" s="368"/>
    </row>
    <row r="58" spans="1:17" ht="15" x14ac:dyDescent="0.3">
      <c r="A58" s="391" t="s">
        <v>2660</v>
      </c>
      <c r="B58" s="392" t="s">
        <v>2678</v>
      </c>
      <c r="C58" s="497">
        <v>45966</v>
      </c>
      <c r="D5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58" s="395" t="s">
        <v>2679</v>
      </c>
      <c r="F58" s="395" t="s">
        <v>3151</v>
      </c>
      <c r="G58" s="397"/>
      <c r="H58" s="401"/>
      <c r="I58" s="498">
        <v>600000</v>
      </c>
      <c r="J58" s="499"/>
      <c r="K58" s="491">
        <f ca="1">+IF('[3]BROUILLARD DE CAISSE '!$C58="","",SUMIFS(INDIRECT("$K$7:K"&amp;ROW()),INDIRECT("$D$7:D"&amp;ROW()),"="&amp;"Report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3032741</v>
      </c>
      <c r="L58" s="399">
        <f ca="1">+IF($B58="","",SUMIFS(INDIRECT("$K$7:K"&amp;ROW()),INDIRECT("$B$7:B"&amp;ROW()),Tableau15356789101112131625236923[[#This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3072741</v>
      </c>
      <c r="O58" s="368"/>
      <c r="P58" s="368"/>
      <c r="Q58" s="368"/>
    </row>
    <row r="59" spans="1:17" s="473" customFormat="1" ht="15" x14ac:dyDescent="0.3">
      <c r="A59" s="391" t="s">
        <v>2660</v>
      </c>
      <c r="B59" s="392" t="s">
        <v>2678</v>
      </c>
      <c r="C59" s="500">
        <v>45966</v>
      </c>
      <c r="D5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59" s="501" t="s">
        <v>2679</v>
      </c>
      <c r="F59" s="501" t="s">
        <v>3152</v>
      </c>
      <c r="G59" s="397"/>
      <c r="H59" s="502"/>
      <c r="I59" s="503">
        <v>8260000</v>
      </c>
      <c r="J59" s="504"/>
      <c r="K59" s="491">
        <f ca="1">+IF('[3]BROUILLARD DE CAISSE '!$C59="","",SUMIFS(INDIRECT("$K$7:K"&amp;ROW()),INDIRECT("$D$7:D"&amp;ROW()),"="&amp;"Report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11292741</v>
      </c>
      <c r="L59" s="399">
        <f ca="1">+IF($B59="","",SUMIFS(INDIRECT("$K$7:K"&amp;ROW()),INDIRECT("$B$7:B"&amp;ROW()),Tableau15356789101112131625236923[[#This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11332741</v>
      </c>
    </row>
    <row r="60" spans="1:17" ht="15" x14ac:dyDescent="0.3">
      <c r="A60" s="391" t="s">
        <v>2660</v>
      </c>
      <c r="B60" s="392" t="s">
        <v>2678</v>
      </c>
      <c r="C60" s="497">
        <v>45966</v>
      </c>
      <c r="D6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60" s="395" t="s">
        <v>2679</v>
      </c>
      <c r="F60" s="395" t="s">
        <v>3153</v>
      </c>
      <c r="G60" s="397"/>
      <c r="H60" s="410"/>
      <c r="I60" s="498">
        <v>500000</v>
      </c>
      <c r="J60" s="499"/>
      <c r="K60" s="491">
        <f ca="1">+IF('[3]BROUILLARD DE CAISSE '!$C60="","",SUMIFS(INDIRECT("$K$7:K"&amp;ROW()),INDIRECT("$D$7:D"&amp;ROW()),"="&amp;"Report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11792741</v>
      </c>
      <c r="L60" s="399">
        <f ca="1">+IF($B60="","",SUMIFS(INDIRECT("$K$7:K"&amp;ROW()),INDIRECT("$B$7:B"&amp;ROW()),Tableau15356789101112131625236923[[#This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11832741</v>
      </c>
      <c r="O60" s="368"/>
      <c r="P60" s="368"/>
      <c r="Q60" s="368"/>
    </row>
    <row r="61" spans="1:17" ht="15" x14ac:dyDescent="0.3">
      <c r="A61" s="391" t="s">
        <v>2660</v>
      </c>
      <c r="B61" s="392" t="s">
        <v>2678</v>
      </c>
      <c r="C61" s="497">
        <v>45966</v>
      </c>
      <c r="D6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1" s="395" t="s">
        <v>2941</v>
      </c>
      <c r="F61" s="395" t="s">
        <v>3154</v>
      </c>
      <c r="G61" s="397"/>
      <c r="H61" s="401"/>
      <c r="I61" s="498"/>
      <c r="J61" s="499">
        <v>5000</v>
      </c>
      <c r="K61" s="491">
        <f ca="1">+IF('[3]BROUILLARD DE CAISSE '!$C61="","",SUMIFS(INDIRECT("$K$7:K"&amp;ROW()),INDIRECT("$D$7:D"&amp;ROW()),"="&amp;"Report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11787741</v>
      </c>
      <c r="L61" s="399">
        <f ca="1">+IF($B61="","",SUMIFS(INDIRECT("$K$7:K"&amp;ROW()),INDIRECT("$B$7:B"&amp;ROW()),Tableau15356789101112131625236923[[#This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11827741</v>
      </c>
      <c r="O61" s="368"/>
      <c r="P61" s="368"/>
      <c r="Q61" s="368"/>
    </row>
    <row r="62" spans="1:17" ht="15" x14ac:dyDescent="0.3">
      <c r="A62" s="391" t="s">
        <v>2660</v>
      </c>
      <c r="B62" s="392" t="s">
        <v>2678</v>
      </c>
      <c r="C62" s="497">
        <v>45966</v>
      </c>
      <c r="D6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2" s="395" t="s">
        <v>2714</v>
      </c>
      <c r="F62" s="395" t="s">
        <v>3155</v>
      </c>
      <c r="G62" s="397"/>
      <c r="H62" s="401"/>
      <c r="I62" s="498"/>
      <c r="J62" s="499">
        <v>3900</v>
      </c>
      <c r="K62" s="491">
        <f ca="1">+IF('[3]BROUILLARD DE CAISSE '!$C62="","",SUMIFS(INDIRECT("$K$7:K"&amp;ROW()),INDIRECT("$D$7:D"&amp;ROW()),"="&amp;"Report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11783841</v>
      </c>
      <c r="L62" s="399">
        <f ca="1">+IF($B62="","",SUMIFS(INDIRECT("$K$7:K"&amp;ROW()),INDIRECT("$B$7:B"&amp;ROW()),Tableau15356789101112131625236923[[#This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11823841</v>
      </c>
      <c r="O62" s="368"/>
      <c r="P62" s="368"/>
      <c r="Q62" s="368"/>
    </row>
    <row r="63" spans="1:17" ht="15" x14ac:dyDescent="0.3">
      <c r="A63" s="391" t="s">
        <v>2660</v>
      </c>
      <c r="B63" s="392" t="s">
        <v>2678</v>
      </c>
      <c r="C63" s="497">
        <v>45966</v>
      </c>
      <c r="D6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3" s="395" t="s">
        <v>3156</v>
      </c>
      <c r="F63" s="395" t="s">
        <v>3155</v>
      </c>
      <c r="G63" s="397"/>
      <c r="H63" s="401"/>
      <c r="I63" s="498"/>
      <c r="J63" s="499">
        <v>3000</v>
      </c>
      <c r="K63" s="491">
        <f ca="1">+IF('[3]BROUILLARD DE CAISSE '!$C63="","",SUMIFS(INDIRECT("$K$7:K"&amp;ROW()),INDIRECT("$D$7:D"&amp;ROW()),"="&amp;"Report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11780841</v>
      </c>
      <c r="L63" s="399">
        <f ca="1">+IF($B63="","",SUMIFS(INDIRECT("$K$7:K"&amp;ROW()),INDIRECT("$B$7:B"&amp;ROW()),Tableau15356789101112131625236923[[#This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11820841</v>
      </c>
      <c r="O63" s="368"/>
      <c r="P63" s="368"/>
      <c r="Q63" s="368"/>
    </row>
    <row r="64" spans="1:17" s="464" customFormat="1" ht="15" x14ac:dyDescent="0.3">
      <c r="A64" s="505"/>
      <c r="B64" s="506"/>
      <c r="C64" s="507">
        <v>45967</v>
      </c>
      <c r="D64" s="41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4" s="417" t="s">
        <v>2878</v>
      </c>
      <c r="F64" s="417" t="s">
        <v>3157</v>
      </c>
      <c r="G64" s="418"/>
      <c r="H64" s="419"/>
      <c r="I64" s="508"/>
      <c r="J64" s="509">
        <v>13800</v>
      </c>
      <c r="K64" s="491">
        <f ca="1">+IF('[3]BROUILLARD DE CAISSE '!$C64="","",SUMIFS(INDIRECT("$K$7:K"&amp;ROW()),INDIRECT("$D$7:D"&amp;ROW()),"="&amp;"Report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11767041</v>
      </c>
      <c r="L64" s="510" t="str">
        <f ca="1">+IF($B64="","",SUMIFS(INDIRECT("$K$7:K"&amp;ROW()),INDIRECT("$B$7:B"&amp;ROW()),Tableau15356789101112131625236923[[#This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65" spans="1:17" ht="15" x14ac:dyDescent="0.3">
      <c r="A65" s="391" t="s">
        <v>2660</v>
      </c>
      <c r="B65" s="392" t="s">
        <v>2678</v>
      </c>
      <c r="C65" s="497">
        <v>45967</v>
      </c>
      <c r="D6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5" s="395" t="s">
        <v>2941</v>
      </c>
      <c r="F65" s="395" t="s">
        <v>3158</v>
      </c>
      <c r="G65" s="397"/>
      <c r="H65" s="401"/>
      <c r="I65" s="498"/>
      <c r="J65" s="499">
        <v>378750</v>
      </c>
      <c r="K65" s="491">
        <f ca="1">+IF('[3]BROUILLARD DE CAISSE '!$C65="","",SUMIFS(INDIRECT("$K$7:K"&amp;ROW()),INDIRECT("$D$7:D"&amp;ROW()),"="&amp;"Report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11388291</v>
      </c>
      <c r="L65" s="399">
        <f ca="1">+IF($B65="","",SUMIFS(INDIRECT("$K$7:K"&amp;ROW()),INDIRECT("$B$7:B"&amp;ROW()),Tableau15356789101112131625236923[[#This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11442091</v>
      </c>
      <c r="O65" s="368"/>
      <c r="P65" s="368"/>
      <c r="Q65" s="368"/>
    </row>
    <row r="66" spans="1:17" ht="15" x14ac:dyDescent="0.3">
      <c r="A66" s="391" t="s">
        <v>2660</v>
      </c>
      <c r="B66" s="392" t="s">
        <v>2678</v>
      </c>
      <c r="C66" s="497">
        <v>45967</v>
      </c>
      <c r="D6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6" s="395" t="s">
        <v>3122</v>
      </c>
      <c r="F66" s="395" t="s">
        <v>3159</v>
      </c>
      <c r="G66" s="397"/>
      <c r="H66" s="401" t="s">
        <v>2707</v>
      </c>
      <c r="I66" s="498"/>
      <c r="J66" s="499">
        <v>5050</v>
      </c>
      <c r="K66" s="491">
        <f ca="1">+IF('[3]BROUILLARD DE CAISSE '!$C66="","",SUMIFS(INDIRECT("$K$7:K"&amp;ROW()),INDIRECT("$D$7:D"&amp;ROW()),"="&amp;"Report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11383241</v>
      </c>
      <c r="L66" s="399">
        <f ca="1">+IF($B66="","",SUMIFS(INDIRECT("$K$7:K"&amp;ROW()),INDIRECT("$B$7:B"&amp;ROW()),Tableau15356789101112131625236923[[#This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11437041</v>
      </c>
      <c r="O66" s="368"/>
      <c r="P66" s="368"/>
      <c r="Q66" s="368"/>
    </row>
    <row r="67" spans="1:17" ht="15" x14ac:dyDescent="0.3">
      <c r="A67" s="391" t="s">
        <v>2660</v>
      </c>
      <c r="B67" s="392" t="s">
        <v>2678</v>
      </c>
      <c r="C67" s="497">
        <v>45967</v>
      </c>
      <c r="D6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7" s="395" t="s">
        <v>3160</v>
      </c>
      <c r="F67" s="395" t="s">
        <v>3161</v>
      </c>
      <c r="G67" s="397"/>
      <c r="H67" s="401" t="s">
        <v>3162</v>
      </c>
      <c r="I67" s="498"/>
      <c r="J67" s="499">
        <v>131300</v>
      </c>
      <c r="K67" s="491">
        <f ca="1">+IF('[3]BROUILLARD DE CAISSE '!$C67="","",SUMIFS(INDIRECT("$K$7:K"&amp;ROW()),INDIRECT("$D$7:D"&amp;ROW()),"="&amp;"Report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11251941</v>
      </c>
      <c r="L67" s="399">
        <f ca="1">+IF($B67="","",SUMIFS(INDIRECT("$K$7:K"&amp;ROW()),INDIRECT("$B$7:B"&amp;ROW()),Tableau15356789101112131625236923[[#This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11305741</v>
      </c>
      <c r="O67" s="368"/>
      <c r="P67" s="368"/>
      <c r="Q67" s="368"/>
    </row>
    <row r="68" spans="1:17" ht="15" x14ac:dyDescent="0.3">
      <c r="A68" s="391" t="s">
        <v>2660</v>
      </c>
      <c r="B68" s="392" t="s">
        <v>2678</v>
      </c>
      <c r="C68" s="497">
        <v>45967</v>
      </c>
      <c r="D6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8" s="395" t="s">
        <v>2714</v>
      </c>
      <c r="F68" s="395" t="s">
        <v>3155</v>
      </c>
      <c r="G68" s="397"/>
      <c r="H68" s="401"/>
      <c r="I68" s="498"/>
      <c r="J68" s="499">
        <v>2600</v>
      </c>
      <c r="K68" s="491">
        <f ca="1">+IF('[3]BROUILLARD DE CAISSE '!$C68="","",SUMIFS(INDIRECT("$K$7:K"&amp;ROW()),INDIRECT("$D$7:D"&amp;ROW()),"="&amp;"Report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11249341</v>
      </c>
      <c r="L68" s="399">
        <f ca="1">+IF($B68="","",SUMIFS(INDIRECT("$K$7:K"&amp;ROW()),INDIRECT("$B$7:B"&amp;ROW()),Tableau15356789101112131625236923[[#This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11303141</v>
      </c>
      <c r="O68" s="368"/>
      <c r="P68" s="368"/>
      <c r="Q68" s="368"/>
    </row>
    <row r="69" spans="1:17" ht="15" x14ac:dyDescent="0.3">
      <c r="A69" s="391" t="s">
        <v>2660</v>
      </c>
      <c r="B69" s="392" t="s">
        <v>2678</v>
      </c>
      <c r="C69" s="497">
        <v>45967</v>
      </c>
      <c r="D6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69" s="395" t="s">
        <v>3163</v>
      </c>
      <c r="F69" s="395" t="s">
        <v>3164</v>
      </c>
      <c r="G69" s="397"/>
      <c r="H69" s="401"/>
      <c r="I69" s="498"/>
      <c r="J69" s="499">
        <f>202000+202000+101000+50000</f>
        <v>555000</v>
      </c>
      <c r="K69" s="491">
        <f ca="1">+IF('[3]BROUILLARD DE CAISSE '!$C69="","",SUMIFS(INDIRECT("$K$7:K"&amp;ROW()),INDIRECT("$D$7:D"&amp;ROW()),"="&amp;"Report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10694341</v>
      </c>
      <c r="L69" s="399">
        <f ca="1">+IF($B69="","",SUMIFS(INDIRECT("$K$7:K"&amp;ROW()),INDIRECT("$B$7:B"&amp;ROW()),Tableau15356789101112131625236923[[#This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10748141</v>
      </c>
      <c r="O69" s="368"/>
      <c r="P69" s="368"/>
      <c r="Q69" s="368"/>
    </row>
    <row r="70" spans="1:17" ht="15" x14ac:dyDescent="0.3">
      <c r="A70" s="391" t="s">
        <v>2660</v>
      </c>
      <c r="B70" s="392" t="s">
        <v>2678</v>
      </c>
      <c r="C70" s="497">
        <v>45967</v>
      </c>
      <c r="D7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0" s="395" t="s">
        <v>2727</v>
      </c>
      <c r="F70" s="395" t="s">
        <v>3165</v>
      </c>
      <c r="G70" s="397"/>
      <c r="H70" s="401"/>
      <c r="I70" s="498"/>
      <c r="J70" s="499">
        <v>430000</v>
      </c>
      <c r="K70" s="491">
        <f ca="1">+IF('[3]BROUILLARD DE CAISSE '!$C70="","",SUMIFS(INDIRECT("$K$7:K"&amp;ROW()),INDIRECT("$D$7:D"&amp;ROW()),"="&amp;"Report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10264341</v>
      </c>
      <c r="L70" s="399">
        <f ca="1">+IF($B70="","",SUMIFS(INDIRECT("$K$7:K"&amp;ROW()),INDIRECT("$B$7:B"&amp;ROW()),Tableau15356789101112131625236923[[#This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10318141</v>
      </c>
      <c r="O70" s="368"/>
      <c r="P70" s="368"/>
      <c r="Q70" s="368"/>
    </row>
    <row r="71" spans="1:17" ht="15" x14ac:dyDescent="0.3">
      <c r="A71" s="391" t="s">
        <v>2660</v>
      </c>
      <c r="B71" s="392" t="s">
        <v>2678</v>
      </c>
      <c r="C71" s="497">
        <v>45967</v>
      </c>
      <c r="D7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1" s="395" t="s">
        <v>2727</v>
      </c>
      <c r="F71" s="395" t="s">
        <v>2896</v>
      </c>
      <c r="G71" s="397"/>
      <c r="H71" s="401" t="s">
        <v>2729</v>
      </c>
      <c r="I71" s="498"/>
      <c r="J71" s="499">
        <v>1500</v>
      </c>
      <c r="K71" s="491">
        <f ca="1">+IF('[3]BROUILLARD DE CAISSE '!$C71="","",SUMIFS(INDIRECT("$K$7:K"&amp;ROW()),INDIRECT("$D$7:D"&amp;ROW()),"="&amp;"Report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10262841</v>
      </c>
      <c r="L71" s="399">
        <f ca="1">+IF($B71="","",SUMIFS(INDIRECT("$K$7:K"&amp;ROW()),INDIRECT("$B$7:B"&amp;ROW()),Tableau15356789101112131625236923[[#This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10316641</v>
      </c>
      <c r="O71" s="368"/>
      <c r="P71" s="368"/>
      <c r="Q71" s="368"/>
    </row>
    <row r="72" spans="1:17" ht="15" x14ac:dyDescent="0.3">
      <c r="A72" s="391" t="s">
        <v>2660</v>
      </c>
      <c r="B72" s="392" t="s">
        <v>2678</v>
      </c>
      <c r="C72" s="497">
        <v>45967</v>
      </c>
      <c r="D7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2" s="395" t="s">
        <v>2764</v>
      </c>
      <c r="F72" s="395" t="s">
        <v>3166</v>
      </c>
      <c r="G72" s="397"/>
      <c r="H72" s="401"/>
      <c r="I72" s="498"/>
      <c r="J72" s="499">
        <v>3000</v>
      </c>
      <c r="K72" s="491">
        <f ca="1">+IF('[3]BROUILLARD DE CAISSE '!$C72="","",SUMIFS(INDIRECT("$K$7:K"&amp;ROW()),INDIRECT("$D$7:D"&amp;ROW()),"="&amp;"Report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10259841</v>
      </c>
      <c r="L72" s="399">
        <f ca="1">+IF($B72="","",SUMIFS(INDIRECT("$K$7:K"&amp;ROW()),INDIRECT("$B$7:B"&amp;ROW()),Tableau15356789101112131625236923[[#This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10313641</v>
      </c>
      <c r="O72" s="368"/>
      <c r="P72" s="368"/>
      <c r="Q72" s="368"/>
    </row>
    <row r="73" spans="1:17" ht="15" x14ac:dyDescent="0.3">
      <c r="A73" s="391" t="s">
        <v>2660</v>
      </c>
      <c r="B73" s="392" t="s">
        <v>2678</v>
      </c>
      <c r="C73" s="497">
        <v>45967</v>
      </c>
      <c r="D7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3" s="395" t="s">
        <v>2727</v>
      </c>
      <c r="F73" s="395" t="s">
        <v>3167</v>
      </c>
      <c r="G73" s="397"/>
      <c r="H73" s="401"/>
      <c r="I73" s="498"/>
      <c r="J73" s="499">
        <v>15150</v>
      </c>
      <c r="K73" s="491">
        <f ca="1">+IF('[3]BROUILLARD DE CAISSE '!$C73="","",SUMIFS(INDIRECT("$K$7:K"&amp;ROW()),INDIRECT("$D$7:D"&amp;ROW()),"="&amp;"Report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10244691</v>
      </c>
      <c r="L73" s="399">
        <f ca="1">+IF($B73="","",SUMIFS(INDIRECT("$K$7:K"&amp;ROW()),INDIRECT("$B$7:B"&amp;ROW()),Tableau15356789101112131625236923[[#This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10298491</v>
      </c>
      <c r="O73" s="368"/>
      <c r="P73" s="368"/>
      <c r="Q73" s="368"/>
    </row>
    <row r="74" spans="1:17" ht="15" x14ac:dyDescent="0.3">
      <c r="A74" s="391" t="s">
        <v>2660</v>
      </c>
      <c r="B74" s="392" t="s">
        <v>2678</v>
      </c>
      <c r="C74" s="497">
        <v>45967</v>
      </c>
      <c r="D7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4" s="395" t="s">
        <v>2694</v>
      </c>
      <c r="F74" s="395" t="s">
        <v>3168</v>
      </c>
      <c r="G74" s="397"/>
      <c r="H74" s="401"/>
      <c r="I74" s="498"/>
      <c r="J74" s="499">
        <v>495000</v>
      </c>
      <c r="K74" s="491">
        <f ca="1">+IF('[3]BROUILLARD DE CAISSE '!$C74="","",SUMIFS(INDIRECT("$K$7:K"&amp;ROW()),INDIRECT("$D$7:D"&amp;ROW()),"="&amp;"Report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9749691</v>
      </c>
      <c r="L74" s="399">
        <f ca="1">+IF($B74="","",SUMIFS(INDIRECT("$K$7:K"&amp;ROW()),INDIRECT("$B$7:B"&amp;ROW()),Tableau15356789101112131625236923[[#This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9803491</v>
      </c>
      <c r="O74" s="368"/>
      <c r="P74" s="368"/>
      <c r="Q74" s="368"/>
    </row>
    <row r="75" spans="1:17" ht="15" x14ac:dyDescent="0.3">
      <c r="A75" s="391"/>
      <c r="B75" s="392"/>
      <c r="C75" s="497">
        <v>45967</v>
      </c>
      <c r="D7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5" s="395" t="s">
        <v>3128</v>
      </c>
      <c r="F75" s="395" t="s">
        <v>3169</v>
      </c>
      <c r="G75" s="397"/>
      <c r="H75" s="401"/>
      <c r="I75" s="498"/>
      <c r="J75" s="499">
        <v>25000</v>
      </c>
      <c r="K75" s="491">
        <f ca="1">+IF('[3]BROUILLARD DE CAISSE '!$C75="","",SUMIFS(INDIRECT("$K$7:K"&amp;ROW()),INDIRECT("$D$7:D"&amp;ROW()),"="&amp;"Report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9724691</v>
      </c>
      <c r="L75" s="399" t="str">
        <f ca="1">+IF($B75="","",SUMIFS(INDIRECT("$K$7:K"&amp;ROW()),INDIRECT("$B$7:B"&amp;ROW()),Tableau15356789101112131625236923[[#This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75" s="368"/>
      <c r="P75" s="368"/>
      <c r="Q75" s="368"/>
    </row>
    <row r="76" spans="1:17" ht="15" x14ac:dyDescent="0.3">
      <c r="A76" s="391" t="s">
        <v>2660</v>
      </c>
      <c r="B76" s="392" t="s">
        <v>2678</v>
      </c>
      <c r="C76" s="497">
        <v>45967</v>
      </c>
      <c r="D7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6" s="395" t="s">
        <v>3170</v>
      </c>
      <c r="F76" s="395" t="s">
        <v>3171</v>
      </c>
      <c r="G76" s="397"/>
      <c r="H76" s="401" t="s">
        <v>3162</v>
      </c>
      <c r="I76" s="498"/>
      <c r="J76" s="499">
        <v>131300</v>
      </c>
      <c r="K76" s="491">
        <f ca="1">+IF('[3]BROUILLARD DE CAISSE '!$C76="","",SUMIFS(INDIRECT("$K$7:K"&amp;ROW()),INDIRECT("$D$7:D"&amp;ROW()),"="&amp;"Report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9593391</v>
      </c>
      <c r="L76" s="399">
        <f ca="1">+IF($B76="","",SUMIFS(INDIRECT("$K$7:K"&amp;ROW()),INDIRECT("$B$7:B"&amp;ROW()),Tableau15356789101112131625236923[[#This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9672191</v>
      </c>
      <c r="O76" s="368"/>
      <c r="P76" s="368"/>
      <c r="Q76" s="368"/>
    </row>
    <row r="77" spans="1:17" ht="15" x14ac:dyDescent="0.3">
      <c r="A77" s="391" t="s">
        <v>2660</v>
      </c>
      <c r="B77" s="392" t="s">
        <v>2678</v>
      </c>
      <c r="C77" s="497">
        <v>45967</v>
      </c>
      <c r="D7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7" s="395" t="s">
        <v>2912</v>
      </c>
      <c r="F77" s="395" t="s">
        <v>3172</v>
      </c>
      <c r="G77" s="397"/>
      <c r="H77" s="401"/>
      <c r="I77" s="498"/>
      <c r="J77" s="499">
        <v>600000</v>
      </c>
      <c r="K77" s="491">
        <f ca="1">+IF('[3]BROUILLARD DE CAISSE '!$C77="","",SUMIFS(INDIRECT("$K$7:K"&amp;ROW()),INDIRECT("$D$7:D"&amp;ROW()),"="&amp;"Report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8993391</v>
      </c>
      <c r="L77" s="399">
        <f ca="1">+IF($B77="","",SUMIFS(INDIRECT("$K$7:K"&amp;ROW()),INDIRECT("$B$7:B"&amp;ROW()),Tableau15356789101112131625236923[[#This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9072191</v>
      </c>
      <c r="O77" s="368"/>
      <c r="P77" s="368"/>
      <c r="Q77" s="368"/>
    </row>
    <row r="78" spans="1:17" ht="15" x14ac:dyDescent="0.3">
      <c r="A78" s="391" t="s">
        <v>2660</v>
      </c>
      <c r="B78" s="392" t="s">
        <v>2678</v>
      </c>
      <c r="C78" s="497">
        <v>45967</v>
      </c>
      <c r="D7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8" s="395" t="s">
        <v>3173</v>
      </c>
      <c r="F78" s="395" t="s">
        <v>3174</v>
      </c>
      <c r="G78" s="397"/>
      <c r="H78" s="401"/>
      <c r="I78" s="498"/>
      <c r="J78" s="499">
        <v>300000</v>
      </c>
      <c r="K78" s="491">
        <f ca="1">+IF('[3]BROUILLARD DE CAISSE '!$C78="","",SUMIFS(INDIRECT("$K$7:K"&amp;ROW()),INDIRECT("$D$7:D"&amp;ROW()),"="&amp;"Report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8693391</v>
      </c>
      <c r="L78" s="399">
        <f ca="1">+IF($B78="","",SUMIFS(INDIRECT("$K$7:K"&amp;ROW()),INDIRECT("$B$7:B"&amp;ROW()),Tableau15356789101112131625236923[[#This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8772191</v>
      </c>
      <c r="O78" s="368"/>
      <c r="P78" s="368"/>
      <c r="Q78" s="368"/>
    </row>
    <row r="79" spans="1:17" ht="15" x14ac:dyDescent="0.3">
      <c r="A79" s="391" t="s">
        <v>2660</v>
      </c>
      <c r="B79" s="392" t="s">
        <v>2678</v>
      </c>
      <c r="C79" s="497">
        <v>45967</v>
      </c>
      <c r="D7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79" s="395" t="s">
        <v>2818</v>
      </c>
      <c r="F79" s="395" t="s">
        <v>3174</v>
      </c>
      <c r="G79" s="397"/>
      <c r="H79" s="401"/>
      <c r="I79" s="498"/>
      <c r="J79" s="499">
        <v>450000</v>
      </c>
      <c r="K79" s="491">
        <f ca="1">+IF('[3]BROUILLARD DE CAISSE '!$C79="","",SUMIFS(INDIRECT("$K$7:K"&amp;ROW()),INDIRECT("$D$7:D"&amp;ROW()),"="&amp;"Report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8243391</v>
      </c>
      <c r="L79" s="399">
        <f ca="1">+IF($B79="","",SUMIFS(INDIRECT("$K$7:K"&amp;ROW()),INDIRECT("$B$7:B"&amp;ROW()),Tableau15356789101112131625236923[[#This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8322191</v>
      </c>
      <c r="O79" s="368"/>
      <c r="P79" s="368"/>
      <c r="Q79" s="368"/>
    </row>
    <row r="80" spans="1:17" ht="15" x14ac:dyDescent="0.3">
      <c r="A80" s="391" t="s">
        <v>2660</v>
      </c>
      <c r="B80" s="392" t="s">
        <v>2678</v>
      </c>
      <c r="C80" s="497">
        <v>45967</v>
      </c>
      <c r="D8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0" s="395" t="s">
        <v>2694</v>
      </c>
      <c r="F80" s="395" t="s">
        <v>3174</v>
      </c>
      <c r="G80" s="397"/>
      <c r="H80" s="401"/>
      <c r="I80" s="498"/>
      <c r="J80" s="499">
        <v>250000</v>
      </c>
      <c r="K80" s="491">
        <f ca="1">+IF('[3]BROUILLARD DE CAISSE '!$C80="","",SUMIFS(INDIRECT("$K$7:K"&amp;ROW()),INDIRECT("$D$7:D"&amp;ROW()),"="&amp;"Report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7993391</v>
      </c>
      <c r="L80" s="399">
        <f ca="1">+IF($B80="","",SUMIFS(INDIRECT("$K$7:K"&amp;ROW()),INDIRECT("$B$7:B"&amp;ROW()),Tableau15356789101112131625236923[[#This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8072191</v>
      </c>
      <c r="O80" s="368"/>
      <c r="P80" s="368"/>
      <c r="Q80" s="368"/>
    </row>
    <row r="81" spans="1:17" ht="15" x14ac:dyDescent="0.3">
      <c r="A81" s="391" t="s">
        <v>2660</v>
      </c>
      <c r="B81" s="392" t="s">
        <v>2678</v>
      </c>
      <c r="C81" s="497">
        <v>45967</v>
      </c>
      <c r="D8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1" s="395" t="s">
        <v>3122</v>
      </c>
      <c r="F81" s="395" t="s">
        <v>3174</v>
      </c>
      <c r="G81" s="397"/>
      <c r="H81" s="401"/>
      <c r="I81" s="498"/>
      <c r="J81" s="499">
        <v>404000</v>
      </c>
      <c r="K81" s="491">
        <f ca="1">+IF('[3]BROUILLARD DE CAISSE '!$C81="","",SUMIFS(INDIRECT("$K$7:K"&amp;ROW()),INDIRECT("$D$7:D"&amp;ROW()),"="&amp;"Report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7589391</v>
      </c>
      <c r="L81" s="399">
        <f ca="1">+IF($B81="","",SUMIFS(INDIRECT("$K$7:K"&amp;ROW()),INDIRECT("$B$7:B"&amp;ROW()),Tableau15356789101112131625236923[[#This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7668191</v>
      </c>
      <c r="O81" s="368"/>
      <c r="P81" s="368"/>
      <c r="Q81" s="368"/>
    </row>
    <row r="82" spans="1:17" ht="15" x14ac:dyDescent="0.3">
      <c r="A82" s="391" t="s">
        <v>2660</v>
      </c>
      <c r="B82" s="392" t="s">
        <v>2678</v>
      </c>
      <c r="C82" s="497">
        <v>45967</v>
      </c>
      <c r="D8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2" s="395" t="s">
        <v>2794</v>
      </c>
      <c r="F82" s="395" t="s">
        <v>3174</v>
      </c>
      <c r="G82" s="397"/>
      <c r="H82" s="401"/>
      <c r="I82" s="498"/>
      <c r="J82" s="499">
        <v>202000</v>
      </c>
      <c r="K82" s="491">
        <f ca="1">+IF('[3]BROUILLARD DE CAISSE '!$C82="","",SUMIFS(INDIRECT("$K$7:K"&amp;ROW()),INDIRECT("$D$7:D"&amp;ROW()),"="&amp;"Report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7387391</v>
      </c>
      <c r="L82" s="399">
        <f ca="1">+IF($B82="","",SUMIFS(INDIRECT("$K$7:K"&amp;ROW()),INDIRECT("$B$7:B"&amp;ROW()),Tableau15356789101112131625236923[[#This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7466191</v>
      </c>
      <c r="O82" s="368"/>
      <c r="P82" s="368"/>
      <c r="Q82" s="368"/>
    </row>
    <row r="83" spans="1:17" ht="15" x14ac:dyDescent="0.3">
      <c r="A83" s="391" t="s">
        <v>2660</v>
      </c>
      <c r="B83" s="392" t="s">
        <v>2678</v>
      </c>
      <c r="C83" s="497">
        <v>45967</v>
      </c>
      <c r="D8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3" s="395" t="s">
        <v>3175</v>
      </c>
      <c r="F83" s="395" t="s">
        <v>3174</v>
      </c>
      <c r="G83" s="397"/>
      <c r="H83" s="401"/>
      <c r="I83" s="498"/>
      <c r="J83" s="499">
        <v>151500</v>
      </c>
      <c r="K83" s="491">
        <f ca="1">+IF('[3]BROUILLARD DE CAISSE '!$C83="","",SUMIFS(INDIRECT("$K$7:K"&amp;ROW()),INDIRECT("$D$7:D"&amp;ROW()),"="&amp;"Report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7235891</v>
      </c>
      <c r="L83" s="399">
        <f ca="1">+IF($B83="","",SUMIFS(INDIRECT("$K$7:K"&amp;ROW()),INDIRECT("$B$7:B"&amp;ROW()),Tableau15356789101112131625236923[[#This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7314691</v>
      </c>
      <c r="O83" s="368"/>
      <c r="P83" s="368"/>
      <c r="Q83" s="368"/>
    </row>
    <row r="84" spans="1:17" ht="15" x14ac:dyDescent="0.3">
      <c r="A84" s="391" t="s">
        <v>2660</v>
      </c>
      <c r="B84" s="392" t="s">
        <v>2678</v>
      </c>
      <c r="C84" s="497">
        <v>45967</v>
      </c>
      <c r="D8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4" s="395" t="s">
        <v>2710</v>
      </c>
      <c r="F84" s="395" t="s">
        <v>3174</v>
      </c>
      <c r="G84" s="397"/>
      <c r="H84" s="401"/>
      <c r="I84" s="498"/>
      <c r="J84" s="499">
        <v>151500</v>
      </c>
      <c r="K84" s="491">
        <f ca="1">+IF('[3]BROUILLARD DE CAISSE '!$C84="","",SUMIFS(INDIRECT("$K$7:K"&amp;ROW()),INDIRECT("$D$7:D"&amp;ROW()),"="&amp;"Report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7084391</v>
      </c>
      <c r="L84" s="399">
        <f ca="1">+IF($B84="","",SUMIFS(INDIRECT("$K$7:K"&amp;ROW()),INDIRECT("$B$7:B"&amp;ROW()),Tableau15356789101112131625236923[[#This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7163191</v>
      </c>
      <c r="O84" s="368"/>
      <c r="P84" s="368"/>
      <c r="Q84" s="368"/>
    </row>
    <row r="85" spans="1:17" ht="15" x14ac:dyDescent="0.3">
      <c r="A85" s="391" t="s">
        <v>2660</v>
      </c>
      <c r="B85" s="392" t="s">
        <v>2678</v>
      </c>
      <c r="C85" s="497">
        <v>45967</v>
      </c>
      <c r="D8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5" s="395" t="s">
        <v>2813</v>
      </c>
      <c r="F85" s="395" t="s">
        <v>3174</v>
      </c>
      <c r="G85" s="397"/>
      <c r="H85" s="401"/>
      <c r="I85" s="498"/>
      <c r="J85" s="499">
        <v>121200</v>
      </c>
      <c r="K85" s="491">
        <f ca="1">+IF('[3]BROUILLARD DE CAISSE '!$C85="","",SUMIFS(INDIRECT("$K$7:K"&amp;ROW()),INDIRECT("$D$7:D"&amp;ROW()),"="&amp;"Report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6963191</v>
      </c>
      <c r="L85" s="399">
        <f ca="1">+IF($B85="","",SUMIFS(INDIRECT("$K$7:K"&amp;ROW()),INDIRECT("$B$7:B"&amp;ROW()),Tableau15356789101112131625236923[[#This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7041991</v>
      </c>
      <c r="O85" s="368"/>
      <c r="P85" s="368"/>
      <c r="Q85" s="368"/>
    </row>
    <row r="86" spans="1:17" ht="15" x14ac:dyDescent="0.3">
      <c r="A86" s="391" t="s">
        <v>2660</v>
      </c>
      <c r="B86" s="392" t="s">
        <v>2678</v>
      </c>
      <c r="C86" s="497">
        <v>45967</v>
      </c>
      <c r="D8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6" s="395" t="s">
        <v>3176</v>
      </c>
      <c r="F86" s="395" t="s">
        <v>3174</v>
      </c>
      <c r="G86" s="397"/>
      <c r="H86" s="401"/>
      <c r="I86" s="498"/>
      <c r="J86" s="499">
        <v>121200</v>
      </c>
      <c r="K86" s="491">
        <f ca="1">+IF('[3]BROUILLARD DE CAISSE '!$C86="","",SUMIFS(INDIRECT("$K$7:K"&amp;ROW()),INDIRECT("$D$7:D"&amp;ROW()),"="&amp;"Report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6841991</v>
      </c>
      <c r="L86" s="399">
        <f ca="1">+IF($B86="","",SUMIFS(INDIRECT("$K$7:K"&amp;ROW()),INDIRECT("$B$7:B"&amp;ROW()),Tableau15356789101112131625236923[[#This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6920791</v>
      </c>
      <c r="O86" s="368"/>
      <c r="P86" s="368"/>
      <c r="Q86" s="368"/>
    </row>
    <row r="87" spans="1:17" ht="15" x14ac:dyDescent="0.3">
      <c r="A87" s="391" t="s">
        <v>2660</v>
      </c>
      <c r="B87" s="392" t="s">
        <v>2678</v>
      </c>
      <c r="C87" s="497">
        <v>45967</v>
      </c>
      <c r="D8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7" s="395" t="s">
        <v>2696</v>
      </c>
      <c r="F87" s="395" t="s">
        <v>3174</v>
      </c>
      <c r="G87" s="397"/>
      <c r="H87" s="401"/>
      <c r="I87" s="498"/>
      <c r="J87" s="499">
        <v>121200</v>
      </c>
      <c r="K87" s="491">
        <f ca="1">+IF('[3]BROUILLARD DE CAISSE '!$C87="","",SUMIFS(INDIRECT("$K$7:K"&amp;ROW()),INDIRECT("$D$7:D"&amp;ROW()),"="&amp;"Report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6720791</v>
      </c>
      <c r="L87" s="399">
        <f ca="1">+IF($B87="","",SUMIFS(INDIRECT("$K$7:K"&amp;ROW()),INDIRECT("$B$7:B"&amp;ROW()),Tableau15356789101112131625236923[[#This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6799591</v>
      </c>
      <c r="O87" s="368"/>
      <c r="P87" s="368"/>
      <c r="Q87" s="368"/>
    </row>
    <row r="88" spans="1:17" ht="15" x14ac:dyDescent="0.3">
      <c r="A88" s="391" t="s">
        <v>2660</v>
      </c>
      <c r="B88" s="392" t="s">
        <v>2678</v>
      </c>
      <c r="C88" s="497">
        <v>45967</v>
      </c>
      <c r="D8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8" s="395" t="s">
        <v>2888</v>
      </c>
      <c r="F88" s="395" t="s">
        <v>3174</v>
      </c>
      <c r="G88" s="397"/>
      <c r="H88" s="401"/>
      <c r="I88" s="498"/>
      <c r="J88" s="499">
        <v>121200</v>
      </c>
      <c r="K88" s="491">
        <f ca="1">+IF('[3]BROUILLARD DE CAISSE '!$C88="","",SUMIFS(INDIRECT("$K$7:K"&amp;ROW()),INDIRECT("$D$7:D"&amp;ROW()),"="&amp;"Report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6599591</v>
      </c>
      <c r="L88" s="399">
        <f ca="1">+IF($B88="","",SUMIFS(INDIRECT("$K$7:K"&amp;ROW()),INDIRECT("$B$7:B"&amp;ROW()),Tableau15356789101112131625236923[[#This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6678391</v>
      </c>
      <c r="O88" s="368"/>
      <c r="P88" s="368"/>
      <c r="Q88" s="368"/>
    </row>
    <row r="89" spans="1:17" ht="15" x14ac:dyDescent="0.3">
      <c r="A89" s="391" t="s">
        <v>2660</v>
      </c>
      <c r="B89" s="392" t="s">
        <v>2678</v>
      </c>
      <c r="C89" s="497">
        <v>45967</v>
      </c>
      <c r="D8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89" s="395" t="s">
        <v>2887</v>
      </c>
      <c r="F89" s="395" t="s">
        <v>3174</v>
      </c>
      <c r="G89" s="397"/>
      <c r="H89" s="401"/>
      <c r="I89" s="498"/>
      <c r="J89" s="499">
        <v>121200</v>
      </c>
      <c r="K89" s="491">
        <f ca="1">+IF('[3]BROUILLARD DE CAISSE '!$C89="","",SUMIFS(INDIRECT("$K$7:K"&amp;ROW()),INDIRECT("$D$7:D"&amp;ROW()),"="&amp;"Report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6478391</v>
      </c>
      <c r="L89" s="399">
        <f ca="1">+IF($B89="","",SUMIFS(INDIRECT("$K$7:K"&amp;ROW()),INDIRECT("$B$7:B"&amp;ROW()),Tableau15356789101112131625236923[[#This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6557191</v>
      </c>
      <c r="O89" s="368"/>
      <c r="P89" s="368"/>
      <c r="Q89" s="368"/>
    </row>
    <row r="90" spans="1:17" ht="15" x14ac:dyDescent="0.3">
      <c r="A90" s="391" t="s">
        <v>2660</v>
      </c>
      <c r="B90" s="392" t="s">
        <v>2678</v>
      </c>
      <c r="C90" s="497">
        <v>45967</v>
      </c>
      <c r="D9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0" s="408" t="s">
        <v>2856</v>
      </c>
      <c r="F90" s="395" t="s">
        <v>3174</v>
      </c>
      <c r="G90" s="397"/>
      <c r="H90" s="401"/>
      <c r="I90" s="498"/>
      <c r="J90" s="499">
        <v>151500</v>
      </c>
      <c r="K90" s="491">
        <f ca="1">+IF('[3]BROUILLARD DE CAISSE '!$C90="","",SUMIFS(INDIRECT("$K$7:K"&amp;ROW()),INDIRECT("$D$7:D"&amp;ROW()),"="&amp;"Report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6326891</v>
      </c>
      <c r="L90" s="399">
        <f ca="1">+IF($B90="","",SUMIFS(INDIRECT("$K$7:K"&amp;ROW()),INDIRECT("$B$7:B"&amp;ROW()),Tableau15356789101112131625236923[[#This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6405691</v>
      </c>
      <c r="O90" s="368"/>
      <c r="P90" s="368"/>
      <c r="Q90" s="368"/>
    </row>
    <row r="91" spans="1:17" ht="15" x14ac:dyDescent="0.3">
      <c r="A91" s="391" t="s">
        <v>2660</v>
      </c>
      <c r="B91" s="392" t="s">
        <v>2678</v>
      </c>
      <c r="C91" s="497">
        <v>45967</v>
      </c>
      <c r="D9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1" s="408" t="s">
        <v>2857</v>
      </c>
      <c r="F91" s="395" t="s">
        <v>3174</v>
      </c>
      <c r="G91" s="397"/>
      <c r="H91" s="401"/>
      <c r="I91" s="498"/>
      <c r="J91" s="499">
        <v>40400</v>
      </c>
      <c r="K91" s="491">
        <f ca="1">+IF('[3]BROUILLARD DE CAISSE '!$C91="","",SUMIFS(INDIRECT("$K$7:K"&amp;ROW()),INDIRECT("$D$7:D"&amp;ROW()),"="&amp;"Report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6286491</v>
      </c>
      <c r="L91" s="399">
        <f ca="1">+IF($B91="","",SUMIFS(INDIRECT("$K$7:K"&amp;ROW()),INDIRECT("$B$7:B"&amp;ROW()),Tableau15356789101112131625236923[[#This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6365291</v>
      </c>
      <c r="O91" s="368"/>
      <c r="P91" s="368"/>
      <c r="Q91" s="368"/>
    </row>
    <row r="92" spans="1:17" ht="15" x14ac:dyDescent="0.3">
      <c r="A92" s="391" t="s">
        <v>2660</v>
      </c>
      <c r="B92" s="392" t="s">
        <v>2678</v>
      </c>
      <c r="C92" s="497">
        <v>45967</v>
      </c>
      <c r="D9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2" s="408" t="s">
        <v>3177</v>
      </c>
      <c r="F92" s="395" t="s">
        <v>3174</v>
      </c>
      <c r="G92" s="397"/>
      <c r="H92" s="401"/>
      <c r="I92" s="498"/>
      <c r="J92" s="499">
        <v>40400</v>
      </c>
      <c r="K92" s="491">
        <f ca="1">+IF('[3]BROUILLARD DE CAISSE '!$C92="","",SUMIFS(INDIRECT("$K$7:K"&amp;ROW()),INDIRECT("$D$7:D"&amp;ROW()),"="&amp;"Report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6246091</v>
      </c>
      <c r="L92" s="399">
        <f ca="1">+IF($B92="","",SUMIFS(INDIRECT("$K$7:K"&amp;ROW()),INDIRECT("$B$7:B"&amp;ROW()),Tableau15356789101112131625236923[[#This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6324891</v>
      </c>
      <c r="O92" s="368"/>
      <c r="P92" s="368"/>
      <c r="Q92" s="368"/>
    </row>
    <row r="93" spans="1:17" ht="15" x14ac:dyDescent="0.3">
      <c r="A93" s="391" t="s">
        <v>2660</v>
      </c>
      <c r="B93" s="392" t="s">
        <v>2678</v>
      </c>
      <c r="C93" s="497">
        <v>45967</v>
      </c>
      <c r="D9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3" s="408" t="s">
        <v>2858</v>
      </c>
      <c r="F93" s="395" t="s">
        <v>3174</v>
      </c>
      <c r="G93" s="397"/>
      <c r="H93" s="401"/>
      <c r="I93" s="498"/>
      <c r="J93" s="499">
        <v>202000</v>
      </c>
      <c r="K93" s="491">
        <f ca="1">+IF('[3]BROUILLARD DE CAISSE '!$C93="","",SUMIFS(INDIRECT("$K$7:K"&amp;ROW()),INDIRECT("$D$7:D"&amp;ROW()),"="&amp;"Report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6044091</v>
      </c>
      <c r="L93" s="399">
        <f ca="1">+IF($B93="","",SUMIFS(INDIRECT("$K$7:K"&amp;ROW()),INDIRECT("$B$7:B"&amp;ROW()),Tableau15356789101112131625236923[[#This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6122891</v>
      </c>
      <c r="O93" s="368"/>
      <c r="P93" s="368"/>
      <c r="Q93" s="368"/>
    </row>
    <row r="94" spans="1:17" ht="15" x14ac:dyDescent="0.3">
      <c r="A94" s="391" t="s">
        <v>2660</v>
      </c>
      <c r="B94" s="392" t="s">
        <v>2678</v>
      </c>
      <c r="C94" s="497">
        <v>45967</v>
      </c>
      <c r="D9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4" s="408" t="s">
        <v>2859</v>
      </c>
      <c r="F94" s="395" t="s">
        <v>3174</v>
      </c>
      <c r="G94" s="397"/>
      <c r="H94" s="401"/>
      <c r="I94" s="498"/>
      <c r="J94" s="499">
        <v>252500</v>
      </c>
      <c r="K94" s="491">
        <f ca="1">+IF('[3]BROUILLARD DE CAISSE '!$C94="","",SUMIFS(INDIRECT("$K$7:K"&amp;ROW()),INDIRECT("$D$7:D"&amp;ROW()),"="&amp;"Report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5791591</v>
      </c>
      <c r="L94" s="399">
        <f ca="1">+IF($B94="","",SUMIFS(INDIRECT("$K$7:K"&amp;ROW()),INDIRECT("$B$7:B"&amp;ROW()),Tableau15356789101112131625236923[[#This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5870391</v>
      </c>
      <c r="O94" s="368"/>
      <c r="P94" s="368"/>
      <c r="Q94" s="368"/>
    </row>
    <row r="95" spans="1:17" ht="15" x14ac:dyDescent="0.3">
      <c r="A95" s="391" t="s">
        <v>2660</v>
      </c>
      <c r="B95" s="392" t="s">
        <v>2678</v>
      </c>
      <c r="C95" s="497">
        <v>45967</v>
      </c>
      <c r="D9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5" s="408" t="s">
        <v>2860</v>
      </c>
      <c r="F95" s="395" t="s">
        <v>3174</v>
      </c>
      <c r="G95" s="397"/>
      <c r="H95" s="401"/>
      <c r="I95" s="498"/>
      <c r="J95" s="499">
        <v>252500</v>
      </c>
      <c r="K95" s="491">
        <f ca="1">+IF('[3]BROUILLARD DE CAISSE '!$C95="","",SUMIFS(INDIRECT("$K$7:K"&amp;ROW()),INDIRECT("$D$7:D"&amp;ROW()),"="&amp;"Report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5539091</v>
      </c>
      <c r="L95" s="399">
        <f ca="1">+IF($B95="","",SUMIFS(INDIRECT("$K$7:K"&amp;ROW()),INDIRECT("$B$7:B"&amp;ROW()),Tableau15356789101112131625236923[[#This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5617891</v>
      </c>
      <c r="O95" s="368"/>
      <c r="P95" s="368"/>
      <c r="Q95" s="368"/>
    </row>
    <row r="96" spans="1:17" ht="15" x14ac:dyDescent="0.3">
      <c r="A96" s="391" t="s">
        <v>2660</v>
      </c>
      <c r="B96" s="392" t="s">
        <v>2678</v>
      </c>
      <c r="C96" s="497">
        <v>45967</v>
      </c>
      <c r="D9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6" s="408" t="s">
        <v>2828</v>
      </c>
      <c r="F96" s="395" t="s">
        <v>3178</v>
      </c>
      <c r="G96" s="397"/>
      <c r="H96" s="401"/>
      <c r="I96" s="498"/>
      <c r="J96" s="499">
        <v>277750</v>
      </c>
      <c r="K96" s="491">
        <f ca="1">+IF('[3]BROUILLARD DE CAISSE '!$C96="","",SUMIFS(INDIRECT("$K$7:K"&amp;ROW()),INDIRECT("$D$7:D"&amp;ROW()),"="&amp;"Report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5261341</v>
      </c>
      <c r="L96" s="399">
        <f ca="1">+IF($B96="","",SUMIFS(INDIRECT("$K$7:K"&amp;ROW()),INDIRECT("$B$7:B"&amp;ROW()),Tableau15356789101112131625236923[[#This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5340141</v>
      </c>
      <c r="O96" s="368"/>
      <c r="P96" s="368"/>
      <c r="Q96" s="368"/>
    </row>
    <row r="97" spans="1:17" ht="15" x14ac:dyDescent="0.3">
      <c r="A97" s="391" t="s">
        <v>2660</v>
      </c>
      <c r="B97" s="392" t="s">
        <v>2678</v>
      </c>
      <c r="C97" s="497">
        <v>45967</v>
      </c>
      <c r="D9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7" s="408" t="s">
        <v>2861</v>
      </c>
      <c r="F97" s="395" t="s">
        <v>3174</v>
      </c>
      <c r="G97" s="397"/>
      <c r="H97" s="401"/>
      <c r="I97" s="498"/>
      <c r="J97" s="499">
        <v>80800</v>
      </c>
      <c r="K97" s="491">
        <f ca="1">+IF('[3]BROUILLARD DE CAISSE '!$C97="","",SUMIFS(INDIRECT("$K$7:K"&amp;ROW()),INDIRECT("$D$7:D"&amp;ROW()),"="&amp;"Report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5180541</v>
      </c>
      <c r="L97" s="399">
        <f ca="1">+IF($B97="","",SUMIFS(INDIRECT("$K$7:K"&amp;ROW()),INDIRECT("$B$7:B"&amp;ROW()),Tableau15356789101112131625236923[[#This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5259341</v>
      </c>
      <c r="O97" s="368"/>
      <c r="P97" s="368"/>
      <c r="Q97" s="368"/>
    </row>
    <row r="98" spans="1:17" ht="15" x14ac:dyDescent="0.3">
      <c r="A98" s="391" t="s">
        <v>2660</v>
      </c>
      <c r="B98" s="392" t="s">
        <v>2678</v>
      </c>
      <c r="C98" s="497">
        <v>45967</v>
      </c>
      <c r="D9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8" s="408" t="s">
        <v>3179</v>
      </c>
      <c r="F98" s="395" t="s">
        <v>3174</v>
      </c>
      <c r="G98" s="397"/>
      <c r="H98" s="401"/>
      <c r="I98" s="498"/>
      <c r="J98" s="499">
        <v>151500</v>
      </c>
      <c r="K98" s="491">
        <f ca="1">+IF('[3]BROUILLARD DE CAISSE '!$C98="","",SUMIFS(INDIRECT("$K$7:K"&amp;ROW()),INDIRECT("$D$7:D"&amp;ROW()),"="&amp;"Report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5029041</v>
      </c>
      <c r="L98" s="399">
        <f ca="1">+IF($B98="","",SUMIFS(INDIRECT("$K$7:K"&amp;ROW()),INDIRECT("$B$7:B"&amp;ROW()),Tableau15356789101112131625236923[[#This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5107841</v>
      </c>
      <c r="O98" s="368"/>
      <c r="P98" s="368"/>
      <c r="Q98" s="368"/>
    </row>
    <row r="99" spans="1:17" ht="15" x14ac:dyDescent="0.3">
      <c r="A99" s="391" t="s">
        <v>2660</v>
      </c>
      <c r="B99" s="392" t="s">
        <v>2678</v>
      </c>
      <c r="C99" s="497">
        <v>45967</v>
      </c>
      <c r="D9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99" s="408" t="s">
        <v>2862</v>
      </c>
      <c r="F99" s="395" t="s">
        <v>3174</v>
      </c>
      <c r="G99" s="397"/>
      <c r="H99" s="401"/>
      <c r="I99" s="498"/>
      <c r="J99" s="499">
        <v>202000</v>
      </c>
      <c r="K99" s="491">
        <f ca="1">+IF('[3]BROUILLARD DE CAISSE '!$C99="","",SUMIFS(INDIRECT("$K$7:K"&amp;ROW()),INDIRECT("$D$7:D"&amp;ROW()),"="&amp;"Report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4827041</v>
      </c>
      <c r="L99" s="399">
        <f ca="1">+IF($B99="","",SUMIFS(INDIRECT("$K$7:K"&amp;ROW()),INDIRECT("$B$7:B"&amp;ROW()),Tableau15356789101112131625236923[[#This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4905841</v>
      </c>
      <c r="O99" s="368"/>
      <c r="P99" s="368"/>
      <c r="Q99" s="368"/>
    </row>
    <row r="100" spans="1:17" ht="15" x14ac:dyDescent="0.3">
      <c r="A100" s="391" t="s">
        <v>2660</v>
      </c>
      <c r="B100" s="392" t="s">
        <v>2678</v>
      </c>
      <c r="C100" s="497">
        <v>45967</v>
      </c>
      <c r="D10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0" s="408" t="s">
        <v>2683</v>
      </c>
      <c r="F100" s="395" t="s">
        <v>3174</v>
      </c>
      <c r="G100" s="397"/>
      <c r="H100" s="401"/>
      <c r="I100" s="498"/>
      <c r="J100" s="499">
        <v>151500</v>
      </c>
      <c r="K100" s="491">
        <f ca="1">+IF('[3]BROUILLARD DE CAISSE '!$C100="","",SUMIFS(INDIRECT("$K$7:K"&amp;ROW()),INDIRECT("$D$7:D"&amp;ROW()),"="&amp;"Report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4675541</v>
      </c>
      <c r="L100" s="399">
        <f ca="1">+IF($B100="","",SUMIFS(INDIRECT("$K$7:K"&amp;ROW()),INDIRECT("$B$7:B"&amp;ROW()),Tableau15356789101112131625236923[[#This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4754341</v>
      </c>
      <c r="O100" s="368"/>
      <c r="P100" s="368"/>
      <c r="Q100" s="368"/>
    </row>
    <row r="101" spans="1:17" ht="15" x14ac:dyDescent="0.3">
      <c r="A101" s="391" t="s">
        <v>2660</v>
      </c>
      <c r="B101" s="392" t="s">
        <v>2678</v>
      </c>
      <c r="C101" s="497">
        <v>45967</v>
      </c>
      <c r="D10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1" s="408" t="s">
        <v>2820</v>
      </c>
      <c r="F101" s="395" t="s">
        <v>3174</v>
      </c>
      <c r="G101" s="397"/>
      <c r="H101" s="401"/>
      <c r="I101" s="498"/>
      <c r="J101" s="499">
        <v>202000</v>
      </c>
      <c r="K101" s="491">
        <f ca="1">+IF('[3]BROUILLARD DE CAISSE '!$C101="","",SUMIFS(INDIRECT("$K$7:K"&amp;ROW()),INDIRECT("$D$7:D"&amp;ROW()),"="&amp;"Report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4473541</v>
      </c>
      <c r="L101" s="399">
        <f ca="1">+IF($B101="","",SUMIFS(INDIRECT("$K$7:K"&amp;ROW()),INDIRECT("$B$7:B"&amp;ROW()),Tableau15356789101112131625236923[[#This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4552341</v>
      </c>
      <c r="O101" s="368"/>
      <c r="P101" s="368"/>
      <c r="Q101" s="368"/>
    </row>
    <row r="102" spans="1:17" ht="15" x14ac:dyDescent="0.3">
      <c r="A102" s="391" t="s">
        <v>2660</v>
      </c>
      <c r="B102" s="392" t="s">
        <v>2678</v>
      </c>
      <c r="C102" s="497">
        <v>45967</v>
      </c>
      <c r="D10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2" s="408" t="s">
        <v>2686</v>
      </c>
      <c r="F102" s="395" t="s">
        <v>3174</v>
      </c>
      <c r="G102" s="397"/>
      <c r="H102" s="401"/>
      <c r="I102" s="498"/>
      <c r="J102" s="499">
        <v>151500</v>
      </c>
      <c r="K102" s="491">
        <f ca="1">+IF('[3]BROUILLARD DE CAISSE '!$C102="","",SUMIFS(INDIRECT("$K$7:K"&amp;ROW()),INDIRECT("$D$7:D"&amp;ROW()),"="&amp;"Report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4322041</v>
      </c>
      <c r="L102" s="399">
        <f ca="1">+IF($B102="","",SUMIFS(INDIRECT("$K$7:K"&amp;ROW()),INDIRECT("$B$7:B"&amp;ROW()),Tableau15356789101112131625236923[[#This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4400841</v>
      </c>
      <c r="O102" s="368"/>
      <c r="P102" s="368"/>
      <c r="Q102" s="368"/>
    </row>
    <row r="103" spans="1:17" ht="15" x14ac:dyDescent="0.3">
      <c r="A103" s="391" t="s">
        <v>2660</v>
      </c>
      <c r="B103" s="392" t="s">
        <v>2678</v>
      </c>
      <c r="C103" s="497">
        <v>45967</v>
      </c>
      <c r="D10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3" s="408" t="s">
        <v>2863</v>
      </c>
      <c r="F103" s="395" t="s">
        <v>3174</v>
      </c>
      <c r="G103" s="397"/>
      <c r="H103" s="401"/>
      <c r="I103" s="498"/>
      <c r="J103" s="499">
        <v>151500</v>
      </c>
      <c r="K103" s="491">
        <f ca="1">+IF('[3]BROUILLARD DE CAISSE '!$C103="","",SUMIFS(INDIRECT("$K$7:K"&amp;ROW()),INDIRECT("$D$7:D"&amp;ROW()),"="&amp;"Report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4170541</v>
      </c>
      <c r="L103" s="399">
        <f ca="1">+IF($B103="","",SUMIFS(INDIRECT("$K$7:K"&amp;ROW()),INDIRECT("$B$7:B"&amp;ROW()),Tableau15356789101112131625236923[[#This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4249341</v>
      </c>
      <c r="O103" s="368"/>
      <c r="P103" s="368"/>
      <c r="Q103" s="368"/>
    </row>
    <row r="104" spans="1:17" ht="15" x14ac:dyDescent="0.3">
      <c r="A104" s="391" t="s">
        <v>2660</v>
      </c>
      <c r="B104" s="392" t="s">
        <v>2678</v>
      </c>
      <c r="C104" s="497">
        <v>45967</v>
      </c>
      <c r="D10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4" s="408" t="s">
        <v>2864</v>
      </c>
      <c r="F104" s="395" t="s">
        <v>3174</v>
      </c>
      <c r="G104" s="397"/>
      <c r="H104" s="401"/>
      <c r="I104" s="498"/>
      <c r="J104" s="499">
        <v>202000</v>
      </c>
      <c r="K104" s="491">
        <f ca="1">+IF('[3]BROUILLARD DE CAISSE '!$C104="","",SUMIFS(INDIRECT("$K$7:K"&amp;ROW()),INDIRECT("$D$7:D"&amp;ROW()),"="&amp;"Report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3968541</v>
      </c>
      <c r="L104" s="399">
        <f ca="1">+IF($B104="","",SUMIFS(INDIRECT("$K$7:K"&amp;ROW()),INDIRECT("$B$7:B"&amp;ROW()),Tableau15356789101112131625236923[[#This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4047341</v>
      </c>
      <c r="O104" s="368"/>
      <c r="P104" s="368"/>
      <c r="Q104" s="368"/>
    </row>
    <row r="105" spans="1:17" ht="15" x14ac:dyDescent="0.3">
      <c r="A105" s="391" t="s">
        <v>2660</v>
      </c>
      <c r="B105" s="392" t="s">
        <v>2678</v>
      </c>
      <c r="C105" s="497">
        <v>45967</v>
      </c>
      <c r="D10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5" s="408" t="s">
        <v>2847</v>
      </c>
      <c r="F105" s="395" t="s">
        <v>3174</v>
      </c>
      <c r="G105" s="397"/>
      <c r="H105" s="401"/>
      <c r="I105" s="498"/>
      <c r="J105" s="499">
        <v>101000</v>
      </c>
      <c r="K105" s="491">
        <f ca="1">+IF('[3]BROUILLARD DE CAISSE '!$C105="","",SUMIFS(INDIRECT("$K$7:K"&amp;ROW()),INDIRECT("$D$7:D"&amp;ROW()),"="&amp;"Report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3867541</v>
      </c>
      <c r="L105" s="399">
        <f ca="1">+IF($B105="","",SUMIFS(INDIRECT("$K$7:K"&amp;ROW()),INDIRECT("$B$7:B"&amp;ROW()),Tableau15356789101112131625236923[[#This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3946341</v>
      </c>
      <c r="O105" s="368"/>
      <c r="P105" s="368"/>
      <c r="Q105" s="368"/>
    </row>
    <row r="106" spans="1:17" s="464" customFormat="1" ht="15" x14ac:dyDescent="0.3">
      <c r="A106" s="391" t="s">
        <v>2660</v>
      </c>
      <c r="B106" s="392" t="s">
        <v>2678</v>
      </c>
      <c r="C106" s="511">
        <v>45967</v>
      </c>
      <c r="D10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6" s="408" t="s">
        <v>2779</v>
      </c>
      <c r="F106" s="408" t="s">
        <v>3174</v>
      </c>
      <c r="G106" s="397"/>
      <c r="H106" s="410"/>
      <c r="I106" s="512"/>
      <c r="J106" s="513">
        <v>252500</v>
      </c>
      <c r="K106" s="491">
        <f ca="1">+IF('[3]BROUILLARD DE CAISSE '!$C106="","",SUMIFS(INDIRECT("$K$7:K"&amp;ROW()),INDIRECT("$D$7:D"&amp;ROW()),"="&amp;"Report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3615041</v>
      </c>
      <c r="L106" s="399">
        <f ca="1">+IF($B106="","",SUMIFS(INDIRECT("$K$7:K"&amp;ROW()),INDIRECT("$B$7:B"&amp;ROW()),Tableau15356789101112131625236923[[#This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3693841</v>
      </c>
    </row>
    <row r="107" spans="1:17" ht="15" x14ac:dyDescent="0.3">
      <c r="A107" s="391" t="s">
        <v>2660</v>
      </c>
      <c r="B107" s="392" t="s">
        <v>2678</v>
      </c>
      <c r="C107" s="497">
        <v>45967</v>
      </c>
      <c r="D10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7" s="417" t="s">
        <v>2865</v>
      </c>
      <c r="F107" s="395" t="s">
        <v>3174</v>
      </c>
      <c r="G107" s="397"/>
      <c r="H107" s="401"/>
      <c r="I107" s="498"/>
      <c r="J107" s="499">
        <v>151500</v>
      </c>
      <c r="K107" s="491">
        <f ca="1">+IF('[3]BROUILLARD DE CAISSE '!$C107="","",SUMIFS(INDIRECT("$K$7:K"&amp;ROW()),INDIRECT("$D$7:D"&amp;ROW()),"="&amp;"Report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3463541</v>
      </c>
      <c r="L107" s="399">
        <f ca="1">+IF($B107="","",SUMIFS(INDIRECT("$K$7:K"&amp;ROW()),INDIRECT("$B$7:B"&amp;ROW()),Tableau15356789101112131625236923[[#This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3542341</v>
      </c>
      <c r="O107" s="368"/>
      <c r="P107" s="368"/>
      <c r="Q107" s="368"/>
    </row>
    <row r="108" spans="1:17" ht="15" x14ac:dyDescent="0.3">
      <c r="A108" s="391" t="s">
        <v>2660</v>
      </c>
      <c r="B108" s="392" t="s">
        <v>2678</v>
      </c>
      <c r="C108" s="497">
        <v>45967</v>
      </c>
      <c r="D10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8" s="408" t="s">
        <v>2866</v>
      </c>
      <c r="F108" s="395" t="s">
        <v>3174</v>
      </c>
      <c r="G108" s="397"/>
      <c r="H108" s="401"/>
      <c r="I108" s="498"/>
      <c r="J108" s="499">
        <v>151500</v>
      </c>
      <c r="K108" s="491">
        <f ca="1">+IF('[3]BROUILLARD DE CAISSE '!$C108="","",SUMIFS(INDIRECT("$K$7:K"&amp;ROW()),INDIRECT("$D$7:D"&amp;ROW()),"="&amp;"Report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3312041</v>
      </c>
      <c r="L108" s="399">
        <f ca="1">+IF($B108="","",SUMIFS(INDIRECT("$K$7:K"&amp;ROW()),INDIRECT("$B$7:B"&amp;ROW()),Tableau15356789101112131625236923[[#This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3390841</v>
      </c>
      <c r="O108" s="368"/>
      <c r="P108" s="368"/>
      <c r="Q108" s="368"/>
    </row>
    <row r="109" spans="1:17" ht="15" x14ac:dyDescent="0.3">
      <c r="A109" s="391" t="s">
        <v>2660</v>
      </c>
      <c r="B109" s="392" t="s">
        <v>2678</v>
      </c>
      <c r="C109" s="497">
        <v>45967</v>
      </c>
      <c r="D10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09" s="408" t="s">
        <v>2867</v>
      </c>
      <c r="F109" s="395" t="s">
        <v>3174</v>
      </c>
      <c r="G109" s="397"/>
      <c r="H109" s="401"/>
      <c r="I109" s="498"/>
      <c r="J109" s="499">
        <v>151500</v>
      </c>
      <c r="K109" s="491">
        <f ca="1">+IF('[3]BROUILLARD DE CAISSE '!$C109="","",SUMIFS(INDIRECT("$K$7:K"&amp;ROW()),INDIRECT("$D$7:D"&amp;ROW()),"="&amp;"Report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3160541</v>
      </c>
      <c r="L109" s="399">
        <f ca="1">+IF($B109="","",SUMIFS(INDIRECT("$K$7:K"&amp;ROW()),INDIRECT("$B$7:B"&amp;ROW()),Tableau15356789101112131625236923[[#This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3239341</v>
      </c>
      <c r="O109" s="368"/>
      <c r="P109" s="368"/>
      <c r="Q109" s="368"/>
    </row>
    <row r="110" spans="1:17" ht="15" x14ac:dyDescent="0.3">
      <c r="A110" s="391" t="s">
        <v>2660</v>
      </c>
      <c r="B110" s="392" t="s">
        <v>2678</v>
      </c>
      <c r="C110" s="497">
        <v>45967</v>
      </c>
      <c r="D11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0" s="408" t="s">
        <v>3180</v>
      </c>
      <c r="F110" s="395" t="s">
        <v>3181</v>
      </c>
      <c r="G110" s="397"/>
      <c r="H110" s="401"/>
      <c r="I110" s="498"/>
      <c r="J110" s="499">
        <v>300000</v>
      </c>
      <c r="K110" s="491">
        <f ca="1">+IF('[3]BROUILLARD DE CAISSE '!$C110="","",SUMIFS(INDIRECT("$K$7:K"&amp;ROW()),INDIRECT("$D$7:D"&amp;ROW()),"="&amp;"Report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2860541</v>
      </c>
      <c r="L110" s="399">
        <f ca="1">+IF($B110="","",SUMIFS(INDIRECT("$K$7:K"&amp;ROW()),INDIRECT("$B$7:B"&amp;ROW()),Tableau15356789101112131625236923[[#This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2939341</v>
      </c>
      <c r="O110" s="368"/>
      <c r="P110" s="368"/>
      <c r="Q110" s="368"/>
    </row>
    <row r="111" spans="1:17" s="423" customFormat="1" ht="15" x14ac:dyDescent="0.3">
      <c r="A111" s="391" t="s">
        <v>2660</v>
      </c>
      <c r="B111" s="392" t="s">
        <v>2678</v>
      </c>
      <c r="C111" s="497">
        <v>45968</v>
      </c>
      <c r="D11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1" s="408" t="s">
        <v>2868</v>
      </c>
      <c r="F111" s="395" t="s">
        <v>3174</v>
      </c>
      <c r="G111" s="397"/>
      <c r="H111" s="401"/>
      <c r="I111" s="498"/>
      <c r="J111" s="499">
        <v>151500</v>
      </c>
      <c r="K111" s="491">
        <f ca="1">+IF('[3]BROUILLARD DE CAISSE '!$C111="","",SUMIFS(INDIRECT("$K$7:K"&amp;ROW()),INDIRECT("$D$7:D"&amp;ROW()),"="&amp;"Report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2709041</v>
      </c>
      <c r="L111" s="399">
        <f ca="1">+IF($B111="","",SUMIFS(INDIRECT("$K$7:K"&amp;ROW()),INDIRECT("$B$7:B"&amp;ROW()),Tableau15356789101112131625236923[[#This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2787841</v>
      </c>
    </row>
    <row r="112" spans="1:17" ht="15" x14ac:dyDescent="0.3">
      <c r="A112" s="391" t="s">
        <v>2660</v>
      </c>
      <c r="B112" s="392" t="s">
        <v>2678</v>
      </c>
      <c r="C112" s="497">
        <v>45968</v>
      </c>
      <c r="D11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2" s="408" t="s">
        <v>2869</v>
      </c>
      <c r="F112" s="395" t="s">
        <v>3174</v>
      </c>
      <c r="G112" s="397"/>
      <c r="H112" s="401"/>
      <c r="I112" s="498"/>
      <c r="J112" s="499">
        <v>151500</v>
      </c>
      <c r="K112" s="491">
        <f ca="1">+IF('[3]BROUILLARD DE CAISSE '!$C112="","",SUMIFS(INDIRECT("$K$7:K"&amp;ROW()),INDIRECT("$D$7:D"&amp;ROW()),"="&amp;"Report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2557541</v>
      </c>
      <c r="L112" s="399">
        <f ca="1">+IF($B112="","",SUMIFS(INDIRECT("$K$7:K"&amp;ROW()),INDIRECT("$B$7:B"&amp;ROW()),Tableau15356789101112131625236923[[#This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2636341</v>
      </c>
      <c r="O112" s="368"/>
      <c r="P112" s="368"/>
      <c r="Q112" s="368"/>
    </row>
    <row r="113" spans="1:17" ht="15" x14ac:dyDescent="0.3">
      <c r="A113" s="391" t="s">
        <v>2660</v>
      </c>
      <c r="B113" s="392" t="s">
        <v>2678</v>
      </c>
      <c r="C113" s="497">
        <v>45968</v>
      </c>
      <c r="D11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3" s="408" t="s">
        <v>2870</v>
      </c>
      <c r="F113" s="395" t="s">
        <v>3174</v>
      </c>
      <c r="G113" s="397"/>
      <c r="H113" s="401"/>
      <c r="I113" s="498"/>
      <c r="J113" s="499">
        <v>121200</v>
      </c>
      <c r="K113" s="491">
        <f ca="1">+IF('[3]BROUILLARD DE CAISSE '!$C113="","",SUMIFS(INDIRECT("$K$7:K"&amp;ROW()),INDIRECT("$D$7:D"&amp;ROW()),"="&amp;"Report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2436341</v>
      </c>
      <c r="L113" s="399">
        <f ca="1">+IF($B113="","",SUMIFS(INDIRECT("$K$7:K"&amp;ROW()),INDIRECT("$B$7:B"&amp;ROW()),Tableau15356789101112131625236923[[#This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2515141</v>
      </c>
      <c r="O113" s="368"/>
      <c r="P113" s="368"/>
      <c r="Q113" s="368"/>
    </row>
    <row r="114" spans="1:17" ht="15" x14ac:dyDescent="0.3">
      <c r="A114" s="391" t="s">
        <v>2660</v>
      </c>
      <c r="B114" s="392" t="s">
        <v>2678</v>
      </c>
      <c r="C114" s="497">
        <v>45968</v>
      </c>
      <c r="D11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4" s="417" t="s">
        <v>2871</v>
      </c>
      <c r="F114" s="395" t="s">
        <v>3174</v>
      </c>
      <c r="G114" s="397"/>
      <c r="H114" s="401"/>
      <c r="I114" s="498"/>
      <c r="J114" s="499">
        <v>202000</v>
      </c>
      <c r="K114" s="491">
        <f ca="1">+IF('[3]BROUILLARD DE CAISSE '!$C114="","",SUMIFS(INDIRECT("$K$7:K"&amp;ROW()),INDIRECT("$D$7:D"&amp;ROW()),"="&amp;"Report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2234341</v>
      </c>
      <c r="L114" s="399">
        <f ca="1">+IF($B114="","",SUMIFS(INDIRECT("$K$7:K"&amp;ROW()),INDIRECT("$B$7:B"&amp;ROW()),Tableau15356789101112131625236923[[#This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2313141</v>
      </c>
      <c r="O114" s="368"/>
      <c r="P114" s="368"/>
      <c r="Q114" s="368"/>
    </row>
    <row r="115" spans="1:17" ht="15" x14ac:dyDescent="0.3">
      <c r="A115" s="391" t="s">
        <v>2660</v>
      </c>
      <c r="B115" s="392" t="s">
        <v>2678</v>
      </c>
      <c r="C115" s="497">
        <v>45968</v>
      </c>
      <c r="D11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5" s="408" t="s">
        <v>2872</v>
      </c>
      <c r="F115" s="395" t="s">
        <v>3174</v>
      </c>
      <c r="G115" s="397"/>
      <c r="H115" s="401"/>
      <c r="I115" s="498"/>
      <c r="J115" s="499">
        <v>151500</v>
      </c>
      <c r="K115" s="491">
        <f ca="1">+IF('[3]BROUILLARD DE CAISSE '!$C115="","",SUMIFS(INDIRECT("$K$7:K"&amp;ROW()),INDIRECT("$D$7:D"&amp;ROW()),"="&amp;"Report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2082841</v>
      </c>
      <c r="L115" s="399">
        <f ca="1">+IF($B115="","",SUMIFS(INDIRECT("$K$7:K"&amp;ROW()),INDIRECT("$B$7:B"&amp;ROW()),Tableau15356789101112131625236923[[#This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2161641</v>
      </c>
      <c r="O115" s="368"/>
      <c r="P115" s="368"/>
      <c r="Q115" s="368"/>
    </row>
    <row r="116" spans="1:17" ht="15" x14ac:dyDescent="0.3">
      <c r="A116" s="391" t="s">
        <v>2660</v>
      </c>
      <c r="B116" s="392" t="s">
        <v>2678</v>
      </c>
      <c r="C116" s="497">
        <v>45968</v>
      </c>
      <c r="D11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6" s="395" t="s">
        <v>3112</v>
      </c>
      <c r="F116" s="395" t="s">
        <v>3182</v>
      </c>
      <c r="G116" s="397"/>
      <c r="H116" s="401"/>
      <c r="I116" s="498"/>
      <c r="J116" s="499">
        <v>50000</v>
      </c>
      <c r="K116" s="491">
        <f ca="1">+IF('[3]BROUILLARD DE CAISSE '!$C116="","",SUMIFS(INDIRECT("$K$7:K"&amp;ROW()),INDIRECT("$D$7:D"&amp;ROW()),"="&amp;"Report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2032841</v>
      </c>
      <c r="L116" s="399">
        <f ca="1">+IF($B116="","",SUMIFS(INDIRECT("$K$7:K"&amp;ROW()),INDIRECT("$B$7:B"&amp;ROW()),Tableau15356789101112131625236923[[#This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2111641</v>
      </c>
      <c r="O116" s="368"/>
      <c r="P116" s="368"/>
      <c r="Q116" s="368"/>
    </row>
    <row r="117" spans="1:17" s="412" customFormat="1" ht="15" x14ac:dyDescent="0.3">
      <c r="A117" s="514" t="s">
        <v>2660</v>
      </c>
      <c r="B117" s="515" t="s">
        <v>2678</v>
      </c>
      <c r="C117" s="511">
        <v>45968</v>
      </c>
      <c r="D117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7" s="408" t="s">
        <v>3183</v>
      </c>
      <c r="F117" s="408" t="s">
        <v>2879</v>
      </c>
      <c r="G117" s="409"/>
      <c r="H117" s="410" t="s">
        <v>2964</v>
      </c>
      <c r="I117" s="512"/>
      <c r="J117" s="513">
        <v>20000</v>
      </c>
      <c r="K117" s="491">
        <f ca="1">+IF('[3]BROUILLARD DE CAISSE '!$C117="","",SUMIFS(INDIRECT("$K$7:K"&amp;ROW()),INDIRECT("$D$7:D"&amp;ROW()),"="&amp;"Report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2012841</v>
      </c>
      <c r="L117" s="431">
        <f ca="1">+IF($B117="","",SUMIFS(INDIRECT("$K$7:K"&amp;ROW()),INDIRECT("$B$7:B"&amp;ROW()),Tableau15356789101112131625236923[[#This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2091641</v>
      </c>
    </row>
    <row r="118" spans="1:17" ht="15" x14ac:dyDescent="0.3">
      <c r="A118" s="391" t="s">
        <v>2660</v>
      </c>
      <c r="B118" s="392" t="s">
        <v>2678</v>
      </c>
      <c r="C118" s="497">
        <v>45968</v>
      </c>
      <c r="D11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8" s="395" t="s">
        <v>3184</v>
      </c>
      <c r="F118" s="408" t="s">
        <v>3185</v>
      </c>
      <c r="G118" s="397"/>
      <c r="H118" s="401" t="s">
        <v>3120</v>
      </c>
      <c r="I118" s="499"/>
      <c r="J118" s="499">
        <v>66660</v>
      </c>
      <c r="K118" s="491">
        <f ca="1">+IF('[3]BROUILLARD DE CAISSE '!$C118="","",SUMIFS(INDIRECT("$K$7:K"&amp;ROW()),INDIRECT("$D$7:D"&amp;ROW()),"="&amp;"Report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1946181</v>
      </c>
      <c r="L118" s="399">
        <f ca="1">+IF($B118="","",SUMIFS(INDIRECT("$K$7:K"&amp;ROW()),INDIRECT("$B$7:B"&amp;ROW()),Tableau15356789101112131625236923[[#This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2024981</v>
      </c>
      <c r="O118" s="368"/>
      <c r="P118" s="368"/>
      <c r="Q118" s="368"/>
    </row>
    <row r="119" spans="1:17" ht="15" x14ac:dyDescent="0.3">
      <c r="A119" s="391" t="s">
        <v>2660</v>
      </c>
      <c r="B119" s="392" t="s">
        <v>2678</v>
      </c>
      <c r="C119" s="497">
        <v>45968</v>
      </c>
      <c r="D11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19" s="395" t="s">
        <v>2858</v>
      </c>
      <c r="F119" s="395" t="s">
        <v>2963</v>
      </c>
      <c r="G119" s="397"/>
      <c r="H119" s="401" t="s">
        <v>3186</v>
      </c>
      <c r="I119" s="499"/>
      <c r="J119" s="499">
        <v>10100</v>
      </c>
      <c r="K119" s="491">
        <f ca="1">+IF('[3]BROUILLARD DE CAISSE '!$C119="","",SUMIFS(INDIRECT("$K$7:K"&amp;ROW()),INDIRECT("$D$7:D"&amp;ROW()),"="&amp;"Report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1936081</v>
      </c>
      <c r="L119" s="399">
        <f ca="1">+IF($B119="","",SUMIFS(INDIRECT("$K$7:K"&amp;ROW()),INDIRECT("$B$7:B"&amp;ROW()),Tableau15356789101112131625236923[[#This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2014881</v>
      </c>
      <c r="O119" s="368"/>
      <c r="P119" s="368"/>
      <c r="Q119" s="368"/>
    </row>
    <row r="120" spans="1:17" ht="15" x14ac:dyDescent="0.3">
      <c r="A120" s="391" t="s">
        <v>2660</v>
      </c>
      <c r="B120" s="392" t="s">
        <v>2678</v>
      </c>
      <c r="C120" s="497">
        <v>45968</v>
      </c>
      <c r="D12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0" s="395" t="s">
        <v>3187</v>
      </c>
      <c r="F120" s="395" t="s">
        <v>3188</v>
      </c>
      <c r="G120" s="397"/>
      <c r="H120" s="401"/>
      <c r="I120" s="499"/>
      <c r="J120" s="499">
        <v>120000</v>
      </c>
      <c r="K120" s="491">
        <f ca="1">+IF('[3]BROUILLARD DE CAISSE '!$C120="","",SUMIFS(INDIRECT("$K$7:K"&amp;ROW()),INDIRECT("$D$7:D"&amp;ROW()),"="&amp;"Report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1816081</v>
      </c>
      <c r="L120" s="399">
        <f ca="1">+IF($B120="","",SUMIFS(INDIRECT("$K$7:K"&amp;ROW()),INDIRECT("$B$7:B"&amp;ROW()),Tableau15356789101112131625236923[[#This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1894881</v>
      </c>
      <c r="O120" s="368"/>
      <c r="P120" s="368"/>
      <c r="Q120" s="368"/>
    </row>
    <row r="121" spans="1:17" ht="15" x14ac:dyDescent="0.3">
      <c r="A121" s="391" t="s">
        <v>2660</v>
      </c>
      <c r="B121" s="392" t="s">
        <v>2678</v>
      </c>
      <c r="C121" s="497">
        <v>45968</v>
      </c>
      <c r="D12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1" s="395" t="s">
        <v>3189</v>
      </c>
      <c r="F121" s="395" t="s">
        <v>3188</v>
      </c>
      <c r="G121" s="397"/>
      <c r="H121" s="401"/>
      <c r="I121" s="499"/>
      <c r="J121" s="499">
        <v>15000</v>
      </c>
      <c r="K121" s="491">
        <f ca="1">+IF('[3]BROUILLARD DE CAISSE '!$C121="","",SUMIFS(INDIRECT("$K$7:K"&amp;ROW()),INDIRECT("$D$7:D"&amp;ROW()),"="&amp;"Report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1801081</v>
      </c>
      <c r="L121" s="399">
        <f ca="1">+IF($B121="","",SUMIFS(INDIRECT("$K$7:K"&amp;ROW()),INDIRECT("$B$7:B"&amp;ROW()),Tableau15356789101112131625236923[[#This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1879881</v>
      </c>
      <c r="O121" s="368"/>
      <c r="P121" s="368"/>
      <c r="Q121" s="368"/>
    </row>
    <row r="122" spans="1:17" ht="15" x14ac:dyDescent="0.3">
      <c r="A122" s="391" t="s">
        <v>2660</v>
      </c>
      <c r="B122" s="392" t="s">
        <v>2678</v>
      </c>
      <c r="C122" s="497">
        <v>45968</v>
      </c>
      <c r="D12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2" s="395" t="s">
        <v>3043</v>
      </c>
      <c r="F122" s="395" t="s">
        <v>3190</v>
      </c>
      <c r="G122" s="397"/>
      <c r="H122" s="401"/>
      <c r="I122" s="499"/>
      <c r="J122" s="499">
        <v>12500</v>
      </c>
      <c r="K122" s="491">
        <f ca="1">+IF('[3]BROUILLARD DE CAISSE '!$C122="","",SUMIFS(INDIRECT("$K$7:K"&amp;ROW()),INDIRECT("$D$7:D"&amp;ROW()),"="&amp;"Report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1788581</v>
      </c>
      <c r="L122" s="399">
        <f ca="1">+IF($B122="","",SUMIFS(INDIRECT("$K$7:K"&amp;ROW()),INDIRECT("$B$7:B"&amp;ROW()),Tableau15356789101112131625236923[[#This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1867381</v>
      </c>
      <c r="O122" s="368"/>
      <c r="P122" s="368"/>
      <c r="Q122" s="368"/>
    </row>
    <row r="123" spans="1:17" ht="15" x14ac:dyDescent="0.3">
      <c r="A123" s="391" t="s">
        <v>2660</v>
      </c>
      <c r="B123" s="392" t="s">
        <v>2678</v>
      </c>
      <c r="C123" s="497">
        <v>45968</v>
      </c>
      <c r="D12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3" s="395" t="s">
        <v>2683</v>
      </c>
      <c r="F123" s="395" t="s">
        <v>3191</v>
      </c>
      <c r="G123" s="397"/>
      <c r="H123" s="401" t="s">
        <v>2685</v>
      </c>
      <c r="I123" s="499"/>
      <c r="J123" s="499">
        <v>10100</v>
      </c>
      <c r="K123" s="491">
        <f ca="1">+IF('[3]BROUILLARD DE CAISSE '!$C123="","",SUMIFS(INDIRECT("$K$7:K"&amp;ROW()),INDIRECT("$D$7:D"&amp;ROW()),"="&amp;"Report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1778481</v>
      </c>
      <c r="L123" s="399">
        <f ca="1">+IF($B123="","",SUMIFS(INDIRECT("$K$7:K"&amp;ROW()),INDIRECT("$B$7:B"&amp;ROW()),Tableau15356789101112131625236923[[#This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1857281</v>
      </c>
      <c r="O123" s="368"/>
      <c r="P123" s="368"/>
      <c r="Q123" s="368"/>
    </row>
    <row r="124" spans="1:17" ht="15" x14ac:dyDescent="0.3">
      <c r="A124" s="391" t="s">
        <v>2660</v>
      </c>
      <c r="B124" s="392" t="s">
        <v>2678</v>
      </c>
      <c r="C124" s="497">
        <v>45968</v>
      </c>
      <c r="D12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4" s="395" t="s">
        <v>2871</v>
      </c>
      <c r="F124" s="395" t="s">
        <v>3192</v>
      </c>
      <c r="G124" s="397"/>
      <c r="H124" s="401"/>
      <c r="I124" s="499"/>
      <c r="J124" s="499">
        <v>20200</v>
      </c>
      <c r="K124" s="491">
        <f ca="1">+IF('[3]BROUILLARD DE CAISSE '!$C124="","",SUMIFS(INDIRECT("$K$7:K"&amp;ROW()),INDIRECT("$D$7:D"&amp;ROW()),"="&amp;"Report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1758281</v>
      </c>
      <c r="L124" s="399">
        <f ca="1">+IF($B124="","",SUMIFS(INDIRECT("$K$7:K"&amp;ROW()),INDIRECT("$B$7:B"&amp;ROW()),Tableau15356789101112131625236923[[#This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1837081</v>
      </c>
      <c r="O124" s="368"/>
      <c r="P124" s="368"/>
      <c r="Q124" s="368"/>
    </row>
    <row r="125" spans="1:17" ht="15" x14ac:dyDescent="0.3">
      <c r="A125" s="391" t="s">
        <v>2660</v>
      </c>
      <c r="B125" s="392" t="s">
        <v>2678</v>
      </c>
      <c r="C125" s="497">
        <v>45968</v>
      </c>
      <c r="D12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5" s="395" t="s">
        <v>3173</v>
      </c>
      <c r="F125" s="395" t="s">
        <v>3193</v>
      </c>
      <c r="G125" s="397"/>
      <c r="H125" s="401"/>
      <c r="I125" s="499"/>
      <c r="J125" s="499">
        <v>10000</v>
      </c>
      <c r="K125" s="491">
        <f ca="1">+IF('[3]BROUILLARD DE CAISSE '!$C125="","",SUMIFS(INDIRECT("$K$7:K"&amp;ROW()),INDIRECT("$D$7:D"&amp;ROW()),"="&amp;"Report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1748281</v>
      </c>
      <c r="L125" s="399">
        <f ca="1">+IF($B125="","",SUMIFS(INDIRECT("$K$7:K"&amp;ROW()),INDIRECT("$B$7:B"&amp;ROW()),Tableau15356789101112131625236923[[#This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1827081</v>
      </c>
      <c r="O125" s="368"/>
      <c r="P125" s="368"/>
      <c r="Q125" s="368"/>
    </row>
    <row r="126" spans="1:17" ht="15" x14ac:dyDescent="0.3">
      <c r="A126" s="391" t="s">
        <v>2660</v>
      </c>
      <c r="B126" s="392" t="s">
        <v>2678</v>
      </c>
      <c r="C126" s="497">
        <v>45968</v>
      </c>
      <c r="D12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6" s="395" t="s">
        <v>2815</v>
      </c>
      <c r="F126" s="395" t="s">
        <v>3194</v>
      </c>
      <c r="G126" s="397"/>
      <c r="H126" s="401"/>
      <c r="I126" s="499"/>
      <c r="J126" s="499">
        <v>2500</v>
      </c>
      <c r="K126" s="491">
        <f ca="1">+IF('[3]BROUILLARD DE CAISSE '!$C126="","",SUMIFS(INDIRECT("$K$7:K"&amp;ROW()),INDIRECT("$D$7:D"&amp;ROW()),"="&amp;"Report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1745781</v>
      </c>
      <c r="L126" s="399">
        <f ca="1">+IF($B126="","",SUMIFS(INDIRECT("$K$7:K"&amp;ROW()),INDIRECT("$B$7:B"&amp;ROW()),Tableau15356789101112131625236923[[#This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1824581</v>
      </c>
      <c r="O126" s="368"/>
      <c r="P126" s="368"/>
      <c r="Q126" s="368"/>
    </row>
    <row r="127" spans="1:17" s="423" customFormat="1" ht="15" x14ac:dyDescent="0.3">
      <c r="A127" s="485" t="s">
        <v>2660</v>
      </c>
      <c r="B127" s="486" t="s">
        <v>2678</v>
      </c>
      <c r="C127" s="487">
        <v>45969</v>
      </c>
      <c r="D127" s="488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7" s="489" t="s">
        <v>3195</v>
      </c>
      <c r="F127" s="489" t="s">
        <v>3196</v>
      </c>
      <c r="G127" s="454"/>
      <c r="H127" s="494"/>
      <c r="I127" s="496"/>
      <c r="J127" s="496">
        <v>20000</v>
      </c>
      <c r="K127" s="491">
        <f ca="1">+IF('[3]BROUILLARD DE CAISSE '!$C127="","",SUMIFS(INDIRECT("$K$7:K"&amp;ROW()),INDIRECT("$D$7:D"&amp;ROW()),"="&amp;"Report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1725781</v>
      </c>
      <c r="L127" s="492">
        <f ca="1">+IF($B127="","",SUMIFS(INDIRECT("$K$7:K"&amp;ROW()),INDIRECT("$B$7:B"&amp;ROW()),Tableau15356789101112131625236923[[#This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1804581</v>
      </c>
    </row>
    <row r="128" spans="1:17" s="520" customFormat="1" ht="15" x14ac:dyDescent="0.3">
      <c r="A128" s="391" t="s">
        <v>2660</v>
      </c>
      <c r="B128" s="392" t="s">
        <v>2678</v>
      </c>
      <c r="C128" s="516">
        <v>45969</v>
      </c>
      <c r="D12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128" s="517" t="s">
        <v>2679</v>
      </c>
      <c r="F128" s="517" t="s">
        <v>3197</v>
      </c>
      <c r="G128" s="397"/>
      <c r="H128" s="518"/>
      <c r="I128" s="519">
        <v>2000000</v>
      </c>
      <c r="J128" s="519"/>
      <c r="K128" s="491">
        <f ca="1">+IF('[3]BROUILLARD DE CAISSE '!$C128="","",SUMIFS(INDIRECT("$K$7:K"&amp;ROW()),INDIRECT("$D$7:D"&amp;ROW()),"="&amp;"Report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3725781</v>
      </c>
      <c r="L128" s="399">
        <f ca="1">+IF($B128="","",SUMIFS(INDIRECT("$K$7:K"&amp;ROW()),INDIRECT("$B$7:B"&amp;ROW()),Tableau15356789101112131625236923[[#This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3804581</v>
      </c>
    </row>
    <row r="129" spans="1:17" s="412" customFormat="1" ht="15" x14ac:dyDescent="0.3">
      <c r="A129" s="514" t="s">
        <v>2660</v>
      </c>
      <c r="B129" s="515" t="s">
        <v>2678</v>
      </c>
      <c r="C129" s="511">
        <v>45969</v>
      </c>
      <c r="D129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29" s="408" t="s">
        <v>3198</v>
      </c>
      <c r="F129" s="408" t="s">
        <v>3199</v>
      </c>
      <c r="G129" s="409" t="s">
        <v>2702</v>
      </c>
      <c r="H129" s="410"/>
      <c r="I129" s="513"/>
      <c r="J129" s="513">
        <v>1200000</v>
      </c>
      <c r="K129" s="491">
        <f ca="1">+IF('[3]BROUILLARD DE CAISSE '!$C129="","",SUMIFS(INDIRECT("$K$7:K"&amp;ROW()),INDIRECT("$D$7:D"&amp;ROW()),"="&amp;"Report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2525781</v>
      </c>
      <c r="L129" s="431">
        <f ca="1">+IF($B129="","",SUMIFS(INDIRECT("$K$7:K"&amp;ROW()),INDIRECT("$B$7:B"&amp;ROW()),Tableau15356789101112131625236923[[#This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2604581</v>
      </c>
    </row>
    <row r="130" spans="1:17" ht="15" x14ac:dyDescent="0.3">
      <c r="A130" s="391" t="s">
        <v>2660</v>
      </c>
      <c r="B130" s="392" t="s">
        <v>2678</v>
      </c>
      <c r="C130" s="497">
        <v>45969</v>
      </c>
      <c r="D13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0" s="395" t="s">
        <v>3122</v>
      </c>
      <c r="F130" s="395" t="s">
        <v>3200</v>
      </c>
      <c r="G130" s="397"/>
      <c r="H130" s="401"/>
      <c r="I130" s="499"/>
      <c r="J130" s="499">
        <v>282800</v>
      </c>
      <c r="K130" s="491">
        <f ca="1">+IF('[3]BROUILLARD DE CAISSE '!$C130="","",SUMIFS(INDIRECT("$K$7:K"&amp;ROW()),INDIRECT("$D$7:D"&amp;ROW()),"="&amp;"Report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2242981</v>
      </c>
      <c r="L130" s="399">
        <f ca="1">+IF($B130="","",SUMIFS(INDIRECT("$K$7:K"&amp;ROW()),INDIRECT("$B$7:B"&amp;ROW()),Tableau15356789101112131625236923[[#This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2321781</v>
      </c>
      <c r="O130" s="368"/>
      <c r="P130" s="368"/>
      <c r="Q130" s="368"/>
    </row>
    <row r="131" spans="1:17" ht="15" x14ac:dyDescent="0.3">
      <c r="A131" s="391" t="s">
        <v>2660</v>
      </c>
      <c r="B131" s="392" t="s">
        <v>2678</v>
      </c>
      <c r="C131" s="497">
        <v>45969</v>
      </c>
      <c r="D13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1" s="395" t="s">
        <v>3122</v>
      </c>
      <c r="F131" s="395" t="s">
        <v>3201</v>
      </c>
      <c r="G131" s="397"/>
      <c r="H131" s="401" t="s">
        <v>2707</v>
      </c>
      <c r="I131" s="499"/>
      <c r="J131" s="499">
        <v>60600</v>
      </c>
      <c r="K131" s="491">
        <f ca="1">+IF('[3]BROUILLARD DE CAISSE '!$C131="","",SUMIFS(INDIRECT("$K$7:K"&amp;ROW()),INDIRECT("$D$7:D"&amp;ROW()),"="&amp;"Report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2182381</v>
      </c>
      <c r="L131" s="399">
        <f ca="1">+IF($B131="","",SUMIFS(INDIRECT("$K$7:K"&amp;ROW()),INDIRECT("$B$7:B"&amp;ROW()),Tableau15356789101112131625236923[[#This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2261181</v>
      </c>
      <c r="O131" s="368"/>
      <c r="P131" s="368"/>
      <c r="Q131" s="368"/>
    </row>
    <row r="132" spans="1:17" ht="15" x14ac:dyDescent="0.3">
      <c r="A132" s="391" t="s">
        <v>2660</v>
      </c>
      <c r="B132" s="392" t="s">
        <v>2678</v>
      </c>
      <c r="C132" s="497">
        <v>45969</v>
      </c>
      <c r="D13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2" s="395" t="s">
        <v>3122</v>
      </c>
      <c r="F132" s="395" t="s">
        <v>3202</v>
      </c>
      <c r="G132" s="397"/>
      <c r="H132" s="401" t="s">
        <v>2707</v>
      </c>
      <c r="I132" s="499"/>
      <c r="J132" s="499">
        <v>30300</v>
      </c>
      <c r="K132" s="491">
        <f ca="1">+IF('[3]BROUILLARD DE CAISSE '!$C132="","",SUMIFS(INDIRECT("$K$7:K"&amp;ROW()),INDIRECT("$D$7:D"&amp;ROW()),"="&amp;"Report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2152081</v>
      </c>
      <c r="L132" s="399">
        <f ca="1">+IF($B132="","",SUMIFS(INDIRECT("$K$7:K"&amp;ROW()),INDIRECT("$B$7:B"&amp;ROW()),Tableau15356789101112131625236923[[#This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2230881</v>
      </c>
      <c r="O132" s="368"/>
      <c r="P132" s="368"/>
      <c r="Q132" s="368"/>
    </row>
    <row r="133" spans="1:17" ht="15" x14ac:dyDescent="0.3">
      <c r="A133" s="391" t="s">
        <v>2660</v>
      </c>
      <c r="B133" s="392" t="s">
        <v>2678</v>
      </c>
      <c r="C133" s="497">
        <v>45969</v>
      </c>
      <c r="D13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3" s="395" t="s">
        <v>3195</v>
      </c>
      <c r="F133" s="395" t="s">
        <v>3203</v>
      </c>
      <c r="G133" s="397"/>
      <c r="H133" s="401"/>
      <c r="I133" s="499"/>
      <c r="J133" s="499">
        <v>28280</v>
      </c>
      <c r="K133" s="491">
        <f ca="1">+IF('[3]BROUILLARD DE CAISSE '!$C133="","",SUMIFS(INDIRECT("$K$7:K"&amp;ROW()),INDIRECT("$D$7:D"&amp;ROW()),"="&amp;"Report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2123801</v>
      </c>
      <c r="L133" s="399">
        <f ca="1">+IF($B133="","",SUMIFS(INDIRECT("$K$7:K"&amp;ROW()),INDIRECT("$B$7:B"&amp;ROW()),Tableau15356789101112131625236923[[#This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2202601</v>
      </c>
      <c r="O133" s="368"/>
      <c r="P133" s="368"/>
      <c r="Q133" s="368"/>
    </row>
    <row r="134" spans="1:17" s="423" customFormat="1" ht="15" x14ac:dyDescent="0.3">
      <c r="A134" s="391" t="s">
        <v>2660</v>
      </c>
      <c r="B134" s="392" t="s">
        <v>2678</v>
      </c>
      <c r="C134" s="497">
        <v>45970</v>
      </c>
      <c r="D13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4" s="395" t="s">
        <v>2859</v>
      </c>
      <c r="F134" s="395" t="s">
        <v>3204</v>
      </c>
      <c r="G134" s="397"/>
      <c r="H134" s="401" t="s">
        <v>2987</v>
      </c>
      <c r="I134" s="499"/>
      <c r="J134" s="499">
        <v>6060</v>
      </c>
      <c r="K134" s="491">
        <f ca="1">+IF('[3]BROUILLARD DE CAISSE '!$C134="","",SUMIFS(INDIRECT("$K$7:K"&amp;ROW()),INDIRECT("$D$7:D"&amp;ROW()),"="&amp;"Report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2117741</v>
      </c>
      <c r="L134" s="422">
        <f ca="1">+IF($B134="","",SUMIFS(INDIRECT("$K$7:K"&amp;ROW()),INDIRECT("$B$7:B"&amp;ROW()),Tableau15356789101112131625236923[[#This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2196541</v>
      </c>
    </row>
    <row r="135" spans="1:17" ht="15" x14ac:dyDescent="0.3">
      <c r="A135" s="391" t="s">
        <v>2660</v>
      </c>
      <c r="B135" s="392" t="s">
        <v>2678</v>
      </c>
      <c r="C135" s="497">
        <v>45970</v>
      </c>
      <c r="D13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5" s="395" t="s">
        <v>2863</v>
      </c>
      <c r="F135" s="395" t="s">
        <v>3205</v>
      </c>
      <c r="G135" s="397"/>
      <c r="H135" s="401" t="s">
        <v>2698</v>
      </c>
      <c r="I135" s="499"/>
      <c r="J135" s="499">
        <v>10100</v>
      </c>
      <c r="K135" s="491">
        <f ca="1">+IF('[3]BROUILLARD DE CAISSE '!$C135="","",SUMIFS(INDIRECT("$K$7:K"&amp;ROW()),INDIRECT("$D$7:D"&amp;ROW()),"="&amp;"Report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2107641</v>
      </c>
      <c r="L135" s="414">
        <f ca="1">+IF($B135="","",SUMIFS(INDIRECT("$K$7:K"&amp;ROW()),INDIRECT("$B$7:B"&amp;ROW()),Tableau15356789101112131625236923[[#This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2186441</v>
      </c>
      <c r="O135" s="368"/>
      <c r="P135" s="368"/>
      <c r="Q135" s="368"/>
    </row>
    <row r="136" spans="1:17" ht="15" x14ac:dyDescent="0.3">
      <c r="A136" s="391" t="s">
        <v>2660</v>
      </c>
      <c r="B136" s="392" t="s">
        <v>2678</v>
      </c>
      <c r="C136" s="497">
        <v>45971</v>
      </c>
      <c r="D136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6" s="395" t="s">
        <v>3206</v>
      </c>
      <c r="F136" s="395" t="s">
        <v>3207</v>
      </c>
      <c r="G136" s="397"/>
      <c r="H136" s="401"/>
      <c r="I136" s="499"/>
      <c r="J136" s="499">
        <v>600000</v>
      </c>
      <c r="K136" s="491">
        <f ca="1">+IF('[3]BROUILLARD DE CAISSE '!$C136="","",SUMIFS(INDIRECT("$K$7:K"&amp;ROW()),INDIRECT("$D$7:D"&amp;ROW()),"="&amp;"Report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1507641</v>
      </c>
      <c r="L136" s="414">
        <f ca="1">+IF($B136="","",SUMIFS(INDIRECT("$K$7:K"&amp;ROW()),INDIRECT("$B$7:B"&amp;ROW()),Tableau15356789101112131625236923[[#This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1586441</v>
      </c>
      <c r="O136" s="368"/>
      <c r="P136" s="368"/>
      <c r="Q136" s="368"/>
    </row>
    <row r="137" spans="1:17" ht="15" x14ac:dyDescent="0.3">
      <c r="A137" s="391" t="s">
        <v>2660</v>
      </c>
      <c r="B137" s="392" t="s">
        <v>2678</v>
      </c>
      <c r="C137" s="497">
        <v>45971</v>
      </c>
      <c r="D137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7" s="395" t="s">
        <v>2727</v>
      </c>
      <c r="F137" s="395" t="s">
        <v>3208</v>
      </c>
      <c r="G137" s="397"/>
      <c r="H137" s="401" t="s">
        <v>2729</v>
      </c>
      <c r="I137" s="499"/>
      <c r="J137" s="499">
        <v>22000</v>
      </c>
      <c r="K137" s="491">
        <f ca="1">+IF('[3]BROUILLARD DE CAISSE '!$C137="","",SUMIFS(INDIRECT("$K$7:K"&amp;ROW()),INDIRECT("$D$7:D"&amp;ROW()),"="&amp;"Report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1485641</v>
      </c>
      <c r="L137" s="414">
        <f ca="1">+IF($B137="","",SUMIFS(INDIRECT("$K$7:K"&amp;ROW()),INDIRECT("$B$7:B"&amp;ROW()),Tableau15356789101112131625236923[[#This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1564441</v>
      </c>
      <c r="O137" s="368"/>
      <c r="P137" s="368"/>
      <c r="Q137" s="368"/>
    </row>
    <row r="138" spans="1:17" ht="15" x14ac:dyDescent="0.3">
      <c r="A138" s="391" t="s">
        <v>2660</v>
      </c>
      <c r="B138" s="392" t="s">
        <v>2678</v>
      </c>
      <c r="C138" s="497">
        <v>45971</v>
      </c>
      <c r="D138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8" s="395" t="s">
        <v>3209</v>
      </c>
      <c r="F138" s="395" t="s">
        <v>3210</v>
      </c>
      <c r="G138" s="397"/>
      <c r="H138" s="401"/>
      <c r="I138" s="499"/>
      <c r="J138" s="499">
        <v>22000</v>
      </c>
      <c r="K138" s="491">
        <f ca="1">+IF('[3]BROUILLARD DE CAISSE '!$C138="","",SUMIFS(INDIRECT("$K$7:K"&amp;ROW()),INDIRECT("$D$7:D"&amp;ROW()),"="&amp;"Report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1463641</v>
      </c>
      <c r="L138" s="414">
        <f ca="1">+IF($B138="","",SUMIFS(INDIRECT("$K$7:K"&amp;ROW()),INDIRECT("$B$7:B"&amp;ROW()),Tableau15356789101112131625236923[[#This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1542441</v>
      </c>
      <c r="O138" s="368"/>
      <c r="P138" s="368"/>
      <c r="Q138" s="368"/>
    </row>
    <row r="139" spans="1:17" ht="15" x14ac:dyDescent="0.3">
      <c r="A139" s="391" t="s">
        <v>2660</v>
      </c>
      <c r="B139" s="392" t="s">
        <v>2678</v>
      </c>
      <c r="C139" s="497">
        <v>45971</v>
      </c>
      <c r="D139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39" s="395" t="s">
        <v>2836</v>
      </c>
      <c r="F139" s="395" t="s">
        <v>3211</v>
      </c>
      <c r="G139" s="397"/>
      <c r="H139" s="401"/>
      <c r="I139" s="499"/>
      <c r="J139" s="499">
        <v>25000</v>
      </c>
      <c r="K139" s="491">
        <f ca="1">+IF('[3]BROUILLARD DE CAISSE '!$C139="","",SUMIFS(INDIRECT("$K$7:K"&amp;ROW()),INDIRECT("$D$7:D"&amp;ROW()),"="&amp;"Report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1438641</v>
      </c>
      <c r="L139" s="414">
        <f ca="1">+IF($B139="","",SUMIFS(INDIRECT("$K$7:K"&amp;ROW()),INDIRECT("$B$7:B"&amp;ROW()),Tableau15356789101112131625236923[[#This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1517441</v>
      </c>
      <c r="O139" s="368"/>
      <c r="P139" s="368"/>
      <c r="Q139" s="368"/>
    </row>
    <row r="140" spans="1:17" s="423" customFormat="1" ht="15" x14ac:dyDescent="0.3">
      <c r="A140" s="391" t="s">
        <v>2660</v>
      </c>
      <c r="B140" s="392" t="s">
        <v>2678</v>
      </c>
      <c r="C140" s="497">
        <v>45971</v>
      </c>
      <c r="D140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0" s="395" t="s">
        <v>3206</v>
      </c>
      <c r="F140" s="395" t="s">
        <v>3212</v>
      </c>
      <c r="G140" s="397"/>
      <c r="H140" s="401"/>
      <c r="I140" s="499"/>
      <c r="J140" s="499">
        <v>1000</v>
      </c>
      <c r="K140" s="491">
        <f ca="1">+IF('[3]BROUILLARD DE CAISSE '!$C140="","",SUMIFS(INDIRECT("$K$7:K"&amp;ROW()),INDIRECT("$D$7:D"&amp;ROW()),"="&amp;"Report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1437641</v>
      </c>
      <c r="L140" s="422">
        <f ca="1">+IF($B140="","",SUMIFS(INDIRECT("$K$7:K"&amp;ROW()),INDIRECT("$B$7:B"&amp;ROW()),Tableau15356789101112131625236923[[#This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1516441</v>
      </c>
    </row>
    <row r="141" spans="1:17" ht="15" x14ac:dyDescent="0.3">
      <c r="A141" s="391" t="s">
        <v>2660</v>
      </c>
      <c r="B141" s="392" t="s">
        <v>2678</v>
      </c>
      <c r="C141" s="497">
        <v>45971</v>
      </c>
      <c r="D141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1" s="395" t="s">
        <v>3112</v>
      </c>
      <c r="F141" s="395" t="s">
        <v>3213</v>
      </c>
      <c r="G141" s="397"/>
      <c r="H141" s="401" t="s">
        <v>2685</v>
      </c>
      <c r="I141" s="499"/>
      <c r="J141" s="499">
        <v>90000</v>
      </c>
      <c r="K141" s="491">
        <f ca="1">+IF('[3]BROUILLARD DE CAISSE '!$C141="","",SUMIFS(INDIRECT("$K$7:K"&amp;ROW()),INDIRECT("$D$7:D"&amp;ROW()),"="&amp;"Report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1347641</v>
      </c>
      <c r="L141" s="431">
        <f ca="1">+IF($B141="","",SUMIFS(INDIRECT("$K$7:K"&amp;ROW()),INDIRECT("$B$7:B"&amp;ROW()),Tableau15356789101112131625236923[[#This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1426441</v>
      </c>
      <c r="O141" s="368"/>
      <c r="P141" s="368"/>
      <c r="Q141" s="368"/>
    </row>
    <row r="142" spans="1:17" ht="15" x14ac:dyDescent="0.3">
      <c r="A142" s="391" t="s">
        <v>2660</v>
      </c>
      <c r="B142" s="392" t="s">
        <v>2678</v>
      </c>
      <c r="C142" s="497">
        <v>45971</v>
      </c>
      <c r="D142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2" s="395" t="s">
        <v>3214</v>
      </c>
      <c r="F142" s="395" t="s">
        <v>3215</v>
      </c>
      <c r="G142" s="397"/>
      <c r="H142" s="401" t="s">
        <v>2685</v>
      </c>
      <c r="I142" s="499"/>
      <c r="J142" s="499">
        <v>5050</v>
      </c>
      <c r="K142" s="491">
        <f ca="1">+IF('[3]BROUILLARD DE CAISSE '!$C142="","",SUMIFS(INDIRECT("$K$7:K"&amp;ROW()),INDIRECT("$D$7:D"&amp;ROW()),"="&amp;"Report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1342591</v>
      </c>
      <c r="L142" s="414">
        <f ca="1">+IF($B142="","",SUMIFS(INDIRECT("$K$7:K"&amp;ROW()),INDIRECT("$B$7:B"&amp;ROW()),Tableau15356789101112131625236923[[#This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1421391</v>
      </c>
      <c r="O142" s="368"/>
      <c r="P142" s="368"/>
      <c r="Q142" s="368"/>
    </row>
    <row r="143" spans="1:17" ht="15" x14ac:dyDescent="0.3">
      <c r="A143" s="391" t="s">
        <v>2660</v>
      </c>
      <c r="B143" s="392" t="s">
        <v>2678</v>
      </c>
      <c r="C143" s="497">
        <v>45971</v>
      </c>
      <c r="D143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3" s="395" t="s">
        <v>3216</v>
      </c>
      <c r="F143" s="395" t="s">
        <v>3217</v>
      </c>
      <c r="G143" s="397"/>
      <c r="H143" s="401" t="s">
        <v>2811</v>
      </c>
      <c r="I143" s="499"/>
      <c r="J143" s="499">
        <v>5050</v>
      </c>
      <c r="K143" s="491">
        <f ca="1">+IF('[3]BROUILLARD DE CAISSE '!$C143="","",SUMIFS(INDIRECT("$K$7:K"&amp;ROW()),INDIRECT("$D$7:D"&amp;ROW()),"="&amp;"Report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1337541</v>
      </c>
      <c r="L143" s="414">
        <f ca="1">+IF($B143="","",SUMIFS(INDIRECT("$K$7:K"&amp;ROW()),INDIRECT("$B$7:B"&amp;ROW()),Tableau15356789101112131625236923[[#This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1416341</v>
      </c>
      <c r="O143" s="368"/>
      <c r="P143" s="368"/>
      <c r="Q143" s="368"/>
    </row>
    <row r="144" spans="1:17" ht="15" x14ac:dyDescent="0.3">
      <c r="A144" s="391" t="s">
        <v>2660</v>
      </c>
      <c r="B144" s="392" t="s">
        <v>2678</v>
      </c>
      <c r="C144" s="497">
        <v>45971</v>
      </c>
      <c r="D144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4" s="395" t="s">
        <v>3218</v>
      </c>
      <c r="F144" s="395" t="s">
        <v>3219</v>
      </c>
      <c r="G144" s="397"/>
      <c r="H144" s="401"/>
      <c r="I144" s="499"/>
      <c r="J144" s="499">
        <v>100985</v>
      </c>
      <c r="K144" s="491">
        <f ca="1">+IF('[3]BROUILLARD DE CAISSE '!$C144="","",SUMIFS(INDIRECT("$K$7:K"&amp;ROW()),INDIRECT("$D$7:D"&amp;ROW()),"="&amp;"Report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1236556</v>
      </c>
      <c r="L144" s="414">
        <f ca="1">+IF($B144="","",SUMIFS(INDIRECT("$K$7:K"&amp;ROW()),INDIRECT("$B$7:B"&amp;ROW()),Tableau15356789101112131625236923[[#This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1315356</v>
      </c>
      <c r="O144" s="368"/>
      <c r="P144" s="368"/>
      <c r="Q144" s="368"/>
    </row>
    <row r="145" spans="1:17" ht="15" x14ac:dyDescent="0.3">
      <c r="A145" s="391" t="s">
        <v>2660</v>
      </c>
      <c r="B145" s="392" t="s">
        <v>2678</v>
      </c>
      <c r="C145" s="497">
        <v>45971</v>
      </c>
      <c r="D145" s="394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145" s="395" t="s">
        <v>2679</v>
      </c>
      <c r="F145" s="395" t="s">
        <v>3220</v>
      </c>
      <c r="G145" s="397"/>
      <c r="H145" s="401"/>
      <c r="I145" s="499">
        <v>780000</v>
      </c>
      <c r="J145" s="499"/>
      <c r="K145" s="491">
        <f ca="1">+IF('[3]BROUILLARD DE CAISSE '!$C145="","",SUMIFS(INDIRECT("$K$7:K"&amp;ROW()),INDIRECT("$D$7:D"&amp;ROW()),"="&amp;"Report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2016556</v>
      </c>
      <c r="L145" s="414">
        <f ca="1">+IF($B145="","",SUMIFS(INDIRECT("$K$7:K"&amp;ROW()),INDIRECT("$B$7:B"&amp;ROW()),Tableau15356789101112131625236923[[#This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2095356</v>
      </c>
      <c r="O145" s="368"/>
      <c r="P145" s="368"/>
      <c r="Q145" s="368"/>
    </row>
    <row r="146" spans="1:17" s="412" customFormat="1" ht="15" x14ac:dyDescent="0.3">
      <c r="A146" s="514" t="s">
        <v>2660</v>
      </c>
      <c r="B146" s="515" t="s">
        <v>2678</v>
      </c>
      <c r="C146" s="511">
        <v>45971</v>
      </c>
      <c r="D146" s="407" t="s">
        <v>3221</v>
      </c>
      <c r="E146" s="408" t="s">
        <v>2910</v>
      </c>
      <c r="F146" s="408" t="s">
        <v>3222</v>
      </c>
      <c r="G146" s="409"/>
      <c r="H146" s="410"/>
      <c r="I146" s="513"/>
      <c r="J146" s="513">
        <v>31000</v>
      </c>
      <c r="K146" s="491">
        <f ca="1">+IF('[3]BROUILLARD DE CAISSE '!$C146="","",SUMIFS(INDIRECT("$K$7:K"&amp;ROW()),INDIRECT("$D$7:D"&amp;ROW()),"="&amp;"Report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1985556</v>
      </c>
      <c r="L146" s="414">
        <f ca="1">+IF($B146="","",SUMIFS(INDIRECT("$K$7:K"&amp;ROW()),INDIRECT("$B$7:B"&amp;ROW()),Tableau15356789101112131625236923[[#This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2064356</v>
      </c>
    </row>
    <row r="147" spans="1:17" s="412" customFormat="1" ht="15" x14ac:dyDescent="0.3">
      <c r="A147" s="514" t="s">
        <v>2660</v>
      </c>
      <c r="B147" s="515" t="s">
        <v>2678</v>
      </c>
      <c r="C147" s="511">
        <v>45971</v>
      </c>
      <c r="D147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7" s="408" t="s">
        <v>3223</v>
      </c>
      <c r="F147" s="408" t="s">
        <v>3224</v>
      </c>
      <c r="G147" s="409"/>
      <c r="H147" s="410"/>
      <c r="I147" s="513"/>
      <c r="J147" s="513">
        <v>2425</v>
      </c>
      <c r="K147" s="491">
        <f ca="1">+IF('[3]BROUILLARD DE CAISSE '!$C147="","",SUMIFS(INDIRECT("$K$7:K"&amp;ROW()),INDIRECT("$D$7:D"&amp;ROW()),"="&amp;"Report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1983131</v>
      </c>
      <c r="L147" s="414">
        <f ca="1">+IF($B147="","",SUMIFS(INDIRECT("$K$7:K"&amp;ROW()),INDIRECT("$B$7:B"&amp;ROW()),Tableau15356789101112131625236923[[#This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2061931</v>
      </c>
    </row>
    <row r="148" spans="1:17" s="412" customFormat="1" ht="15" x14ac:dyDescent="0.3">
      <c r="A148" s="514" t="s">
        <v>2660</v>
      </c>
      <c r="B148" s="515" t="s">
        <v>2678</v>
      </c>
      <c r="C148" s="511">
        <v>45972</v>
      </c>
      <c r="D148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8" s="408" t="s">
        <v>2742</v>
      </c>
      <c r="F148" s="408" t="s">
        <v>3225</v>
      </c>
      <c r="G148" s="409"/>
      <c r="H148" s="410" t="s">
        <v>2687</v>
      </c>
      <c r="I148" s="513"/>
      <c r="J148" s="513">
        <v>10100</v>
      </c>
      <c r="K148" s="491">
        <f ca="1">+IF('[3]BROUILLARD DE CAISSE '!$C148="","",SUMIFS(INDIRECT("$K$7:K"&amp;ROW()),INDIRECT("$D$7:D"&amp;ROW()),"="&amp;"Report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1973031</v>
      </c>
      <c r="L148" s="414">
        <f ca="1">+IF($B148="","",SUMIFS(INDIRECT("$K$7:K"&amp;ROW()),INDIRECT("$B$7:B"&amp;ROW()),Tableau15356789101112131625236923[[#This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2051831</v>
      </c>
    </row>
    <row r="149" spans="1:17" s="412" customFormat="1" ht="15" x14ac:dyDescent="0.3">
      <c r="A149" s="514" t="s">
        <v>2660</v>
      </c>
      <c r="B149" s="515" t="s">
        <v>2678</v>
      </c>
      <c r="C149" s="511">
        <v>45972</v>
      </c>
      <c r="D149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49" s="408" t="s">
        <v>2742</v>
      </c>
      <c r="F149" s="408" t="s">
        <v>3226</v>
      </c>
      <c r="G149" s="409"/>
      <c r="H149" s="410" t="s">
        <v>2687</v>
      </c>
      <c r="I149" s="513"/>
      <c r="J149" s="513">
        <v>10100</v>
      </c>
      <c r="K149" s="491">
        <f ca="1">+IF('[3]BROUILLARD DE CAISSE '!$C149="","",SUMIFS(INDIRECT("$K$7:K"&amp;ROW()),INDIRECT("$D$7:D"&amp;ROW()),"="&amp;"Report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1962931</v>
      </c>
      <c r="L149" s="414">
        <f ca="1">+IF($B149="","",SUMIFS(INDIRECT("$K$7:K"&amp;ROW()),INDIRECT("$B$7:B"&amp;ROW()),Tableau15356789101112131625236923[[#This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2041731</v>
      </c>
    </row>
    <row r="150" spans="1:17" s="412" customFormat="1" ht="15" x14ac:dyDescent="0.3">
      <c r="A150" s="514" t="s">
        <v>2660</v>
      </c>
      <c r="B150" s="515" t="s">
        <v>2678</v>
      </c>
      <c r="C150" s="511">
        <v>45972</v>
      </c>
      <c r="D150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0" s="408" t="s">
        <v>3227</v>
      </c>
      <c r="F150" s="408" t="s">
        <v>3228</v>
      </c>
      <c r="G150" s="409"/>
      <c r="H150" s="410" t="s">
        <v>2964</v>
      </c>
      <c r="I150" s="513"/>
      <c r="J150" s="513">
        <v>20000</v>
      </c>
      <c r="K150" s="491">
        <f ca="1">+IF('[3]BROUILLARD DE CAISSE '!$C150="","",SUMIFS(INDIRECT("$K$7:K"&amp;ROW()),INDIRECT("$D$7:D"&amp;ROW()),"="&amp;"Report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1942931</v>
      </c>
      <c r="L150" s="414">
        <f ca="1">+IF($B150="","",SUMIFS(INDIRECT("$K$7:K"&amp;ROW()),INDIRECT("$B$7:B"&amp;ROW()),Tableau15356789101112131625236923[[#This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2021731</v>
      </c>
    </row>
    <row r="151" spans="1:17" s="412" customFormat="1" ht="15" x14ac:dyDescent="0.3">
      <c r="A151" s="514" t="s">
        <v>2660</v>
      </c>
      <c r="B151" s="515" t="s">
        <v>2678</v>
      </c>
      <c r="C151" s="511">
        <v>45972</v>
      </c>
      <c r="D151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1" s="408" t="s">
        <v>2878</v>
      </c>
      <c r="F151" s="408" t="s">
        <v>3229</v>
      </c>
      <c r="G151" s="409"/>
      <c r="H151" s="410"/>
      <c r="I151" s="513"/>
      <c r="J151" s="513">
        <v>1000</v>
      </c>
      <c r="K151" s="491">
        <f ca="1">+IF('[3]BROUILLARD DE CAISSE '!$C151="","",SUMIFS(INDIRECT("$K$7:K"&amp;ROW()),INDIRECT("$D$7:D"&amp;ROW()),"="&amp;"Report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1941931</v>
      </c>
      <c r="L151" s="414">
        <f ca="1">+IF($B151="","",SUMIFS(INDIRECT("$K$7:K"&amp;ROW()),INDIRECT("$B$7:B"&amp;ROW()),Tableau15356789101112131625236923[[#This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2020731</v>
      </c>
    </row>
    <row r="152" spans="1:17" s="412" customFormat="1" ht="15" x14ac:dyDescent="0.3">
      <c r="A152" s="514" t="s">
        <v>2660</v>
      </c>
      <c r="B152" s="515" t="s">
        <v>2678</v>
      </c>
      <c r="C152" s="511">
        <v>45972</v>
      </c>
      <c r="D152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2" s="408" t="s">
        <v>3112</v>
      </c>
      <c r="F152" s="408" t="s">
        <v>3230</v>
      </c>
      <c r="G152" s="409"/>
      <c r="H152" s="410"/>
      <c r="I152" s="513"/>
      <c r="J152" s="513">
        <v>226500</v>
      </c>
      <c r="K152" s="491">
        <f ca="1">+IF('[3]BROUILLARD DE CAISSE '!$C152="","",SUMIFS(INDIRECT("$K$7:K"&amp;ROW()),INDIRECT("$D$7:D"&amp;ROW()),"="&amp;"Report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1715431</v>
      </c>
      <c r="L152" s="414">
        <f ca="1">+IF($B152="","",SUMIFS(INDIRECT("$K$7:K"&amp;ROW()),INDIRECT("$B$7:B"&amp;ROW()),Tableau15356789101112131625236923[[#This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1794231</v>
      </c>
    </row>
    <row r="153" spans="1:17" s="412" customFormat="1" ht="15" x14ac:dyDescent="0.3">
      <c r="A153" s="514" t="s">
        <v>2660</v>
      </c>
      <c r="B153" s="515" t="s">
        <v>2678</v>
      </c>
      <c r="C153" s="511">
        <v>45972</v>
      </c>
      <c r="D153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3" s="408" t="s">
        <v>3231</v>
      </c>
      <c r="F153" s="408" t="s">
        <v>3188</v>
      </c>
      <c r="G153" s="409"/>
      <c r="H153" s="410"/>
      <c r="I153" s="513"/>
      <c r="J153" s="513">
        <v>100000</v>
      </c>
      <c r="K153" s="491">
        <f ca="1">+IF('[3]BROUILLARD DE CAISSE '!$C153="","",SUMIFS(INDIRECT("$K$7:K"&amp;ROW()),INDIRECT("$D$7:D"&amp;ROW()),"="&amp;"Report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1615431</v>
      </c>
      <c r="L153" s="414">
        <f ca="1">+IF($B153="","",SUMIFS(INDIRECT("$K$7:K"&amp;ROW()),INDIRECT("$B$7:B"&amp;ROW()),Tableau15356789101112131625236923[[#This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1694231</v>
      </c>
    </row>
    <row r="154" spans="1:17" s="412" customFormat="1" ht="15" x14ac:dyDescent="0.3">
      <c r="A154" s="514" t="s">
        <v>2660</v>
      </c>
      <c r="B154" s="515" t="s">
        <v>2678</v>
      </c>
      <c r="C154" s="511">
        <v>45972</v>
      </c>
      <c r="D154" s="407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154" s="408" t="s">
        <v>2727</v>
      </c>
      <c r="F154" s="408" t="s">
        <v>3232</v>
      </c>
      <c r="G154" s="409"/>
      <c r="H154" s="410"/>
      <c r="I154" s="513"/>
      <c r="J154" s="513">
        <v>45000</v>
      </c>
      <c r="K154" s="491">
        <f ca="1">+IF('[3]BROUILLARD DE CAISSE '!$C154="","",SUMIFS(INDIRECT("$K$7:K"&amp;ROW()),INDIRECT("$D$7:D"&amp;ROW()),"="&amp;"Report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1570431</v>
      </c>
      <c r="L154" s="431">
        <f ca="1">+IF($B154="","",SUMIFS(INDIRECT("$K$7:K"&amp;ROW()),INDIRECT("$B$7:B"&amp;ROW()),Tableau15356789101112131625236923[[#This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1649231</v>
      </c>
    </row>
    <row r="155" spans="1:17" s="464" customFormat="1" ht="15" x14ac:dyDescent="0.3">
      <c r="A155" s="505" t="s">
        <v>2660</v>
      </c>
      <c r="B155" s="506" t="s">
        <v>2678</v>
      </c>
      <c r="C155" s="507">
        <v>46002</v>
      </c>
      <c r="D155" s="416" t="s">
        <v>3233</v>
      </c>
      <c r="E155" s="461" t="s">
        <v>3156</v>
      </c>
      <c r="F155" s="418" t="s">
        <v>3234</v>
      </c>
      <c r="G155" s="418"/>
      <c r="H155" s="521"/>
      <c r="I155" s="422"/>
      <c r="J155" s="422">
        <v>1500</v>
      </c>
      <c r="K155" s="491">
        <f ca="1">+IF('[3]BROUILLARD DE CAISSE '!$C155="","",SUMIFS(INDIRECT("$K$7:K"&amp;ROW()),INDIRECT("$D$7:D"&amp;ROW()),"="&amp;"Report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1568931</v>
      </c>
      <c r="L155" s="422">
        <f ca="1">+IF($B155="","",SUMIFS(INDIRECT("$K$7:K"&amp;ROW()),INDIRECT("$B$7:B"&amp;ROW()),Tableau15356789101112131625236923[[#This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1647731</v>
      </c>
    </row>
    <row r="156" spans="1:17" s="412" customFormat="1" ht="15" x14ac:dyDescent="0.3">
      <c r="A156" s="514" t="s">
        <v>2660</v>
      </c>
      <c r="B156" s="515" t="s">
        <v>2678</v>
      </c>
      <c r="C156" s="511">
        <v>46003</v>
      </c>
      <c r="D156" s="407" t="s">
        <v>3233</v>
      </c>
      <c r="E156" s="440" t="s">
        <v>2727</v>
      </c>
      <c r="F156" s="409" t="s">
        <v>3235</v>
      </c>
      <c r="G156" s="409"/>
      <c r="H156" s="522"/>
      <c r="I156" s="414"/>
      <c r="J156" s="414">
        <v>19650</v>
      </c>
      <c r="K156" s="491">
        <f ca="1">+IF('[3]BROUILLARD DE CAISSE '!$C156="","",SUMIFS(INDIRECT("$K$7:K"&amp;ROW()),INDIRECT("$D$7:D"&amp;ROW()),"="&amp;"Report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1549281</v>
      </c>
      <c r="L156" s="414">
        <f ca="1">+IF($B156="","",SUMIFS(INDIRECT("$K$7:K"&amp;ROW()),INDIRECT("$B$7:B"&amp;ROW()),Tableau15356789101112131625236923[[#This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1628081</v>
      </c>
    </row>
    <row r="157" spans="1:17" s="412" customFormat="1" ht="15" x14ac:dyDescent="0.3">
      <c r="A157" s="514" t="s">
        <v>2660</v>
      </c>
      <c r="B157" s="515" t="s">
        <v>2678</v>
      </c>
      <c r="C157" s="511">
        <v>46003</v>
      </c>
      <c r="D157" s="407" t="s">
        <v>3233</v>
      </c>
      <c r="E157" s="440" t="s">
        <v>2727</v>
      </c>
      <c r="F157" s="409" t="s">
        <v>3236</v>
      </c>
      <c r="G157" s="409"/>
      <c r="H157" s="522" t="s">
        <v>2729</v>
      </c>
      <c r="I157" s="414"/>
      <c r="J157" s="414">
        <v>20000</v>
      </c>
      <c r="K157" s="491">
        <f ca="1">+IF('[3]BROUILLARD DE CAISSE '!$C157="","",SUMIFS(INDIRECT("$K$7:K"&amp;ROW()),INDIRECT("$D$7:D"&amp;ROW()),"="&amp;"Report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1529281</v>
      </c>
      <c r="L157" s="414">
        <f ca="1">+IF($B157="","",SUMIFS(INDIRECT("$K$7:K"&amp;ROW()),INDIRECT("$B$7:B"&amp;ROW()),Tableau15356789101112131625236923[[#This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1608081</v>
      </c>
    </row>
    <row r="158" spans="1:17" s="412" customFormat="1" ht="15" x14ac:dyDescent="0.3">
      <c r="A158" s="514" t="s">
        <v>2660</v>
      </c>
      <c r="B158" s="515" t="s">
        <v>2678</v>
      </c>
      <c r="C158" s="511">
        <v>46003</v>
      </c>
      <c r="D158" s="407" t="s">
        <v>3233</v>
      </c>
      <c r="E158" s="440" t="s">
        <v>3043</v>
      </c>
      <c r="F158" s="409" t="s">
        <v>3237</v>
      </c>
      <c r="G158" s="409"/>
      <c r="H158" s="522" t="s">
        <v>2751</v>
      </c>
      <c r="I158" s="414"/>
      <c r="J158" s="414">
        <v>33750</v>
      </c>
      <c r="K158" s="491">
        <f ca="1">+IF('[3]BROUILLARD DE CAISSE '!$C158="","",SUMIFS(INDIRECT("$K$7:K"&amp;ROW()),INDIRECT("$D$7:D"&amp;ROW()),"="&amp;"Report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1495531</v>
      </c>
      <c r="L158" s="414">
        <f ca="1">+IF($B158="","",SUMIFS(INDIRECT("$K$7:K"&amp;ROW()),INDIRECT("$B$7:B"&amp;ROW()),Tableau15356789101112131625236923[[#This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1574331</v>
      </c>
    </row>
    <row r="159" spans="1:17" s="412" customFormat="1" ht="15" x14ac:dyDescent="0.3">
      <c r="A159" s="514" t="s">
        <v>2660</v>
      </c>
      <c r="B159" s="515" t="s">
        <v>2678</v>
      </c>
      <c r="C159" s="511">
        <v>46003</v>
      </c>
      <c r="D159" s="407" t="s">
        <v>3233</v>
      </c>
      <c r="E159" s="440" t="s">
        <v>2810</v>
      </c>
      <c r="F159" s="409" t="s">
        <v>3238</v>
      </c>
      <c r="G159" s="409"/>
      <c r="H159" s="522"/>
      <c r="I159" s="414"/>
      <c r="J159" s="414">
        <v>30300</v>
      </c>
      <c r="K159" s="491">
        <f ca="1">+IF('[3]BROUILLARD DE CAISSE '!$C159="","",SUMIFS(INDIRECT("$K$7:K"&amp;ROW()),INDIRECT("$D$7:D"&amp;ROW()),"="&amp;"Report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1465231</v>
      </c>
      <c r="L159" s="414">
        <f ca="1">+IF($B159="","",SUMIFS(INDIRECT("$K$7:K"&amp;ROW()),INDIRECT("$B$7:B"&amp;ROW()),Tableau15356789101112131625236923[[#This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1544031</v>
      </c>
    </row>
    <row r="160" spans="1:17" s="412" customFormat="1" ht="15" x14ac:dyDescent="0.3">
      <c r="A160" s="514" t="s">
        <v>2660</v>
      </c>
      <c r="B160" s="515" t="s">
        <v>2678</v>
      </c>
      <c r="C160" s="523">
        <v>46003</v>
      </c>
      <c r="D160" s="407" t="s">
        <v>3233</v>
      </c>
      <c r="E160" s="440" t="s">
        <v>3239</v>
      </c>
      <c r="F160" s="409" t="s">
        <v>3240</v>
      </c>
      <c r="G160" s="409"/>
      <c r="H160" s="522" t="s">
        <v>2751</v>
      </c>
      <c r="I160" s="414"/>
      <c r="J160" s="414">
        <v>15150</v>
      </c>
      <c r="K160" s="491">
        <f ca="1">+IF('[3]BROUILLARD DE CAISSE '!$C160="","",SUMIFS(INDIRECT("$K$7:K"&amp;ROW()),INDIRECT("$D$7:D"&amp;ROW()),"="&amp;"Report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1450081</v>
      </c>
      <c r="L160" s="414">
        <f ca="1">+IF($B160="","",SUMIFS(INDIRECT("$K$7:K"&amp;ROW()),INDIRECT("$B$7:B"&amp;ROW()),Tableau15356789101112131625236923[[#This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1528881</v>
      </c>
    </row>
    <row r="161" spans="1:17" s="412" customFormat="1" ht="15" x14ac:dyDescent="0.3">
      <c r="A161" s="514" t="s">
        <v>2660</v>
      </c>
      <c r="B161" s="515" t="s">
        <v>2678</v>
      </c>
      <c r="C161" s="511">
        <v>46003</v>
      </c>
      <c r="D161" s="407" t="s">
        <v>3233</v>
      </c>
      <c r="E161" s="440" t="s">
        <v>3241</v>
      </c>
      <c r="F161" s="409" t="s">
        <v>3242</v>
      </c>
      <c r="G161" s="409"/>
      <c r="H161" s="522" t="s">
        <v>2698</v>
      </c>
      <c r="I161" s="414"/>
      <c r="J161" s="414">
        <v>17170</v>
      </c>
      <c r="K161" s="491">
        <f ca="1">+IF('[3]BROUILLARD DE CAISSE '!$C161="","",SUMIFS(INDIRECT("$K$7:K"&amp;ROW()),INDIRECT("$D$7:D"&amp;ROW()),"="&amp;"Report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1432911</v>
      </c>
      <c r="L161" s="414">
        <f ca="1">+IF($B161="","",SUMIFS(INDIRECT("$K$7:K"&amp;ROW()),INDIRECT("$B$7:B"&amp;ROW()),Tableau15356789101112131625236923[[#This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1511711</v>
      </c>
    </row>
    <row r="162" spans="1:17" s="412" customFormat="1" ht="15" x14ac:dyDescent="0.3">
      <c r="A162" s="514" t="s">
        <v>2660</v>
      </c>
      <c r="B162" s="515" t="s">
        <v>2678</v>
      </c>
      <c r="C162" s="511">
        <v>46003</v>
      </c>
      <c r="D162" s="439" t="s">
        <v>3233</v>
      </c>
      <c r="E162" s="440" t="s">
        <v>3243</v>
      </c>
      <c r="F162" s="409" t="s">
        <v>3244</v>
      </c>
      <c r="G162" s="409"/>
      <c r="H162" s="522" t="s">
        <v>3162</v>
      </c>
      <c r="I162" s="414"/>
      <c r="J162" s="414">
        <v>30300</v>
      </c>
      <c r="K162" s="491">
        <f ca="1">+IF('[3]BROUILLARD DE CAISSE '!$C162="","",SUMIFS(INDIRECT("$K$7:K"&amp;ROW()),INDIRECT("$D$7:D"&amp;ROW()),"="&amp;"Report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1402611</v>
      </c>
      <c r="L162" s="414">
        <f ca="1">+IF($B162="","",SUMIFS(INDIRECT("$K$7:K"&amp;ROW()),INDIRECT("$B$7:B"&amp;ROW()),Tableau15356789101112131625236923[[#This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1481411</v>
      </c>
    </row>
    <row r="163" spans="1:17" s="412" customFormat="1" ht="15" x14ac:dyDescent="0.3">
      <c r="A163" s="514" t="s">
        <v>2660</v>
      </c>
      <c r="B163" s="515" t="s">
        <v>2678</v>
      </c>
      <c r="C163" s="511">
        <v>46003</v>
      </c>
      <c r="D163" s="439" t="s">
        <v>3233</v>
      </c>
      <c r="E163" s="440" t="s">
        <v>2910</v>
      </c>
      <c r="F163" s="408" t="s">
        <v>3245</v>
      </c>
      <c r="G163" s="409"/>
      <c r="H163" s="522"/>
      <c r="I163" s="414"/>
      <c r="J163" s="414">
        <v>15500</v>
      </c>
      <c r="K163" s="491">
        <f ca="1">+IF('[3]BROUILLARD DE CAISSE '!$C163="","",SUMIFS(INDIRECT("$K$7:K"&amp;ROW()),INDIRECT("$D$7:D"&amp;ROW()),"="&amp;"Report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1387111</v>
      </c>
      <c r="L163" s="414">
        <f ca="1">+IF($B163="","",SUMIFS(INDIRECT("$K$7:K"&amp;ROW()),INDIRECT("$B$7:B"&amp;ROW()),Tableau15356789101112131625236923[[#This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1465911</v>
      </c>
    </row>
    <row r="164" spans="1:17" s="412" customFormat="1" ht="15" x14ac:dyDescent="0.3">
      <c r="A164" s="514" t="s">
        <v>2660</v>
      </c>
      <c r="B164" s="515" t="s">
        <v>2678</v>
      </c>
      <c r="C164" s="523">
        <v>46003</v>
      </c>
      <c r="D164" s="439" t="s">
        <v>3233</v>
      </c>
      <c r="E164" s="440" t="s">
        <v>2910</v>
      </c>
      <c r="F164" s="409" t="s">
        <v>3246</v>
      </c>
      <c r="G164" s="409"/>
      <c r="H164" s="522"/>
      <c r="I164" s="414"/>
      <c r="J164" s="414">
        <v>65000</v>
      </c>
      <c r="K164" s="491">
        <f ca="1">+IF('[3]BROUILLARD DE CAISSE '!$C164="","",SUMIFS(INDIRECT("$K$7:K"&amp;ROW()),INDIRECT("$D$7:D"&amp;ROW()),"="&amp;"Report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1322111</v>
      </c>
      <c r="L164" s="414">
        <f ca="1">+IF($B164="","",SUMIFS(INDIRECT("$K$7:K"&amp;ROW()),INDIRECT("$B$7:B"&amp;ROW()),Tableau15356789101112131625236923[[#This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1400911</v>
      </c>
    </row>
    <row r="165" spans="1:17" s="412" customFormat="1" ht="15" x14ac:dyDescent="0.3">
      <c r="A165" s="514" t="s">
        <v>2660</v>
      </c>
      <c r="B165" s="515" t="s">
        <v>2678</v>
      </c>
      <c r="C165" s="511">
        <v>46003</v>
      </c>
      <c r="D165" s="439" t="s">
        <v>3233</v>
      </c>
      <c r="E165" s="440" t="s">
        <v>2910</v>
      </c>
      <c r="F165" s="409" t="s">
        <v>3247</v>
      </c>
      <c r="G165" s="409"/>
      <c r="H165" s="522"/>
      <c r="I165" s="414"/>
      <c r="J165" s="414">
        <v>12000</v>
      </c>
      <c r="K165" s="491">
        <f ca="1">+IF('[3]BROUILLARD DE CAISSE '!$C165="","",SUMIFS(INDIRECT("$K$7:K"&amp;ROW()),INDIRECT("$D$7:D"&amp;ROW()),"="&amp;"Report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1310111</v>
      </c>
      <c r="L165" s="414">
        <f ca="1">+IF($B165="","",SUMIFS(INDIRECT("$K$7:K"&amp;ROW()),INDIRECT("$B$7:B"&amp;ROW()),Tableau15356789101112131625236923[[#This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1388911</v>
      </c>
    </row>
    <row r="166" spans="1:17" s="412" customFormat="1" ht="15" x14ac:dyDescent="0.3">
      <c r="A166" s="514" t="s">
        <v>2660</v>
      </c>
      <c r="B166" s="515" t="s">
        <v>2678</v>
      </c>
      <c r="C166" s="523">
        <v>46003</v>
      </c>
      <c r="D166" s="439" t="s">
        <v>3233</v>
      </c>
      <c r="E166" s="440" t="s">
        <v>2815</v>
      </c>
      <c r="F166" s="409" t="s">
        <v>3248</v>
      </c>
      <c r="G166" s="409"/>
      <c r="H166" s="522"/>
      <c r="I166" s="414"/>
      <c r="J166" s="414">
        <v>4000</v>
      </c>
      <c r="K166" s="491">
        <f ca="1">+IF('[3]BROUILLARD DE CAISSE '!$C166="","",SUMIFS(INDIRECT("$K$7:K"&amp;ROW()),INDIRECT("$D$7:D"&amp;ROW()),"="&amp;"Report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1306111</v>
      </c>
      <c r="L166" s="414">
        <f ca="1">+IF($B166="","",SUMIFS(INDIRECT("$K$7:K"&amp;ROW()),INDIRECT("$B$7:B"&amp;ROW()),Tableau15356789101112131625236923[[#This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1384911</v>
      </c>
    </row>
    <row r="167" spans="1:17" ht="15" x14ac:dyDescent="0.3">
      <c r="A167" s="391" t="s">
        <v>2660</v>
      </c>
      <c r="B167" s="392" t="s">
        <v>2678</v>
      </c>
      <c r="C167" s="523">
        <v>46003</v>
      </c>
      <c r="D167" s="436" t="s">
        <v>3233</v>
      </c>
      <c r="E167" s="437" t="s">
        <v>2815</v>
      </c>
      <c r="F167" s="397" t="s">
        <v>3249</v>
      </c>
      <c r="G167" s="397"/>
      <c r="H167" s="524"/>
      <c r="I167" s="403"/>
      <c r="J167" s="403">
        <v>2000</v>
      </c>
      <c r="K167" s="491">
        <f ca="1">+IF('[3]BROUILLARD DE CAISSE '!$C167="","",SUMIFS(INDIRECT("$K$7:K"&amp;ROW()),INDIRECT("$D$7:D"&amp;ROW()),"="&amp;"Report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1304111</v>
      </c>
      <c r="L167" s="403">
        <f ca="1">+IF($B167="","",SUMIFS(INDIRECT("$K$7:K"&amp;ROW()),INDIRECT("$B$7:B"&amp;ROW()),Tableau15356789101112131625236923[[#This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1382911</v>
      </c>
      <c r="O167" s="368"/>
      <c r="P167" s="368"/>
      <c r="Q167" s="368"/>
    </row>
    <row r="168" spans="1:17" ht="15" x14ac:dyDescent="0.3">
      <c r="A168" s="391" t="s">
        <v>2660</v>
      </c>
      <c r="B168" s="392" t="s">
        <v>2678</v>
      </c>
      <c r="C168" s="525">
        <v>45974</v>
      </c>
      <c r="D168" s="436" t="s">
        <v>3233</v>
      </c>
      <c r="E168" s="437" t="s">
        <v>3156</v>
      </c>
      <c r="F168" s="397" t="s">
        <v>3250</v>
      </c>
      <c r="G168" s="397"/>
      <c r="H168" s="524"/>
      <c r="I168" s="403"/>
      <c r="J168" s="403">
        <v>2000</v>
      </c>
      <c r="K168" s="491">
        <f ca="1">+IF('[3]BROUILLARD DE CAISSE '!$C168="","",SUMIFS(INDIRECT("$K$7:K"&amp;ROW()),INDIRECT("$D$7:D"&amp;ROW()),"="&amp;"Report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1302111</v>
      </c>
      <c r="L168" s="403">
        <f ca="1">+IF($B168="","",SUMIFS(INDIRECT("$K$7:K"&amp;ROW()),INDIRECT("$B$7:B"&amp;ROW()),Tableau15356789101112131625236923[[#This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1380911</v>
      </c>
      <c r="O168" s="368"/>
      <c r="P168" s="368"/>
      <c r="Q168" s="368"/>
    </row>
    <row r="169" spans="1:17" ht="15" x14ac:dyDescent="0.3">
      <c r="A169" s="391" t="s">
        <v>2660</v>
      </c>
      <c r="B169" s="392" t="s">
        <v>2678</v>
      </c>
      <c r="C169" s="525">
        <v>45974</v>
      </c>
      <c r="D169" s="436" t="s">
        <v>3233</v>
      </c>
      <c r="E169" s="437" t="s">
        <v>3156</v>
      </c>
      <c r="F169" s="397" t="s">
        <v>3251</v>
      </c>
      <c r="G169" s="397"/>
      <c r="H169" s="524"/>
      <c r="I169" s="403"/>
      <c r="J169" s="403">
        <v>6000</v>
      </c>
      <c r="K169" s="491">
        <f ca="1">+IF('[3]BROUILLARD DE CAISSE '!$C169="","",SUMIFS(INDIRECT("$K$7:K"&amp;ROW()),INDIRECT("$D$7:D"&amp;ROW()),"="&amp;"Report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1296111</v>
      </c>
      <c r="L169" s="403">
        <f ca="1">+IF($B169="","",SUMIFS(INDIRECT("$K$7:K"&amp;ROW()),INDIRECT("$B$7:B"&amp;ROW()),Tableau15356789101112131625236923[[#This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1374911</v>
      </c>
      <c r="O169" s="368"/>
      <c r="P169" s="368"/>
      <c r="Q169" s="368"/>
    </row>
    <row r="170" spans="1:17" ht="15" x14ac:dyDescent="0.3">
      <c r="A170" s="391" t="s">
        <v>2660</v>
      </c>
      <c r="B170" s="392" t="s">
        <v>2678</v>
      </c>
      <c r="C170" s="525">
        <v>45974</v>
      </c>
      <c r="D170" s="436" t="s">
        <v>3233</v>
      </c>
      <c r="E170" s="437" t="s">
        <v>3112</v>
      </c>
      <c r="F170" s="397" t="s">
        <v>3252</v>
      </c>
      <c r="G170" s="397"/>
      <c r="H170" s="524"/>
      <c r="I170" s="403"/>
      <c r="J170" s="403">
        <v>258800</v>
      </c>
      <c r="K170" s="491">
        <f ca="1">+IF('[3]BROUILLARD DE CAISSE '!$C170="","",SUMIFS(INDIRECT("$K$7:K"&amp;ROW()),INDIRECT("$D$7:D"&amp;ROW()),"="&amp;"Report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1037311</v>
      </c>
      <c r="L170" s="403">
        <f ca="1">+IF($B170="","",SUMIFS(INDIRECT("$K$7:K"&amp;ROW()),INDIRECT("$B$7:B"&amp;ROW()),Tableau15356789101112131625236923[[#This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1116111</v>
      </c>
      <c r="O170" s="368"/>
      <c r="P170" s="368"/>
      <c r="Q170" s="368"/>
    </row>
    <row r="171" spans="1:17" s="520" customFormat="1" ht="15" x14ac:dyDescent="0.3">
      <c r="A171" s="526" t="s">
        <v>2660</v>
      </c>
      <c r="B171" s="527" t="s">
        <v>2678</v>
      </c>
      <c r="C171" s="528">
        <v>45974</v>
      </c>
      <c r="D171" s="529" t="s">
        <v>3253</v>
      </c>
      <c r="E171" s="517" t="s">
        <v>2679</v>
      </c>
      <c r="F171" s="517" t="s">
        <v>3254</v>
      </c>
      <c r="G171" s="445"/>
      <c r="H171" s="530"/>
      <c r="I171" s="447">
        <v>1000000</v>
      </c>
      <c r="J171" s="447"/>
      <c r="K171" s="491">
        <f ca="1">+IF('[3]BROUILLARD DE CAISSE '!$C171="","",SUMIFS(INDIRECT("$K$7:K"&amp;ROW()),INDIRECT("$D$7:D"&amp;ROW()),"="&amp;"Report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2037311</v>
      </c>
      <c r="L171" s="447">
        <f ca="1">+IF($B171="","",SUMIFS(INDIRECT("$K$7:K"&amp;ROW()),INDIRECT("$B$7:B"&amp;ROW()),Tableau15356789101112131625236923[[#This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2116111</v>
      </c>
    </row>
    <row r="172" spans="1:17" s="464" customFormat="1" ht="15" x14ac:dyDescent="0.3">
      <c r="A172" s="505" t="s">
        <v>2660</v>
      </c>
      <c r="B172" s="506" t="s">
        <v>2678</v>
      </c>
      <c r="C172" s="507">
        <v>45974</v>
      </c>
      <c r="D172" s="460" t="s">
        <v>3233</v>
      </c>
      <c r="E172" s="417" t="s">
        <v>2679</v>
      </c>
      <c r="F172" s="418" t="s">
        <v>2258</v>
      </c>
      <c r="G172" s="418"/>
      <c r="H172" s="521"/>
      <c r="I172" s="422"/>
      <c r="J172" s="422">
        <v>9900</v>
      </c>
      <c r="K172" s="491">
        <f ca="1">+IF('[3]BROUILLARD DE CAISSE '!$C172="","",SUMIFS(INDIRECT("$K$7:K"&amp;ROW()),INDIRECT("$D$7:D"&amp;ROW()),"="&amp;"Report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2027411</v>
      </c>
      <c r="L172" s="422">
        <f ca="1">+IF($B172="","",SUMIFS(INDIRECT("$K$7:K"&amp;ROW()),INDIRECT("$B$7:B"&amp;ROW()),Tableau15356789101112131625236923[[#This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2106211</v>
      </c>
    </row>
    <row r="173" spans="1:17" ht="15" x14ac:dyDescent="0.3">
      <c r="A173" s="514" t="s">
        <v>2660</v>
      </c>
      <c r="B173" s="392" t="s">
        <v>2678</v>
      </c>
      <c r="C173" s="507">
        <v>45974</v>
      </c>
      <c r="D173" s="436" t="s">
        <v>3233</v>
      </c>
      <c r="E173" s="437" t="s">
        <v>2815</v>
      </c>
      <c r="F173" s="397" t="s">
        <v>3255</v>
      </c>
      <c r="G173" s="397"/>
      <c r="H173" s="524"/>
      <c r="I173" s="403"/>
      <c r="J173" s="403">
        <v>2000</v>
      </c>
      <c r="K173" s="491">
        <f ca="1">+IF('[3]BROUILLARD DE CAISSE '!$C173="","",SUMIFS(INDIRECT("$K$7:K"&amp;ROW()),INDIRECT("$D$7:D"&amp;ROW()),"="&amp;"Report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2025411</v>
      </c>
      <c r="L173" s="403">
        <f ca="1">+IF($B173="","",SUMIFS(INDIRECT("$K$7:K"&amp;ROW()),INDIRECT("$B$7:B"&amp;ROW()),Tableau15356789101112131625236923[[#This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2104211</v>
      </c>
      <c r="O173" s="368"/>
      <c r="P173" s="368"/>
      <c r="Q173" s="368"/>
    </row>
    <row r="174" spans="1:17" ht="15" x14ac:dyDescent="0.3">
      <c r="A174" s="514" t="s">
        <v>2660</v>
      </c>
      <c r="B174" s="392" t="s">
        <v>2678</v>
      </c>
      <c r="C174" s="507">
        <v>45974</v>
      </c>
      <c r="D174" s="436" t="s">
        <v>3233</v>
      </c>
      <c r="E174" s="437" t="s">
        <v>2813</v>
      </c>
      <c r="F174" s="397" t="s">
        <v>3256</v>
      </c>
      <c r="G174" s="397"/>
      <c r="H174" s="524"/>
      <c r="I174" s="403"/>
      <c r="J174" s="403">
        <v>20200</v>
      </c>
      <c r="K174" s="491">
        <f ca="1">+IF('[3]BROUILLARD DE CAISSE '!$C174="","",SUMIFS(INDIRECT("$K$7:K"&amp;ROW()),INDIRECT("$D$7:D"&amp;ROW()),"="&amp;"Report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2005211</v>
      </c>
      <c r="L174" s="403">
        <f ca="1">+IF($B174="","",SUMIFS(INDIRECT("$K$7:K"&amp;ROW()),INDIRECT("$B$7:B"&amp;ROW()),Tableau15356789101112131625236923[[#This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2084011</v>
      </c>
      <c r="O174" s="368"/>
      <c r="P174" s="368"/>
      <c r="Q174" s="368"/>
    </row>
    <row r="175" spans="1:17" ht="15" x14ac:dyDescent="0.3">
      <c r="A175" s="514" t="s">
        <v>2660</v>
      </c>
      <c r="B175" s="392" t="s">
        <v>2678</v>
      </c>
      <c r="C175" s="507">
        <v>45974</v>
      </c>
      <c r="D175" s="436" t="s">
        <v>3233</v>
      </c>
      <c r="E175" s="437" t="s">
        <v>2815</v>
      </c>
      <c r="F175" s="397" t="s">
        <v>3257</v>
      </c>
      <c r="G175" s="397"/>
      <c r="H175" s="524"/>
      <c r="I175" s="403"/>
      <c r="J175" s="403">
        <v>3030</v>
      </c>
      <c r="K175" s="491">
        <f ca="1">+IF('[3]BROUILLARD DE CAISSE '!$C175="","",SUMIFS(INDIRECT("$K$7:K"&amp;ROW()),INDIRECT("$D$7:D"&amp;ROW()),"="&amp;"Report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2002181</v>
      </c>
      <c r="L175" s="403">
        <f ca="1">+IF($B175="","",SUMIFS(INDIRECT("$K$7:K"&amp;ROW()),INDIRECT("$B$7:B"&amp;ROW()),Tableau15356789101112131625236923[[#This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2080981</v>
      </c>
      <c r="O175" s="368"/>
      <c r="P175" s="368"/>
      <c r="Q175" s="368"/>
    </row>
    <row r="176" spans="1:17" ht="15" x14ac:dyDescent="0.3">
      <c r="A176" s="514" t="s">
        <v>2660</v>
      </c>
      <c r="B176" s="392" t="s">
        <v>2678</v>
      </c>
      <c r="C176" s="507">
        <v>45974</v>
      </c>
      <c r="D176" s="436" t="s">
        <v>3233</v>
      </c>
      <c r="E176" s="395" t="s">
        <v>2694</v>
      </c>
      <c r="F176" s="397" t="s">
        <v>3258</v>
      </c>
      <c r="G176" s="397"/>
      <c r="H176" s="524"/>
      <c r="I176" s="403"/>
      <c r="J176" s="403">
        <v>116000</v>
      </c>
      <c r="K176" s="491">
        <f ca="1">+IF('[3]BROUILLARD DE CAISSE '!$C176="","",SUMIFS(INDIRECT("$K$7:K"&amp;ROW()),INDIRECT("$D$7:D"&amp;ROW()),"="&amp;"Report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1886181</v>
      </c>
      <c r="L176" s="403">
        <f ca="1">+IF($B176="","",SUMIFS(INDIRECT("$K$7:K"&amp;ROW()),INDIRECT("$B$7:B"&amp;ROW()),Tableau15356789101112131625236923[[#This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1964981</v>
      </c>
      <c r="O176" s="368"/>
      <c r="P176" s="368"/>
      <c r="Q176" s="368"/>
    </row>
    <row r="177" spans="1:17" ht="15" x14ac:dyDescent="0.3">
      <c r="A177" s="514" t="s">
        <v>2660</v>
      </c>
      <c r="B177" s="392" t="s">
        <v>2678</v>
      </c>
      <c r="C177" s="507">
        <v>45974</v>
      </c>
      <c r="D177" s="436" t="s">
        <v>3233</v>
      </c>
      <c r="E177" s="437" t="s">
        <v>3122</v>
      </c>
      <c r="F177" s="397" t="s">
        <v>3259</v>
      </c>
      <c r="G177" s="397"/>
      <c r="H177" s="524" t="s">
        <v>2729</v>
      </c>
      <c r="I177" s="403"/>
      <c r="J177" s="403">
        <v>101000</v>
      </c>
      <c r="K177" s="491">
        <f ca="1">+IF('[3]BROUILLARD DE CAISSE '!$C177="","",SUMIFS(INDIRECT("$K$7:K"&amp;ROW()),INDIRECT("$D$7:D"&amp;ROW()),"="&amp;"Report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1785181</v>
      </c>
      <c r="L177" s="403">
        <f ca="1">+IF($B177="","",SUMIFS(INDIRECT("$K$7:K"&amp;ROW()),INDIRECT("$B$7:B"&amp;ROW()),Tableau15356789101112131625236923[[#This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1863981</v>
      </c>
      <c r="O177" s="368"/>
      <c r="P177" s="368"/>
      <c r="Q177" s="368"/>
    </row>
    <row r="178" spans="1:17" ht="15" x14ac:dyDescent="0.3">
      <c r="A178" s="514" t="s">
        <v>2660</v>
      </c>
      <c r="B178" s="392" t="s">
        <v>2678</v>
      </c>
      <c r="C178" s="507">
        <v>45974</v>
      </c>
      <c r="D178" s="436" t="s">
        <v>3233</v>
      </c>
      <c r="E178" s="437" t="s">
        <v>3260</v>
      </c>
      <c r="F178" s="397" t="s">
        <v>3261</v>
      </c>
      <c r="G178" s="397"/>
      <c r="H178" s="524"/>
      <c r="I178" s="403"/>
      <c r="J178" s="403">
        <v>210000</v>
      </c>
      <c r="K178" s="491">
        <f ca="1">+IF('[3]BROUILLARD DE CAISSE '!$C178="","",SUMIFS(INDIRECT("$K$7:K"&amp;ROW()),INDIRECT("$D$7:D"&amp;ROW()),"="&amp;"Report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1575181</v>
      </c>
      <c r="L178" s="403">
        <f ca="1">+IF($B178="","",SUMIFS(INDIRECT("$K$7:K"&amp;ROW()),INDIRECT("$B$7:B"&amp;ROW()),Tableau15356789101112131625236923[[#This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1653981</v>
      </c>
      <c r="O178" s="368"/>
      <c r="P178" s="368"/>
      <c r="Q178" s="368"/>
    </row>
    <row r="179" spans="1:17" ht="15" x14ac:dyDescent="0.3">
      <c r="A179" s="514" t="s">
        <v>2660</v>
      </c>
      <c r="B179" s="392" t="s">
        <v>2678</v>
      </c>
      <c r="C179" s="507">
        <v>45975</v>
      </c>
      <c r="D179" s="436" t="s">
        <v>3233</v>
      </c>
      <c r="E179" s="437" t="s">
        <v>2815</v>
      </c>
      <c r="F179" s="397" t="s">
        <v>3262</v>
      </c>
      <c r="G179" s="397"/>
      <c r="H179" s="524"/>
      <c r="I179" s="403"/>
      <c r="J179" s="403">
        <v>2525</v>
      </c>
      <c r="K179" s="491">
        <f ca="1">+IF('[3]BROUILLARD DE CAISSE '!$C179="","",SUMIFS(INDIRECT("$K$7:K"&amp;ROW()),INDIRECT("$D$7:D"&amp;ROW()),"="&amp;"Report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1572656</v>
      </c>
      <c r="L179" s="403">
        <f ca="1">+IF($B179="","",SUMIFS(INDIRECT("$K$7:K"&amp;ROW()),INDIRECT("$B$7:B"&amp;ROW()),Tableau15356789101112131625236923[[#This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1651456</v>
      </c>
      <c r="O179" s="368"/>
      <c r="P179" s="368"/>
      <c r="Q179" s="368"/>
    </row>
    <row r="180" spans="1:17" ht="15" x14ac:dyDescent="0.3">
      <c r="A180" s="514" t="s">
        <v>2660</v>
      </c>
      <c r="B180" s="392" t="s">
        <v>2678</v>
      </c>
      <c r="C180" s="507">
        <v>45975</v>
      </c>
      <c r="D180" s="436" t="s">
        <v>3233</v>
      </c>
      <c r="E180" s="437" t="s">
        <v>3263</v>
      </c>
      <c r="F180" s="397" t="s">
        <v>3264</v>
      </c>
      <c r="G180" s="397"/>
      <c r="H180" s="524"/>
      <c r="I180" s="403"/>
      <c r="J180" s="403">
        <v>3030</v>
      </c>
      <c r="K180" s="491">
        <f ca="1">+IF('[3]BROUILLARD DE CAISSE '!$C180="","",SUMIFS(INDIRECT("$K$7:K"&amp;ROW()),INDIRECT("$D$7:D"&amp;ROW()),"="&amp;"Report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1569626</v>
      </c>
      <c r="L180" s="403">
        <f ca="1">+IF($B180="","",SUMIFS(INDIRECT("$K$7:K"&amp;ROW()),INDIRECT("$B$7:B"&amp;ROW()),Tableau15356789101112131625236923[[#This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1648426</v>
      </c>
      <c r="O180" s="368"/>
      <c r="P180" s="368"/>
      <c r="Q180" s="368"/>
    </row>
    <row r="181" spans="1:17" ht="15" x14ac:dyDescent="0.3">
      <c r="A181" s="514" t="s">
        <v>2660</v>
      </c>
      <c r="B181" s="392" t="s">
        <v>2678</v>
      </c>
      <c r="C181" s="507">
        <v>45975</v>
      </c>
      <c r="D181" s="436" t="s">
        <v>3233</v>
      </c>
      <c r="E181" s="437" t="s">
        <v>3265</v>
      </c>
      <c r="F181" s="397" t="s">
        <v>3266</v>
      </c>
      <c r="G181" s="397"/>
      <c r="H181" s="524"/>
      <c r="I181" s="403"/>
      <c r="J181" s="403">
        <v>140000</v>
      </c>
      <c r="K181" s="491">
        <f ca="1">+IF('[3]BROUILLARD DE CAISSE '!$C181="","",SUMIFS(INDIRECT("$K$7:K"&amp;ROW()),INDIRECT("$D$7:D"&amp;ROW()),"="&amp;"Report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1429626</v>
      </c>
      <c r="L181" s="403">
        <f ca="1">+IF($B181="","",SUMIFS(INDIRECT("$K$7:K"&amp;ROW()),INDIRECT("$B$7:B"&amp;ROW()),Tableau15356789101112131625236923[[#This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1508426</v>
      </c>
      <c r="O181" s="368"/>
      <c r="P181" s="368"/>
      <c r="Q181" s="368"/>
    </row>
    <row r="182" spans="1:17" ht="15" x14ac:dyDescent="0.3">
      <c r="A182" s="514" t="s">
        <v>2660</v>
      </c>
      <c r="B182" s="392" t="s">
        <v>2678</v>
      </c>
      <c r="C182" s="507">
        <v>45975</v>
      </c>
      <c r="D182" s="436" t="s">
        <v>3233</v>
      </c>
      <c r="E182" s="437" t="s">
        <v>2881</v>
      </c>
      <c r="F182" s="397" t="s">
        <v>3266</v>
      </c>
      <c r="G182" s="397"/>
      <c r="H182" s="524"/>
      <c r="I182" s="403"/>
      <c r="J182" s="403">
        <v>140000</v>
      </c>
      <c r="K182" s="491">
        <f ca="1">+IF('[3]BROUILLARD DE CAISSE '!$C182="","",SUMIFS(INDIRECT("$K$7:K"&amp;ROW()),INDIRECT("$D$7:D"&amp;ROW()),"="&amp;"Report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1289626</v>
      </c>
      <c r="L182" s="403">
        <f ca="1">+IF($B182="","",SUMIFS(INDIRECT("$K$7:K"&amp;ROW()),INDIRECT("$B$7:B"&amp;ROW()),Tableau15356789101112131625236923[[#This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1368426</v>
      </c>
      <c r="O182" s="368"/>
      <c r="P182" s="368"/>
      <c r="Q182" s="368"/>
    </row>
    <row r="183" spans="1:17" ht="15" x14ac:dyDescent="0.3">
      <c r="A183" s="514" t="s">
        <v>2660</v>
      </c>
      <c r="B183" s="392" t="s">
        <v>2678</v>
      </c>
      <c r="C183" s="507">
        <v>45975</v>
      </c>
      <c r="D183" s="436" t="s">
        <v>3233</v>
      </c>
      <c r="E183" s="437" t="s">
        <v>3267</v>
      </c>
      <c r="F183" s="397" t="s">
        <v>3266</v>
      </c>
      <c r="G183" s="397"/>
      <c r="H183" s="524"/>
      <c r="I183" s="403"/>
      <c r="J183" s="403">
        <v>140000</v>
      </c>
      <c r="K183" s="491">
        <f ca="1">+IF('[3]BROUILLARD DE CAISSE '!$C183="","",SUMIFS(INDIRECT("$K$7:K"&amp;ROW()),INDIRECT("$D$7:D"&amp;ROW()),"="&amp;"Report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1149626</v>
      </c>
      <c r="L183" s="403">
        <f ca="1">+IF($B183="","",SUMIFS(INDIRECT("$K$7:K"&amp;ROW()),INDIRECT("$B$7:B"&amp;ROW()),Tableau15356789101112131625236923[[#This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1228426</v>
      </c>
      <c r="O183" s="368"/>
      <c r="P183" s="368"/>
      <c r="Q183" s="368"/>
    </row>
    <row r="184" spans="1:17" ht="15" x14ac:dyDescent="0.3">
      <c r="A184" s="514" t="s">
        <v>2660</v>
      </c>
      <c r="B184" s="392" t="s">
        <v>2678</v>
      </c>
      <c r="C184" s="507">
        <v>45975</v>
      </c>
      <c r="D184" s="436" t="s">
        <v>3233</v>
      </c>
      <c r="E184" s="437" t="s">
        <v>2883</v>
      </c>
      <c r="F184" s="397" t="s">
        <v>3266</v>
      </c>
      <c r="G184" s="397"/>
      <c r="H184" s="524"/>
      <c r="I184" s="403"/>
      <c r="J184" s="403">
        <v>140000</v>
      </c>
      <c r="K184" s="491">
        <f ca="1">+IF('[3]BROUILLARD DE CAISSE '!$C184="","",SUMIFS(INDIRECT("$K$7:K"&amp;ROW()),INDIRECT("$D$7:D"&amp;ROW()),"="&amp;"Report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1009626</v>
      </c>
      <c r="L184" s="403">
        <f ca="1">+IF($B184="","",SUMIFS(INDIRECT("$K$7:K"&amp;ROW()),INDIRECT("$B$7:B"&amp;ROW()),Tableau15356789101112131625236923[[#This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1088426</v>
      </c>
      <c r="O184" s="368"/>
      <c r="P184" s="368"/>
      <c r="Q184" s="368"/>
    </row>
    <row r="185" spans="1:17" ht="15" x14ac:dyDescent="0.3">
      <c r="A185" s="514" t="s">
        <v>2660</v>
      </c>
      <c r="B185" s="392" t="s">
        <v>2678</v>
      </c>
      <c r="C185" s="507">
        <v>45975</v>
      </c>
      <c r="D185" s="436" t="s">
        <v>3233</v>
      </c>
      <c r="E185" s="437" t="s">
        <v>2863</v>
      </c>
      <c r="F185" s="397" t="s">
        <v>3268</v>
      </c>
      <c r="G185" s="397"/>
      <c r="H185" s="524" t="s">
        <v>2698</v>
      </c>
      <c r="I185" s="403"/>
      <c r="J185" s="403">
        <v>58580</v>
      </c>
      <c r="K185" s="491">
        <f ca="1">+IF('[3]BROUILLARD DE CAISSE '!$C185="","",SUMIFS(INDIRECT("$K$7:K"&amp;ROW()),INDIRECT("$D$7:D"&amp;ROW()),"="&amp;"Report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951046</v>
      </c>
      <c r="L185" s="403">
        <f ca="1">+IF($B185="","",SUMIFS(INDIRECT("$K$7:K"&amp;ROW()),INDIRECT("$B$7:B"&amp;ROW()),Tableau15356789101112131625236923[[#This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1029846</v>
      </c>
      <c r="O185" s="368"/>
      <c r="P185" s="368"/>
      <c r="Q185" s="368"/>
    </row>
    <row r="186" spans="1:17" ht="15" x14ac:dyDescent="0.3">
      <c r="A186" s="514" t="s">
        <v>2660</v>
      </c>
      <c r="B186" s="392" t="s">
        <v>2678</v>
      </c>
      <c r="C186" s="507">
        <v>45975</v>
      </c>
      <c r="D186" s="436" t="s">
        <v>3233</v>
      </c>
      <c r="E186" s="437" t="s">
        <v>2815</v>
      </c>
      <c r="F186" s="397" t="s">
        <v>3269</v>
      </c>
      <c r="G186" s="397"/>
      <c r="H186" s="524"/>
      <c r="I186" s="403"/>
      <c r="J186" s="403">
        <v>2000</v>
      </c>
      <c r="K186" s="491">
        <f ca="1">+IF('[3]BROUILLARD DE CAISSE '!$C186="","",SUMIFS(INDIRECT("$K$7:K"&amp;ROW()),INDIRECT("$D$7:D"&amp;ROW()),"="&amp;"Report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949046</v>
      </c>
      <c r="L186" s="403">
        <f ca="1">+IF($B186="","",SUMIFS(INDIRECT("$K$7:K"&amp;ROW()),INDIRECT("$B$7:B"&amp;ROW()),Tableau15356789101112131625236923[[#This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1027846</v>
      </c>
      <c r="O186" s="368"/>
      <c r="P186" s="368"/>
      <c r="Q186" s="368"/>
    </row>
    <row r="187" spans="1:17" s="423" customFormat="1" ht="15" x14ac:dyDescent="0.3">
      <c r="A187" s="505" t="s">
        <v>2660</v>
      </c>
      <c r="B187" s="486" t="s">
        <v>2678</v>
      </c>
      <c r="C187" s="507">
        <v>45975</v>
      </c>
      <c r="D187" s="453" t="s">
        <v>3233</v>
      </c>
      <c r="E187" s="459" t="s">
        <v>3270</v>
      </c>
      <c r="F187" s="454" t="s">
        <v>3271</v>
      </c>
      <c r="G187" s="454"/>
      <c r="H187" s="531" t="s">
        <v>3120</v>
      </c>
      <c r="I187" s="456"/>
      <c r="J187" s="456">
        <v>34090</v>
      </c>
      <c r="K187" s="491">
        <f ca="1">+IF('[3]BROUILLARD DE CAISSE '!$C187="","",SUMIFS(INDIRECT("$K$7:K"&amp;ROW()),INDIRECT("$D$7:D"&amp;ROW()),"="&amp;"Report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914956</v>
      </c>
      <c r="L187" s="456">
        <f ca="1">+IF($B187="","",SUMIFS(INDIRECT("$K$7:K"&amp;ROW()),INDIRECT("$B$7:B"&amp;ROW()),Tableau15356789101112131625236923[[#This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993756</v>
      </c>
    </row>
    <row r="188" spans="1:17" ht="15" x14ac:dyDescent="0.3">
      <c r="A188" s="514" t="s">
        <v>2660</v>
      </c>
      <c r="B188" s="392" t="s">
        <v>2678</v>
      </c>
      <c r="C188" s="507">
        <v>45975</v>
      </c>
      <c r="D188" s="436" t="s">
        <v>3233</v>
      </c>
      <c r="E188" s="395" t="s">
        <v>3206</v>
      </c>
      <c r="F188" s="397" t="s">
        <v>3272</v>
      </c>
      <c r="G188" s="397"/>
      <c r="H188" s="524"/>
      <c r="I188" s="403"/>
      <c r="J188" s="403">
        <v>4000</v>
      </c>
      <c r="K188" s="491">
        <f ca="1">+IF('[3]BROUILLARD DE CAISSE '!$C188="","",SUMIFS(INDIRECT("$K$7:K"&amp;ROW()),INDIRECT("$D$7:D"&amp;ROW()),"="&amp;"Report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910956</v>
      </c>
      <c r="L188" s="403">
        <f ca="1">+IF($B188="","",SUMIFS(INDIRECT("$K$7:K"&amp;ROW()),INDIRECT("$B$7:B"&amp;ROW()),Tableau15356789101112131625236923[[#This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989756</v>
      </c>
      <c r="O188" s="368"/>
      <c r="P188" s="368"/>
      <c r="Q188" s="368"/>
    </row>
    <row r="189" spans="1:17" ht="15" x14ac:dyDescent="0.3">
      <c r="A189" s="526" t="s">
        <v>2660</v>
      </c>
      <c r="B189" s="527" t="s">
        <v>2678</v>
      </c>
      <c r="C189" s="507">
        <v>45975</v>
      </c>
      <c r="D189" s="529" t="s">
        <v>3253</v>
      </c>
      <c r="E189" s="517" t="s">
        <v>2679</v>
      </c>
      <c r="F189" s="517" t="s">
        <v>3254</v>
      </c>
      <c r="G189" s="445"/>
      <c r="H189" s="530"/>
      <c r="I189" s="447">
        <v>1000000</v>
      </c>
      <c r="J189" s="447"/>
      <c r="K189" s="491">
        <f ca="1">+IF('[3]BROUILLARD DE CAISSE '!$C189="","",SUMIFS(INDIRECT("$K$7:K"&amp;ROW()),INDIRECT("$D$7:D"&amp;ROW()),"="&amp;"Report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1910956</v>
      </c>
      <c r="L189" s="447">
        <f ca="1">+IF($B189="","",SUMIFS(INDIRECT("$K$7:K"&amp;ROW()),INDIRECT("$B$7:B"&amp;ROW()),Tableau15356789101112131625236923[[#This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1989756</v>
      </c>
      <c r="O189" s="368"/>
      <c r="P189" s="368"/>
      <c r="Q189" s="368"/>
    </row>
    <row r="190" spans="1:17" ht="15" x14ac:dyDescent="0.3">
      <c r="A190" s="505" t="s">
        <v>2660</v>
      </c>
      <c r="B190" s="392" t="s">
        <v>2678</v>
      </c>
      <c r="C190" s="507">
        <v>45975</v>
      </c>
      <c r="D190" s="436" t="s">
        <v>3233</v>
      </c>
      <c r="E190" s="437" t="s">
        <v>2863</v>
      </c>
      <c r="F190" s="397" t="s">
        <v>3273</v>
      </c>
      <c r="G190" s="397"/>
      <c r="H190" s="524"/>
      <c r="I190" s="403"/>
      <c r="J190" s="403">
        <v>10100</v>
      </c>
      <c r="K190" s="491">
        <f ca="1">+IF('[3]BROUILLARD DE CAISSE '!$C190="","",SUMIFS(INDIRECT("$K$7:K"&amp;ROW()),INDIRECT("$D$7:D"&amp;ROW()),"="&amp;"Report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1900856</v>
      </c>
      <c r="L190" s="403">
        <f ca="1">+IF($B190="","",SUMIFS(INDIRECT("$K$7:K"&amp;ROW()),INDIRECT("$B$7:B"&amp;ROW()),Tableau15356789101112131625236923[[#This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1979656</v>
      </c>
      <c r="O190" s="368"/>
      <c r="P190" s="368"/>
      <c r="Q190" s="368"/>
    </row>
    <row r="191" spans="1:17" ht="15" x14ac:dyDescent="0.3">
      <c r="A191" s="505" t="s">
        <v>2660</v>
      </c>
      <c r="B191" s="392" t="s">
        <v>2678</v>
      </c>
      <c r="C191" s="507">
        <v>45975</v>
      </c>
      <c r="D191" s="436" t="s">
        <v>3233</v>
      </c>
      <c r="E191" s="437" t="s">
        <v>3122</v>
      </c>
      <c r="F191" s="397" t="s">
        <v>3274</v>
      </c>
      <c r="G191" s="397"/>
      <c r="H191" s="524"/>
      <c r="I191" s="403"/>
      <c r="J191" s="403">
        <v>52520</v>
      </c>
      <c r="K191" s="491">
        <f ca="1">+IF('[3]BROUILLARD DE CAISSE '!$C191="","",SUMIFS(INDIRECT("$K$7:K"&amp;ROW()),INDIRECT("$D$7:D"&amp;ROW()),"="&amp;"Report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1848336</v>
      </c>
      <c r="L191" s="403">
        <f ca="1">+IF($B191="","",SUMIFS(INDIRECT("$K$7:K"&amp;ROW()),INDIRECT("$B$7:B"&amp;ROW()),Tableau15356789101112131625236923[[#This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1927136</v>
      </c>
      <c r="O191" s="368"/>
      <c r="P191" s="368"/>
      <c r="Q191" s="368"/>
    </row>
    <row r="192" spans="1:17" ht="15" x14ac:dyDescent="0.3">
      <c r="A192" s="505" t="s">
        <v>2660</v>
      </c>
      <c r="B192" s="392" t="s">
        <v>2678</v>
      </c>
      <c r="C192" s="507">
        <v>45975</v>
      </c>
      <c r="D192" s="436" t="s">
        <v>3233</v>
      </c>
      <c r="E192" s="437" t="s">
        <v>3275</v>
      </c>
      <c r="F192" s="397" t="s">
        <v>3266</v>
      </c>
      <c r="G192" s="397"/>
      <c r="H192" s="524"/>
      <c r="I192" s="403"/>
      <c r="J192" s="403">
        <v>140000</v>
      </c>
      <c r="K192" s="491">
        <f ca="1">+IF('[3]BROUILLARD DE CAISSE '!$C192="","",SUMIFS(INDIRECT("$K$7:K"&amp;ROW()),INDIRECT("$D$7:D"&amp;ROW()),"="&amp;"Report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1708336</v>
      </c>
      <c r="L192" s="403">
        <f ca="1">+IF($B192="","",SUMIFS(INDIRECT("$K$7:K"&amp;ROW()),INDIRECT("$B$7:B"&amp;ROW()),Tableau15356789101112131625236923[[#This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1787136</v>
      </c>
      <c r="O192" s="368"/>
      <c r="P192" s="368"/>
      <c r="Q192" s="368"/>
    </row>
    <row r="193" spans="1:17" ht="15" x14ac:dyDescent="0.3">
      <c r="A193" s="505" t="s">
        <v>2660</v>
      </c>
      <c r="B193" s="392" t="s">
        <v>2678</v>
      </c>
      <c r="C193" s="507">
        <v>45975</v>
      </c>
      <c r="D193" s="436" t="s">
        <v>3233</v>
      </c>
      <c r="E193" s="437" t="s">
        <v>3276</v>
      </c>
      <c r="F193" s="397" t="s">
        <v>3277</v>
      </c>
      <c r="G193" s="397"/>
      <c r="H193" s="524"/>
      <c r="I193" s="403"/>
      <c r="J193" s="403">
        <v>1000</v>
      </c>
      <c r="K193" s="491">
        <f ca="1">+IF('[3]BROUILLARD DE CAISSE '!$C193="","",SUMIFS(INDIRECT("$K$7:K"&amp;ROW()),INDIRECT("$D$7:D"&amp;ROW()),"="&amp;"Report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1707336</v>
      </c>
      <c r="L193" s="403">
        <f ca="1">+IF($B193="","",SUMIFS(INDIRECT("$K$7:K"&amp;ROW()),INDIRECT("$B$7:B"&amp;ROW()),Tableau15356789101112131625236923[[#This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1786136</v>
      </c>
      <c r="O193" s="368"/>
      <c r="P193" s="368"/>
      <c r="Q193" s="368"/>
    </row>
    <row r="194" spans="1:17" ht="15" x14ac:dyDescent="0.3">
      <c r="A194" s="505" t="s">
        <v>2660</v>
      </c>
      <c r="B194" s="392" t="s">
        <v>2678</v>
      </c>
      <c r="C194" s="507">
        <v>45975</v>
      </c>
      <c r="D194" s="436" t="s">
        <v>3233</v>
      </c>
      <c r="E194" s="437" t="s">
        <v>2710</v>
      </c>
      <c r="F194" s="397" t="s">
        <v>3278</v>
      </c>
      <c r="G194" s="397"/>
      <c r="H194" s="524"/>
      <c r="I194" s="403"/>
      <c r="J194" s="403">
        <v>161600</v>
      </c>
      <c r="K194" s="491">
        <f ca="1">+IF('[3]BROUILLARD DE CAISSE '!$C194="","",SUMIFS(INDIRECT("$K$7:K"&amp;ROW()),INDIRECT("$D$7:D"&amp;ROW()),"="&amp;"Report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1545736</v>
      </c>
      <c r="L194" s="403">
        <f ca="1">+IF($B194="","",SUMIFS(INDIRECT("$K$7:K"&amp;ROW()),INDIRECT("$B$7:B"&amp;ROW()),Tableau15356789101112131625236923[[#This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1624536</v>
      </c>
      <c r="O194" s="368"/>
      <c r="P194" s="368"/>
      <c r="Q194" s="368"/>
    </row>
    <row r="195" spans="1:17" ht="15" x14ac:dyDescent="0.3">
      <c r="A195" s="505" t="s">
        <v>2660</v>
      </c>
      <c r="B195" s="392" t="s">
        <v>2678</v>
      </c>
      <c r="C195" s="507">
        <v>45975</v>
      </c>
      <c r="D195" s="436" t="s">
        <v>3233</v>
      </c>
      <c r="E195" s="437" t="s">
        <v>2810</v>
      </c>
      <c r="F195" s="397" t="s">
        <v>3279</v>
      </c>
      <c r="G195" s="397"/>
      <c r="H195" s="524" t="s">
        <v>2811</v>
      </c>
      <c r="I195" s="403"/>
      <c r="J195" s="403">
        <v>219675</v>
      </c>
      <c r="K195" s="491">
        <f ca="1">+IF('[3]BROUILLARD DE CAISSE '!$C195="","",SUMIFS(INDIRECT("$K$7:K"&amp;ROW()),INDIRECT("$D$7:D"&amp;ROW()),"="&amp;"Report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1326061</v>
      </c>
      <c r="L195" s="403">
        <f ca="1">+IF($B195="","",SUMIFS(INDIRECT("$K$7:K"&amp;ROW()),INDIRECT("$B$7:B"&amp;ROW()),Tableau15356789101112131625236923[[#This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1404861</v>
      </c>
      <c r="O195" s="368"/>
      <c r="P195" s="368"/>
      <c r="Q195" s="368"/>
    </row>
    <row r="196" spans="1:17" ht="15" x14ac:dyDescent="0.3">
      <c r="A196" s="505" t="s">
        <v>2660</v>
      </c>
      <c r="B196" s="392" t="s">
        <v>2678</v>
      </c>
      <c r="C196" s="507">
        <v>45975</v>
      </c>
      <c r="D196" s="436" t="s">
        <v>3233</v>
      </c>
      <c r="E196" s="437" t="s">
        <v>2753</v>
      </c>
      <c r="F196" s="397" t="s">
        <v>3280</v>
      </c>
      <c r="G196" s="397"/>
      <c r="H196" s="524" t="s">
        <v>2876</v>
      </c>
      <c r="I196" s="403"/>
      <c r="J196" s="403">
        <v>45450</v>
      </c>
      <c r="K196" s="491">
        <f ca="1">+IF('[3]BROUILLARD DE CAISSE '!$C196="","",SUMIFS(INDIRECT("$K$7:K"&amp;ROW()),INDIRECT("$D$7:D"&amp;ROW()),"="&amp;"Report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1280611</v>
      </c>
      <c r="L196" s="403">
        <f ca="1">+IF($B196="","",SUMIFS(INDIRECT("$K$7:K"&amp;ROW()),INDIRECT("$B$7:B"&amp;ROW()),Tableau15356789101112131625236923[[#This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1359411</v>
      </c>
      <c r="O196" s="368"/>
      <c r="P196" s="368"/>
      <c r="Q196" s="368"/>
    </row>
    <row r="197" spans="1:17" ht="15" x14ac:dyDescent="0.3">
      <c r="A197" s="505" t="s">
        <v>2660</v>
      </c>
      <c r="B197" s="392" t="s">
        <v>2678</v>
      </c>
      <c r="C197" s="507">
        <v>45975</v>
      </c>
      <c r="D197" s="436" t="s">
        <v>3233</v>
      </c>
      <c r="E197" s="437" t="s">
        <v>3281</v>
      </c>
      <c r="F197" s="397" t="s">
        <v>3282</v>
      </c>
      <c r="G197" s="397"/>
      <c r="H197" s="524"/>
      <c r="I197" s="403"/>
      <c r="J197" s="403">
        <v>45450</v>
      </c>
      <c r="K197" s="491">
        <f ca="1">+IF('[3]BROUILLARD DE CAISSE '!$C197="","",SUMIFS(INDIRECT("$K$7:K"&amp;ROW()),INDIRECT("$D$7:D"&amp;ROW()),"="&amp;"Report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1235161</v>
      </c>
      <c r="L197" s="403">
        <f ca="1">+IF($B197="","",SUMIFS(INDIRECT("$K$7:K"&amp;ROW()),INDIRECT("$B$7:B"&amp;ROW()),Tableau15356789101112131625236923[[#This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1313961</v>
      </c>
      <c r="O197" s="368"/>
      <c r="P197" s="368"/>
      <c r="Q197" s="368"/>
    </row>
    <row r="198" spans="1:17" ht="15" x14ac:dyDescent="0.3">
      <c r="A198" s="505" t="s">
        <v>2660</v>
      </c>
      <c r="B198" s="392" t="s">
        <v>2678</v>
      </c>
      <c r="C198" s="507">
        <v>45975</v>
      </c>
      <c r="D198" s="436" t="s">
        <v>3233</v>
      </c>
      <c r="E198" s="437" t="s">
        <v>3283</v>
      </c>
      <c r="F198" s="397" t="s">
        <v>3284</v>
      </c>
      <c r="G198" s="397"/>
      <c r="H198" s="524" t="s">
        <v>2876</v>
      </c>
      <c r="I198" s="403"/>
      <c r="J198" s="403">
        <v>15150</v>
      </c>
      <c r="K198" s="491">
        <f ca="1">+IF('[3]BROUILLARD DE CAISSE '!$C198="","",SUMIFS(INDIRECT("$K$7:K"&amp;ROW()),INDIRECT("$D$7:D"&amp;ROW()),"="&amp;"Report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1220011</v>
      </c>
      <c r="L198" s="403">
        <f ca="1">+IF($B198="","",SUMIFS(INDIRECT("$K$7:K"&amp;ROW()),INDIRECT("$B$7:B"&amp;ROW()),Tableau15356789101112131625236923[[#This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1298811</v>
      </c>
      <c r="O198" s="368"/>
      <c r="P198" s="368"/>
      <c r="Q198" s="368"/>
    </row>
    <row r="199" spans="1:17" s="423" customFormat="1" ht="15" x14ac:dyDescent="0.3">
      <c r="A199" s="505" t="s">
        <v>2660</v>
      </c>
      <c r="B199" s="486" t="s">
        <v>2678</v>
      </c>
      <c r="C199" s="507">
        <v>45975</v>
      </c>
      <c r="D199" s="453" t="s">
        <v>3233</v>
      </c>
      <c r="E199" s="459" t="s">
        <v>2813</v>
      </c>
      <c r="F199" s="454" t="s">
        <v>3285</v>
      </c>
      <c r="G199" s="454"/>
      <c r="H199" s="531"/>
      <c r="I199" s="456"/>
      <c r="J199" s="456">
        <v>50500</v>
      </c>
      <c r="K199" s="491">
        <f ca="1">+IF('[3]BROUILLARD DE CAISSE '!$C199="","",SUMIFS(INDIRECT("$K$7:K"&amp;ROW()),INDIRECT("$D$7:D"&amp;ROW()),"="&amp;"Report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1169511</v>
      </c>
      <c r="L199" s="456">
        <f ca="1">+IF($B199="","",SUMIFS(INDIRECT("$K$7:K"&amp;ROW()),INDIRECT("$B$7:B"&amp;ROW()),Tableau15356789101112131625236923[[#This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1248311</v>
      </c>
    </row>
    <row r="200" spans="1:17" ht="15" x14ac:dyDescent="0.3">
      <c r="A200" s="505" t="s">
        <v>2660</v>
      </c>
      <c r="B200" s="392" t="s">
        <v>2678</v>
      </c>
      <c r="C200" s="507">
        <v>45976</v>
      </c>
      <c r="D200" s="436" t="s">
        <v>3233</v>
      </c>
      <c r="E200" s="437" t="s">
        <v>3283</v>
      </c>
      <c r="F200" s="397" t="s">
        <v>3286</v>
      </c>
      <c r="G200" s="397"/>
      <c r="H200" s="524" t="s">
        <v>2876</v>
      </c>
      <c r="I200" s="403"/>
      <c r="J200" s="403">
        <v>151500</v>
      </c>
      <c r="K200" s="491">
        <f ca="1">+IF('[3]BROUILLARD DE CAISSE '!$C200="","",SUMIFS(INDIRECT("$K$7:K"&amp;ROW()),INDIRECT("$D$7:D"&amp;ROW()),"="&amp;"Report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1018011</v>
      </c>
      <c r="L200" s="403">
        <f ca="1">+IF($B200="","",SUMIFS(INDIRECT("$K$7:K"&amp;ROW()),INDIRECT("$B$7:B"&amp;ROW()),Tableau15356789101112131625236923[[#This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1096811</v>
      </c>
      <c r="O200" s="368"/>
      <c r="P200" s="368"/>
      <c r="Q200" s="368"/>
    </row>
    <row r="201" spans="1:17" ht="15" x14ac:dyDescent="0.3">
      <c r="A201" s="526" t="s">
        <v>2660</v>
      </c>
      <c r="B201" s="527" t="s">
        <v>2678</v>
      </c>
      <c r="C201" s="507">
        <v>45976</v>
      </c>
      <c r="D201" s="529" t="s">
        <v>3253</v>
      </c>
      <c r="E201" s="517" t="s">
        <v>2679</v>
      </c>
      <c r="F201" s="517" t="s">
        <v>3254</v>
      </c>
      <c r="G201" s="445"/>
      <c r="H201" s="530"/>
      <c r="I201" s="447">
        <v>1000000</v>
      </c>
      <c r="J201" s="447"/>
      <c r="K201" s="491">
        <f ca="1">+IF('[3]BROUILLARD DE CAISSE '!$C201="","",SUMIFS(INDIRECT("$K$7:K"&amp;ROW()),INDIRECT("$D$7:D"&amp;ROW()),"="&amp;"Report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2018011</v>
      </c>
      <c r="L201" s="447">
        <f ca="1">+IF($B201="","",SUMIFS(INDIRECT("$K$7:K"&amp;ROW()),INDIRECT("$B$7:B"&amp;ROW()),Tableau15356789101112131625236923[[#This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2096811</v>
      </c>
      <c r="O201" s="368"/>
      <c r="P201" s="368"/>
      <c r="Q201" s="368"/>
    </row>
    <row r="202" spans="1:17" ht="15" x14ac:dyDescent="0.3">
      <c r="A202" s="505" t="s">
        <v>2660</v>
      </c>
      <c r="B202" s="392" t="s">
        <v>2678</v>
      </c>
      <c r="C202" s="507">
        <v>45976</v>
      </c>
      <c r="D202" s="436" t="s">
        <v>3233</v>
      </c>
      <c r="E202" s="408" t="s">
        <v>2679</v>
      </c>
      <c r="F202" s="397" t="s">
        <v>2258</v>
      </c>
      <c r="G202" s="397"/>
      <c r="H202" s="524"/>
      <c r="I202" s="403"/>
      <c r="J202" s="403">
        <v>9900</v>
      </c>
      <c r="K202" s="491">
        <f ca="1">+IF('[3]BROUILLARD DE CAISSE '!$C202="","",SUMIFS(INDIRECT("$K$7:K"&amp;ROW()),INDIRECT("$D$7:D"&amp;ROW()),"="&amp;"Report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2008111</v>
      </c>
      <c r="L202" s="403">
        <f ca="1">+IF($B202="","",SUMIFS(INDIRECT("$K$7:K"&amp;ROW()),INDIRECT("$B$7:B"&amp;ROW()),Tableau15356789101112131625236923[[#This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2086911</v>
      </c>
      <c r="O202" s="368"/>
      <c r="P202" s="368"/>
      <c r="Q202" s="368"/>
    </row>
    <row r="203" spans="1:17" ht="15" x14ac:dyDescent="0.3">
      <c r="A203" s="505" t="s">
        <v>2660</v>
      </c>
      <c r="B203" s="392" t="s">
        <v>2678</v>
      </c>
      <c r="C203" s="507">
        <v>45976</v>
      </c>
      <c r="D203" s="436" t="s">
        <v>3233</v>
      </c>
      <c r="E203" s="437" t="s">
        <v>3122</v>
      </c>
      <c r="F203" s="397" t="s">
        <v>3287</v>
      </c>
      <c r="G203" s="397"/>
      <c r="H203" s="524"/>
      <c r="I203" s="403"/>
      <c r="J203" s="403">
        <v>313100</v>
      </c>
      <c r="K203" s="491">
        <f ca="1">+IF('[3]BROUILLARD DE CAISSE '!$C203="","",SUMIFS(INDIRECT("$K$7:K"&amp;ROW()),INDIRECT("$D$7:D"&amp;ROW()),"="&amp;"Report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1695011</v>
      </c>
      <c r="L203" s="403">
        <f ca="1">+IF($B203="","",SUMIFS(INDIRECT("$K$7:K"&amp;ROW()),INDIRECT("$B$7:B"&amp;ROW()),Tableau15356789101112131625236923[[#This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1773811</v>
      </c>
      <c r="O203" s="368"/>
      <c r="P203" s="368"/>
      <c r="Q203" s="368"/>
    </row>
    <row r="204" spans="1:17" s="423" customFormat="1" ht="15" x14ac:dyDescent="0.3">
      <c r="A204" s="505" t="s">
        <v>2660</v>
      </c>
      <c r="B204" s="486" t="s">
        <v>2678</v>
      </c>
      <c r="C204" s="507">
        <v>45976</v>
      </c>
      <c r="D204" s="453" t="s">
        <v>3233</v>
      </c>
      <c r="E204" s="459" t="s">
        <v>2794</v>
      </c>
      <c r="F204" s="454" t="s">
        <v>3288</v>
      </c>
      <c r="G204" s="454"/>
      <c r="H204" s="531"/>
      <c r="I204" s="456"/>
      <c r="J204" s="456">
        <v>40400</v>
      </c>
      <c r="K204" s="491">
        <f ca="1">+IF('[3]BROUILLARD DE CAISSE '!$C204="","",SUMIFS(INDIRECT("$K$7:K"&amp;ROW()),INDIRECT("$D$7:D"&amp;ROW()),"="&amp;"Report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1654611</v>
      </c>
      <c r="L204" s="456">
        <f ca="1">+IF($B204="","",SUMIFS(INDIRECT("$K$7:K"&amp;ROW()),INDIRECT("$B$7:B"&amp;ROW()),Tableau15356789101112131625236923[[#This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1733411</v>
      </c>
    </row>
    <row r="205" spans="1:17" ht="15" x14ac:dyDescent="0.3">
      <c r="A205" s="505" t="s">
        <v>2660</v>
      </c>
      <c r="B205" s="392" t="s">
        <v>2678</v>
      </c>
      <c r="C205" s="507">
        <v>45978</v>
      </c>
      <c r="D20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5" s="437" t="s">
        <v>2727</v>
      </c>
      <c r="F205" s="397" t="s">
        <v>3289</v>
      </c>
      <c r="G205" s="397"/>
      <c r="H205" s="524"/>
      <c r="I205" s="403"/>
      <c r="J205" s="403">
        <v>20200</v>
      </c>
      <c r="K205" s="491">
        <f ca="1">+IF('[3]BROUILLARD DE CAISSE '!$C205="","",SUMIFS(INDIRECT("$K$7:K"&amp;ROW()),INDIRECT("$D$7:D"&amp;ROW()),"="&amp;"Report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1634411</v>
      </c>
      <c r="L205" s="403">
        <f ca="1">+IF($B205="","",SUMIFS(INDIRECT("$K$7:K"&amp;ROW()),INDIRECT("$B$7:B"&amp;ROW()),Tableau15356789101112131625236923[[#This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1713211</v>
      </c>
      <c r="O205" s="368"/>
      <c r="P205" s="368"/>
      <c r="Q205" s="368"/>
    </row>
    <row r="206" spans="1:17" ht="15" x14ac:dyDescent="0.3">
      <c r="A206" s="505" t="s">
        <v>2660</v>
      </c>
      <c r="B206" s="392" t="s">
        <v>2678</v>
      </c>
      <c r="C206" s="507">
        <v>45978</v>
      </c>
      <c r="D20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6" s="437" t="s">
        <v>3112</v>
      </c>
      <c r="F206" s="397" t="s">
        <v>3290</v>
      </c>
      <c r="G206" s="397"/>
      <c r="H206" s="524" t="s">
        <v>3120</v>
      </c>
      <c r="I206" s="403"/>
      <c r="J206" s="403">
        <v>175000</v>
      </c>
      <c r="K206" s="491">
        <f ca="1">+IF('[3]BROUILLARD DE CAISSE '!$C206="","",SUMIFS(INDIRECT("$K$7:K"&amp;ROW()),INDIRECT("$D$7:D"&amp;ROW()),"="&amp;"Report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1459411</v>
      </c>
      <c r="L206" s="403">
        <f ca="1">+IF($B206="","",SUMIFS(INDIRECT("$K$7:K"&amp;ROW()),INDIRECT("$B$7:B"&amp;ROW()),Tableau15356789101112131625236923[[#This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1538211</v>
      </c>
      <c r="O206" s="368"/>
      <c r="P206" s="368"/>
      <c r="Q206" s="368"/>
    </row>
    <row r="207" spans="1:17" ht="15" x14ac:dyDescent="0.3">
      <c r="A207" s="505" t="s">
        <v>2660</v>
      </c>
      <c r="B207" s="392" t="s">
        <v>2678</v>
      </c>
      <c r="C207" s="507">
        <v>45978</v>
      </c>
      <c r="D207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7" s="437" t="s">
        <v>3122</v>
      </c>
      <c r="F207" s="397" t="s">
        <v>3291</v>
      </c>
      <c r="G207" s="397"/>
      <c r="H207" s="524" t="s">
        <v>2830</v>
      </c>
      <c r="I207" s="403"/>
      <c r="J207" s="403">
        <v>105040</v>
      </c>
      <c r="K207" s="491">
        <f ca="1">+IF('[3]BROUILLARD DE CAISSE '!$C207="","",SUMIFS(INDIRECT("$K$7:K"&amp;ROW()),INDIRECT("$D$7:D"&amp;ROW()),"="&amp;"Report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1354371</v>
      </c>
      <c r="L207" s="403">
        <f ca="1">+IF($B207="","",SUMIFS(INDIRECT("$K$7:K"&amp;ROW()),INDIRECT("$B$7:B"&amp;ROW()),Tableau15356789101112131625236923[[#This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1433171</v>
      </c>
      <c r="O207" s="368"/>
      <c r="P207" s="368"/>
      <c r="Q207" s="368"/>
    </row>
    <row r="208" spans="1:17" ht="15" x14ac:dyDescent="0.3">
      <c r="A208" s="505" t="s">
        <v>2660</v>
      </c>
      <c r="B208" s="392" t="s">
        <v>2678</v>
      </c>
      <c r="C208" s="507">
        <v>45978</v>
      </c>
      <c r="D20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8" s="437" t="s">
        <v>3043</v>
      </c>
      <c r="F208" s="397" t="s">
        <v>3292</v>
      </c>
      <c r="G208" s="397"/>
      <c r="H208" s="524" t="s">
        <v>2964</v>
      </c>
      <c r="I208" s="403"/>
      <c r="J208" s="403">
        <v>5000</v>
      </c>
      <c r="K208" s="491">
        <f ca="1">+IF('[3]BROUILLARD DE CAISSE '!$C208="","",SUMIFS(INDIRECT("$K$7:K"&amp;ROW()),INDIRECT("$D$7:D"&amp;ROW()),"="&amp;"Report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1349371</v>
      </c>
      <c r="L208" s="403">
        <f ca="1">+IF($B208="","",SUMIFS(INDIRECT("$K$7:K"&amp;ROW()),INDIRECT("$B$7:B"&amp;ROW()),Tableau15356789101112131625236923[[#This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1428171</v>
      </c>
      <c r="O208" s="368"/>
      <c r="P208" s="368"/>
      <c r="Q208" s="368"/>
    </row>
    <row r="209" spans="1:17" s="423" customFormat="1" ht="15" x14ac:dyDescent="0.3">
      <c r="A209" s="505" t="s">
        <v>2660</v>
      </c>
      <c r="B209" s="392" t="s">
        <v>2678</v>
      </c>
      <c r="C209" s="507">
        <v>45978</v>
      </c>
      <c r="D20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09" s="437" t="s">
        <v>3293</v>
      </c>
      <c r="F209" s="397" t="s">
        <v>3294</v>
      </c>
      <c r="G209" s="397"/>
      <c r="H209" s="524"/>
      <c r="I209" s="403"/>
      <c r="J209" s="403">
        <v>5000</v>
      </c>
      <c r="K209" s="491">
        <f ca="1">+IF('[3]BROUILLARD DE CAISSE '!$C209="","",SUMIFS(INDIRECT("$K$7:K"&amp;ROW()),INDIRECT("$D$7:D"&amp;ROW()),"="&amp;"Report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1344371</v>
      </c>
      <c r="L209" s="403">
        <f ca="1">+IF($B209="","",SUMIFS(INDIRECT("$K$7:K"&amp;ROW()),INDIRECT("$B$7:B"&amp;ROW()),Tableau15356789101112131625236923[[#This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1423171</v>
      </c>
    </row>
    <row r="210" spans="1:17" s="423" customFormat="1" ht="15" x14ac:dyDescent="0.3">
      <c r="A210" s="505" t="s">
        <v>2660</v>
      </c>
      <c r="B210" s="392" t="s">
        <v>2678</v>
      </c>
      <c r="C210" s="507">
        <v>45978</v>
      </c>
      <c r="D21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10" s="437" t="s">
        <v>3043</v>
      </c>
      <c r="F210" s="397" t="s">
        <v>3295</v>
      </c>
      <c r="G210" s="397"/>
      <c r="H210" s="524" t="s">
        <v>2964</v>
      </c>
      <c r="I210" s="403"/>
      <c r="J210" s="403">
        <v>10000</v>
      </c>
      <c r="K210" s="491">
        <f ca="1">+IF('[3]BROUILLARD DE CAISSE '!$C210="","",SUMIFS(INDIRECT("$K$7:K"&amp;ROW()),INDIRECT("$D$7:D"&amp;ROW()),"="&amp;"Report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1334371</v>
      </c>
      <c r="L210" s="403">
        <f ca="1">+IF($B210="","",SUMIFS(INDIRECT("$K$7:K"&amp;ROW()),INDIRECT("$B$7:B"&amp;ROW()),Tableau15356789101112131625236923[[#This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1413171</v>
      </c>
    </row>
    <row r="211" spans="1:17" s="412" customFormat="1" ht="15" x14ac:dyDescent="0.3">
      <c r="A211" s="505" t="s">
        <v>2660</v>
      </c>
      <c r="B211" s="515" t="s">
        <v>2678</v>
      </c>
      <c r="C211" s="507">
        <v>45978</v>
      </c>
      <c r="D211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11" s="440" t="s">
        <v>3296</v>
      </c>
      <c r="F211" s="409" t="s">
        <v>3297</v>
      </c>
      <c r="G211" s="409"/>
      <c r="H211" s="522"/>
      <c r="I211" s="414"/>
      <c r="J211" s="414">
        <v>15000</v>
      </c>
      <c r="K211" s="491">
        <f ca="1">+IF('[3]BROUILLARD DE CAISSE '!$C211="","",SUMIFS(INDIRECT("$K$7:K"&amp;ROW()),INDIRECT("$D$7:D"&amp;ROW()),"="&amp;"Report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1319371</v>
      </c>
      <c r="L211" s="414">
        <f ca="1">+IF($B211="","",SUMIFS(INDIRECT("$K$7:K"&amp;ROW()),INDIRECT("$B$7:B"&amp;ROW()),Tableau15356789101112131625236923[[#This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1398171</v>
      </c>
    </row>
    <row r="212" spans="1:17" ht="15" x14ac:dyDescent="0.3">
      <c r="A212" s="434" t="s">
        <v>2660</v>
      </c>
      <c r="B212" s="392" t="s">
        <v>2678</v>
      </c>
      <c r="C212" s="507">
        <v>45978</v>
      </c>
      <c r="D212" s="436" t="s">
        <v>3233</v>
      </c>
      <c r="E212" s="395" t="s">
        <v>3206</v>
      </c>
      <c r="F212" s="397" t="s">
        <v>3298</v>
      </c>
      <c r="G212" s="397"/>
      <c r="H212" s="524"/>
      <c r="I212" s="403"/>
      <c r="J212" s="403">
        <v>4000</v>
      </c>
      <c r="K212" s="491">
        <f ca="1">+IF('[3]BROUILLARD DE CAISSE '!$C212="","",SUMIFS(INDIRECT("$K$7:K"&amp;ROW()),INDIRECT("$D$7:D"&amp;ROW()),"="&amp;"Report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1315371</v>
      </c>
      <c r="L212" s="403">
        <f ca="1">+IF($B212="","",SUMIFS(INDIRECT("$K$7:K"&amp;ROW()),INDIRECT("$B$7:B"&amp;ROW()),Tableau15356789101112131625236923[[#This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1394171</v>
      </c>
      <c r="O212" s="368"/>
      <c r="P212" s="368"/>
      <c r="Q212" s="368"/>
    </row>
    <row r="213" spans="1:17" ht="15" x14ac:dyDescent="0.3">
      <c r="A213" s="434" t="s">
        <v>2660</v>
      </c>
      <c r="B213" s="392" t="s">
        <v>2678</v>
      </c>
      <c r="C213" s="507">
        <v>45978</v>
      </c>
      <c r="D213" s="436" t="s">
        <v>3233</v>
      </c>
      <c r="E213" s="437" t="s">
        <v>3299</v>
      </c>
      <c r="F213" s="397" t="s">
        <v>3266</v>
      </c>
      <c r="G213" s="397"/>
      <c r="H213" s="524"/>
      <c r="I213" s="403"/>
      <c r="J213" s="403">
        <v>140000</v>
      </c>
      <c r="K213" s="491">
        <f ca="1">+IF('[3]BROUILLARD DE CAISSE '!$C213="","",SUMIFS(INDIRECT("$K$7:K"&amp;ROW()),INDIRECT("$D$7:D"&amp;ROW()),"="&amp;"Report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1175371</v>
      </c>
      <c r="L213" s="403">
        <f ca="1">+IF($B213="","",SUMIFS(INDIRECT("$K$7:K"&amp;ROW()),INDIRECT("$B$7:B"&amp;ROW()),Tableau15356789101112131625236923[[#This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1254171</v>
      </c>
      <c r="O213" s="368"/>
      <c r="P213" s="368"/>
      <c r="Q213" s="368"/>
    </row>
    <row r="214" spans="1:17" ht="15" x14ac:dyDescent="0.3">
      <c r="A214" s="434" t="s">
        <v>2660</v>
      </c>
      <c r="B214" s="392" t="s">
        <v>2678</v>
      </c>
      <c r="C214" s="507">
        <v>45978</v>
      </c>
      <c r="D21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14" s="437" t="s">
        <v>3300</v>
      </c>
      <c r="F214" s="397" t="s">
        <v>3301</v>
      </c>
      <c r="G214" s="397"/>
      <c r="H214" s="524" t="s">
        <v>3120</v>
      </c>
      <c r="I214" s="403"/>
      <c r="J214" s="403">
        <v>20200</v>
      </c>
      <c r="K214" s="491">
        <f ca="1">+IF('[3]BROUILLARD DE CAISSE '!$C214="","",SUMIFS(INDIRECT("$K$7:K"&amp;ROW()),INDIRECT("$D$7:D"&amp;ROW()),"="&amp;"Report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1155171</v>
      </c>
      <c r="L214" s="403">
        <f ca="1">+IF($B214="","",SUMIFS(INDIRECT("$K$7:K"&amp;ROW()),INDIRECT("$B$7:B"&amp;ROW()),Tableau15356789101112131625236923[[#This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1233971</v>
      </c>
      <c r="O214" s="368"/>
      <c r="P214" s="368"/>
      <c r="Q214" s="368"/>
    </row>
    <row r="215" spans="1:17" s="423" customFormat="1" ht="15" x14ac:dyDescent="0.3">
      <c r="A215" s="532" t="s">
        <v>2660</v>
      </c>
      <c r="B215" s="486" t="s">
        <v>2678</v>
      </c>
      <c r="C215" s="507">
        <v>45978</v>
      </c>
      <c r="D215" s="45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215" s="459" t="s">
        <v>3302</v>
      </c>
      <c r="F215" s="454" t="s">
        <v>3303</v>
      </c>
      <c r="G215" s="454"/>
      <c r="H215" s="531" t="s">
        <v>3120</v>
      </c>
      <c r="I215" s="456"/>
      <c r="J215" s="456">
        <v>20200</v>
      </c>
      <c r="K215" s="491">
        <f ca="1">+IF('[3]BROUILLARD DE CAISSE '!$C215="","",SUMIFS(INDIRECT("$K$7:K"&amp;ROW()),INDIRECT("$D$7:D"&amp;ROW()),"="&amp;"Report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1134971</v>
      </c>
      <c r="L215" s="456">
        <f ca="1">+IF($B215="","",SUMIFS(INDIRECT("$K$7:K"&amp;ROW()),INDIRECT("$B$7:B"&amp;ROW()),Tableau15356789101112131625236923[[#This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1213771</v>
      </c>
    </row>
    <row r="216" spans="1:17" ht="15" x14ac:dyDescent="0.3">
      <c r="A216" s="434" t="s">
        <v>2660</v>
      </c>
      <c r="B216" s="392" t="s">
        <v>2678</v>
      </c>
      <c r="C216" s="507">
        <v>45978</v>
      </c>
      <c r="D216" s="436" t="s">
        <v>3233</v>
      </c>
      <c r="E216" s="437" t="s">
        <v>2727</v>
      </c>
      <c r="F216" s="397" t="s">
        <v>3304</v>
      </c>
      <c r="G216" s="397"/>
      <c r="H216" s="524"/>
      <c r="I216" s="403"/>
      <c r="J216" s="403">
        <v>10100</v>
      </c>
      <c r="K216" s="491">
        <f ca="1">+IF('[3]BROUILLARD DE CAISSE '!$C216="","",SUMIFS(INDIRECT("$K$7:K"&amp;ROW()),INDIRECT("$D$7:D"&amp;ROW()),"="&amp;"Report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1124871</v>
      </c>
      <c r="L216" s="403">
        <f ca="1">+IF($B216="","",SUMIFS(INDIRECT("$K$7:K"&amp;ROW()),INDIRECT("$B$7:B"&amp;ROW()),Tableau15356789101112131625236923[[#This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1203671</v>
      </c>
      <c r="O216" s="368"/>
      <c r="P216" s="368"/>
      <c r="Q216" s="368"/>
    </row>
    <row r="217" spans="1:17" ht="15" x14ac:dyDescent="0.3">
      <c r="A217" s="434" t="s">
        <v>2660</v>
      </c>
      <c r="B217" s="392" t="s">
        <v>2678</v>
      </c>
      <c r="C217" s="507">
        <v>45978</v>
      </c>
      <c r="D217" s="436" t="s">
        <v>3233</v>
      </c>
      <c r="E217" s="437" t="s">
        <v>3305</v>
      </c>
      <c r="F217" s="397" t="s">
        <v>3306</v>
      </c>
      <c r="G217" s="397"/>
      <c r="H217" s="524" t="s">
        <v>3114</v>
      </c>
      <c r="I217" s="403"/>
      <c r="J217" s="403">
        <v>15150</v>
      </c>
      <c r="K217" s="491">
        <f ca="1">+IF('[3]BROUILLARD DE CAISSE '!$C217="","",SUMIFS(INDIRECT("$K$7:K"&amp;ROW()),INDIRECT("$D$7:D"&amp;ROW()),"="&amp;"Report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1109721</v>
      </c>
      <c r="L217" s="403">
        <f ca="1">+IF($B217="","",SUMIFS(INDIRECT("$K$7:K"&amp;ROW()),INDIRECT("$B$7:B"&amp;ROW()),Tableau15356789101112131625236923[[#This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1188521</v>
      </c>
      <c r="O217" s="368"/>
      <c r="P217" s="368"/>
      <c r="Q217" s="368"/>
    </row>
    <row r="218" spans="1:17" ht="15" x14ac:dyDescent="0.3">
      <c r="A218" s="434" t="s">
        <v>2660</v>
      </c>
      <c r="B218" s="392" t="s">
        <v>2678</v>
      </c>
      <c r="C218" s="507">
        <v>45978</v>
      </c>
      <c r="D218" s="436" t="s">
        <v>3233</v>
      </c>
      <c r="E218" s="437" t="s">
        <v>2773</v>
      </c>
      <c r="F218" s="397" t="s">
        <v>3307</v>
      </c>
      <c r="G218" s="397"/>
      <c r="H218" s="524"/>
      <c r="I218" s="403"/>
      <c r="J218" s="403">
        <v>10000</v>
      </c>
      <c r="K218" s="491">
        <f ca="1">+IF('[3]BROUILLARD DE CAISSE '!$C218="","",SUMIFS(INDIRECT("$K$7:K"&amp;ROW()),INDIRECT("$D$7:D"&amp;ROW()),"="&amp;"Report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1099721</v>
      </c>
      <c r="L218" s="403">
        <f ca="1">+IF($B218="","",SUMIFS(INDIRECT("$K$7:K"&amp;ROW()),INDIRECT("$B$7:B"&amp;ROW()),Tableau15356789101112131625236923[[#This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1178521</v>
      </c>
      <c r="O218" s="368"/>
      <c r="P218" s="368"/>
      <c r="Q218" s="368"/>
    </row>
    <row r="219" spans="1:17" ht="15" x14ac:dyDescent="0.3">
      <c r="A219" s="434" t="s">
        <v>2660</v>
      </c>
      <c r="B219" s="392" t="s">
        <v>2678</v>
      </c>
      <c r="C219" s="507">
        <v>45978</v>
      </c>
      <c r="D219" s="436" t="s">
        <v>3233</v>
      </c>
      <c r="E219" s="395" t="s">
        <v>3206</v>
      </c>
      <c r="F219" s="397" t="s">
        <v>3308</v>
      </c>
      <c r="G219" s="397"/>
      <c r="H219" s="524"/>
      <c r="I219" s="403"/>
      <c r="J219" s="403">
        <v>9300</v>
      </c>
      <c r="K219" s="491">
        <f ca="1">+IF('[3]BROUILLARD DE CAISSE '!$C219="","",SUMIFS(INDIRECT("$K$7:K"&amp;ROW()),INDIRECT("$D$7:D"&amp;ROW()),"="&amp;"Report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1090421</v>
      </c>
      <c r="L219" s="403">
        <f ca="1">+IF($B219="","",SUMIFS(INDIRECT("$K$7:K"&amp;ROW()),INDIRECT("$B$7:B"&amp;ROW()),Tableau15356789101112131625236923[[#This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1169221</v>
      </c>
      <c r="O219" s="368"/>
      <c r="P219" s="368"/>
      <c r="Q219" s="368"/>
    </row>
    <row r="220" spans="1:17" s="412" customFormat="1" ht="15" x14ac:dyDescent="0.3">
      <c r="A220" s="434" t="s">
        <v>2660</v>
      </c>
      <c r="B220" s="392" t="s">
        <v>2678</v>
      </c>
      <c r="C220" s="507">
        <v>45979</v>
      </c>
      <c r="D22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220" s="517" t="s">
        <v>2679</v>
      </c>
      <c r="F220" s="517" t="s">
        <v>3309</v>
      </c>
      <c r="G220" s="397"/>
      <c r="H220" s="524"/>
      <c r="I220" s="403">
        <v>22000</v>
      </c>
      <c r="J220" s="403"/>
      <c r="K220" s="491">
        <f ca="1">+IF('[3]BROUILLARD DE CAISSE '!$C220="","",SUMIFS(INDIRECT("$K$7:K"&amp;ROW()),INDIRECT("$D$7:D"&amp;ROW()),"="&amp;"Report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1112421</v>
      </c>
      <c r="L220" s="403">
        <f ca="1">+IF($B220="","",SUMIFS(INDIRECT("$K$7:K"&amp;ROW()),INDIRECT("$B$7:B"&amp;ROW()),Tableau15356789101112131625236923[[#This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1191221</v>
      </c>
    </row>
    <row r="221" spans="1:17" ht="15" x14ac:dyDescent="0.3">
      <c r="A221" s="434" t="s">
        <v>2660</v>
      </c>
      <c r="B221" s="392" t="s">
        <v>2678</v>
      </c>
      <c r="C221" s="507">
        <v>45979</v>
      </c>
      <c r="D221" s="436" t="s">
        <v>3233</v>
      </c>
      <c r="E221" s="437" t="s">
        <v>2773</v>
      </c>
      <c r="F221" s="397" t="s">
        <v>3310</v>
      </c>
      <c r="G221" s="397"/>
      <c r="H221" s="524"/>
      <c r="I221" s="403"/>
      <c r="J221" s="403">
        <v>15000</v>
      </c>
      <c r="K221" s="491">
        <f ca="1">+IF('[3]BROUILLARD DE CAISSE '!$C221="","",SUMIFS(INDIRECT("$K$7:K"&amp;ROW()),INDIRECT("$D$7:D"&amp;ROW()),"="&amp;"Report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1097421</v>
      </c>
      <c r="L221" s="403">
        <f ca="1">+IF($B221="","",SUMIFS(INDIRECT("$K$7:K"&amp;ROW()),INDIRECT("$B$7:B"&amp;ROW()),Tableau15356789101112131625236923[[#This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1176221</v>
      </c>
      <c r="O221" s="368"/>
      <c r="P221" s="368"/>
      <c r="Q221" s="368"/>
    </row>
    <row r="222" spans="1:17" s="423" customFormat="1" ht="15" x14ac:dyDescent="0.3">
      <c r="A222" s="532" t="s">
        <v>2660</v>
      </c>
      <c r="B222" s="486" t="s">
        <v>2678</v>
      </c>
      <c r="C222" s="507">
        <v>45979</v>
      </c>
      <c r="D222" s="453" t="s">
        <v>3233</v>
      </c>
      <c r="E222" s="459" t="s">
        <v>3156</v>
      </c>
      <c r="F222" s="454" t="s">
        <v>3311</v>
      </c>
      <c r="G222" s="454"/>
      <c r="H222" s="531"/>
      <c r="I222" s="456"/>
      <c r="J222" s="456">
        <v>50000</v>
      </c>
      <c r="K222" s="491">
        <f ca="1">+IF('[3]BROUILLARD DE CAISSE '!$C222="","",SUMIFS(INDIRECT("$K$7:K"&amp;ROW()),INDIRECT("$D$7:D"&amp;ROW()),"="&amp;"Report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1047421</v>
      </c>
      <c r="L222" s="456">
        <f ca="1">+IF($B222="","",SUMIFS(INDIRECT("$K$7:K"&amp;ROW()),INDIRECT("$B$7:B"&amp;ROW()),Tableau15356789101112131625236923[[#This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1126221</v>
      </c>
    </row>
    <row r="223" spans="1:17" ht="15" x14ac:dyDescent="0.3">
      <c r="A223" s="434" t="s">
        <v>2660</v>
      </c>
      <c r="B223" s="392" t="s">
        <v>2678</v>
      </c>
      <c r="C223" s="507">
        <v>45979</v>
      </c>
      <c r="D223" s="436" t="s">
        <v>3233</v>
      </c>
      <c r="E223" s="437" t="s">
        <v>3183</v>
      </c>
      <c r="F223" s="397" t="s">
        <v>3312</v>
      </c>
      <c r="G223" s="397"/>
      <c r="H223" s="524"/>
      <c r="I223" s="403"/>
      <c r="J223" s="403">
        <v>2000</v>
      </c>
      <c r="K223" s="491">
        <f ca="1">+IF('[3]BROUILLARD DE CAISSE '!$C223="","",SUMIFS(INDIRECT("$K$7:K"&amp;ROW()),INDIRECT("$D$7:D"&amp;ROW()),"="&amp;"Report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1045421</v>
      </c>
      <c r="L223" s="403">
        <f ca="1">+IF($B223="","",SUMIFS(INDIRECT("$K$7:K"&amp;ROW()),INDIRECT("$B$7:B"&amp;ROW()),Tableau15356789101112131625236923[[#This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1124221</v>
      </c>
      <c r="O223" s="368"/>
      <c r="P223" s="368"/>
      <c r="Q223" s="368"/>
    </row>
    <row r="224" spans="1:17" ht="15" x14ac:dyDescent="0.3">
      <c r="A224" s="434" t="s">
        <v>2660</v>
      </c>
      <c r="B224" s="392" t="s">
        <v>2678</v>
      </c>
      <c r="C224" s="507">
        <v>45979</v>
      </c>
      <c r="D224" s="436" t="s">
        <v>3253</v>
      </c>
      <c r="E224" s="517" t="s">
        <v>2679</v>
      </c>
      <c r="F224" s="517" t="s">
        <v>3197</v>
      </c>
      <c r="G224" s="397"/>
      <c r="H224" s="524"/>
      <c r="I224" s="403">
        <v>2000000</v>
      </c>
      <c r="J224" s="403"/>
      <c r="K224" s="491">
        <f ca="1">+IF('[3]BROUILLARD DE CAISSE '!$C224="","",SUMIFS(INDIRECT("$K$7:K"&amp;ROW()),INDIRECT("$D$7:D"&amp;ROW()),"="&amp;"Report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3045421</v>
      </c>
      <c r="L224" s="403">
        <f ca="1">+IF($B224="","",SUMIFS(INDIRECT("$K$7:K"&amp;ROW()),INDIRECT("$B$7:B"&amp;ROW()),Tableau15356789101112131625236923[[#This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3124221</v>
      </c>
      <c r="O224" s="368"/>
      <c r="P224" s="368"/>
      <c r="Q224" s="368"/>
    </row>
    <row r="225" spans="1:17" ht="15" x14ac:dyDescent="0.3">
      <c r="A225" s="434" t="s">
        <v>2660</v>
      </c>
      <c r="B225" s="392" t="s">
        <v>2678</v>
      </c>
      <c r="C225" s="507">
        <v>45979</v>
      </c>
      <c r="D225" s="436" t="s">
        <v>3233</v>
      </c>
      <c r="E225" s="437" t="s">
        <v>3313</v>
      </c>
      <c r="F225" s="397" t="s">
        <v>3314</v>
      </c>
      <c r="G225" s="397"/>
      <c r="H225" s="524" t="s">
        <v>2746</v>
      </c>
      <c r="I225" s="403"/>
      <c r="J225" s="403">
        <v>15150</v>
      </c>
      <c r="K225" s="491">
        <f ca="1">+IF('[3]BROUILLARD DE CAISSE '!$C225="","",SUMIFS(INDIRECT("$K$7:K"&amp;ROW()),INDIRECT("$D$7:D"&amp;ROW()),"="&amp;"Report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3030271</v>
      </c>
      <c r="L225" s="403">
        <f ca="1">+IF($B225="","",SUMIFS(INDIRECT("$K$7:K"&amp;ROW()),INDIRECT("$B$7:B"&amp;ROW()),Tableau15356789101112131625236923[[#This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3109071</v>
      </c>
      <c r="O225" s="368"/>
      <c r="P225" s="368"/>
      <c r="Q225" s="368"/>
    </row>
    <row r="226" spans="1:17" ht="15" x14ac:dyDescent="0.3">
      <c r="A226" s="434" t="s">
        <v>2660</v>
      </c>
      <c r="B226" s="392" t="s">
        <v>2678</v>
      </c>
      <c r="C226" s="507">
        <v>45979</v>
      </c>
      <c r="D226" s="436" t="s">
        <v>3233</v>
      </c>
      <c r="E226" s="437" t="s">
        <v>3305</v>
      </c>
      <c r="F226" s="397" t="s">
        <v>3315</v>
      </c>
      <c r="G226" s="397"/>
      <c r="H226" s="524" t="s">
        <v>3114</v>
      </c>
      <c r="I226" s="403"/>
      <c r="J226" s="403">
        <v>257500</v>
      </c>
      <c r="K226" s="491">
        <f ca="1">+IF('[3]BROUILLARD DE CAISSE '!$C226="","",SUMIFS(INDIRECT("$K$7:K"&amp;ROW()),INDIRECT("$D$7:D"&amp;ROW()),"="&amp;"Report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2772771</v>
      </c>
      <c r="L226" s="403">
        <f ca="1">+IF($B226="","",SUMIFS(INDIRECT("$K$7:K"&amp;ROW()),INDIRECT("$B$7:B"&amp;ROW()),Tableau15356789101112131625236923[[#This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2851571</v>
      </c>
      <c r="O226" s="368"/>
      <c r="P226" s="368"/>
      <c r="Q226" s="368"/>
    </row>
    <row r="227" spans="1:17" ht="15" x14ac:dyDescent="0.3">
      <c r="A227" s="434" t="s">
        <v>2660</v>
      </c>
      <c r="B227" s="392" t="s">
        <v>2678</v>
      </c>
      <c r="C227" s="507">
        <v>45979</v>
      </c>
      <c r="D227" s="436" t="s">
        <v>3233</v>
      </c>
      <c r="E227" s="437" t="s">
        <v>3122</v>
      </c>
      <c r="F227" s="397" t="s">
        <v>3316</v>
      </c>
      <c r="G227" s="397"/>
      <c r="H227" s="524"/>
      <c r="I227" s="403"/>
      <c r="J227" s="403">
        <v>104030</v>
      </c>
      <c r="K227" s="491">
        <f ca="1">+IF('[3]BROUILLARD DE CAISSE '!$C227="","",SUMIFS(INDIRECT("$K$7:K"&amp;ROW()),INDIRECT("$D$7:D"&amp;ROW()),"="&amp;"Report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2668741</v>
      </c>
      <c r="L227" s="403">
        <f ca="1">+IF($B227="","",SUMIFS(INDIRECT("$K$7:K"&amp;ROW()),INDIRECT("$B$7:B"&amp;ROW()),Tableau15356789101112131625236923[[#This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2747541</v>
      </c>
      <c r="O227" s="368"/>
      <c r="P227" s="368"/>
      <c r="Q227" s="368"/>
    </row>
    <row r="228" spans="1:17" ht="15" x14ac:dyDescent="0.3">
      <c r="A228" s="434" t="s">
        <v>2660</v>
      </c>
      <c r="B228" s="392" t="s">
        <v>2678</v>
      </c>
      <c r="C228" s="507">
        <v>45979</v>
      </c>
      <c r="D228" s="436" t="s">
        <v>3233</v>
      </c>
      <c r="E228" s="437" t="s">
        <v>3043</v>
      </c>
      <c r="F228" s="397" t="s">
        <v>3317</v>
      </c>
      <c r="G228" s="397"/>
      <c r="H228" s="524"/>
      <c r="I228" s="403"/>
      <c r="J228" s="403">
        <v>3000</v>
      </c>
      <c r="K228" s="491">
        <f ca="1">+IF('[3]BROUILLARD DE CAISSE '!$C228="","",SUMIFS(INDIRECT("$K$7:K"&amp;ROW()),INDIRECT("$D$7:D"&amp;ROW()),"="&amp;"Report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2665741</v>
      </c>
      <c r="L228" s="403">
        <f ca="1">+IF($B228="","",SUMIFS(INDIRECT("$K$7:K"&amp;ROW()),INDIRECT("$B$7:B"&amp;ROW()),Tableau15356789101112131625236923[[#This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2744541</v>
      </c>
      <c r="O228" s="368"/>
      <c r="P228" s="368"/>
      <c r="Q228" s="368"/>
    </row>
    <row r="229" spans="1:17" ht="15" x14ac:dyDescent="0.3">
      <c r="A229" s="434" t="s">
        <v>2660</v>
      </c>
      <c r="B229" s="392" t="s">
        <v>2678</v>
      </c>
      <c r="C229" s="507">
        <v>45979</v>
      </c>
      <c r="D229" s="436" t="s">
        <v>3233</v>
      </c>
      <c r="E229" s="437" t="s">
        <v>3318</v>
      </c>
      <c r="F229" s="397" t="s">
        <v>3319</v>
      </c>
      <c r="G229" s="397"/>
      <c r="H229" s="524" t="s">
        <v>2698</v>
      </c>
      <c r="I229" s="403"/>
      <c r="J229" s="403">
        <v>55550</v>
      </c>
      <c r="K229" s="491">
        <f ca="1">+IF('[3]BROUILLARD DE CAISSE '!$C229="","",SUMIFS(INDIRECT("$K$7:K"&amp;ROW()),INDIRECT("$D$7:D"&amp;ROW()),"="&amp;"Report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2610191</v>
      </c>
      <c r="L229" s="403">
        <f ca="1">+IF($B229="","",SUMIFS(INDIRECT("$K$7:K"&amp;ROW()),INDIRECT("$B$7:B"&amp;ROW()),Tableau15356789101112131625236923[[#This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2688991</v>
      </c>
      <c r="O229" s="368"/>
      <c r="P229" s="368"/>
      <c r="Q229" s="368"/>
    </row>
    <row r="230" spans="1:17" ht="15" x14ac:dyDescent="0.3">
      <c r="A230" s="434" t="s">
        <v>2660</v>
      </c>
      <c r="B230" s="392" t="s">
        <v>2678</v>
      </c>
      <c r="C230" s="507">
        <v>45979</v>
      </c>
      <c r="D230" s="436" t="s">
        <v>3233</v>
      </c>
      <c r="E230" s="395" t="s">
        <v>2694</v>
      </c>
      <c r="F230" s="397" t="s">
        <v>3320</v>
      </c>
      <c r="G230" s="397"/>
      <c r="H230" s="524"/>
      <c r="I230" s="403"/>
      <c r="J230" s="403">
        <v>28000</v>
      </c>
      <c r="K230" s="491">
        <f ca="1">+IF('[3]BROUILLARD DE CAISSE '!$C230="","",SUMIFS(INDIRECT("$K$7:K"&amp;ROW()),INDIRECT("$D$7:D"&amp;ROW()),"="&amp;"Report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2582191</v>
      </c>
      <c r="L230" s="403">
        <f ca="1">+IF($B230="","",SUMIFS(INDIRECT("$K$7:K"&amp;ROW()),INDIRECT("$B$7:B"&amp;ROW()),Tableau15356789101112131625236923[[#This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2660991</v>
      </c>
      <c r="O230" s="368"/>
      <c r="P230" s="368"/>
      <c r="Q230" s="368"/>
    </row>
    <row r="231" spans="1:17" ht="15" x14ac:dyDescent="0.3">
      <c r="A231" s="434" t="s">
        <v>2660</v>
      </c>
      <c r="B231" s="392" t="s">
        <v>2678</v>
      </c>
      <c r="C231" s="507">
        <v>45979</v>
      </c>
      <c r="D231" s="436" t="s">
        <v>3233</v>
      </c>
      <c r="E231" s="437" t="s">
        <v>3122</v>
      </c>
      <c r="F231" s="397" t="s">
        <v>3321</v>
      </c>
      <c r="G231" s="397"/>
      <c r="H231" s="524" t="s">
        <v>2707</v>
      </c>
      <c r="I231" s="403"/>
      <c r="J231" s="403">
        <v>130290</v>
      </c>
      <c r="K231" s="491">
        <f ca="1">+IF('[3]BROUILLARD DE CAISSE '!$C231="","",SUMIFS(INDIRECT("$K$7:K"&amp;ROW()),INDIRECT("$D$7:D"&amp;ROW()),"="&amp;"Report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2451901</v>
      </c>
      <c r="L231" s="403">
        <f ca="1">+IF($B233="","",SUMIFS(INDIRECT("$K$7:K"&amp;ROW()),INDIRECT("$B$7:B"&amp;ROW()),Tableau15356789101112131625236923[[#This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2530701</v>
      </c>
      <c r="O231" s="368"/>
      <c r="P231" s="368"/>
      <c r="Q231" s="368"/>
    </row>
    <row r="232" spans="1:17" ht="15" x14ac:dyDescent="0.3">
      <c r="A232" s="434" t="s">
        <v>2660</v>
      </c>
      <c r="B232" s="392" t="s">
        <v>2678</v>
      </c>
      <c r="C232" s="507">
        <v>45979</v>
      </c>
      <c r="D232" s="436" t="s">
        <v>3233</v>
      </c>
      <c r="E232" s="437" t="s">
        <v>3173</v>
      </c>
      <c r="F232" s="397" t="s">
        <v>3322</v>
      </c>
      <c r="G232" s="397"/>
      <c r="H232" s="524"/>
      <c r="I232" s="403"/>
      <c r="J232" s="403">
        <v>5300</v>
      </c>
      <c r="K232" s="491">
        <f ca="1">+IF('[3]BROUILLARD DE CAISSE '!$C232="","",SUMIFS(INDIRECT("$K$7:K"&amp;ROW()),INDIRECT("$D$7:D"&amp;ROW()),"="&amp;"Report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2446601</v>
      </c>
      <c r="L232" s="403">
        <f ca="1">+IF($B232="","",SUMIFS(INDIRECT("$K$7:K"&amp;ROW()),INDIRECT("$B$7:B"&amp;ROW()),Tableau15356789101112131625236923[[#This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2525401</v>
      </c>
      <c r="O232" s="368"/>
      <c r="P232" s="368"/>
      <c r="Q232" s="368"/>
    </row>
    <row r="233" spans="1:17" ht="15" x14ac:dyDescent="0.3">
      <c r="A233" s="434" t="s">
        <v>2660</v>
      </c>
      <c r="B233" s="392" t="s">
        <v>2678</v>
      </c>
      <c r="C233" s="507">
        <v>45979</v>
      </c>
      <c r="D233" s="436" t="s">
        <v>3233</v>
      </c>
      <c r="E233" s="437" t="s">
        <v>3156</v>
      </c>
      <c r="F233" s="397" t="s">
        <v>3323</v>
      </c>
      <c r="G233" s="397"/>
      <c r="H233" s="524"/>
      <c r="I233" s="403"/>
      <c r="J233" s="403">
        <v>2000</v>
      </c>
      <c r="K233" s="491">
        <f ca="1">+IF('[3]BROUILLARD DE CAISSE '!$C233="","",SUMIFS(INDIRECT("$K$7:K"&amp;ROW()),INDIRECT("$D$7:D"&amp;ROW()),"="&amp;"Report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2444601</v>
      </c>
      <c r="L233" s="403">
        <f ca="1">+IF($B233="","",SUMIFS(INDIRECT("$K$7:K"&amp;ROW()),INDIRECT("$B$7:B"&amp;ROW()),Tableau15356789101112131625236923[[#This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2523401</v>
      </c>
      <c r="O233" s="368"/>
      <c r="P233" s="368"/>
      <c r="Q233" s="368"/>
    </row>
    <row r="234" spans="1:17" ht="15" x14ac:dyDescent="0.3">
      <c r="A234" s="434" t="s">
        <v>2660</v>
      </c>
      <c r="B234" s="392" t="s">
        <v>2678</v>
      </c>
      <c r="C234" s="507">
        <v>45979</v>
      </c>
      <c r="D234" s="436" t="s">
        <v>3233</v>
      </c>
      <c r="E234" s="437" t="s">
        <v>3112</v>
      </c>
      <c r="F234" s="397" t="s">
        <v>3324</v>
      </c>
      <c r="G234" s="397"/>
      <c r="H234" s="524"/>
      <c r="I234" s="403"/>
      <c r="J234" s="403">
        <v>40400</v>
      </c>
      <c r="K234" s="491">
        <f ca="1">+IF('[3]BROUILLARD DE CAISSE '!$C234="","",SUMIFS(INDIRECT("$K$7:K"&amp;ROW()),INDIRECT("$D$7:D"&amp;ROW()),"="&amp;"Report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2404201</v>
      </c>
      <c r="L234" s="403">
        <f ca="1">+IF($B234="","",SUMIFS(INDIRECT("$K$7:K"&amp;ROW()),INDIRECT("$B$7:B"&amp;ROW()),Tableau15356789101112131625236923[[#This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2483001</v>
      </c>
      <c r="O234" s="368"/>
      <c r="P234" s="368"/>
      <c r="Q234" s="368"/>
    </row>
    <row r="235" spans="1:17" ht="15" x14ac:dyDescent="0.3">
      <c r="A235" s="434" t="s">
        <v>2660</v>
      </c>
      <c r="B235" s="392" t="s">
        <v>2678</v>
      </c>
      <c r="C235" s="507">
        <v>45980</v>
      </c>
      <c r="D235" s="436" t="s">
        <v>3233</v>
      </c>
      <c r="E235" s="437" t="s">
        <v>3175</v>
      </c>
      <c r="F235" s="397" t="s">
        <v>3325</v>
      </c>
      <c r="G235" s="397"/>
      <c r="H235" s="524"/>
      <c r="I235" s="403"/>
      <c r="J235" s="403">
        <v>20000</v>
      </c>
      <c r="K235" s="491">
        <f ca="1">+IF('[3]BROUILLARD DE CAISSE '!$C235="","",SUMIFS(INDIRECT("$K$7:K"&amp;ROW()),INDIRECT("$D$7:D"&amp;ROW()),"="&amp;"Report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2384201</v>
      </c>
      <c r="L235" s="403">
        <f ca="1">+IF($B235="","",SUMIFS(INDIRECT("$K$7:K"&amp;ROW()),INDIRECT("$B$7:B"&amp;ROW()),Tableau15356789101112131625236923[[#This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2463001</v>
      </c>
      <c r="O235" s="368"/>
      <c r="P235" s="368"/>
      <c r="Q235" s="368"/>
    </row>
    <row r="236" spans="1:17" ht="15" x14ac:dyDescent="0.3">
      <c r="A236" s="434" t="s">
        <v>2660</v>
      </c>
      <c r="B236" s="392" t="s">
        <v>2678</v>
      </c>
      <c r="C236" s="507">
        <v>45980</v>
      </c>
      <c r="D236" s="436" t="s">
        <v>3233</v>
      </c>
      <c r="E236" s="437" t="s">
        <v>3112</v>
      </c>
      <c r="F236" s="397" t="s">
        <v>3326</v>
      </c>
      <c r="G236" s="397"/>
      <c r="H236" s="524"/>
      <c r="I236" s="403"/>
      <c r="J236" s="403">
        <v>14000</v>
      </c>
      <c r="K236" s="491">
        <f ca="1">+IF('[3]BROUILLARD DE CAISSE '!$C236="","",SUMIFS(INDIRECT("$K$7:K"&amp;ROW()),INDIRECT("$D$7:D"&amp;ROW()),"="&amp;"Report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2370201</v>
      </c>
      <c r="L236" s="403">
        <f ca="1">+IF($B236="","",SUMIFS(INDIRECT("$K$7:K"&amp;ROW()),INDIRECT("$B$7:B"&amp;ROW()),Tableau15356789101112131625236923[[#This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2449001</v>
      </c>
      <c r="O236" s="368"/>
      <c r="P236" s="368"/>
      <c r="Q236" s="368"/>
    </row>
    <row r="237" spans="1:17" ht="15" x14ac:dyDescent="0.3">
      <c r="A237" s="434" t="s">
        <v>2660</v>
      </c>
      <c r="B237" s="392" t="s">
        <v>2678</v>
      </c>
      <c r="C237" s="507">
        <v>45980</v>
      </c>
      <c r="D237" s="436" t="s">
        <v>3233</v>
      </c>
      <c r="E237" s="437" t="s">
        <v>3156</v>
      </c>
      <c r="F237" s="397" t="s">
        <v>3327</v>
      </c>
      <c r="G237" s="397"/>
      <c r="H237" s="524"/>
      <c r="I237" s="403"/>
      <c r="J237" s="403">
        <v>6000</v>
      </c>
      <c r="K237" s="491">
        <f ca="1">+IF('[3]BROUILLARD DE CAISSE '!$C237="","",SUMIFS(INDIRECT("$K$7:K"&amp;ROW()),INDIRECT("$D$7:D"&amp;ROW()),"="&amp;"Report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2364201</v>
      </c>
      <c r="L237" s="403">
        <f ca="1">+IF($B237="","",SUMIFS(INDIRECT("$K$7:K"&amp;ROW()),INDIRECT("$B$7:B"&amp;ROW()),Tableau15356789101112131625236923[[#This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2443001</v>
      </c>
      <c r="O237" s="368"/>
      <c r="P237" s="368"/>
      <c r="Q237" s="368"/>
    </row>
    <row r="238" spans="1:17" ht="15" x14ac:dyDescent="0.3">
      <c r="A238" s="434" t="s">
        <v>2660</v>
      </c>
      <c r="B238" s="392" t="s">
        <v>2678</v>
      </c>
      <c r="C238" s="507">
        <v>45980</v>
      </c>
      <c r="D238" s="436" t="s">
        <v>3233</v>
      </c>
      <c r="E238" s="437" t="s">
        <v>3328</v>
      </c>
      <c r="F238" s="397" t="s">
        <v>3329</v>
      </c>
      <c r="G238" s="397"/>
      <c r="H238" s="524"/>
      <c r="I238" s="403"/>
      <c r="J238" s="403">
        <v>393900</v>
      </c>
      <c r="K238" s="491">
        <f ca="1">+IF('[3]BROUILLARD DE CAISSE '!$C238="","",SUMIFS(INDIRECT("$K$7:K"&amp;ROW()),INDIRECT("$D$7:D"&amp;ROW()),"="&amp;"Report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1970301</v>
      </c>
      <c r="L238" s="403">
        <f ca="1">+IF($B238="","",SUMIFS(INDIRECT("$K$7:K"&amp;ROW()),INDIRECT("$B$7:B"&amp;ROW()),Tableau15356789101112131625236923[[#This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2049101</v>
      </c>
    </row>
    <row r="239" spans="1:17" ht="15" x14ac:dyDescent="0.3">
      <c r="A239" s="434" t="s">
        <v>2660</v>
      </c>
      <c r="B239" s="392" t="s">
        <v>2678</v>
      </c>
      <c r="C239" s="507">
        <v>45980</v>
      </c>
      <c r="D239" s="436" t="s">
        <v>3233</v>
      </c>
      <c r="E239" s="437" t="s">
        <v>3330</v>
      </c>
      <c r="F239" s="397" t="s">
        <v>3331</v>
      </c>
      <c r="G239" s="397"/>
      <c r="H239" s="524"/>
      <c r="I239" s="403"/>
      <c r="J239" s="403">
        <v>30000</v>
      </c>
      <c r="K239" s="491">
        <f ca="1">+IF('[3]BROUILLARD DE CAISSE '!$C239="","",SUMIFS(INDIRECT("$K$7:K"&amp;ROW()),INDIRECT("$D$7:D"&amp;ROW()),"="&amp;"Report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1940301</v>
      </c>
      <c r="L239" s="403">
        <f ca="1">+IF($B239="","",SUMIFS(INDIRECT("$K$7:K"&amp;ROW()),INDIRECT("$B$7:B"&amp;ROW()),Tableau15356789101112131625236923[[#This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2019101</v>
      </c>
    </row>
    <row r="240" spans="1:17" ht="15" x14ac:dyDescent="0.3">
      <c r="A240" s="434" t="s">
        <v>2660</v>
      </c>
      <c r="B240" s="392" t="s">
        <v>2678</v>
      </c>
      <c r="C240" s="507">
        <v>45980</v>
      </c>
      <c r="D240" s="436" t="s">
        <v>3233</v>
      </c>
      <c r="E240" s="437" t="s">
        <v>2742</v>
      </c>
      <c r="F240" s="397" t="s">
        <v>3273</v>
      </c>
      <c r="G240" s="397"/>
      <c r="H240" s="524"/>
      <c r="I240" s="403"/>
      <c r="J240" s="403">
        <v>10100</v>
      </c>
      <c r="K240" s="491">
        <f ca="1">+IF('[3]BROUILLARD DE CAISSE '!$C240="","",SUMIFS(INDIRECT("$K$7:K"&amp;ROW()),INDIRECT("$D$7:D"&amp;ROW()),"="&amp;"Report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1930201</v>
      </c>
      <c r="L240" s="403">
        <f ca="1">+IF($B240="","",SUMIFS(INDIRECT("$K$7:K"&amp;ROW()),INDIRECT("$B$7:B"&amp;ROW()),Tableau15356789101112131625236923[[#This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2009001</v>
      </c>
    </row>
    <row r="241" spans="1:17" ht="15" x14ac:dyDescent="0.3">
      <c r="A241" s="434" t="s">
        <v>2660</v>
      </c>
      <c r="B241" s="392" t="s">
        <v>2678</v>
      </c>
      <c r="C241" s="507">
        <v>45980</v>
      </c>
      <c r="D241" s="436" t="s">
        <v>3233</v>
      </c>
      <c r="E241" s="395" t="s">
        <v>2694</v>
      </c>
      <c r="F241" s="397" t="s">
        <v>3332</v>
      </c>
      <c r="G241" s="397"/>
      <c r="H241" s="524"/>
      <c r="I241" s="403"/>
      <c r="J241" s="403">
        <v>185000</v>
      </c>
      <c r="K241" s="491">
        <f ca="1">+IF('[3]BROUILLARD DE CAISSE '!$C241="","",SUMIFS(INDIRECT("$K$7:K"&amp;ROW()),INDIRECT("$D$7:D"&amp;ROW()),"="&amp;"Report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1745201</v>
      </c>
      <c r="L241" s="403">
        <f ca="1">+IF($B241="","",SUMIFS(INDIRECT("$K$7:K"&amp;ROW()),INDIRECT("$B$7:B"&amp;ROW()),Tableau15356789101112131625236923[[#This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1824001</v>
      </c>
    </row>
    <row r="242" spans="1:17" ht="15" x14ac:dyDescent="0.3">
      <c r="A242" s="434" t="s">
        <v>2660</v>
      </c>
      <c r="B242" s="392" t="s">
        <v>2678</v>
      </c>
      <c r="C242" s="507">
        <v>45980</v>
      </c>
      <c r="D242" s="436" t="s">
        <v>3233</v>
      </c>
      <c r="E242" s="437" t="s">
        <v>3333</v>
      </c>
      <c r="F242" s="397" t="s">
        <v>3334</v>
      </c>
      <c r="G242" s="397"/>
      <c r="H242" s="524" t="s">
        <v>3114</v>
      </c>
      <c r="I242" s="403"/>
      <c r="J242" s="403">
        <v>60020</v>
      </c>
      <c r="K242" s="491">
        <f ca="1">+IF('[3]BROUILLARD DE CAISSE '!$C242="","",SUMIFS(INDIRECT("$K$7:K"&amp;ROW()),INDIRECT("$D$7:D"&amp;ROW()),"="&amp;"Report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1685181</v>
      </c>
      <c r="L242" s="403">
        <f ca="1">+IF($B242="","",SUMIFS(INDIRECT("$K$7:K"&amp;ROW()),INDIRECT("$B$7:B"&amp;ROW()),Tableau15356789101112131625236923[[#This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1763981</v>
      </c>
    </row>
    <row r="243" spans="1:17" ht="15" x14ac:dyDescent="0.3">
      <c r="A243" s="434" t="s">
        <v>2660</v>
      </c>
      <c r="B243" s="392" t="s">
        <v>2678</v>
      </c>
      <c r="C243" s="507">
        <v>45980</v>
      </c>
      <c r="D243" s="436" t="s">
        <v>3233</v>
      </c>
      <c r="E243" s="437" t="s">
        <v>3043</v>
      </c>
      <c r="F243" s="397" t="s">
        <v>3335</v>
      </c>
      <c r="G243" s="397"/>
      <c r="H243" s="524" t="s">
        <v>2964</v>
      </c>
      <c r="I243" s="403"/>
      <c r="J243" s="403">
        <v>10000</v>
      </c>
      <c r="K243" s="491">
        <f ca="1">+IF('[3]BROUILLARD DE CAISSE '!$C243="","",SUMIFS(INDIRECT("$K$7:K"&amp;ROW()),INDIRECT("$D$7:D"&amp;ROW()),"="&amp;"Report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1675181</v>
      </c>
      <c r="L243" s="403">
        <f ca="1">+IF($B243="","",SUMIFS(INDIRECT("$K$7:K"&amp;ROW()),INDIRECT("$B$7:B"&amp;ROW()),Tableau15356789101112131625236923[[#This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1753981</v>
      </c>
    </row>
    <row r="244" spans="1:17" ht="15" x14ac:dyDescent="0.3">
      <c r="A244" s="434" t="s">
        <v>2660</v>
      </c>
      <c r="B244" s="392" t="s">
        <v>2678</v>
      </c>
      <c r="C244" s="507">
        <v>45980</v>
      </c>
      <c r="D244" s="436" t="s">
        <v>3233</v>
      </c>
      <c r="E244" s="395" t="s">
        <v>3206</v>
      </c>
      <c r="F244" s="397" t="s">
        <v>3336</v>
      </c>
      <c r="G244" s="397"/>
      <c r="H244" s="524"/>
      <c r="I244" s="403"/>
      <c r="J244" s="403">
        <v>2500</v>
      </c>
      <c r="K244" s="491">
        <f ca="1">+IF('[3]BROUILLARD DE CAISSE '!$C244="","",SUMIFS(INDIRECT("$K$7:K"&amp;ROW()),INDIRECT("$D$7:D"&amp;ROW()),"="&amp;"Report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1672681</v>
      </c>
      <c r="L244" s="403">
        <f ca="1">+IF($B244="","",SUMIFS(INDIRECT("$K$7:K"&amp;ROW()),INDIRECT("$B$7:B"&amp;ROW()),Tableau15356789101112131625236923[[#This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1751481</v>
      </c>
    </row>
    <row r="245" spans="1:17" ht="15" x14ac:dyDescent="0.3">
      <c r="A245" s="434" t="s">
        <v>2660</v>
      </c>
      <c r="B245" s="392" t="s">
        <v>2678</v>
      </c>
      <c r="C245" s="507">
        <v>45980</v>
      </c>
      <c r="D245" s="436" t="s">
        <v>3233</v>
      </c>
      <c r="E245" s="437" t="s">
        <v>3195</v>
      </c>
      <c r="F245" s="397" t="s">
        <v>3337</v>
      </c>
      <c r="G245" s="397"/>
      <c r="H245" s="524"/>
      <c r="I245" s="403"/>
      <c r="J245" s="403">
        <v>10000</v>
      </c>
      <c r="K245" s="491">
        <f ca="1">+IF('[3]BROUILLARD DE CAISSE '!$C245="","",SUMIFS(INDIRECT("$K$7:K"&amp;ROW()),INDIRECT("$D$7:D"&amp;ROW()),"="&amp;"Report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1662681</v>
      </c>
      <c r="L245" s="403">
        <f ca="1">+IF($B245="","",SUMIFS(INDIRECT("$K$7:K"&amp;ROW()),INDIRECT("$B$7:B"&amp;ROW()),Tableau15356789101112131625236923[[#This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1741481</v>
      </c>
    </row>
    <row r="246" spans="1:17" ht="15" x14ac:dyDescent="0.3">
      <c r="A246" s="434" t="s">
        <v>2660</v>
      </c>
      <c r="B246" s="392" t="s">
        <v>2678</v>
      </c>
      <c r="C246" s="507">
        <v>45980</v>
      </c>
      <c r="D246" s="436" t="s">
        <v>3233</v>
      </c>
      <c r="E246" s="437" t="s">
        <v>2815</v>
      </c>
      <c r="F246" s="397" t="s">
        <v>3338</v>
      </c>
      <c r="G246" s="397"/>
      <c r="H246" s="524"/>
      <c r="I246" s="403"/>
      <c r="J246" s="403">
        <v>5600</v>
      </c>
      <c r="K246" s="491">
        <f ca="1">+IF('[3]BROUILLARD DE CAISSE '!$C246="","",SUMIFS(INDIRECT("$K$7:K"&amp;ROW()),INDIRECT("$D$7:D"&amp;ROW()),"="&amp;"Report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1657081</v>
      </c>
      <c r="L246" s="403">
        <f ca="1">+IF($B246="","",SUMIFS(INDIRECT("$K$7:K"&amp;ROW()),INDIRECT("$B$7:B"&amp;ROW()),Tableau15356789101112131625236923[[#This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1735881</v>
      </c>
    </row>
    <row r="247" spans="1:17" ht="15" x14ac:dyDescent="0.3">
      <c r="A247" s="434" t="s">
        <v>2660</v>
      </c>
      <c r="B247" s="392" t="s">
        <v>2678</v>
      </c>
      <c r="C247" s="507">
        <v>45980</v>
      </c>
      <c r="D247" s="436" t="s">
        <v>3233</v>
      </c>
      <c r="E247" s="437" t="s">
        <v>3339</v>
      </c>
      <c r="F247" s="397" t="s">
        <v>3340</v>
      </c>
      <c r="G247" s="397"/>
      <c r="H247" s="524" t="s">
        <v>2741</v>
      </c>
      <c r="I247" s="403"/>
      <c r="J247" s="403">
        <v>10100</v>
      </c>
      <c r="K247" s="491">
        <f ca="1">+IF('[3]BROUILLARD DE CAISSE '!$C247="","",SUMIFS(INDIRECT("$K$7:K"&amp;ROW()),INDIRECT("$D$7:D"&amp;ROW()),"="&amp;"Report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1646981</v>
      </c>
      <c r="L247" s="403">
        <f ca="1">+IF($B247="","",SUMIFS(INDIRECT("$K$7:K"&amp;ROW()),INDIRECT("$B$7:B"&amp;ROW()),Tableau15356789101112131625236923[[#This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1725781</v>
      </c>
    </row>
    <row r="248" spans="1:17" s="520" customFormat="1" ht="15" x14ac:dyDescent="0.3">
      <c r="A248" s="533" t="s">
        <v>2660</v>
      </c>
      <c r="B248" s="527" t="s">
        <v>2678</v>
      </c>
      <c r="C248" s="528">
        <v>45980</v>
      </c>
      <c r="D248" s="443" t="s">
        <v>3253</v>
      </c>
      <c r="E248" s="444" t="s">
        <v>2679</v>
      </c>
      <c r="F248" s="445" t="s">
        <v>3341</v>
      </c>
      <c r="G248" s="445"/>
      <c r="H248" s="530"/>
      <c r="I248" s="447">
        <v>3000000</v>
      </c>
      <c r="J248" s="447"/>
      <c r="K248" s="491">
        <f ca="1">+IF('[3]BROUILLARD DE CAISSE '!$C248="","",SUMIFS(INDIRECT("$K$7:K"&amp;ROW()),INDIRECT("$D$7:D"&amp;ROW()),"="&amp;"Report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4646981</v>
      </c>
      <c r="L248" s="447">
        <f ca="1">+IF($B248="","",SUMIFS(INDIRECT("$K$7:K"&amp;ROW()),INDIRECT("$B$7:B"&amp;ROW()),Tableau15356789101112131625236923[[#This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4725781</v>
      </c>
      <c r="O248" s="482"/>
      <c r="P248" s="482"/>
      <c r="Q248" s="482"/>
    </row>
    <row r="249" spans="1:17" ht="15" x14ac:dyDescent="0.3">
      <c r="A249" s="434" t="s">
        <v>2660</v>
      </c>
      <c r="B249" s="392" t="s">
        <v>2678</v>
      </c>
      <c r="C249" s="507">
        <v>45980</v>
      </c>
      <c r="D249" s="436" t="s">
        <v>3233</v>
      </c>
      <c r="E249" s="437" t="s">
        <v>3342</v>
      </c>
      <c r="F249" s="397" t="s">
        <v>3343</v>
      </c>
      <c r="G249" s="397"/>
      <c r="H249" s="524"/>
      <c r="I249" s="403"/>
      <c r="J249" s="403">
        <v>900000</v>
      </c>
      <c r="K249" s="491">
        <f ca="1">+IF('[3]BROUILLARD DE CAISSE '!$C249="","",SUMIFS(INDIRECT("$K$7:K"&amp;ROW()),INDIRECT("$D$7:D"&amp;ROW()),"="&amp;"Report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3746981</v>
      </c>
      <c r="L249" s="403">
        <f ca="1">+IF($B249="","",SUMIFS(INDIRECT("$K$7:K"&amp;ROW()),INDIRECT("$B$7:B"&amp;ROW()),Tableau15356789101112131625236923[[#This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3825781</v>
      </c>
    </row>
    <row r="250" spans="1:17" ht="15" x14ac:dyDescent="0.3">
      <c r="A250" s="434" t="s">
        <v>2660</v>
      </c>
      <c r="B250" s="392" t="s">
        <v>2678</v>
      </c>
      <c r="C250" s="507">
        <v>45981</v>
      </c>
      <c r="D250" s="436" t="s">
        <v>3233</v>
      </c>
      <c r="E250" s="437" t="s">
        <v>2756</v>
      </c>
      <c r="F250" s="397" t="s">
        <v>3344</v>
      </c>
      <c r="G250" s="397"/>
      <c r="H250" s="524"/>
      <c r="I250" s="403"/>
      <c r="J250" s="403">
        <v>30000</v>
      </c>
      <c r="K250" s="491">
        <f ca="1">+IF('[3]BROUILLARD DE CAISSE '!$C250="","",SUMIFS(INDIRECT("$K$7:K"&amp;ROW()),INDIRECT("$D$7:D"&amp;ROW()),"="&amp;"Report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3716981</v>
      </c>
      <c r="L250" s="403">
        <f ca="1">+IF($B250="","",SUMIFS(INDIRECT("$K$7:K"&amp;ROW()),INDIRECT("$B$7:B"&amp;ROW()),Tableau15356789101112131625236923[[#This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3795781</v>
      </c>
    </row>
    <row r="251" spans="1:17" ht="15" x14ac:dyDescent="0.3">
      <c r="A251" s="434" t="s">
        <v>2660</v>
      </c>
      <c r="B251" s="515" t="s">
        <v>2678</v>
      </c>
      <c r="C251" s="507">
        <v>45981</v>
      </c>
      <c r="D251" s="436" t="s">
        <v>3233</v>
      </c>
      <c r="E251" s="437" t="s">
        <v>3156</v>
      </c>
      <c r="F251" s="397" t="s">
        <v>3345</v>
      </c>
      <c r="G251" s="397"/>
      <c r="H251" s="524"/>
      <c r="I251" s="403"/>
      <c r="J251" s="403">
        <v>5000</v>
      </c>
      <c r="K251" s="491">
        <f ca="1">+IF('[3]BROUILLARD DE CAISSE '!$C251="","",SUMIFS(INDIRECT("$K$7:K"&amp;ROW()),INDIRECT("$D$7:D"&amp;ROW()),"="&amp;"Report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3711981</v>
      </c>
      <c r="L251" s="403">
        <f ca="1">+IF($B251="","",SUMIFS(INDIRECT("$K$7:K"&amp;ROW()),INDIRECT("$B$7:B"&amp;ROW()),Tableau15356789101112131625236923[[#This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3790781</v>
      </c>
    </row>
    <row r="252" spans="1:17" ht="15" x14ac:dyDescent="0.3">
      <c r="A252" s="434" t="s">
        <v>2660</v>
      </c>
      <c r="B252" s="392" t="s">
        <v>2678</v>
      </c>
      <c r="C252" s="507">
        <v>45981</v>
      </c>
      <c r="D252" s="436" t="s">
        <v>3233</v>
      </c>
      <c r="E252" s="395" t="s">
        <v>2694</v>
      </c>
      <c r="F252" s="397" t="s">
        <v>3346</v>
      </c>
      <c r="G252" s="397"/>
      <c r="H252" s="524"/>
      <c r="I252" s="403"/>
      <c r="J252" s="403">
        <v>60000</v>
      </c>
      <c r="K252" s="491">
        <f ca="1">+IF('[3]BROUILLARD DE CAISSE '!$C252="","",SUMIFS(INDIRECT("$K$7:K"&amp;ROW()),INDIRECT("$D$7:D"&amp;ROW()),"="&amp;"Report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3651981</v>
      </c>
      <c r="L252" s="403">
        <f ca="1">+IF($B252="","",SUMIFS(INDIRECT("$K$7:K"&amp;ROW()),INDIRECT("$B$7:B"&amp;ROW()),Tableau15356789101112131625236923[[#This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3730781</v>
      </c>
    </row>
    <row r="253" spans="1:17" ht="15" x14ac:dyDescent="0.3">
      <c r="A253" s="434" t="s">
        <v>2660</v>
      </c>
      <c r="B253" s="392" t="s">
        <v>2678</v>
      </c>
      <c r="C253" s="507">
        <v>45981</v>
      </c>
      <c r="D253" s="436" t="s">
        <v>3233</v>
      </c>
      <c r="E253" s="437" t="s">
        <v>3175</v>
      </c>
      <c r="F253" s="397" t="s">
        <v>3307</v>
      </c>
      <c r="G253" s="397"/>
      <c r="H253" s="524"/>
      <c r="I253" s="403"/>
      <c r="J253" s="403">
        <v>20200</v>
      </c>
      <c r="K253" s="491">
        <f ca="1">+IF('[3]BROUILLARD DE CAISSE '!$C253="","",SUMIFS(INDIRECT("$K$7:K"&amp;ROW()),INDIRECT("$D$7:D"&amp;ROW()),"="&amp;"Report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3631781</v>
      </c>
      <c r="L253" s="403">
        <f ca="1">+IF($B253="","",SUMIFS(INDIRECT("$K$7:K"&amp;ROW()),INDIRECT("$B$7:B"&amp;ROW()),Tableau15356789101112131625236923[[#This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3710581</v>
      </c>
    </row>
    <row r="254" spans="1:17" ht="15" x14ac:dyDescent="0.3">
      <c r="A254" s="434" t="s">
        <v>2660</v>
      </c>
      <c r="B254" s="392" t="s">
        <v>2678</v>
      </c>
      <c r="C254" s="507">
        <v>45981</v>
      </c>
      <c r="D254" s="436" t="s">
        <v>3233</v>
      </c>
      <c r="E254" s="437" t="s">
        <v>3122</v>
      </c>
      <c r="F254" s="397" t="s">
        <v>3347</v>
      </c>
      <c r="G254" s="397"/>
      <c r="H254" s="524" t="s">
        <v>2707</v>
      </c>
      <c r="I254" s="403"/>
      <c r="J254" s="403">
        <v>10100</v>
      </c>
      <c r="K254" s="491">
        <f ca="1">+IF('[3]BROUILLARD DE CAISSE '!$C254="","",SUMIFS(INDIRECT("$K$7:K"&amp;ROW()),INDIRECT("$D$7:D"&amp;ROW()),"="&amp;"Report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3621681</v>
      </c>
      <c r="L254" s="403">
        <f ca="1">+IF($B254="","",SUMIFS(INDIRECT("$K$7:K"&amp;ROW()),INDIRECT("$B$7:B"&amp;ROW()),Tableau15356789101112131625236923[[#This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3700481</v>
      </c>
    </row>
    <row r="255" spans="1:17" ht="15" x14ac:dyDescent="0.3">
      <c r="A255" s="434" t="s">
        <v>2660</v>
      </c>
      <c r="B255" s="392" t="s">
        <v>2678</v>
      </c>
      <c r="C255" s="507">
        <v>45981</v>
      </c>
      <c r="D255" s="436" t="s">
        <v>3233</v>
      </c>
      <c r="E255" s="437" t="s">
        <v>2858</v>
      </c>
      <c r="F255" s="397" t="s">
        <v>3348</v>
      </c>
      <c r="G255" s="397"/>
      <c r="H255" s="524" t="s">
        <v>2959</v>
      </c>
      <c r="I255" s="403"/>
      <c r="J255" s="403">
        <v>20200</v>
      </c>
      <c r="K255" s="491">
        <f ca="1">+IF('[3]BROUILLARD DE CAISSE '!$C255="","",SUMIFS(INDIRECT("$K$7:K"&amp;ROW()),INDIRECT("$D$7:D"&amp;ROW()),"="&amp;"Report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3601481</v>
      </c>
      <c r="L255" s="403">
        <f ca="1">+IF($B255="","",SUMIFS(INDIRECT("$K$7:K"&amp;ROW()),INDIRECT("$B$7:B"&amp;ROW()),Tableau15356789101112131625236923[[#This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3680281</v>
      </c>
    </row>
    <row r="256" spans="1:17" ht="15" x14ac:dyDescent="0.3">
      <c r="A256" s="434" t="s">
        <v>2660</v>
      </c>
      <c r="B256" s="392" t="s">
        <v>2678</v>
      </c>
      <c r="C256" s="507">
        <v>45981</v>
      </c>
      <c r="D256" s="436" t="s">
        <v>3233</v>
      </c>
      <c r="E256" s="437" t="s">
        <v>3349</v>
      </c>
      <c r="F256" s="397" t="s">
        <v>3350</v>
      </c>
      <c r="G256" s="397"/>
      <c r="H256" s="524"/>
      <c r="I256" s="403"/>
      <c r="J256" s="403">
        <v>2020</v>
      </c>
      <c r="K256" s="491">
        <f ca="1">+IF('[3]BROUILLARD DE CAISSE '!$C256="","",SUMIFS(INDIRECT("$K$7:K"&amp;ROW()),INDIRECT("$D$7:D"&amp;ROW()),"="&amp;"Report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3599461</v>
      </c>
      <c r="L256" s="403">
        <f ca="1">+IF($B256="","",SUMIFS(INDIRECT("$K$7:K"&amp;ROW()),INDIRECT("$B$7:B"&amp;ROW()),Tableau15356789101112131625236923[[#This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3678261</v>
      </c>
    </row>
    <row r="257" spans="1:17" ht="15" x14ac:dyDescent="0.3">
      <c r="A257" s="434" t="s">
        <v>2660</v>
      </c>
      <c r="B257" s="392" t="s">
        <v>2678</v>
      </c>
      <c r="C257" s="507">
        <v>45981</v>
      </c>
      <c r="D257" s="436" t="s">
        <v>3233</v>
      </c>
      <c r="E257" s="437" t="s">
        <v>3351</v>
      </c>
      <c r="F257" s="397" t="s">
        <v>3352</v>
      </c>
      <c r="G257" s="397"/>
      <c r="H257" s="524" t="s">
        <v>2687</v>
      </c>
      <c r="I257" s="403"/>
      <c r="J257" s="403">
        <v>297950</v>
      </c>
      <c r="K257" s="491">
        <f ca="1">+IF('[3]BROUILLARD DE CAISSE '!$C257="","",SUMIFS(INDIRECT("$K$7:K"&amp;ROW()),INDIRECT("$D$7:D"&amp;ROW()),"="&amp;"Report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3301511</v>
      </c>
      <c r="L257" s="403">
        <f ca="1">+IF($B257="","",SUMIFS(INDIRECT("$K$7:K"&amp;ROW()),INDIRECT("$B$7:B"&amp;ROW()),Tableau15356789101112131625236923[[#This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3380311</v>
      </c>
    </row>
    <row r="258" spans="1:17" ht="15" x14ac:dyDescent="0.3">
      <c r="A258" s="434" t="s">
        <v>2660</v>
      </c>
      <c r="B258" s="392" t="s">
        <v>2678</v>
      </c>
      <c r="C258" s="507">
        <v>45981</v>
      </c>
      <c r="D258" s="436" t="s">
        <v>3233</v>
      </c>
      <c r="E258" s="437" t="s">
        <v>3156</v>
      </c>
      <c r="F258" s="397" t="s">
        <v>3353</v>
      </c>
      <c r="G258" s="397"/>
      <c r="H258" s="524"/>
      <c r="I258" s="403"/>
      <c r="J258" s="403">
        <v>17155</v>
      </c>
      <c r="K258" s="491">
        <f ca="1">+IF('[3]BROUILLARD DE CAISSE '!$C258="","",SUMIFS(INDIRECT("$K$7:K"&amp;ROW()),INDIRECT("$D$7:D"&amp;ROW()),"="&amp;"Report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3284356</v>
      </c>
      <c r="L258" s="403">
        <f ca="1">+IF($B258="","",SUMIFS(INDIRECT("$K$7:K"&amp;ROW()),INDIRECT("$B$7:B"&amp;ROW()),Tableau15356789101112131625236923[[#This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3363156</v>
      </c>
    </row>
    <row r="259" spans="1:17" s="534" customFormat="1" ht="15" x14ac:dyDescent="0.2">
      <c r="A259" s="434" t="s">
        <v>2660</v>
      </c>
      <c r="B259" s="392" t="s">
        <v>2678</v>
      </c>
      <c r="C259" s="507">
        <v>45981</v>
      </c>
      <c r="D259" s="436" t="s">
        <v>3233</v>
      </c>
      <c r="E259" s="395" t="s">
        <v>2818</v>
      </c>
      <c r="F259" s="397" t="s">
        <v>3354</v>
      </c>
      <c r="G259" s="397"/>
      <c r="H259" s="524"/>
      <c r="I259" s="403"/>
      <c r="J259" s="403">
        <v>15000</v>
      </c>
      <c r="K259" s="491">
        <f ca="1">+IF('[3]BROUILLARD DE CAISSE '!$C259="","",SUMIFS(INDIRECT("$K$7:K"&amp;ROW()),INDIRECT("$D$7:D"&amp;ROW()),"="&amp;"Report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3269356</v>
      </c>
      <c r="L259" s="403">
        <f ca="1">+IF($B259="","",SUMIFS(INDIRECT("$K$7:K"&amp;ROW()),INDIRECT("$B$7:B"&amp;ROW()),Tableau15356789101112131625236923[[#This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3348156</v>
      </c>
      <c r="O259" s="535"/>
      <c r="P259" s="535"/>
      <c r="Q259" s="535"/>
    </row>
    <row r="260" spans="1:17" s="520" customFormat="1" ht="15" x14ac:dyDescent="0.3">
      <c r="A260" s="533" t="s">
        <v>2660</v>
      </c>
      <c r="B260" s="527" t="s">
        <v>2678</v>
      </c>
      <c r="C260" s="528">
        <v>45981</v>
      </c>
      <c r="D260" s="443" t="s">
        <v>3253</v>
      </c>
      <c r="E260" s="444" t="s">
        <v>2679</v>
      </c>
      <c r="F260" s="445" t="s">
        <v>3355</v>
      </c>
      <c r="G260" s="445"/>
      <c r="H260" s="530"/>
      <c r="I260" s="447">
        <v>300000</v>
      </c>
      <c r="J260" s="447"/>
      <c r="K260" s="491">
        <f ca="1">+IF('[3]BROUILLARD DE CAISSE '!$C260="","",SUMIFS(INDIRECT("$K$7:K"&amp;ROW()),INDIRECT("$D$7:D"&amp;ROW()),"="&amp;"Report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3569356</v>
      </c>
      <c r="L260" s="447">
        <f ca="1">+IF($B260="","",SUMIFS(INDIRECT("$K$7:K"&amp;ROW()),INDIRECT("$B$7:B"&amp;ROW()),Tableau15356789101112131625236923[[#This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3648156</v>
      </c>
      <c r="O260" s="482"/>
      <c r="P260" s="482"/>
      <c r="Q260" s="482"/>
    </row>
    <row r="261" spans="1:17" s="412" customFormat="1" ht="15" x14ac:dyDescent="0.3">
      <c r="A261" s="536" t="s">
        <v>2660</v>
      </c>
      <c r="B261" s="515" t="s">
        <v>2678</v>
      </c>
      <c r="C261" s="507">
        <v>45981</v>
      </c>
      <c r="D261" s="439" t="s">
        <v>3233</v>
      </c>
      <c r="E261" s="440" t="s">
        <v>3356</v>
      </c>
      <c r="F261" s="409" t="s">
        <v>3357</v>
      </c>
      <c r="G261" s="409" t="s">
        <v>2702</v>
      </c>
      <c r="H261" s="522"/>
      <c r="I261" s="414"/>
      <c r="J261" s="414">
        <v>680000</v>
      </c>
      <c r="K261" s="491">
        <f ca="1">+IF('[3]BROUILLARD DE CAISSE '!$C261="","",SUMIFS(INDIRECT("$K$7:K"&amp;ROW()),INDIRECT("$D$7:D"&amp;ROW()),"="&amp;"Report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2889356</v>
      </c>
      <c r="L261" s="414">
        <f ca="1">+IF($B261="","",SUMIFS(INDIRECT("$K$7:K"&amp;ROW()),INDIRECT("$B$7:B"&amp;ROW()),Tableau15356789101112131625236923[[#This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2968156</v>
      </c>
      <c r="O261" s="314"/>
      <c r="P261" s="314"/>
      <c r="Q261" s="314"/>
    </row>
    <row r="262" spans="1:17" s="412" customFormat="1" ht="15" x14ac:dyDescent="0.3">
      <c r="A262" s="434" t="s">
        <v>2660</v>
      </c>
      <c r="B262" s="392" t="s">
        <v>2678</v>
      </c>
      <c r="C262" s="507">
        <v>45981</v>
      </c>
      <c r="D262" s="439" t="s">
        <v>3233</v>
      </c>
      <c r="E262" s="440" t="s">
        <v>3214</v>
      </c>
      <c r="F262" s="409" t="s">
        <v>3358</v>
      </c>
      <c r="G262" s="409"/>
      <c r="H262" s="522" t="s">
        <v>2685</v>
      </c>
      <c r="I262" s="414"/>
      <c r="J262" s="414">
        <v>15150</v>
      </c>
      <c r="K262" s="491">
        <f ca="1">+IF('[3]BROUILLARD DE CAISSE '!$C262="","",SUMIFS(INDIRECT("$K$7:K"&amp;ROW()),INDIRECT("$D$7:D"&amp;ROW()),"="&amp;"Report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2874206</v>
      </c>
      <c r="L262" s="414">
        <f ca="1">+IF($B262="","",SUMIFS(INDIRECT("$K$7:K"&amp;ROW()),INDIRECT("$B$7:B"&amp;ROW()),Tableau15356789101112131625236923[[#This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2953006</v>
      </c>
      <c r="O262" s="314"/>
      <c r="P262" s="314"/>
      <c r="Q262" s="314"/>
    </row>
    <row r="263" spans="1:17" s="412" customFormat="1" ht="15" x14ac:dyDescent="0.3">
      <c r="A263" s="536" t="s">
        <v>2660</v>
      </c>
      <c r="B263" s="515" t="s">
        <v>2678</v>
      </c>
      <c r="C263" s="507">
        <v>45982</v>
      </c>
      <c r="D263" s="439" t="s">
        <v>3233</v>
      </c>
      <c r="E263" s="440" t="s">
        <v>3359</v>
      </c>
      <c r="F263" s="409" t="s">
        <v>3360</v>
      </c>
      <c r="G263" s="409" t="s">
        <v>2702</v>
      </c>
      <c r="H263" s="522"/>
      <c r="I263" s="414"/>
      <c r="J263" s="414">
        <v>756000</v>
      </c>
      <c r="K263" s="491">
        <f ca="1">+IF('[3]BROUILLARD DE CAISSE '!$C263="","",SUMIFS(INDIRECT("$K$7:K"&amp;ROW()),INDIRECT("$D$7:D"&amp;ROW()),"="&amp;"Report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2118206</v>
      </c>
      <c r="L263" s="414">
        <f ca="1">+IF($B263="","",SUMIFS(INDIRECT("$K$7:K"&amp;ROW()),INDIRECT("$B$7:B"&amp;ROW()),Tableau15356789101112131625236923[[#This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2197006</v>
      </c>
      <c r="O263" s="314"/>
      <c r="P263" s="314"/>
      <c r="Q263" s="314"/>
    </row>
    <row r="264" spans="1:17" ht="15" x14ac:dyDescent="0.3">
      <c r="A264" s="434" t="s">
        <v>2660</v>
      </c>
      <c r="B264" s="392" t="s">
        <v>2678</v>
      </c>
      <c r="C264" s="507">
        <v>45982</v>
      </c>
      <c r="D264" s="436" t="s">
        <v>3233</v>
      </c>
      <c r="E264" s="437" t="s">
        <v>2683</v>
      </c>
      <c r="F264" s="397" t="s">
        <v>3361</v>
      </c>
      <c r="G264" s="397"/>
      <c r="H264" s="524" t="s">
        <v>2685</v>
      </c>
      <c r="I264" s="403"/>
      <c r="J264" s="403">
        <v>213870</v>
      </c>
      <c r="K264" s="491">
        <f ca="1">+IF('[3]BROUILLARD DE CAISSE '!$C264="","",SUMIFS(INDIRECT("$K$7:K"&amp;ROW()),INDIRECT("$D$7:D"&amp;ROW()),"="&amp;"Report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1904336</v>
      </c>
      <c r="L264" s="403">
        <f ca="1">+IF($B264="","",SUMIFS(INDIRECT("$K$7:K"&amp;ROW()),INDIRECT("$B$7:B"&amp;ROW()),Tableau15356789101112131625236923[[#This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1983136</v>
      </c>
    </row>
    <row r="265" spans="1:17" ht="15" x14ac:dyDescent="0.3">
      <c r="A265" s="434" t="s">
        <v>2660</v>
      </c>
      <c r="B265" s="392" t="s">
        <v>2678</v>
      </c>
      <c r="C265" s="507">
        <v>45982</v>
      </c>
      <c r="D265" s="436" t="s">
        <v>3233</v>
      </c>
      <c r="E265" s="437" t="s">
        <v>2742</v>
      </c>
      <c r="F265" s="397" t="s">
        <v>3362</v>
      </c>
      <c r="G265" s="397"/>
      <c r="H265" s="524" t="s">
        <v>2687</v>
      </c>
      <c r="I265" s="403"/>
      <c r="J265" s="403">
        <v>10100</v>
      </c>
      <c r="K265" s="491">
        <f ca="1">+IF('[3]BROUILLARD DE CAISSE '!$C265="","",SUMIFS(INDIRECT("$K$7:K"&amp;ROW()),INDIRECT("$D$7:D"&amp;ROW()),"="&amp;"Report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1894236</v>
      </c>
      <c r="L265" s="403">
        <f ca="1">+IF($B265="","",SUMIFS(INDIRECT("$K$7:K"&amp;ROW()),INDIRECT("$B$7:B"&amp;ROW()),Tableau15356789101112131625236923[[#This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1973036</v>
      </c>
    </row>
    <row r="266" spans="1:17" ht="15" x14ac:dyDescent="0.3">
      <c r="A266" s="434" t="s">
        <v>2660</v>
      </c>
      <c r="B266" s="392" t="s">
        <v>2678</v>
      </c>
      <c r="C266" s="507">
        <v>45982</v>
      </c>
      <c r="D266" s="436" t="s">
        <v>3233</v>
      </c>
      <c r="E266" s="437" t="s">
        <v>2859</v>
      </c>
      <c r="F266" s="397" t="s">
        <v>3363</v>
      </c>
      <c r="G266" s="397"/>
      <c r="H266" s="524" t="s">
        <v>2987</v>
      </c>
      <c r="I266" s="403"/>
      <c r="J266" s="403">
        <v>12120</v>
      </c>
      <c r="K266" s="491">
        <f ca="1">+IF('[3]BROUILLARD DE CAISSE '!$C266="","",SUMIFS(INDIRECT("$K$7:K"&amp;ROW()),INDIRECT("$D$7:D"&amp;ROW()),"="&amp;"Report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1882116</v>
      </c>
      <c r="L266" s="403">
        <f ca="1">+IF($B266="","",SUMIFS(INDIRECT("$K$7:K"&amp;ROW()),INDIRECT("$B$7:B"&amp;ROW()),Tableau15356789101112131625236923[[#This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1960916</v>
      </c>
    </row>
    <row r="267" spans="1:17" s="534" customFormat="1" ht="15" x14ac:dyDescent="0.2">
      <c r="A267" s="434" t="s">
        <v>2660</v>
      </c>
      <c r="B267" s="392" t="s">
        <v>2678</v>
      </c>
      <c r="C267" s="507">
        <v>45982</v>
      </c>
      <c r="D267" s="436" t="s">
        <v>3233</v>
      </c>
      <c r="E267" s="395" t="s">
        <v>3206</v>
      </c>
      <c r="F267" s="397" t="s">
        <v>3364</v>
      </c>
      <c r="G267" s="397"/>
      <c r="H267" s="524"/>
      <c r="I267" s="403"/>
      <c r="J267" s="403">
        <v>9500</v>
      </c>
      <c r="K267" s="491">
        <f ca="1">+IF('[3]BROUILLARD DE CAISSE '!$C267="","",SUMIFS(INDIRECT("$K$7:K"&amp;ROW()),INDIRECT("$D$7:D"&amp;ROW()),"="&amp;"Report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1872616</v>
      </c>
      <c r="L267" s="403">
        <f ca="1">+IF($B267="","",SUMIFS(INDIRECT("$K$7:K"&amp;ROW()),INDIRECT("$B$7:B"&amp;ROW()),Tableau15356789101112131625236923[[#This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1951416</v>
      </c>
      <c r="O267" s="535"/>
      <c r="P267" s="535"/>
      <c r="Q267" s="535"/>
    </row>
    <row r="268" spans="1:17" ht="15" x14ac:dyDescent="0.3">
      <c r="A268" s="434" t="s">
        <v>2660</v>
      </c>
      <c r="B268" s="392" t="s">
        <v>2678</v>
      </c>
      <c r="C268" s="507">
        <v>45982</v>
      </c>
      <c r="D268" s="436" t="s">
        <v>3233</v>
      </c>
      <c r="E268" s="437" t="s">
        <v>3173</v>
      </c>
      <c r="F268" s="397" t="s">
        <v>3365</v>
      </c>
      <c r="G268" s="397"/>
      <c r="H268" s="524"/>
      <c r="I268" s="403"/>
      <c r="J268" s="403">
        <v>6300</v>
      </c>
      <c r="K268" s="491">
        <f ca="1">+IF('[3]BROUILLARD DE CAISSE '!$C268="","",SUMIFS(INDIRECT("$K$7:K"&amp;ROW()),INDIRECT("$D$7:D"&amp;ROW()),"="&amp;"Report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1866316</v>
      </c>
      <c r="L268" s="403">
        <f ca="1">+IF($B268="","",SUMIFS(INDIRECT("$K$7:K"&amp;ROW()),INDIRECT("$B$7:B"&amp;ROW()),Tableau15356789101112131625236923[[#This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1945116</v>
      </c>
    </row>
    <row r="269" spans="1:17" ht="15" x14ac:dyDescent="0.3">
      <c r="A269" s="434" t="s">
        <v>2660</v>
      </c>
      <c r="B269" s="392" t="s">
        <v>2678</v>
      </c>
      <c r="C269" s="507">
        <v>45982</v>
      </c>
      <c r="D269" s="436" t="s">
        <v>3233</v>
      </c>
      <c r="E269" s="437" t="s">
        <v>3156</v>
      </c>
      <c r="F269" s="397" t="s">
        <v>3366</v>
      </c>
      <c r="G269" s="397"/>
      <c r="H269" s="524"/>
      <c r="I269" s="403"/>
      <c r="J269" s="403">
        <v>1500</v>
      </c>
      <c r="K269" s="491">
        <f ca="1">+IF('[3]BROUILLARD DE CAISSE '!$C269="","",SUMIFS(INDIRECT("$K$7:K"&amp;ROW()),INDIRECT("$D$7:D"&amp;ROW()),"="&amp;"Report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1864816</v>
      </c>
      <c r="L269" s="403">
        <f ca="1">+IF($B269="","",SUMIFS(INDIRECT("$K$7:K"&amp;ROW()),INDIRECT("$B$7:B"&amp;ROW()),Tableau15356789101112131625236923[[#This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1943616</v>
      </c>
    </row>
    <row r="270" spans="1:17" ht="15" x14ac:dyDescent="0.3">
      <c r="A270" s="434" t="s">
        <v>2660</v>
      </c>
      <c r="B270" s="392" t="s">
        <v>2678</v>
      </c>
      <c r="C270" s="507">
        <v>45982</v>
      </c>
      <c r="D270" s="436" t="s">
        <v>3233</v>
      </c>
      <c r="E270" s="437" t="s">
        <v>3296</v>
      </c>
      <c r="F270" s="397" t="s">
        <v>3367</v>
      </c>
      <c r="G270" s="397"/>
      <c r="H270" s="524"/>
      <c r="I270" s="403"/>
      <c r="J270" s="403">
        <v>6500</v>
      </c>
      <c r="K270" s="491">
        <f ca="1">+IF('[3]BROUILLARD DE CAISSE '!$C270="","",SUMIFS(INDIRECT("$K$7:K"&amp;ROW()),INDIRECT("$D$7:D"&amp;ROW()),"="&amp;"Report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1858316</v>
      </c>
      <c r="L270" s="403">
        <f ca="1">+IF($B270="","",SUMIFS(INDIRECT("$K$7:K"&amp;ROW()),INDIRECT("$B$7:B"&amp;ROW()),Tableau15356789101112131625236923[[#This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1937116</v>
      </c>
    </row>
    <row r="271" spans="1:17" s="423" customFormat="1" ht="15" x14ac:dyDescent="0.2">
      <c r="A271" s="532" t="s">
        <v>2660</v>
      </c>
      <c r="B271" s="486" t="s">
        <v>2678</v>
      </c>
      <c r="C271" s="507">
        <v>45982</v>
      </c>
      <c r="D271" s="453" t="s">
        <v>3233</v>
      </c>
      <c r="E271" s="459" t="s">
        <v>3368</v>
      </c>
      <c r="F271" s="454" t="s">
        <v>3369</v>
      </c>
      <c r="G271" s="454"/>
      <c r="H271" s="531"/>
      <c r="I271" s="456"/>
      <c r="J271" s="456">
        <v>468700</v>
      </c>
      <c r="K271" s="491">
        <f ca="1">+IF('[3]BROUILLARD DE CAISSE '!$C271="","",SUMIFS(INDIRECT("$K$7:K"&amp;ROW()),INDIRECT("$D$7:D"&amp;ROW()),"="&amp;"Report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1389616</v>
      </c>
      <c r="L271" s="456">
        <f ca="1">+IF($B271="","",SUMIFS(INDIRECT("$K$7:K"&amp;ROW()),INDIRECT("$B$7:B"&amp;ROW()),Tableau15356789101112131625236923[[#This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1468416</v>
      </c>
      <c r="O271" s="458"/>
      <c r="P271" s="458"/>
      <c r="Q271" s="458"/>
    </row>
    <row r="272" spans="1:17" ht="15" x14ac:dyDescent="0.3">
      <c r="A272" s="434" t="s">
        <v>2660</v>
      </c>
      <c r="B272" s="392" t="s">
        <v>2678</v>
      </c>
      <c r="C272" s="507">
        <v>45982</v>
      </c>
      <c r="D272" s="436" t="s">
        <v>3233</v>
      </c>
      <c r="E272" s="437" t="s">
        <v>3122</v>
      </c>
      <c r="F272" s="397" t="s">
        <v>3370</v>
      </c>
      <c r="G272" s="397"/>
      <c r="H272" s="524"/>
      <c r="I272" s="403"/>
      <c r="J272" s="403">
        <v>125240</v>
      </c>
      <c r="K272" s="491">
        <f ca="1">+IF('[3]BROUILLARD DE CAISSE '!$C272="","",SUMIFS(INDIRECT("$K$7:K"&amp;ROW()),INDIRECT("$D$7:D"&amp;ROW()),"="&amp;"Report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1264376</v>
      </c>
      <c r="L272" s="403">
        <f ca="1">+IF($B272="","",SUMIFS(INDIRECT("$K$7:K"&amp;ROW()),INDIRECT("$B$7:B"&amp;ROW()),Tableau15356789101112131625236923[[#This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1343176</v>
      </c>
    </row>
    <row r="273" spans="1:17" ht="15" x14ac:dyDescent="0.3">
      <c r="A273" s="434" t="s">
        <v>2660</v>
      </c>
      <c r="B273" s="392" t="s">
        <v>2678</v>
      </c>
      <c r="C273" s="507">
        <v>45982</v>
      </c>
      <c r="D273" s="436" t="s">
        <v>3233</v>
      </c>
      <c r="E273" s="437" t="s">
        <v>2863</v>
      </c>
      <c r="F273" s="397" t="s">
        <v>3226</v>
      </c>
      <c r="G273" s="397"/>
      <c r="H273" s="524" t="s">
        <v>2698</v>
      </c>
      <c r="I273" s="403"/>
      <c r="J273" s="403">
        <v>10100</v>
      </c>
      <c r="K273" s="491">
        <f ca="1">+IF('[3]BROUILLARD DE CAISSE '!$C273="","",SUMIFS(INDIRECT("$K$7:K"&amp;ROW()),INDIRECT("$D$7:D"&amp;ROW()),"="&amp;"Report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1254276</v>
      </c>
      <c r="L273" s="403">
        <f ca="1">+IF($B273="","",SUMIFS(INDIRECT("$K$7:K"&amp;ROW()),INDIRECT("$B$7:B"&amp;ROW()),Tableau15356789101112131625236923[[#This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1333076</v>
      </c>
    </row>
    <row r="274" spans="1:17" ht="15" x14ac:dyDescent="0.3">
      <c r="A274" s="434" t="s">
        <v>2660</v>
      </c>
      <c r="B274" s="392" t="s">
        <v>2678</v>
      </c>
      <c r="C274" s="507">
        <v>45982</v>
      </c>
      <c r="D274" s="436" t="s">
        <v>3233</v>
      </c>
      <c r="E274" s="437" t="s">
        <v>2828</v>
      </c>
      <c r="F274" s="397" t="s">
        <v>3371</v>
      </c>
      <c r="G274" s="397"/>
      <c r="H274" s="524" t="s">
        <v>3372</v>
      </c>
      <c r="I274" s="403"/>
      <c r="J274" s="403">
        <v>11110</v>
      </c>
      <c r="K274" s="491">
        <f ca="1">+IF('[3]BROUILLARD DE CAISSE '!$C274="","",SUMIFS(INDIRECT("$K$7:K"&amp;ROW()),INDIRECT("$D$7:D"&amp;ROW()),"="&amp;"Report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1243166</v>
      </c>
      <c r="L274" s="403">
        <f ca="1">+IF($B274="","",SUMIFS(INDIRECT("$K$7:K"&amp;ROW()),INDIRECT("$B$7:B"&amp;ROW()),Tableau15356789101112131625236923[[#This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1321966</v>
      </c>
    </row>
    <row r="275" spans="1:17" ht="15" x14ac:dyDescent="0.3">
      <c r="A275" s="434" t="s">
        <v>2660</v>
      </c>
      <c r="B275" s="392" t="s">
        <v>2678</v>
      </c>
      <c r="C275" s="507">
        <v>45982</v>
      </c>
      <c r="D275" s="436" t="s">
        <v>3233</v>
      </c>
      <c r="E275" s="437" t="s">
        <v>3173</v>
      </c>
      <c r="F275" s="397" t="s">
        <v>3373</v>
      </c>
      <c r="G275" s="397"/>
      <c r="H275" s="524"/>
      <c r="I275" s="403"/>
      <c r="J275" s="403">
        <v>109350</v>
      </c>
      <c r="K275" s="491">
        <f ca="1">+IF('[3]BROUILLARD DE CAISSE '!$C275="","",SUMIFS(INDIRECT("$K$7:K"&amp;ROW()),INDIRECT("$D$7:D"&amp;ROW()),"="&amp;"Report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1133816</v>
      </c>
      <c r="L275" s="403">
        <f ca="1">+IF($B275="","",SUMIFS(INDIRECT("$K$7:K"&amp;ROW()),INDIRECT("$B$7:B"&amp;ROW()),Tableau15356789101112131625236923[[#This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1212616</v>
      </c>
    </row>
    <row r="276" spans="1:17" s="520" customFormat="1" ht="15" x14ac:dyDescent="0.3">
      <c r="A276" s="533" t="s">
        <v>2660</v>
      </c>
      <c r="B276" s="527" t="s">
        <v>2678</v>
      </c>
      <c r="C276" s="528">
        <v>45982</v>
      </c>
      <c r="D276" s="443" t="s">
        <v>3253</v>
      </c>
      <c r="E276" s="444" t="s">
        <v>2679</v>
      </c>
      <c r="F276" s="445" t="s">
        <v>3374</v>
      </c>
      <c r="G276" s="445"/>
      <c r="H276" s="530"/>
      <c r="I276" s="447">
        <v>4000000</v>
      </c>
      <c r="J276" s="447"/>
      <c r="K276" s="491">
        <f ca="1">+IF('[3]BROUILLARD DE CAISSE '!$C276="","",SUMIFS(INDIRECT("$K$7:K"&amp;ROW()),INDIRECT("$D$7:D"&amp;ROW()),"="&amp;"Report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5133816</v>
      </c>
      <c r="L276" s="447">
        <f ca="1">+IF($B276="","",SUMIFS(INDIRECT("$K$7:K"&amp;ROW()),INDIRECT("$B$7:B"&amp;ROW()),Tableau15356789101112131625236923[[#This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5212616</v>
      </c>
      <c r="O276" s="482"/>
      <c r="P276" s="482"/>
      <c r="Q276" s="482"/>
    </row>
    <row r="277" spans="1:17" ht="15" x14ac:dyDescent="0.3">
      <c r="A277" s="434" t="s">
        <v>2660</v>
      </c>
      <c r="B277" s="392" t="s">
        <v>2678</v>
      </c>
      <c r="C277" s="507">
        <v>45982</v>
      </c>
      <c r="D277" s="436" t="s">
        <v>3233</v>
      </c>
      <c r="E277" s="437" t="s">
        <v>3375</v>
      </c>
      <c r="F277" s="397" t="s">
        <v>3376</v>
      </c>
      <c r="G277" s="397"/>
      <c r="H277" s="524"/>
      <c r="I277" s="403"/>
      <c r="J277" s="403">
        <v>1000000</v>
      </c>
      <c r="K277" s="491">
        <f ca="1">+IF('[3]BROUILLARD DE CAISSE '!$C277="","",SUMIFS(INDIRECT("$K$7:K"&amp;ROW()),INDIRECT("$D$7:D"&amp;ROW()),"="&amp;"Report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4133816</v>
      </c>
      <c r="L277" s="403">
        <f ca="1">+IF($B277="","",SUMIFS(INDIRECT("$K$7:K"&amp;ROW()),INDIRECT("$B$7:B"&amp;ROW()),Tableau15356789101112131625236923[[#This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4212616</v>
      </c>
    </row>
    <row r="278" spans="1:17" ht="15" x14ac:dyDescent="0.3">
      <c r="A278" s="434" t="s">
        <v>2660</v>
      </c>
      <c r="B278" s="392" t="s">
        <v>2678</v>
      </c>
      <c r="C278" s="507">
        <v>45982</v>
      </c>
      <c r="D278" s="436" t="s">
        <v>3233</v>
      </c>
      <c r="E278" s="437" t="s">
        <v>3377</v>
      </c>
      <c r="F278" s="397" t="s">
        <v>3378</v>
      </c>
      <c r="G278" s="397"/>
      <c r="H278" s="524"/>
      <c r="I278" s="403"/>
      <c r="J278" s="403">
        <v>1168650</v>
      </c>
      <c r="K278" s="491">
        <f ca="1">+IF('[3]BROUILLARD DE CAISSE '!$C278="","",SUMIFS(INDIRECT("$K$7:K"&amp;ROW()),INDIRECT("$D$7:D"&amp;ROW()),"="&amp;"Report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2965166</v>
      </c>
      <c r="L278" s="403">
        <f ca="1">+IF($B278="","",SUMIFS(INDIRECT("$K$7:K"&amp;ROW()),INDIRECT("$B$7:B"&amp;ROW()),Tableau15356789101112131625236923[[#This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3043966</v>
      </c>
    </row>
    <row r="279" spans="1:17" ht="15" x14ac:dyDescent="0.3">
      <c r="A279" s="434" t="s">
        <v>2660</v>
      </c>
      <c r="B279" s="392" t="s">
        <v>2678</v>
      </c>
      <c r="C279" s="507">
        <v>45982</v>
      </c>
      <c r="D279" s="436" t="s">
        <v>3233</v>
      </c>
      <c r="E279" s="437" t="s">
        <v>2710</v>
      </c>
      <c r="F279" s="397" t="s">
        <v>3379</v>
      </c>
      <c r="G279" s="397"/>
      <c r="H279" s="524"/>
      <c r="I279" s="403"/>
      <c r="J279" s="403">
        <v>6060</v>
      </c>
      <c r="K279" s="491">
        <f ca="1">+IF('[3]BROUILLARD DE CAISSE '!$C279="","",SUMIFS(INDIRECT("$K$7:K"&amp;ROW()),INDIRECT("$D$7:D"&amp;ROW()),"="&amp;"Report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2959106</v>
      </c>
      <c r="L279" s="403">
        <f ca="1">+IF($B279="","",SUMIFS(INDIRECT("$K$7:K"&amp;ROW()),INDIRECT("$B$7:B"&amp;ROW()),Tableau15356789101112131625236923[[#This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3037906</v>
      </c>
    </row>
    <row r="280" spans="1:17" ht="15" x14ac:dyDescent="0.3">
      <c r="A280" s="434" t="s">
        <v>2660</v>
      </c>
      <c r="B280" s="392" t="s">
        <v>2678</v>
      </c>
      <c r="C280" s="507">
        <v>45982</v>
      </c>
      <c r="D280" s="436" t="s">
        <v>3233</v>
      </c>
      <c r="E280" s="437" t="s">
        <v>3175</v>
      </c>
      <c r="F280" s="397" t="s">
        <v>3380</v>
      </c>
      <c r="G280" s="397"/>
      <c r="H280" s="524"/>
      <c r="I280" s="403"/>
      <c r="J280" s="403">
        <v>10100</v>
      </c>
      <c r="K280" s="491">
        <f ca="1">+IF('[3]BROUILLARD DE CAISSE '!$C280="","",SUMIFS(INDIRECT("$K$7:K"&amp;ROW()),INDIRECT("$D$7:D"&amp;ROW()),"="&amp;"Report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2949006</v>
      </c>
      <c r="L280" s="403">
        <f ca="1">+IF($B280="","",SUMIFS(INDIRECT("$K$7:K"&amp;ROW()),INDIRECT("$B$7:B"&amp;ROW()),Tableau15356789101112131625236923[[#This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3027806</v>
      </c>
    </row>
    <row r="281" spans="1:17" ht="15" x14ac:dyDescent="0.3">
      <c r="A281" s="434" t="s">
        <v>2660</v>
      </c>
      <c r="B281" s="392" t="s">
        <v>2678</v>
      </c>
      <c r="C281" s="507">
        <v>45982</v>
      </c>
      <c r="D281" s="436" t="s">
        <v>3233</v>
      </c>
      <c r="E281" s="437" t="s">
        <v>3043</v>
      </c>
      <c r="F281" s="397" t="s">
        <v>3381</v>
      </c>
      <c r="G281" s="397"/>
      <c r="H281" s="524" t="s">
        <v>2964</v>
      </c>
      <c r="I281" s="403"/>
      <c r="J281" s="403">
        <v>20000</v>
      </c>
      <c r="K281" s="491">
        <f ca="1">+IF('[3]BROUILLARD DE CAISSE '!$C281="","",SUMIFS(INDIRECT("$K$7:K"&amp;ROW()),INDIRECT("$D$7:D"&amp;ROW()),"="&amp;"Report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2929006</v>
      </c>
      <c r="L281" s="403">
        <f ca="1">+IF($B281="","",SUMIFS(INDIRECT("$K$7:K"&amp;ROW()),INDIRECT("$B$7:B"&amp;ROW()),Tableau15356789101112131625236923[[#This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3007806</v>
      </c>
    </row>
    <row r="282" spans="1:17" ht="15" x14ac:dyDescent="0.3">
      <c r="A282" s="434" t="s">
        <v>2660</v>
      </c>
      <c r="B282" s="392" t="s">
        <v>2678</v>
      </c>
      <c r="C282" s="507">
        <v>45982</v>
      </c>
      <c r="D282" s="436" t="s">
        <v>3233</v>
      </c>
      <c r="E282" s="437" t="s">
        <v>2683</v>
      </c>
      <c r="F282" s="397" t="s">
        <v>3382</v>
      </c>
      <c r="G282" s="397"/>
      <c r="H282" s="524" t="s">
        <v>2685</v>
      </c>
      <c r="I282" s="403"/>
      <c r="J282" s="403">
        <v>40400</v>
      </c>
      <c r="K282" s="491">
        <f ca="1">+IF('[3]BROUILLARD DE CAISSE '!$C282="","",SUMIFS(INDIRECT("$K$7:K"&amp;ROW()),INDIRECT("$D$7:D"&amp;ROW()),"="&amp;"Report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2888606</v>
      </c>
      <c r="L282" s="403">
        <f ca="1">+IF($B282="","",SUMIFS(INDIRECT("$K$7:K"&amp;ROW()),INDIRECT("$B$7:B"&amp;ROW()),Tableau15356789101112131625236923[[#This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2967406</v>
      </c>
    </row>
    <row r="283" spans="1:17" ht="15" x14ac:dyDescent="0.3">
      <c r="A283" s="434" t="s">
        <v>2660</v>
      </c>
      <c r="B283" s="392" t="s">
        <v>2678</v>
      </c>
      <c r="C283" s="507">
        <v>45983</v>
      </c>
      <c r="D283" s="436" t="s">
        <v>3233</v>
      </c>
      <c r="E283" s="437" t="s">
        <v>2915</v>
      </c>
      <c r="F283" s="397" t="s">
        <v>3383</v>
      </c>
      <c r="G283" s="397" t="s">
        <v>2702</v>
      </c>
      <c r="H283" s="524"/>
      <c r="I283" s="403"/>
      <c r="J283" s="403">
        <v>828000</v>
      </c>
      <c r="K283" s="491">
        <f ca="1">+IF('[3]BROUILLARD DE CAISSE '!$C283="","",SUMIFS(INDIRECT("$K$7:K"&amp;ROW()),INDIRECT("$D$7:D"&amp;ROW()),"="&amp;"Report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2060606</v>
      </c>
      <c r="L283" s="403">
        <f ca="1">+IF($B283="","",SUMIFS(INDIRECT("$K$7:K"&amp;ROW()),INDIRECT("$B$7:B"&amp;ROW()),Tableau15356789101112131625236923[[#This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2139406</v>
      </c>
    </row>
    <row r="284" spans="1:17" ht="15" x14ac:dyDescent="0.3">
      <c r="A284" s="434" t="s">
        <v>2660</v>
      </c>
      <c r="B284" s="392" t="s">
        <v>2678</v>
      </c>
      <c r="C284" s="507">
        <v>45983</v>
      </c>
      <c r="D284" s="436" t="s">
        <v>3233</v>
      </c>
      <c r="E284" s="437" t="s">
        <v>3384</v>
      </c>
      <c r="F284" s="397" t="s">
        <v>3385</v>
      </c>
      <c r="G284" s="397"/>
      <c r="H284" s="524"/>
      <c r="I284" s="403"/>
      <c r="J284" s="403">
        <v>7000</v>
      </c>
      <c r="K284" s="491">
        <f ca="1">+IF('[3]BROUILLARD DE CAISSE '!$C284="","",SUMIFS(INDIRECT("$K$7:K"&amp;ROW()),INDIRECT("$D$7:D"&amp;ROW()),"="&amp;"Report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2053606</v>
      </c>
      <c r="L284" s="403">
        <f ca="1">+IF($B284="","",SUMIFS(INDIRECT("$K$7:K"&amp;ROW()),INDIRECT("$B$7:B"&amp;ROW()),Tableau15356789101112131625236923[[#This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2132406</v>
      </c>
    </row>
    <row r="285" spans="1:17" s="520" customFormat="1" ht="15" x14ac:dyDescent="0.3">
      <c r="A285" s="533" t="s">
        <v>2660</v>
      </c>
      <c r="B285" s="527" t="s">
        <v>2678</v>
      </c>
      <c r="C285" s="528">
        <v>45983</v>
      </c>
      <c r="D285" s="443" t="s">
        <v>3253</v>
      </c>
      <c r="E285" s="444" t="s">
        <v>2679</v>
      </c>
      <c r="F285" s="445" t="s">
        <v>3386</v>
      </c>
      <c r="G285" s="445"/>
      <c r="H285" s="530"/>
      <c r="I285" s="447">
        <v>2969000</v>
      </c>
      <c r="J285" s="447"/>
      <c r="K285" s="491">
        <f ca="1">+IF('[3]BROUILLARD DE CAISSE '!$C285="","",SUMIFS(INDIRECT("$K$7:K"&amp;ROW()),INDIRECT("$D$7:D"&amp;ROW()),"="&amp;"Report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5022606</v>
      </c>
      <c r="L285" s="447">
        <f ca="1">+IF($B285="","",SUMIFS(INDIRECT("$K$7:K"&amp;ROW()),INDIRECT("$B$7:B"&amp;ROW()),Tableau15356789101112131625236923[[#This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5101406</v>
      </c>
      <c r="O285" s="482"/>
      <c r="P285" s="482"/>
      <c r="Q285" s="482"/>
    </row>
    <row r="286" spans="1:17" ht="15" x14ac:dyDescent="0.3">
      <c r="A286" s="434" t="s">
        <v>2660</v>
      </c>
      <c r="B286" s="392" t="s">
        <v>2678</v>
      </c>
      <c r="C286" s="507">
        <v>45983</v>
      </c>
      <c r="D286" s="436" t="s">
        <v>3233</v>
      </c>
      <c r="E286" s="437" t="s">
        <v>2878</v>
      </c>
      <c r="F286" s="397" t="s">
        <v>3387</v>
      </c>
      <c r="G286" s="397" t="s">
        <v>2702</v>
      </c>
      <c r="H286" s="524"/>
      <c r="I286" s="403"/>
      <c r="J286" s="403">
        <v>1000000</v>
      </c>
      <c r="K286" s="491">
        <f ca="1">+IF('[3]BROUILLARD DE CAISSE '!$C286="","",SUMIFS(INDIRECT("$K$7:K"&amp;ROW()),INDIRECT("$D$7:D"&amp;ROW()),"="&amp;"Report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4022606</v>
      </c>
      <c r="L286" s="403">
        <f ca="1">+IF($B286="","",SUMIFS(INDIRECT("$K$7:K"&amp;ROW()),INDIRECT("$B$7:B"&amp;ROW()),Tableau15356789101112131625236923[[#This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4101406</v>
      </c>
    </row>
    <row r="287" spans="1:17" ht="15" x14ac:dyDescent="0.3">
      <c r="A287" s="434" t="s">
        <v>2660</v>
      </c>
      <c r="B287" s="392" t="s">
        <v>2678</v>
      </c>
      <c r="C287" s="507">
        <v>45983</v>
      </c>
      <c r="D287" s="436" t="s">
        <v>3233</v>
      </c>
      <c r="E287" s="437" t="s">
        <v>2878</v>
      </c>
      <c r="F287" s="397" t="s">
        <v>3388</v>
      </c>
      <c r="G287" s="397" t="s">
        <v>2702</v>
      </c>
      <c r="H287" s="524"/>
      <c r="I287" s="403"/>
      <c r="J287" s="403">
        <v>800000</v>
      </c>
      <c r="K287" s="491">
        <f ca="1">+IF('[3]BROUILLARD DE CAISSE '!$C287="","",SUMIFS(INDIRECT("$K$7:K"&amp;ROW()),INDIRECT("$D$7:D"&amp;ROW()),"="&amp;"Report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3222606</v>
      </c>
      <c r="L287" s="403">
        <f ca="1">+IF($B287="","",SUMIFS(INDIRECT("$K$7:K"&amp;ROW()),INDIRECT("$B$7:B"&amp;ROW()),Tableau15356789101112131625236923[[#This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3301406</v>
      </c>
    </row>
    <row r="288" spans="1:17" ht="15" x14ac:dyDescent="0.3">
      <c r="A288" s="434" t="s">
        <v>2660</v>
      </c>
      <c r="B288" s="392" t="s">
        <v>2678</v>
      </c>
      <c r="C288" s="507">
        <v>45983</v>
      </c>
      <c r="D288" s="436" t="s">
        <v>3233</v>
      </c>
      <c r="E288" s="437" t="s">
        <v>3112</v>
      </c>
      <c r="F288" s="397" t="s">
        <v>3389</v>
      </c>
      <c r="G288" s="397"/>
      <c r="H288" s="524"/>
      <c r="I288" s="403"/>
      <c r="J288" s="403">
        <v>50000</v>
      </c>
      <c r="K288" s="491">
        <f ca="1">+IF('[3]BROUILLARD DE CAISSE '!$C288="","",SUMIFS(INDIRECT("$K$7:K"&amp;ROW()),INDIRECT("$D$7:D"&amp;ROW()),"="&amp;"Report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3172606</v>
      </c>
      <c r="L288" s="403">
        <f ca="1">+IF($B288="","",SUMIFS(INDIRECT("$K$7:K"&amp;ROW()),INDIRECT("$B$7:B"&amp;ROW()),Tableau15356789101112131625236923[[#This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3251406</v>
      </c>
    </row>
    <row r="289" spans="1:17" ht="15" x14ac:dyDescent="0.3">
      <c r="A289" s="434" t="s">
        <v>2660</v>
      </c>
      <c r="B289" s="392" t="s">
        <v>2678</v>
      </c>
      <c r="C289" s="507">
        <v>45983</v>
      </c>
      <c r="D289" s="436" t="s">
        <v>3233</v>
      </c>
      <c r="E289" s="437" t="s">
        <v>3390</v>
      </c>
      <c r="F289" s="397" t="s">
        <v>3391</v>
      </c>
      <c r="G289" s="397"/>
      <c r="H289" s="524" t="s">
        <v>3392</v>
      </c>
      <c r="I289" s="403"/>
      <c r="J289" s="403">
        <v>29290</v>
      </c>
      <c r="K289" s="491">
        <f ca="1">+IF('[3]BROUILLARD DE CAISSE '!$C289="","",SUMIFS(INDIRECT("$K$7:K"&amp;ROW()),INDIRECT("$D$7:D"&amp;ROW()),"="&amp;"Report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3143316</v>
      </c>
      <c r="L289" s="403">
        <f ca="1">+IF($B289="","",SUMIFS(INDIRECT("$K$7:K"&amp;ROW()),INDIRECT("$B$7:B"&amp;ROW()),Tableau15356789101112131625236923[[#This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3222116</v>
      </c>
    </row>
    <row r="290" spans="1:17" s="423" customFormat="1" ht="15" x14ac:dyDescent="0.2">
      <c r="A290" s="532" t="s">
        <v>2660</v>
      </c>
      <c r="B290" s="486" t="s">
        <v>2678</v>
      </c>
      <c r="C290" s="507">
        <v>45983</v>
      </c>
      <c r="D290" s="453" t="s">
        <v>3233</v>
      </c>
      <c r="E290" s="459" t="s">
        <v>2683</v>
      </c>
      <c r="F290" s="454" t="s">
        <v>3393</v>
      </c>
      <c r="G290" s="454"/>
      <c r="H290" s="531" t="s">
        <v>2685</v>
      </c>
      <c r="I290" s="456"/>
      <c r="J290" s="456">
        <v>213870</v>
      </c>
      <c r="K290" s="491">
        <f ca="1">+IF('[3]BROUILLARD DE CAISSE '!$C290="","",SUMIFS(INDIRECT("$K$7:K"&amp;ROW()),INDIRECT("$D$7:D"&amp;ROW()),"="&amp;"Report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2929446</v>
      </c>
      <c r="L290" s="456">
        <f ca="1">+IF($B290="","",SUMIFS(INDIRECT("$K$7:K"&amp;ROW()),INDIRECT("$B$7:B"&amp;ROW()),Tableau15356789101112131625236923[[#This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3008246</v>
      </c>
      <c r="O290" s="458"/>
      <c r="P290" s="458"/>
      <c r="Q290" s="458"/>
    </row>
    <row r="291" spans="1:17" ht="15" x14ac:dyDescent="0.3">
      <c r="A291" s="434" t="s">
        <v>2660</v>
      </c>
      <c r="B291" s="392" t="s">
        <v>2678</v>
      </c>
      <c r="C291" s="507">
        <v>45983</v>
      </c>
      <c r="D291" s="436" t="s">
        <v>3233</v>
      </c>
      <c r="E291" s="437" t="s">
        <v>3394</v>
      </c>
      <c r="F291" s="397" t="s">
        <v>3395</v>
      </c>
      <c r="G291" s="397"/>
      <c r="H291" s="524"/>
      <c r="I291" s="403"/>
      <c r="J291" s="403">
        <v>19895</v>
      </c>
      <c r="K291" s="491">
        <f ca="1">+IF('[3]BROUILLARD DE CAISSE '!$C291="","",SUMIFS(INDIRECT("$K$7:K"&amp;ROW()),INDIRECT("$D$7:D"&amp;ROW()),"="&amp;"Report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2909551</v>
      </c>
      <c r="L291" s="403">
        <f ca="1">+IF($B291="","",SUMIFS(INDIRECT("$K$7:K"&amp;ROW()),INDIRECT("$B$7:B"&amp;ROW()),Tableau15356789101112131625236923[[#This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2988351</v>
      </c>
    </row>
    <row r="292" spans="1:17" ht="15" x14ac:dyDescent="0.3">
      <c r="A292" s="434" t="s">
        <v>2660</v>
      </c>
      <c r="B292" s="392" t="s">
        <v>2678</v>
      </c>
      <c r="C292" s="507">
        <v>45983</v>
      </c>
      <c r="D292" s="436" t="s">
        <v>3233</v>
      </c>
      <c r="E292" s="437" t="s">
        <v>3122</v>
      </c>
      <c r="F292" s="397" t="s">
        <v>3396</v>
      </c>
      <c r="G292" s="397"/>
      <c r="H292" s="524"/>
      <c r="I292" s="403"/>
      <c r="J292" s="403">
        <v>128270</v>
      </c>
      <c r="K292" s="491">
        <f ca="1">+IF('[3]BROUILLARD DE CAISSE '!$C292="","",SUMIFS(INDIRECT("$K$7:K"&amp;ROW()),INDIRECT("$D$7:D"&amp;ROW()),"="&amp;"Report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2781281</v>
      </c>
      <c r="L292" s="403">
        <f ca="1">+IF($B292="","",SUMIFS(INDIRECT("$K$7:K"&amp;ROW()),INDIRECT("$B$7:B"&amp;ROW()),Tableau15356789101112131625236923[[#This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2860081</v>
      </c>
    </row>
    <row r="293" spans="1:17" ht="15" x14ac:dyDescent="0.3">
      <c r="A293" s="434" t="s">
        <v>2660</v>
      </c>
      <c r="B293" s="392" t="s">
        <v>2678</v>
      </c>
      <c r="C293" s="507">
        <v>45983</v>
      </c>
      <c r="D293" s="436" t="s">
        <v>3233</v>
      </c>
      <c r="E293" s="437" t="s">
        <v>3195</v>
      </c>
      <c r="F293" s="397" t="s">
        <v>3397</v>
      </c>
      <c r="G293" s="397"/>
      <c r="H293" s="524"/>
      <c r="I293" s="403"/>
      <c r="J293" s="403">
        <v>20000</v>
      </c>
      <c r="K293" s="491">
        <f ca="1">+IF('[3]BROUILLARD DE CAISSE '!$C293="","",SUMIFS(INDIRECT("$K$7:K"&amp;ROW()),INDIRECT("$D$7:D"&amp;ROW()),"="&amp;"Report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2761281</v>
      </c>
      <c r="L293" s="403">
        <f ca="1">+IF($B293="","",SUMIFS(INDIRECT("$K$7:K"&amp;ROW()),INDIRECT("$B$7:B"&amp;ROW()),Tableau15356789101112131625236923[[#This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2840081</v>
      </c>
    </row>
    <row r="294" spans="1:17" ht="15" x14ac:dyDescent="0.3">
      <c r="A294" s="434" t="s">
        <v>2660</v>
      </c>
      <c r="B294" s="392" t="s">
        <v>2678</v>
      </c>
      <c r="C294" s="507">
        <v>45983</v>
      </c>
      <c r="D294" s="436" t="s">
        <v>3233</v>
      </c>
      <c r="E294" s="437" t="s">
        <v>2710</v>
      </c>
      <c r="F294" s="397" t="s">
        <v>3398</v>
      </c>
      <c r="G294" s="397"/>
      <c r="H294" s="524"/>
      <c r="I294" s="403"/>
      <c r="J294" s="403">
        <v>3030</v>
      </c>
      <c r="K294" s="491">
        <f ca="1">+IF('[3]BROUILLARD DE CAISSE '!$C294="","",SUMIFS(INDIRECT("$K$7:K"&amp;ROW()),INDIRECT("$D$7:D"&amp;ROW()),"="&amp;"Report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2758251</v>
      </c>
      <c r="L294" s="403">
        <f ca="1">+IF($B294="","",SUMIFS(INDIRECT("$K$7:K"&amp;ROW()),INDIRECT("$B$7:B"&amp;ROW()),Tableau15356789101112131625236923[[#This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2837051</v>
      </c>
    </row>
    <row r="295" spans="1:17" ht="15" x14ac:dyDescent="0.3">
      <c r="A295" s="434" t="s">
        <v>2660</v>
      </c>
      <c r="B295" s="392" t="s">
        <v>2678</v>
      </c>
      <c r="C295" s="507">
        <v>45983</v>
      </c>
      <c r="D295" s="436" t="s">
        <v>3233</v>
      </c>
      <c r="E295" s="395" t="s">
        <v>3206</v>
      </c>
      <c r="F295" s="397" t="s">
        <v>3399</v>
      </c>
      <c r="G295" s="397"/>
      <c r="H295" s="524"/>
      <c r="I295" s="403"/>
      <c r="J295" s="403">
        <v>2000</v>
      </c>
      <c r="K295" s="491">
        <f ca="1">+IF('[3]BROUILLARD DE CAISSE '!$C295="","",SUMIFS(INDIRECT("$K$7:K"&amp;ROW()),INDIRECT("$D$7:D"&amp;ROW()),"="&amp;"Report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2756251</v>
      </c>
      <c r="L295" s="403">
        <f ca="1">+IF($B295="","",SUMIFS(INDIRECT("$K$7:K"&amp;ROW()),INDIRECT("$B$7:B"&amp;ROW()),Tableau15356789101112131625236923[[#This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2835051</v>
      </c>
    </row>
    <row r="296" spans="1:17" ht="15" x14ac:dyDescent="0.3">
      <c r="A296" s="434" t="s">
        <v>2660</v>
      </c>
      <c r="B296" s="392" t="s">
        <v>2678</v>
      </c>
      <c r="C296" s="507">
        <v>45984</v>
      </c>
      <c r="D296" s="436" t="s">
        <v>3233</v>
      </c>
      <c r="E296" s="437" t="s">
        <v>2710</v>
      </c>
      <c r="F296" s="397" t="s">
        <v>3400</v>
      </c>
      <c r="G296" s="397"/>
      <c r="H296" s="524"/>
      <c r="I296" s="403"/>
      <c r="J296" s="403">
        <v>61610</v>
      </c>
      <c r="K296" s="491">
        <f ca="1">+IF('[3]BROUILLARD DE CAISSE '!$C296="","",SUMIFS(INDIRECT("$K$7:K"&amp;ROW()),INDIRECT("$D$7:D"&amp;ROW()),"="&amp;"Report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2694641</v>
      </c>
      <c r="L296" s="403">
        <f ca="1">+IF($B296="","",SUMIFS(INDIRECT("$K$7:K"&amp;ROW()),INDIRECT("$B$7:B"&amp;ROW()),Tableau15356789101112131625236923[[#This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2773441</v>
      </c>
    </row>
    <row r="297" spans="1:17" ht="15" x14ac:dyDescent="0.3">
      <c r="A297" s="434" t="s">
        <v>2660</v>
      </c>
      <c r="B297" s="392" t="s">
        <v>2678</v>
      </c>
      <c r="C297" s="507">
        <v>45984</v>
      </c>
      <c r="D297" s="436" t="s">
        <v>3233</v>
      </c>
      <c r="E297" s="437" t="s">
        <v>2813</v>
      </c>
      <c r="F297" s="397" t="s">
        <v>3401</v>
      </c>
      <c r="G297" s="397"/>
      <c r="H297" s="524" t="s">
        <v>2811</v>
      </c>
      <c r="I297" s="403"/>
      <c r="J297" s="403">
        <v>20200</v>
      </c>
      <c r="K297" s="491">
        <f ca="1">+IF('[3]BROUILLARD DE CAISSE '!$C297="","",SUMIFS(INDIRECT("$K$7:K"&amp;ROW()),INDIRECT("$D$7:D"&amp;ROW()),"="&amp;"Report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2674441</v>
      </c>
      <c r="L297" s="403">
        <f ca="1">+IF($B297="","",SUMIFS(INDIRECT("$K$7:K"&amp;ROW()),INDIRECT("$B$7:B"&amp;ROW()),Tableau15356789101112131625236923[[#This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2753241</v>
      </c>
    </row>
    <row r="298" spans="1:17" ht="15" x14ac:dyDescent="0.3">
      <c r="A298" s="434" t="s">
        <v>2660</v>
      </c>
      <c r="B298" s="392" t="s">
        <v>2678</v>
      </c>
      <c r="C298" s="507">
        <v>45984</v>
      </c>
      <c r="D298" s="436" t="s">
        <v>3233</v>
      </c>
      <c r="E298" s="437" t="s">
        <v>3175</v>
      </c>
      <c r="F298" s="397" t="s">
        <v>3402</v>
      </c>
      <c r="G298" s="397"/>
      <c r="H298" s="524"/>
      <c r="I298" s="403"/>
      <c r="J298" s="403">
        <v>5050</v>
      </c>
      <c r="K298" s="491">
        <f ca="1">+IF('[3]BROUILLARD DE CAISSE '!$C298="","",SUMIFS(INDIRECT("$K$7:K"&amp;ROW()),INDIRECT("$D$7:D"&amp;ROW()),"="&amp;"Report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2669391</v>
      </c>
      <c r="L298" s="403">
        <f ca="1">+IF($B298="","",SUMIFS(INDIRECT("$K$7:K"&amp;ROW()),INDIRECT("$B$7:B"&amp;ROW()),Tableau15356789101112131625236923[[#This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2748191</v>
      </c>
    </row>
    <row r="299" spans="1:17" ht="15" x14ac:dyDescent="0.3">
      <c r="A299" s="434" t="s">
        <v>2660</v>
      </c>
      <c r="B299" s="392" t="s">
        <v>2678</v>
      </c>
      <c r="C299" s="507">
        <v>45984</v>
      </c>
      <c r="D299" s="436" t="s">
        <v>3233</v>
      </c>
      <c r="E299" s="437" t="s">
        <v>2813</v>
      </c>
      <c r="F299" s="397" t="s">
        <v>3225</v>
      </c>
      <c r="G299" s="397"/>
      <c r="H299" s="524" t="s">
        <v>2707</v>
      </c>
      <c r="I299" s="403"/>
      <c r="J299" s="403">
        <v>12120</v>
      </c>
      <c r="K299" s="491">
        <f ca="1">+IF('[3]BROUILLARD DE CAISSE '!$C299="","",SUMIFS(INDIRECT("$K$7:K"&amp;ROW()),INDIRECT("$D$7:D"&amp;ROW()),"="&amp;"Report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2657271</v>
      </c>
      <c r="L299" s="403">
        <f ca="1">+IF($B299="","",SUMIFS(INDIRECT("$K$7:K"&amp;ROW()),INDIRECT("$B$7:B"&amp;ROW()),Tableau15356789101112131625236923[[#This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2736071</v>
      </c>
    </row>
    <row r="300" spans="1:17" ht="15" x14ac:dyDescent="0.3">
      <c r="A300" s="434" t="s">
        <v>2660</v>
      </c>
      <c r="B300" s="392" t="s">
        <v>2678</v>
      </c>
      <c r="C300" s="507">
        <v>45984</v>
      </c>
      <c r="D300" s="436" t="s">
        <v>3233</v>
      </c>
      <c r="E300" s="437" t="s">
        <v>3122</v>
      </c>
      <c r="F300" s="397" t="s">
        <v>3403</v>
      </c>
      <c r="G300" s="397"/>
      <c r="H300" s="524"/>
      <c r="I300" s="403"/>
      <c r="J300" s="403">
        <v>176750</v>
      </c>
      <c r="K300" s="491">
        <f ca="1">+IF('[3]BROUILLARD DE CAISSE '!$C300="","",SUMIFS(INDIRECT("$K$7:K"&amp;ROW()),INDIRECT("$D$7:D"&amp;ROW()),"="&amp;"Report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2480521</v>
      </c>
      <c r="L300" s="403">
        <f ca="1">+IF($B300="","",SUMIFS(INDIRECT("$K$7:K"&amp;ROW()),INDIRECT("$B$7:B"&amp;ROW()),Tableau15356789101112131625236923[[#This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2559321</v>
      </c>
    </row>
    <row r="301" spans="1:17" ht="15" x14ac:dyDescent="0.3">
      <c r="A301" s="434" t="s">
        <v>2660</v>
      </c>
      <c r="B301" s="392" t="s">
        <v>2678</v>
      </c>
      <c r="C301" s="507">
        <v>45985</v>
      </c>
      <c r="D301" s="436" t="s">
        <v>3233</v>
      </c>
      <c r="E301" s="437" t="s">
        <v>3260</v>
      </c>
      <c r="F301" s="397" t="s">
        <v>3404</v>
      </c>
      <c r="G301" s="397"/>
      <c r="H301" s="524"/>
      <c r="I301" s="403"/>
      <c r="J301" s="403">
        <v>10000</v>
      </c>
      <c r="K301" s="491">
        <f ca="1">+IF('[3]BROUILLARD DE CAISSE '!$C301="","",SUMIFS(INDIRECT("$K$7:K"&amp;ROW()),INDIRECT("$D$7:D"&amp;ROW()),"="&amp;"Report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2470521</v>
      </c>
      <c r="L301" s="403">
        <f ca="1">+IF($B301="","",SUMIFS(INDIRECT("$K$7:K"&amp;ROW()),INDIRECT("$B$7:B"&amp;ROW()),Tableau15356789101112131625236923[[#This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2549321</v>
      </c>
    </row>
    <row r="302" spans="1:17" ht="15" x14ac:dyDescent="0.3">
      <c r="A302" s="434" t="s">
        <v>2660</v>
      </c>
      <c r="B302" s="392" t="s">
        <v>2678</v>
      </c>
      <c r="C302" s="507">
        <v>45985</v>
      </c>
      <c r="D302" s="436" t="s">
        <v>3233</v>
      </c>
      <c r="E302" s="437" t="s">
        <v>2727</v>
      </c>
      <c r="F302" s="397" t="s">
        <v>3405</v>
      </c>
      <c r="G302" s="397"/>
      <c r="H302" s="524" t="s">
        <v>2964</v>
      </c>
      <c r="I302" s="403"/>
      <c r="J302" s="403">
        <v>2000</v>
      </c>
      <c r="K302" s="491">
        <f ca="1">+IF('[3]BROUILLARD DE CAISSE '!$C302="","",SUMIFS(INDIRECT("$K$7:K"&amp;ROW()),INDIRECT("$D$7:D"&amp;ROW()),"="&amp;"Report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2468521</v>
      </c>
      <c r="L302" s="403">
        <f ca="1">+IF($B302="","",SUMIFS(INDIRECT("$K$7:K"&amp;ROW()),INDIRECT("$B$7:B"&amp;ROW()),Tableau15356789101112131625236923[[#This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2547321</v>
      </c>
    </row>
    <row r="303" spans="1:17" ht="15" x14ac:dyDescent="0.3">
      <c r="A303" s="434" t="s">
        <v>2660</v>
      </c>
      <c r="B303" s="392" t="s">
        <v>2678</v>
      </c>
      <c r="C303" s="507">
        <v>45985</v>
      </c>
      <c r="D303" s="436" t="s">
        <v>3233</v>
      </c>
      <c r="E303" s="395" t="s">
        <v>3206</v>
      </c>
      <c r="F303" s="397" t="s">
        <v>3406</v>
      </c>
      <c r="G303" s="397"/>
      <c r="H303" s="524"/>
      <c r="I303" s="403"/>
      <c r="J303" s="403">
        <v>1000</v>
      </c>
      <c r="K303" s="491">
        <f ca="1">+IF('[3]BROUILLARD DE CAISSE '!$C303="","",SUMIFS(INDIRECT("$K$7:K"&amp;ROW()),INDIRECT("$D$7:D"&amp;ROW()),"="&amp;"Report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2467521</v>
      </c>
      <c r="L303" s="403">
        <f ca="1">+IF($B303="","",SUMIFS(INDIRECT("$K$7:K"&amp;ROW()),INDIRECT("$B$7:B"&amp;ROW()),Tableau15356789101112131625236923[[#This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2546321</v>
      </c>
    </row>
    <row r="304" spans="1:17" ht="15" x14ac:dyDescent="0.3">
      <c r="A304" s="434" t="s">
        <v>2660</v>
      </c>
      <c r="B304" s="392" t="s">
        <v>2678</v>
      </c>
      <c r="C304" s="507">
        <v>45985</v>
      </c>
      <c r="D304" s="436" t="s">
        <v>3233</v>
      </c>
      <c r="E304" s="437" t="s">
        <v>3183</v>
      </c>
      <c r="F304" s="397" t="s">
        <v>3407</v>
      </c>
      <c r="G304" s="397"/>
      <c r="H304" s="524"/>
      <c r="I304" s="403"/>
      <c r="J304" s="403">
        <v>5000</v>
      </c>
      <c r="K304" s="491">
        <f ca="1">+IF('[3]BROUILLARD DE CAISSE '!$C304="","",SUMIFS(INDIRECT("$K$7:K"&amp;ROW()),INDIRECT("$D$7:D"&amp;ROW()),"="&amp;"Report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2462521</v>
      </c>
      <c r="L304" s="403">
        <f ca="1">+IF($B304="","",SUMIFS(INDIRECT("$K$7:K"&amp;ROW()),INDIRECT("$B$7:B"&amp;ROW()),Tableau15356789101112131625236923[[#This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2541321</v>
      </c>
    </row>
    <row r="305" spans="1:17" ht="15" x14ac:dyDescent="0.3">
      <c r="A305" s="434" t="s">
        <v>2660</v>
      </c>
      <c r="B305" s="392" t="s">
        <v>2678</v>
      </c>
      <c r="C305" s="507">
        <v>45985</v>
      </c>
      <c r="D305" s="436" t="s">
        <v>3233</v>
      </c>
      <c r="E305" s="437" t="s">
        <v>3408</v>
      </c>
      <c r="F305" s="397" t="s">
        <v>3409</v>
      </c>
      <c r="G305" s="397" t="s">
        <v>2702</v>
      </c>
      <c r="H305" s="524"/>
      <c r="I305" s="403"/>
      <c r="J305" s="403">
        <v>344410</v>
      </c>
      <c r="K305" s="491">
        <f ca="1">+IF('[3]BROUILLARD DE CAISSE '!$C305="","",SUMIFS(INDIRECT("$K$7:K"&amp;ROW()),INDIRECT("$D$7:D"&amp;ROW()),"="&amp;"Report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2118111</v>
      </c>
      <c r="L305" s="403">
        <f ca="1">+IF($B305="","",SUMIFS(INDIRECT("$K$7:K"&amp;ROW()),INDIRECT("$B$7:B"&amp;ROW()),Tableau15356789101112131625236923[[#This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2196911</v>
      </c>
    </row>
    <row r="306" spans="1:17" ht="15" x14ac:dyDescent="0.3">
      <c r="A306" s="434" t="s">
        <v>2660</v>
      </c>
      <c r="B306" s="392" t="s">
        <v>2678</v>
      </c>
      <c r="C306" s="507">
        <v>45985</v>
      </c>
      <c r="D306" s="436" t="s">
        <v>3233</v>
      </c>
      <c r="E306" s="437" t="s">
        <v>3410</v>
      </c>
      <c r="F306" s="397" t="s">
        <v>3411</v>
      </c>
      <c r="G306" s="397"/>
      <c r="H306" s="524"/>
      <c r="I306" s="403"/>
      <c r="J306" s="403">
        <v>303000</v>
      </c>
      <c r="K306" s="491">
        <f ca="1">+IF('[3]BROUILLARD DE CAISSE '!$C306="","",SUMIFS(INDIRECT("$K$7:K"&amp;ROW()),INDIRECT("$D$7:D"&amp;ROW()),"="&amp;"Report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1815111</v>
      </c>
      <c r="L306" s="403">
        <f ca="1">+IF($B306="","",SUMIFS(INDIRECT("$K$7:K"&amp;ROW()),INDIRECT("$B$7:B"&amp;ROW()),Tableau15356789101112131625236923[[#This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1893911</v>
      </c>
    </row>
    <row r="307" spans="1:17" ht="15" x14ac:dyDescent="0.3">
      <c r="A307" s="434" t="s">
        <v>2660</v>
      </c>
      <c r="B307" s="392" t="s">
        <v>2678</v>
      </c>
      <c r="C307" s="507">
        <v>45985</v>
      </c>
      <c r="D307" s="436" t="s">
        <v>3233</v>
      </c>
      <c r="E307" s="437" t="s">
        <v>3412</v>
      </c>
      <c r="F307" s="397" t="s">
        <v>3413</v>
      </c>
      <c r="G307" s="397"/>
      <c r="H307" s="524" t="s">
        <v>3120</v>
      </c>
      <c r="I307" s="403"/>
      <c r="J307" s="403">
        <v>35350</v>
      </c>
      <c r="K307" s="491">
        <f ca="1">+IF('[3]BROUILLARD DE CAISSE '!$C307="","",SUMIFS(INDIRECT("$K$7:K"&amp;ROW()),INDIRECT("$D$7:D"&amp;ROW()),"="&amp;"Report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1779761</v>
      </c>
      <c r="L307" s="403">
        <f ca="1">+IF($B307="","",SUMIFS(INDIRECT("$K$7:K"&amp;ROW()),INDIRECT("$B$7:B"&amp;ROW()),Tableau15356789101112131625236923[[#This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1858561</v>
      </c>
    </row>
    <row r="308" spans="1:17" s="520" customFormat="1" ht="15" x14ac:dyDescent="0.3">
      <c r="A308" s="533" t="s">
        <v>2660</v>
      </c>
      <c r="B308" s="527" t="s">
        <v>2678</v>
      </c>
      <c r="C308" s="528">
        <v>45985</v>
      </c>
      <c r="D308" s="443" t="s">
        <v>3253</v>
      </c>
      <c r="E308" s="444" t="s">
        <v>2679</v>
      </c>
      <c r="F308" s="445" t="s">
        <v>3414</v>
      </c>
      <c r="G308" s="445"/>
      <c r="H308" s="530"/>
      <c r="I308" s="447">
        <v>12150</v>
      </c>
      <c r="J308" s="447"/>
      <c r="K308" s="491">
        <f ca="1">+IF('[3]BROUILLARD DE CAISSE '!$C308="","",SUMIFS(INDIRECT("$K$7:K"&amp;ROW()),INDIRECT("$D$7:D"&amp;ROW()),"="&amp;"Report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1791911</v>
      </c>
      <c r="L308" s="447">
        <f ca="1">+IF($B308="","",SUMIFS(INDIRECT("$K$7:K"&amp;ROW()),INDIRECT("$B$7:B"&amp;ROW()),Tableau15356789101112131625236923[[#This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1870711</v>
      </c>
      <c r="O308" s="482"/>
      <c r="P308" s="482"/>
      <c r="Q308" s="482"/>
    </row>
    <row r="309" spans="1:17" ht="15" x14ac:dyDescent="0.3">
      <c r="A309" s="434" t="s">
        <v>2660</v>
      </c>
      <c r="B309" s="392" t="s">
        <v>2678</v>
      </c>
      <c r="C309" s="507">
        <v>45985</v>
      </c>
      <c r="D309" s="436" t="s">
        <v>3233</v>
      </c>
      <c r="E309" s="437" t="s">
        <v>2727</v>
      </c>
      <c r="F309" s="397" t="s">
        <v>3307</v>
      </c>
      <c r="G309" s="397"/>
      <c r="H309" s="524"/>
      <c r="I309" s="403"/>
      <c r="J309" s="403">
        <v>15000</v>
      </c>
      <c r="K309" s="491">
        <f ca="1">+IF('[3]BROUILLARD DE CAISSE '!$C309="","",SUMIFS(INDIRECT("$K$7:K"&amp;ROW()),INDIRECT("$D$7:D"&amp;ROW()),"="&amp;"Report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1776911</v>
      </c>
      <c r="L309" s="403">
        <f ca="1">+IF($B309="","",SUMIFS(INDIRECT("$K$7:K"&amp;ROW()),INDIRECT("$B$7:B"&amp;ROW()),Tableau15356789101112131625236923[[#This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1855711</v>
      </c>
    </row>
    <row r="310" spans="1:17" ht="15" x14ac:dyDescent="0.3">
      <c r="A310" s="434" t="s">
        <v>2660</v>
      </c>
      <c r="B310" s="392" t="s">
        <v>2678</v>
      </c>
      <c r="C310" s="507">
        <v>45985</v>
      </c>
      <c r="D310" s="436" t="s">
        <v>3233</v>
      </c>
      <c r="E310" s="437" t="s">
        <v>2815</v>
      </c>
      <c r="F310" s="397" t="s">
        <v>3415</v>
      </c>
      <c r="G310" s="397"/>
      <c r="H310" s="524"/>
      <c r="I310" s="403"/>
      <c r="J310" s="403">
        <v>1500</v>
      </c>
      <c r="K310" s="491">
        <f ca="1">+IF('[3]BROUILLARD DE CAISSE '!$C310="","",SUMIFS(INDIRECT("$K$7:K"&amp;ROW()),INDIRECT("$D$7:D"&amp;ROW()),"="&amp;"Report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1775411</v>
      </c>
      <c r="L310" s="403">
        <f ca="1">+IF($B310="","",SUMIFS(INDIRECT("$K$7:K"&amp;ROW()),INDIRECT("$B$7:B"&amp;ROW()),Tableau15356789101112131625236923[[#This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1854211</v>
      </c>
    </row>
    <row r="311" spans="1:17" ht="15" x14ac:dyDescent="0.3">
      <c r="A311" s="434" t="s">
        <v>2660</v>
      </c>
      <c r="B311" s="392" t="s">
        <v>2678</v>
      </c>
      <c r="C311" s="507">
        <v>45985</v>
      </c>
      <c r="D311" s="436" t="s">
        <v>3233</v>
      </c>
      <c r="E311" s="437" t="s">
        <v>3349</v>
      </c>
      <c r="F311" s="397" t="s">
        <v>3416</v>
      </c>
      <c r="G311" s="397"/>
      <c r="H311" s="524"/>
      <c r="I311" s="403"/>
      <c r="J311" s="403">
        <v>2020</v>
      </c>
      <c r="K311" s="491">
        <f ca="1">+IF('[3]BROUILLARD DE CAISSE '!$C311="","",SUMIFS(INDIRECT("$K$7:K"&amp;ROW()),INDIRECT("$D$7:D"&amp;ROW()),"="&amp;"Report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1773391</v>
      </c>
      <c r="L311" s="403">
        <f ca="1">+IF($B311="","",SUMIFS(INDIRECT("$K$7:K"&amp;ROW()),INDIRECT("$B$7:B"&amp;ROW()),Tableau15356789101112131625236923[[#This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1852191</v>
      </c>
    </row>
    <row r="312" spans="1:17" ht="15" x14ac:dyDescent="0.3">
      <c r="A312" s="434" t="s">
        <v>2660</v>
      </c>
      <c r="B312" s="392" t="s">
        <v>2678</v>
      </c>
      <c r="C312" s="507">
        <v>45985</v>
      </c>
      <c r="D312" s="436" t="s">
        <v>3233</v>
      </c>
      <c r="E312" s="437" t="s">
        <v>3417</v>
      </c>
      <c r="F312" s="397" t="s">
        <v>3418</v>
      </c>
      <c r="G312" s="397"/>
      <c r="H312" s="524"/>
      <c r="I312" s="403"/>
      <c r="J312" s="403">
        <v>48000</v>
      </c>
      <c r="K312" s="491">
        <f ca="1">+IF('[3]BROUILLARD DE CAISSE '!$C312="","",SUMIFS(INDIRECT("$K$7:K"&amp;ROW()),INDIRECT("$D$7:D"&amp;ROW()),"="&amp;"Report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1725391</v>
      </c>
      <c r="L312" s="403">
        <f ca="1">+IF($B312="","",SUMIFS(INDIRECT("$K$7:K"&amp;ROW()),INDIRECT("$B$7:B"&amp;ROW()),Tableau15356789101112131625236923[[#This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1804191</v>
      </c>
    </row>
    <row r="313" spans="1:17" ht="15" x14ac:dyDescent="0.3">
      <c r="A313" s="434" t="s">
        <v>2660</v>
      </c>
      <c r="B313" s="392" t="s">
        <v>2678</v>
      </c>
      <c r="C313" s="507">
        <v>45985</v>
      </c>
      <c r="D313" s="436" t="s">
        <v>3233</v>
      </c>
      <c r="E313" s="437" t="s">
        <v>3175</v>
      </c>
      <c r="F313" s="397" t="s">
        <v>3419</v>
      </c>
      <c r="G313" s="397"/>
      <c r="H313" s="524"/>
      <c r="I313" s="403"/>
      <c r="J313" s="403">
        <v>5050</v>
      </c>
      <c r="K313" s="491">
        <f ca="1">+IF('[3]BROUILLARD DE CAISSE '!$C313="","",SUMIFS(INDIRECT("$K$7:K"&amp;ROW()),INDIRECT("$D$7:D"&amp;ROW()),"="&amp;"Report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1720341</v>
      </c>
      <c r="L313" s="403">
        <f ca="1">+IF($B313="","",SUMIFS(INDIRECT("$K$7:K"&amp;ROW()),INDIRECT("$B$7:B"&amp;ROW()),Tableau15356789101112131625236923[[#This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1799141</v>
      </c>
    </row>
    <row r="314" spans="1:17" s="412" customFormat="1" ht="15" x14ac:dyDescent="0.3">
      <c r="A314" s="536" t="s">
        <v>2660</v>
      </c>
      <c r="B314" s="515" t="s">
        <v>2678</v>
      </c>
      <c r="C314" s="507">
        <v>45986</v>
      </c>
      <c r="D314" s="439" t="s">
        <v>3233</v>
      </c>
      <c r="E314" s="440" t="s">
        <v>3420</v>
      </c>
      <c r="F314" s="409" t="s">
        <v>3421</v>
      </c>
      <c r="G314" s="409"/>
      <c r="H314" s="522"/>
      <c r="I314" s="414"/>
      <c r="J314" s="414">
        <v>4040</v>
      </c>
      <c r="K314" s="491">
        <f ca="1">+IF('[3]BROUILLARD DE CAISSE '!$C314="","",SUMIFS(INDIRECT("$K$7:K"&amp;ROW()),INDIRECT("$D$7:D"&amp;ROW()),"="&amp;"Report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1716301</v>
      </c>
      <c r="L314" s="414">
        <f ca="1">+IF($B314="","",SUMIFS(INDIRECT("$K$7:K"&amp;ROW()),INDIRECT("$B$7:B"&amp;ROW()),Tableau15356789101112131625236923[[#This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1795101</v>
      </c>
      <c r="O314" s="314"/>
      <c r="P314" s="314"/>
      <c r="Q314" s="314"/>
    </row>
    <row r="315" spans="1:17" s="412" customFormat="1" ht="15" x14ac:dyDescent="0.3">
      <c r="A315" s="536" t="s">
        <v>2660</v>
      </c>
      <c r="B315" s="515" t="s">
        <v>2678</v>
      </c>
      <c r="C315" s="507">
        <v>45986</v>
      </c>
      <c r="D315" s="439" t="s">
        <v>3233</v>
      </c>
      <c r="E315" s="440" t="s">
        <v>2863</v>
      </c>
      <c r="F315" s="409" t="s">
        <v>2960</v>
      </c>
      <c r="G315" s="409"/>
      <c r="H315" s="522" t="s">
        <v>2698</v>
      </c>
      <c r="I315" s="414"/>
      <c r="J315" s="414">
        <v>10100</v>
      </c>
      <c r="K315" s="491">
        <f ca="1">+IF('[3]BROUILLARD DE CAISSE '!$C315="","",SUMIFS(INDIRECT("$K$7:K"&amp;ROW()),INDIRECT("$D$7:D"&amp;ROW()),"="&amp;"Report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1706201</v>
      </c>
      <c r="L315" s="414">
        <f ca="1">+IF($B315="","",SUMIFS(INDIRECT("$K$7:K"&amp;ROW()),INDIRECT("$B$7:B"&amp;ROW()),Tableau15356789101112131625236923[[#This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>1785001</v>
      </c>
      <c r="O315" s="314"/>
      <c r="P315" s="314"/>
      <c r="Q315" s="314"/>
    </row>
    <row r="316" spans="1:17" s="412" customFormat="1" ht="15" x14ac:dyDescent="0.3">
      <c r="A316" s="536"/>
      <c r="B316" s="515"/>
      <c r="C316" s="537">
        <v>45986</v>
      </c>
      <c r="D316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16" s="395" t="s">
        <v>3206</v>
      </c>
      <c r="F316" s="409" t="s">
        <v>3422</v>
      </c>
      <c r="G316" s="409"/>
      <c r="H316" s="522"/>
      <c r="I316" s="414"/>
      <c r="J316" s="414">
        <v>1200</v>
      </c>
      <c r="K316" s="491">
        <f ca="1">+IF('[3]BROUILLARD DE CAISSE '!$C316="","",SUMIFS(INDIRECT("$K$7:K"&amp;ROW()),INDIRECT("$D$7:D"&amp;ROW()),"="&amp;"Report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1705001</v>
      </c>
      <c r="L316" s="414" t="str">
        <f ca="1">+IF($B316="","",SUMIFS(INDIRECT("$K$7:K"&amp;ROW()),INDIRECT("$B$7:B"&amp;ROW()),Tableau15356789101112131625236923[[#This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16" s="314"/>
      <c r="P316" s="314"/>
      <c r="Q316" s="314"/>
    </row>
    <row r="317" spans="1:17" ht="15" x14ac:dyDescent="0.3">
      <c r="A317" s="434"/>
      <c r="B317" s="392"/>
      <c r="C317" s="538">
        <v>45986</v>
      </c>
      <c r="D317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17" s="437" t="s">
        <v>2710</v>
      </c>
      <c r="F317" s="397" t="s">
        <v>3423</v>
      </c>
      <c r="G317" s="397"/>
      <c r="H317" s="524" t="s">
        <v>2959</v>
      </c>
      <c r="I317" s="403"/>
      <c r="J317" s="403">
        <v>6060</v>
      </c>
      <c r="K317" s="491">
        <f ca="1">+IF('[3]BROUILLARD DE CAISSE '!$C317="","",SUMIFS(INDIRECT("$K$7:K"&amp;ROW()),INDIRECT("$D$7:D"&amp;ROW()),"="&amp;"Report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1698941</v>
      </c>
      <c r="L317" s="403" t="str">
        <f ca="1">+IF($B317="","",SUMIFS(INDIRECT("$K$7:K"&amp;ROW()),INDIRECT("$B$7:B"&amp;ROW()),Tableau15356789101112131625236923[[#This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18" spans="1:17" s="539" customFormat="1" ht="15" x14ac:dyDescent="0.2">
      <c r="A318" s="434"/>
      <c r="B318" s="392"/>
      <c r="C318" s="538">
        <v>45986</v>
      </c>
      <c r="D31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18" s="437" t="s">
        <v>3349</v>
      </c>
      <c r="F318" s="397" t="s">
        <v>3424</v>
      </c>
      <c r="G318" s="397"/>
      <c r="H318" s="524"/>
      <c r="I318" s="403"/>
      <c r="J318" s="403">
        <v>2000</v>
      </c>
      <c r="K318" s="491">
        <f ca="1">+IF('[3]BROUILLARD DE CAISSE '!$C318="","",SUMIFS(INDIRECT("$K$7:K"&amp;ROW()),INDIRECT("$D$7:D"&amp;ROW()),"="&amp;"Report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1696941</v>
      </c>
      <c r="L318" s="403" t="str">
        <f ca="1">+IF($B318="","",SUMIFS(INDIRECT("$K$7:K"&amp;ROW()),INDIRECT("$B$7:B"&amp;ROW()),Tableau15356789101112131625236923[[#This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18" s="540"/>
      <c r="P318" s="540"/>
      <c r="Q318" s="540"/>
    </row>
    <row r="319" spans="1:17" ht="15" x14ac:dyDescent="0.3">
      <c r="A319" s="434"/>
      <c r="B319" s="392"/>
      <c r="C319" s="538">
        <v>45986</v>
      </c>
      <c r="D31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19" s="437" t="s">
        <v>3112</v>
      </c>
      <c r="F319" s="397" t="s">
        <v>3425</v>
      </c>
      <c r="G319" s="397"/>
      <c r="H319" s="524"/>
      <c r="I319" s="403"/>
      <c r="J319" s="403">
        <v>256000</v>
      </c>
      <c r="K319" s="491">
        <f ca="1">+IF('[3]BROUILLARD DE CAISSE '!$C319="","",SUMIFS(INDIRECT("$K$7:K"&amp;ROW()),INDIRECT("$D$7:D"&amp;ROW()),"="&amp;"Report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1440941</v>
      </c>
      <c r="L319" s="403" t="str">
        <f ca="1">+IF($B319="","",SUMIFS(INDIRECT("$K$7:K"&amp;ROW()),INDIRECT("$B$7:B"&amp;ROW()),Tableau15356789101112131625236923[[#This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0" spans="1:17" ht="15" x14ac:dyDescent="0.3">
      <c r="A320" s="434"/>
      <c r="B320" s="392"/>
      <c r="C320" s="538">
        <v>45986</v>
      </c>
      <c r="D32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0" s="437" t="s">
        <v>3112</v>
      </c>
      <c r="F320" s="397" t="s">
        <v>3426</v>
      </c>
      <c r="G320" s="397"/>
      <c r="H320" s="524"/>
      <c r="I320" s="403"/>
      <c r="J320" s="403">
        <v>7075</v>
      </c>
      <c r="K320" s="491">
        <f ca="1">+IF('[3]BROUILLARD DE CAISSE '!$C320="","",SUMIFS(INDIRECT("$K$7:K"&amp;ROW()),INDIRECT("$D$7:D"&amp;ROW()),"="&amp;"Report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1433866</v>
      </c>
      <c r="L320" s="403" t="str">
        <f ca="1">+IF($B320="","",SUMIFS(INDIRECT("$K$7:K"&amp;ROW()),INDIRECT("$B$7:B"&amp;ROW()),Tableau15356789101112131625236923[[#This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1" spans="1:17" s="412" customFormat="1" ht="15" x14ac:dyDescent="0.3">
      <c r="A321" s="536"/>
      <c r="B321" s="515"/>
      <c r="C321" s="537">
        <v>45986</v>
      </c>
      <c r="D321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1" s="440" t="s">
        <v>2764</v>
      </c>
      <c r="F321" s="409" t="s">
        <v>3427</v>
      </c>
      <c r="G321" s="409"/>
      <c r="H321" s="522" t="s">
        <v>2698</v>
      </c>
      <c r="I321" s="414"/>
      <c r="J321" s="414">
        <v>19595</v>
      </c>
      <c r="K321" s="421">
        <f ca="1">+IF('[3]BROUILLARD DE CAISSE '!$C321="","",SUMIFS(INDIRECT("$K$7:K"&amp;ROW()),INDIRECT("$D$7:D"&amp;ROW()),"="&amp;"Report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1414271</v>
      </c>
      <c r="L321" s="414" t="str">
        <f ca="1">+IF($B321="","",SUMIFS(INDIRECT("$K$7:K"&amp;ROW()),INDIRECT("$B$7:B"&amp;ROW()),Tableau15356789101112131625236923[[#This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21" s="314"/>
      <c r="P321" s="314"/>
      <c r="Q321" s="314"/>
    </row>
    <row r="322" spans="1:17" s="539" customFormat="1" ht="15" x14ac:dyDescent="0.2">
      <c r="A322" s="434"/>
      <c r="B322" s="392"/>
      <c r="C322" s="538">
        <v>45986</v>
      </c>
      <c r="D32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2" s="437" t="s">
        <v>2794</v>
      </c>
      <c r="F322" s="397" t="s">
        <v>3428</v>
      </c>
      <c r="G322" s="397"/>
      <c r="H322" s="524"/>
      <c r="I322" s="403"/>
      <c r="J322" s="403">
        <v>19190</v>
      </c>
      <c r="K322" s="491">
        <f ca="1">+IF('[3]BROUILLARD DE CAISSE '!$C322="","",SUMIFS(INDIRECT("$K$7:K"&amp;ROW()),INDIRECT("$D$7:D"&amp;ROW()),"="&amp;"Report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1395081</v>
      </c>
      <c r="L322" s="403" t="str">
        <f ca="1">+IF($B322="","",SUMIFS(INDIRECT("$K$7:K"&amp;ROW()),INDIRECT("$B$7:B"&amp;ROW()),Tableau15356789101112131625236923[[#This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22" s="540"/>
      <c r="P322" s="540"/>
      <c r="Q322" s="540"/>
    </row>
    <row r="323" spans="1:17" s="539" customFormat="1" ht="15" x14ac:dyDescent="0.2">
      <c r="A323" s="434"/>
      <c r="B323" s="392"/>
      <c r="C323" s="538">
        <v>45986</v>
      </c>
      <c r="D323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3" s="437" t="s">
        <v>3176</v>
      </c>
      <c r="F323" s="397" t="s">
        <v>3429</v>
      </c>
      <c r="G323" s="397"/>
      <c r="H323" s="524"/>
      <c r="I323" s="403"/>
      <c r="J323" s="403">
        <v>5050</v>
      </c>
      <c r="K323" s="491">
        <f ca="1">+IF('[3]BROUILLARD DE CAISSE '!$C323="","",SUMIFS(INDIRECT("$K$7:K"&amp;ROW()),INDIRECT("$D$7:D"&amp;ROW()),"="&amp;"Report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1390031</v>
      </c>
      <c r="L323" s="403" t="str">
        <f ca="1">+IF($B323="","",SUMIFS(INDIRECT("$K$7:K"&amp;ROW()),INDIRECT("$B$7:B"&amp;ROW()),Tableau15356789101112131625236923[[#This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23" s="540"/>
      <c r="P323" s="540"/>
      <c r="Q323" s="540"/>
    </row>
    <row r="324" spans="1:17" ht="15" x14ac:dyDescent="0.3">
      <c r="A324" s="434"/>
      <c r="B324" s="392"/>
      <c r="C324" s="538">
        <v>45986</v>
      </c>
      <c r="D32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4" s="437" t="s">
        <v>3122</v>
      </c>
      <c r="F324" s="397" t="s">
        <v>3430</v>
      </c>
      <c r="G324" s="397"/>
      <c r="H324" s="524"/>
      <c r="I324" s="403"/>
      <c r="J324" s="403">
        <v>8080</v>
      </c>
      <c r="K324" s="491">
        <f ca="1">+IF('[3]BROUILLARD DE CAISSE '!$C324="","",SUMIFS(INDIRECT("$K$7:K"&amp;ROW()),INDIRECT("$D$7:D"&amp;ROW()),"="&amp;"Report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1381951</v>
      </c>
      <c r="L324" s="403" t="str">
        <f ca="1">+IF($B324="","",SUMIFS(INDIRECT("$K$7:K"&amp;ROW()),INDIRECT("$B$7:B"&amp;ROW()),Tableau15356789101112131625236923[[#This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5" spans="1:17" ht="15" x14ac:dyDescent="0.3">
      <c r="A325" s="434"/>
      <c r="B325" s="392"/>
      <c r="C325" s="538">
        <v>45986</v>
      </c>
      <c r="D32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5" s="437" t="s">
        <v>2756</v>
      </c>
      <c r="F325" s="397" t="s">
        <v>3431</v>
      </c>
      <c r="G325" s="397"/>
      <c r="H325" s="524"/>
      <c r="I325" s="403"/>
      <c r="J325" s="403">
        <v>30300</v>
      </c>
      <c r="K325" s="491">
        <f ca="1">+IF('[3]BROUILLARD DE CAISSE '!$C325="","",SUMIFS(INDIRECT("$K$7:K"&amp;ROW()),INDIRECT("$D$7:D"&amp;ROW()),"="&amp;"Report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1351651</v>
      </c>
      <c r="L325" s="403" t="str">
        <f ca="1">+IF($B325="","",SUMIFS(INDIRECT("$K$7:K"&amp;ROW()),INDIRECT("$B$7:B"&amp;ROW()),Tableau15356789101112131625236923[[#This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6" spans="1:17" ht="15" x14ac:dyDescent="0.3">
      <c r="A326" s="434"/>
      <c r="B326" s="392"/>
      <c r="C326" s="538">
        <v>45986</v>
      </c>
      <c r="D32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6" s="437" t="s">
        <v>2742</v>
      </c>
      <c r="F326" s="397" t="s">
        <v>3432</v>
      </c>
      <c r="G326" s="397"/>
      <c r="H326" s="524" t="s">
        <v>2687</v>
      </c>
      <c r="I326" s="403"/>
      <c r="J326" s="403">
        <v>10100</v>
      </c>
      <c r="K326" s="491">
        <f ca="1">+IF('[3]BROUILLARD DE CAISSE '!$C326="","",SUMIFS(INDIRECT("$K$7:K"&amp;ROW()),INDIRECT("$D$7:D"&amp;ROW()),"="&amp;"Report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1341551</v>
      </c>
      <c r="L326" s="403" t="str">
        <f ca="1">+IF($B326="","",SUMIFS(INDIRECT("$K$7:K"&amp;ROW()),INDIRECT("$B$7:B"&amp;ROW()),Tableau15356789101112131625236923[[#This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7" spans="1:17" s="412" customFormat="1" ht="15" x14ac:dyDescent="0.3">
      <c r="A327" s="536"/>
      <c r="B327" s="515"/>
      <c r="C327" s="537">
        <v>45986</v>
      </c>
      <c r="D327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7" s="440" t="s">
        <v>2683</v>
      </c>
      <c r="F327" s="409" t="s">
        <v>3433</v>
      </c>
      <c r="G327" s="409"/>
      <c r="H327" s="522"/>
      <c r="I327" s="414"/>
      <c r="J327" s="414">
        <f>151500+139885</f>
        <v>291385</v>
      </c>
      <c r="K327" s="491">
        <f ca="1">+IF('[3]BROUILLARD DE CAISSE '!$C327="","",SUMIFS(INDIRECT("$K$7:K"&amp;ROW()),INDIRECT("$D$7:D"&amp;ROW()),"="&amp;"Report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1050166</v>
      </c>
      <c r="L327" s="414" t="str">
        <f ca="1">+IF($B327="","",SUMIFS(INDIRECT("$K$7:K"&amp;ROW()),INDIRECT("$B$7:B"&amp;ROW()),Tableau15356789101112131625236923[[#This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27" s="314"/>
      <c r="P327" s="314"/>
      <c r="Q327" s="314"/>
    </row>
    <row r="328" spans="1:17" ht="15" x14ac:dyDescent="0.3">
      <c r="A328" s="434"/>
      <c r="B328" s="392"/>
      <c r="C328" s="538">
        <v>45986</v>
      </c>
      <c r="D32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28" s="395" t="s">
        <v>2694</v>
      </c>
      <c r="F328" s="397" t="s">
        <v>3434</v>
      </c>
      <c r="G328" s="397"/>
      <c r="H328" s="524"/>
      <c r="I328" s="403"/>
      <c r="J328" s="403">
        <v>156000</v>
      </c>
      <c r="K328" s="491">
        <f ca="1">+IF('[3]BROUILLARD DE CAISSE '!$C328="","",SUMIFS(INDIRECT("$K$7:K"&amp;ROW()),INDIRECT("$D$7:D"&amp;ROW()),"="&amp;"Report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894166</v>
      </c>
      <c r="L328" s="403" t="str">
        <f ca="1">+IF($B328="","",SUMIFS(INDIRECT("$K$7:K"&amp;ROW()),INDIRECT("$B$7:B"&amp;ROW()),Tableau15356789101112131625236923[[#This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29" spans="1:17" s="520" customFormat="1" ht="15" x14ac:dyDescent="0.3">
      <c r="A329" s="533"/>
      <c r="B329" s="527"/>
      <c r="C329" s="541">
        <v>45986</v>
      </c>
      <c r="D329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29" s="444" t="s">
        <v>2679</v>
      </c>
      <c r="F329" s="445" t="s">
        <v>3435</v>
      </c>
      <c r="G329" s="445"/>
      <c r="H329" s="530"/>
      <c r="I329" s="447">
        <v>2000000</v>
      </c>
      <c r="J329" s="447"/>
      <c r="K329" s="491">
        <f ca="1">+IF('[3]BROUILLARD DE CAISSE '!$C329="","",SUMIFS(INDIRECT("$K$7:K"&amp;ROW()),INDIRECT("$D$7:D"&amp;ROW()),"="&amp;"Report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2894166</v>
      </c>
      <c r="L329" s="447" t="str">
        <f ca="1">+IF($B329="","",SUMIFS(INDIRECT("$K$7:K"&amp;ROW()),INDIRECT("$B$7:B"&amp;ROW()),Tableau15356789101112131625236923[[#This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29" s="482"/>
      <c r="P329" s="482"/>
      <c r="Q329" s="482"/>
    </row>
    <row r="330" spans="1:17" ht="15" x14ac:dyDescent="0.3">
      <c r="A330" s="434"/>
      <c r="B330" s="392"/>
      <c r="C330" s="538">
        <v>45986</v>
      </c>
      <c r="D33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0" s="437" t="s">
        <v>2727</v>
      </c>
      <c r="F330" s="397" t="s">
        <v>3436</v>
      </c>
      <c r="G330" s="397"/>
      <c r="H330" s="524"/>
      <c r="I330" s="403"/>
      <c r="J330" s="403">
        <v>10000</v>
      </c>
      <c r="K330" s="491">
        <f ca="1">+IF('[3]BROUILLARD DE CAISSE '!$C330="","",SUMIFS(INDIRECT("$K$7:K"&amp;ROW()),INDIRECT("$D$7:D"&amp;ROW()),"="&amp;"Report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2884166</v>
      </c>
      <c r="L330" s="403" t="str">
        <f ca="1">+IF($B330="","",SUMIFS(INDIRECT("$K$7:K"&amp;ROW()),INDIRECT("$B$7:B"&amp;ROW()),Tableau15356789101112131625236923[[#This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1" spans="1:17" s="520" customFormat="1" ht="15" x14ac:dyDescent="0.3">
      <c r="A331" s="533"/>
      <c r="B331" s="527"/>
      <c r="C331" s="541">
        <v>45986</v>
      </c>
      <c r="D331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31" s="444" t="s">
        <v>2679</v>
      </c>
      <c r="F331" s="445" t="s">
        <v>3437</v>
      </c>
      <c r="G331" s="445"/>
      <c r="H331" s="530"/>
      <c r="I331" s="447">
        <v>16000</v>
      </c>
      <c r="J331" s="447"/>
      <c r="K331" s="491">
        <f ca="1">+IF('[3]BROUILLARD DE CAISSE '!$C331="","",SUMIFS(INDIRECT("$K$7:K"&amp;ROW()),INDIRECT("$D$7:D"&amp;ROW()),"="&amp;"Report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2900166</v>
      </c>
      <c r="L331" s="447" t="str">
        <f ca="1">+IF($B331="","",SUMIFS(INDIRECT("$K$7:K"&amp;ROW()),INDIRECT("$B$7:B"&amp;ROW()),Tableau15356789101112131625236923[[#This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31" s="482"/>
      <c r="P331" s="482"/>
      <c r="Q331" s="482"/>
    </row>
    <row r="332" spans="1:17" ht="15" x14ac:dyDescent="0.3">
      <c r="A332" s="434"/>
      <c r="B332" s="392"/>
      <c r="C332" s="538">
        <v>45987</v>
      </c>
      <c r="D33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2" s="437" t="s">
        <v>3349</v>
      </c>
      <c r="F332" s="397" t="s">
        <v>3438</v>
      </c>
      <c r="G332" s="397"/>
      <c r="H332" s="524"/>
      <c r="I332" s="403"/>
      <c r="J332" s="403">
        <v>4000</v>
      </c>
      <c r="K332" s="491">
        <f ca="1">+IF('[3]BROUILLARD DE CAISSE '!$C332="","",SUMIFS(INDIRECT("$K$7:K"&amp;ROW()),INDIRECT("$D$7:D"&amp;ROW()),"="&amp;"Report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2896166</v>
      </c>
      <c r="L332" s="403" t="str">
        <f ca="1">+IF($B332="","",SUMIFS(INDIRECT("$K$7:K"&amp;ROW()),INDIRECT("$B$7:B"&amp;ROW()),Tableau15356789101112131625236923[[#This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3" spans="1:17" ht="15" x14ac:dyDescent="0.3">
      <c r="A333" s="434"/>
      <c r="B333" s="392"/>
      <c r="C333" s="538">
        <v>45987</v>
      </c>
      <c r="D333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3" s="437" t="s">
        <v>3439</v>
      </c>
      <c r="F333" s="397" t="s">
        <v>3440</v>
      </c>
      <c r="G333" s="397"/>
      <c r="H333" s="524"/>
      <c r="I333" s="403"/>
      <c r="J333" s="403">
        <v>7900</v>
      </c>
      <c r="K333" s="491">
        <f ca="1">+IF('[3]BROUILLARD DE CAISSE '!$C333="","",SUMIFS(INDIRECT("$K$7:K"&amp;ROW()),INDIRECT("$D$7:D"&amp;ROW()),"="&amp;"Report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2888266</v>
      </c>
      <c r="L333" s="403" t="str">
        <f ca="1">+IF($B333="","",SUMIFS(INDIRECT("$K$7:K"&amp;ROW()),INDIRECT("$B$7:B"&amp;ROW()),Tableau15356789101112131625236923[[#This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4" spans="1:17" ht="15" x14ac:dyDescent="0.3">
      <c r="A334" s="434"/>
      <c r="B334" s="392"/>
      <c r="C334" s="538">
        <v>45987</v>
      </c>
      <c r="D33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4" s="437" t="s">
        <v>2727</v>
      </c>
      <c r="F334" s="397" t="s">
        <v>3441</v>
      </c>
      <c r="G334" s="397"/>
      <c r="H334" s="524"/>
      <c r="I334" s="403"/>
      <c r="J334" s="403">
        <v>220000</v>
      </c>
      <c r="K334" s="491">
        <f ca="1">+IF('[3]BROUILLARD DE CAISSE '!$C334="","",SUMIFS(INDIRECT("$K$7:K"&amp;ROW()),INDIRECT("$D$7:D"&amp;ROW()),"="&amp;"Report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2668266</v>
      </c>
      <c r="L334" s="403" t="str">
        <f ca="1">+IF($B334="","",SUMIFS(INDIRECT("$K$7:K"&amp;ROW()),INDIRECT("$B$7:B"&amp;ROW()),Tableau15356789101112131625236923[[#This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5" spans="1:17" ht="15" x14ac:dyDescent="0.3">
      <c r="A335" s="434"/>
      <c r="B335" s="392"/>
      <c r="C335" s="538">
        <v>45987</v>
      </c>
      <c r="D33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5" s="437" t="s">
        <v>2727</v>
      </c>
      <c r="F335" s="397" t="s">
        <v>2879</v>
      </c>
      <c r="G335" s="397"/>
      <c r="H335" s="524" t="s">
        <v>2729</v>
      </c>
      <c r="I335" s="403"/>
      <c r="J335" s="403">
        <v>20000</v>
      </c>
      <c r="K335" s="491">
        <f ca="1">+IF('[3]BROUILLARD DE CAISSE '!$C335="","",SUMIFS(INDIRECT("$K$7:K"&amp;ROW()),INDIRECT("$D$7:D"&amp;ROW()),"="&amp;"Report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2648266</v>
      </c>
      <c r="L335" s="403" t="str">
        <f ca="1">+IF($B335="","",SUMIFS(INDIRECT("$K$7:K"&amp;ROW()),INDIRECT("$B$7:B"&amp;ROW()),Tableau15356789101112131625236923[[#This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6" spans="1:17" ht="15" x14ac:dyDescent="0.3">
      <c r="A336" s="434"/>
      <c r="B336" s="392"/>
      <c r="C336" s="538">
        <v>45987</v>
      </c>
      <c r="D33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6" s="395" t="s">
        <v>2818</v>
      </c>
      <c r="F336" s="397" t="s">
        <v>3442</v>
      </c>
      <c r="G336" s="397"/>
      <c r="H336" s="524"/>
      <c r="I336" s="403"/>
      <c r="J336" s="403">
        <v>250000</v>
      </c>
      <c r="K336" s="491">
        <f ca="1">+IF('[3]BROUILLARD DE CAISSE '!$C336="","",SUMIFS(INDIRECT("$K$7:K"&amp;ROW()),INDIRECT("$D$7:D"&amp;ROW()),"="&amp;"Report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2398266</v>
      </c>
      <c r="L336" s="403" t="str">
        <f ca="1">+IF($B336="","",SUMIFS(INDIRECT("$K$7:K"&amp;ROW()),INDIRECT("$B$7:B"&amp;ROW()),Tableau15356789101112131625236923[[#This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37" spans="1:17" s="412" customFormat="1" ht="15" x14ac:dyDescent="0.3">
      <c r="A337" s="536"/>
      <c r="B337" s="515"/>
      <c r="C337" s="537">
        <v>45987</v>
      </c>
      <c r="D337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7" s="440" t="s">
        <v>2727</v>
      </c>
      <c r="F337" s="409" t="s">
        <v>3443</v>
      </c>
      <c r="G337" s="409"/>
      <c r="H337" s="524" t="s">
        <v>2729</v>
      </c>
      <c r="I337" s="414"/>
      <c r="J337" s="414">
        <v>14000</v>
      </c>
      <c r="K337" s="491">
        <f ca="1">+IF('[3]BROUILLARD DE CAISSE '!$C337="","",SUMIFS(INDIRECT("$K$7:K"&amp;ROW()),INDIRECT("$D$7:D"&amp;ROW()),"="&amp;"Report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2384266</v>
      </c>
      <c r="L337" s="414" t="str">
        <f ca="1">+IF($B337="","",SUMIFS(INDIRECT("$K$7:K"&amp;ROW()),INDIRECT("$B$7:B"&amp;ROW()),Tableau15356789101112131625236923[[#This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37" s="314"/>
      <c r="P337" s="314"/>
      <c r="Q337" s="314"/>
    </row>
    <row r="338" spans="1:17" s="412" customFormat="1" ht="15" x14ac:dyDescent="0.3">
      <c r="A338" s="536"/>
      <c r="B338" s="515"/>
      <c r="C338" s="537">
        <v>45987</v>
      </c>
      <c r="D338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8" s="440" t="s">
        <v>3043</v>
      </c>
      <c r="F338" s="409" t="s">
        <v>3444</v>
      </c>
      <c r="G338" s="409"/>
      <c r="H338" s="522" t="s">
        <v>3120</v>
      </c>
      <c r="I338" s="414"/>
      <c r="J338" s="414">
        <v>27000</v>
      </c>
      <c r="K338" s="491">
        <f ca="1">+IF('[3]BROUILLARD DE CAISSE '!$C338="","",SUMIFS(INDIRECT("$K$7:K"&amp;ROW()),INDIRECT("$D$7:D"&amp;ROW()),"="&amp;"Report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2357266</v>
      </c>
      <c r="L338" s="414" t="str">
        <f ca="1">+IF($B338="","",SUMIFS(INDIRECT("$K$7:K"&amp;ROW()),INDIRECT("$B$7:B"&amp;ROW()),Tableau15356789101112131625236923[[#This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38" s="314"/>
      <c r="P338" s="314"/>
      <c r="Q338" s="314"/>
    </row>
    <row r="339" spans="1:17" ht="15" x14ac:dyDescent="0.3">
      <c r="A339" s="434"/>
      <c r="B339" s="392"/>
      <c r="C339" s="538">
        <v>45987</v>
      </c>
      <c r="D33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39" s="437" t="s">
        <v>2886</v>
      </c>
      <c r="F339" s="397" t="s">
        <v>3188</v>
      </c>
      <c r="G339" s="397"/>
      <c r="H339" s="524"/>
      <c r="I339" s="403"/>
      <c r="J339" s="403">
        <v>140000</v>
      </c>
      <c r="K339" s="491">
        <f ca="1">+IF('[3]BROUILLARD DE CAISSE '!$C339="","",SUMIFS(INDIRECT("$K$7:K"&amp;ROW()),INDIRECT("$D$7:D"&amp;ROW()),"="&amp;"Report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2217266</v>
      </c>
      <c r="L339" s="403" t="str">
        <f ca="1">+IF($B339="","",SUMIFS(INDIRECT("$K$7:K"&amp;ROW()),INDIRECT("$B$7:B"&amp;ROW()),Tableau15356789101112131625236923[[#This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40" spans="1:17" ht="15" x14ac:dyDescent="0.3">
      <c r="A340" s="434"/>
      <c r="B340" s="392"/>
      <c r="C340" s="538">
        <v>45987</v>
      </c>
      <c r="D34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0" s="437" t="s">
        <v>3439</v>
      </c>
      <c r="F340" s="397" t="s">
        <v>3445</v>
      </c>
      <c r="G340" s="397"/>
      <c r="H340" s="524"/>
      <c r="I340" s="403"/>
      <c r="J340" s="403">
        <v>93830</v>
      </c>
      <c r="K340" s="491">
        <f ca="1">+IF('[3]BROUILLARD DE CAISSE '!$C340="","",SUMIFS(INDIRECT("$K$7:K"&amp;ROW()),INDIRECT("$D$7:D"&amp;ROW()),"="&amp;"Report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2123436</v>
      </c>
      <c r="L340" s="403" t="str">
        <f ca="1">+IF($B340="","",SUMIFS(INDIRECT("$K$7:K"&amp;ROW()),INDIRECT("$B$7:B"&amp;ROW()),Tableau15356789101112131625236923[[#This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41" spans="1:17" s="423" customFormat="1" ht="15" x14ac:dyDescent="0.2">
      <c r="A341" s="434"/>
      <c r="B341" s="392"/>
      <c r="C341" s="538">
        <v>45987</v>
      </c>
      <c r="D341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1" s="437" t="s">
        <v>2794</v>
      </c>
      <c r="F341" s="397" t="s">
        <v>3307</v>
      </c>
      <c r="G341" s="397"/>
      <c r="H341" s="524"/>
      <c r="I341" s="403"/>
      <c r="J341" s="403">
        <v>50500</v>
      </c>
      <c r="K341" s="491">
        <f ca="1">+IF('[3]BROUILLARD DE CAISSE '!$C341="","",SUMIFS(INDIRECT("$K$7:K"&amp;ROW()),INDIRECT("$D$7:D"&amp;ROW()),"="&amp;"Report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2072936</v>
      </c>
      <c r="L341" s="403" t="str">
        <f ca="1">+IF($B341="","",SUMIFS(INDIRECT("$K$7:K"&amp;ROW()),INDIRECT("$B$7:B"&amp;ROW()),Tableau15356789101112131625236923[[#This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41" s="458"/>
      <c r="P341" s="458"/>
      <c r="Q341" s="458"/>
    </row>
    <row r="342" spans="1:17" s="542" customFormat="1" ht="15" x14ac:dyDescent="0.2">
      <c r="A342" s="434"/>
      <c r="B342" s="392"/>
      <c r="C342" s="538">
        <v>45987</v>
      </c>
      <c r="D34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2" s="395" t="s">
        <v>3206</v>
      </c>
      <c r="F342" s="397" t="s">
        <v>3155</v>
      </c>
      <c r="G342" s="397"/>
      <c r="H342" s="524"/>
      <c r="I342" s="403"/>
      <c r="J342" s="403">
        <v>2800</v>
      </c>
      <c r="K342" s="491">
        <f ca="1">+IF('[3]BROUILLARD DE CAISSE '!$C342="","",SUMIFS(INDIRECT("$K$7:K"&amp;ROW()),INDIRECT("$D$7:D"&amp;ROW()),"="&amp;"Report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2070136</v>
      </c>
      <c r="L342" s="403" t="str">
        <f ca="1">+IF($B342="","",SUMIFS(INDIRECT("$K$7:K"&amp;ROW()),INDIRECT("$B$7:B"&amp;ROW()),Tableau15356789101112131625236923[[#This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42" s="543"/>
      <c r="P342" s="543"/>
      <c r="Q342" s="543"/>
    </row>
    <row r="343" spans="1:17" s="423" customFormat="1" ht="15" x14ac:dyDescent="0.2">
      <c r="A343" s="532"/>
      <c r="B343" s="486"/>
      <c r="C343" s="544">
        <v>45987</v>
      </c>
      <c r="D343" s="45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3" s="459" t="s">
        <v>2683</v>
      </c>
      <c r="F343" s="454" t="s">
        <v>3446</v>
      </c>
      <c r="G343" s="454"/>
      <c r="H343" s="531"/>
      <c r="I343" s="456"/>
      <c r="J343" s="456">
        <v>50500</v>
      </c>
      <c r="K343" s="491">
        <f ca="1">+IF('[3]BROUILLARD DE CAISSE '!$C343="","",SUMIFS(INDIRECT("$K$7:K"&amp;ROW()),INDIRECT("$D$7:D"&amp;ROW()),"="&amp;"Report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2019636</v>
      </c>
      <c r="L343" s="456" t="str">
        <f ca="1">+IF($B343="","",SUMIFS(INDIRECT("$K$7:K"&amp;ROW()),INDIRECT("$B$7:B"&amp;ROW()),Tableau15356789101112131625236923[[#This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43" s="458"/>
      <c r="P343" s="458"/>
      <c r="Q343" s="458"/>
    </row>
    <row r="344" spans="1:17" s="542" customFormat="1" ht="15" x14ac:dyDescent="0.2">
      <c r="A344" s="434"/>
      <c r="B344" s="392"/>
      <c r="C344" s="538">
        <v>45987</v>
      </c>
      <c r="D34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4" s="437" t="s">
        <v>3043</v>
      </c>
      <c r="F344" s="397" t="s">
        <v>3447</v>
      </c>
      <c r="G344" s="397"/>
      <c r="H344" s="524" t="s">
        <v>3120</v>
      </c>
      <c r="I344" s="403"/>
      <c r="J344" s="403">
        <v>50500</v>
      </c>
      <c r="K344" s="491">
        <f ca="1">+IF('[3]BROUILLARD DE CAISSE '!$C344="","",SUMIFS(INDIRECT("$K$7:K"&amp;ROW()),INDIRECT("$D$7:D"&amp;ROW()),"="&amp;"Report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1969136</v>
      </c>
      <c r="L344" s="403" t="str">
        <f ca="1">+IF($B344="","",SUMIFS(INDIRECT("$K$7:K"&amp;ROW()),INDIRECT("$B$7:B"&amp;ROW()),Tableau15356789101112131625236923[[#This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44" s="543"/>
      <c r="P344" s="543"/>
      <c r="Q344" s="543"/>
    </row>
    <row r="345" spans="1:17" ht="15" x14ac:dyDescent="0.3">
      <c r="A345" s="434"/>
      <c r="B345" s="392"/>
      <c r="C345" s="538">
        <v>45987</v>
      </c>
      <c r="D34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5" s="437" t="s">
        <v>2859</v>
      </c>
      <c r="F345" s="397" t="s">
        <v>2986</v>
      </c>
      <c r="G345" s="397"/>
      <c r="H345" s="524" t="s">
        <v>3372</v>
      </c>
      <c r="I345" s="403"/>
      <c r="J345" s="403">
        <v>6060</v>
      </c>
      <c r="K345" s="491">
        <f ca="1">+IF('[3]BROUILLARD DE CAISSE '!$C345="","",SUMIFS(INDIRECT("$K$7:K"&amp;ROW()),INDIRECT("$D$7:D"&amp;ROW()),"="&amp;"Report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1963076</v>
      </c>
      <c r="L345" s="403" t="str">
        <f ca="1">+IF($B345="","",SUMIFS(INDIRECT("$K$7:K"&amp;ROW()),INDIRECT("$B$7:B"&amp;ROW()),Tableau15356789101112131625236923[[#This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46" spans="1:17" ht="15" x14ac:dyDescent="0.3">
      <c r="A346" s="434"/>
      <c r="B346" s="392"/>
      <c r="C346" s="538">
        <v>45987</v>
      </c>
      <c r="D34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6" s="437" t="s">
        <v>2813</v>
      </c>
      <c r="F346" s="397" t="s">
        <v>3448</v>
      </c>
      <c r="G346" s="397"/>
      <c r="H346" s="524"/>
      <c r="I346" s="403"/>
      <c r="J346" s="403">
        <v>5050</v>
      </c>
      <c r="K346" s="491">
        <f ca="1">+IF('[3]BROUILLARD DE CAISSE '!$C346="","",SUMIFS(INDIRECT("$K$7:K"&amp;ROW()),INDIRECT("$D$7:D"&amp;ROW()),"="&amp;"Report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1958026</v>
      </c>
      <c r="L346" s="403" t="str">
        <f ca="1">+IF($B346="","",SUMIFS(INDIRECT("$K$7:K"&amp;ROW()),INDIRECT("$B$7:B"&amp;ROW()),Tableau15356789101112131625236923[[#This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47" spans="1:17" s="520" customFormat="1" ht="15" x14ac:dyDescent="0.3">
      <c r="A347" s="533"/>
      <c r="B347" s="527"/>
      <c r="C347" s="541">
        <v>45988</v>
      </c>
      <c r="D347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47" s="444" t="s">
        <v>2679</v>
      </c>
      <c r="F347" s="445" t="s">
        <v>3449</v>
      </c>
      <c r="G347" s="445"/>
      <c r="H347" s="530"/>
      <c r="I347" s="447">
        <v>15000</v>
      </c>
      <c r="J347" s="447"/>
      <c r="K347" s="491">
        <f ca="1">+IF('[3]BROUILLARD DE CAISSE '!$C347="","",SUMIFS(INDIRECT("$K$7:K"&amp;ROW()),INDIRECT("$D$7:D"&amp;ROW()),"="&amp;"Report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1973026</v>
      </c>
      <c r="L347" s="447" t="str">
        <f ca="1">+IF($B347="","",SUMIFS(INDIRECT("$K$7:K"&amp;ROW()),INDIRECT("$B$7:B"&amp;ROW()),Tableau15356789101112131625236923[[#This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47" s="482"/>
      <c r="P347" s="482"/>
      <c r="Q347" s="482"/>
    </row>
    <row r="348" spans="1:17" ht="15" x14ac:dyDescent="0.3">
      <c r="A348" s="434"/>
      <c r="B348" s="392"/>
      <c r="C348" s="538">
        <v>45988</v>
      </c>
      <c r="D34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8" s="437" t="s">
        <v>2887</v>
      </c>
      <c r="F348" s="397" t="s">
        <v>3450</v>
      </c>
      <c r="G348" s="397"/>
      <c r="H348" s="524" t="s">
        <v>2811</v>
      </c>
      <c r="I348" s="403"/>
      <c r="J348" s="403">
        <v>5050</v>
      </c>
      <c r="K348" s="491">
        <f ca="1">+IF('[3]BROUILLARD DE CAISSE '!$C348="","",SUMIFS(INDIRECT("$K$7:K"&amp;ROW()),INDIRECT("$D$7:D"&amp;ROW()),"="&amp;"Report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1967976</v>
      </c>
      <c r="L348" s="403" t="str">
        <f ca="1">+IF($B348="","",SUMIFS(INDIRECT("$K$7:K"&amp;ROW()),INDIRECT("$B$7:B"&amp;ROW()),Tableau15356789101112131625236923[[#This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49" spans="1:17" ht="15" x14ac:dyDescent="0.3">
      <c r="A349" s="434"/>
      <c r="B349" s="392"/>
      <c r="C349" s="538">
        <v>45988</v>
      </c>
      <c r="D34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49" s="437" t="s">
        <v>3112</v>
      </c>
      <c r="F349" s="397" t="s">
        <v>3451</v>
      </c>
      <c r="G349" s="397"/>
      <c r="H349" s="524" t="s">
        <v>2876</v>
      </c>
      <c r="I349" s="403"/>
      <c r="J349" s="403">
        <v>239000</v>
      </c>
      <c r="K349" s="491">
        <f ca="1">+IF('[3]BROUILLARD DE CAISSE '!$C349="","",SUMIFS(INDIRECT("$K$7:K"&amp;ROW()),INDIRECT("$D$7:D"&amp;ROW()),"="&amp;"Report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1728976</v>
      </c>
      <c r="L349" s="403" t="str">
        <f ca="1">+IF($B349="","",SUMIFS(INDIRECT("$K$7:K"&amp;ROW()),INDIRECT("$B$7:B"&amp;ROW()),Tableau15356789101112131625236923[[#This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0" spans="1:17" s="412" customFormat="1" ht="15" x14ac:dyDescent="0.3">
      <c r="A350" s="536"/>
      <c r="B350" s="515"/>
      <c r="C350" s="537">
        <v>45988</v>
      </c>
      <c r="D350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0" s="440" t="s">
        <v>3452</v>
      </c>
      <c r="F350" s="409" t="s">
        <v>3453</v>
      </c>
      <c r="G350" s="409" t="s">
        <v>2702</v>
      </c>
      <c r="H350" s="522"/>
      <c r="I350" s="414"/>
      <c r="J350" s="414">
        <v>404000</v>
      </c>
      <c r="K350" s="491">
        <f ca="1">+IF('[3]BROUILLARD DE CAISSE '!$C350="","",SUMIFS(INDIRECT("$K$7:K"&amp;ROW()),INDIRECT("$D$7:D"&amp;ROW()),"="&amp;"Report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1324976</v>
      </c>
      <c r="L350" s="414" t="str">
        <f ca="1">+IF($B350="","",SUMIFS(INDIRECT("$K$7:K"&amp;ROW()),INDIRECT("$B$7:B"&amp;ROW()),Tableau15356789101112131625236923[[#This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50" s="314"/>
      <c r="P350" s="314"/>
      <c r="Q350" s="314"/>
    </row>
    <row r="351" spans="1:17" ht="15" x14ac:dyDescent="0.3">
      <c r="A351" s="434"/>
      <c r="B351" s="392"/>
      <c r="C351" s="538">
        <v>45988</v>
      </c>
      <c r="D351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1" s="437" t="s">
        <v>3043</v>
      </c>
      <c r="F351" s="397" t="s">
        <v>2879</v>
      </c>
      <c r="G351" s="397"/>
      <c r="H351" s="524" t="s">
        <v>2964</v>
      </c>
      <c r="I351" s="403"/>
      <c r="J351" s="403">
        <v>20000</v>
      </c>
      <c r="K351" s="491">
        <f ca="1">+IF('[3]BROUILLARD DE CAISSE '!$C351="","",SUMIFS(INDIRECT("$K$7:K"&amp;ROW()),INDIRECT("$D$7:D"&amp;ROW()),"="&amp;"Report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1304976</v>
      </c>
      <c r="L351" s="403" t="str">
        <f ca="1">+IF($B351="","",SUMIFS(INDIRECT("$K$7:K"&amp;ROW()),INDIRECT("$B$7:B"&amp;ROW()),Tableau15356789101112131625236923[[#This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2" spans="1:17" ht="15" x14ac:dyDescent="0.3">
      <c r="A352" s="434"/>
      <c r="B352" s="392"/>
      <c r="C352" s="538">
        <v>45988</v>
      </c>
      <c r="D35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2" s="437" t="s">
        <v>3122</v>
      </c>
      <c r="F352" s="397" t="s">
        <v>3454</v>
      </c>
      <c r="G352" s="397"/>
      <c r="H352" s="524" t="s">
        <v>2959</v>
      </c>
      <c r="I352" s="403"/>
      <c r="J352" s="403">
        <v>45000</v>
      </c>
      <c r="K352" s="491">
        <f ca="1">+IF('[3]BROUILLARD DE CAISSE '!$C352="","",SUMIFS(INDIRECT("$K$7:K"&amp;ROW()),INDIRECT("$D$7:D"&amp;ROW()),"="&amp;"Report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1259976</v>
      </c>
      <c r="L352" s="403" t="str">
        <f ca="1">+IF($B352="","",SUMIFS(INDIRECT("$K$7:K"&amp;ROW()),INDIRECT("$B$7:B"&amp;ROW()),Tableau15356789101112131625236923[[#This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3" spans="1:17" s="412" customFormat="1" ht="15" x14ac:dyDescent="0.3">
      <c r="A353" s="536"/>
      <c r="B353" s="515"/>
      <c r="C353" s="537">
        <v>45988</v>
      </c>
      <c r="D353" s="439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3" s="440" t="s">
        <v>3112</v>
      </c>
      <c r="F353" s="409" t="s">
        <v>3455</v>
      </c>
      <c r="G353" s="409"/>
      <c r="H353" s="522"/>
      <c r="I353" s="414"/>
      <c r="J353" s="414">
        <v>3000</v>
      </c>
      <c r="K353" s="491">
        <f ca="1">+IF('[3]BROUILLARD DE CAISSE '!$C353="","",SUMIFS(INDIRECT("$K$7:K"&amp;ROW()),INDIRECT("$D$7:D"&amp;ROW()),"="&amp;"Report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1256976</v>
      </c>
      <c r="L353" s="414" t="str">
        <f ca="1">+IF($B353="","",SUMIFS(INDIRECT("$K$7:K"&amp;ROW()),INDIRECT("$B$7:B"&amp;ROW()),Tableau15356789101112131625236923[[#This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53" s="314"/>
      <c r="P353" s="314"/>
      <c r="Q353" s="314"/>
    </row>
    <row r="354" spans="1:17" ht="15" x14ac:dyDescent="0.3">
      <c r="A354" s="434"/>
      <c r="B354" s="392"/>
      <c r="C354" s="538">
        <v>45988</v>
      </c>
      <c r="D35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4" s="395" t="s">
        <v>3206</v>
      </c>
      <c r="F354" s="397" t="s">
        <v>3155</v>
      </c>
      <c r="G354" s="397"/>
      <c r="H354" s="524"/>
      <c r="I354" s="403"/>
      <c r="J354" s="403">
        <v>3000</v>
      </c>
      <c r="K354" s="491">
        <f ca="1">+IF('[3]BROUILLARD DE CAISSE '!$C354="","",SUMIFS(INDIRECT("$K$7:K"&amp;ROW()),INDIRECT("$D$7:D"&amp;ROW()),"="&amp;"Report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1253976</v>
      </c>
      <c r="L354" s="403" t="str">
        <f ca="1">+IF($B354="","",SUMIFS(INDIRECT("$K$7:K"&amp;ROW()),INDIRECT("$B$7:B"&amp;ROW()),Tableau15356789101112131625236923[[#This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5" spans="1:17" ht="15" x14ac:dyDescent="0.3">
      <c r="A355" s="434"/>
      <c r="B355" s="392"/>
      <c r="C355" s="538">
        <v>45988</v>
      </c>
      <c r="D35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5" s="437" t="s">
        <v>3122</v>
      </c>
      <c r="F355" s="397" t="s">
        <v>3456</v>
      </c>
      <c r="G355" s="397"/>
      <c r="H355" s="524" t="s">
        <v>3114</v>
      </c>
      <c r="I355" s="403"/>
      <c r="J355" s="403">
        <v>80000</v>
      </c>
      <c r="K355" s="491">
        <f ca="1">+IF('[3]BROUILLARD DE CAISSE '!$C355="","",SUMIFS(INDIRECT("$K$7:K"&amp;ROW()),INDIRECT("$D$7:D"&amp;ROW()),"="&amp;"Report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1173976</v>
      </c>
      <c r="L355" s="403" t="str">
        <f ca="1">+IF($B355="","",SUMIFS(INDIRECT("$K$7:K"&amp;ROW()),INDIRECT("$B$7:B"&amp;ROW()),Tableau15356789101112131625236923[[#This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6" spans="1:17" ht="15" x14ac:dyDescent="0.3">
      <c r="A356" s="434"/>
      <c r="B356" s="392"/>
      <c r="C356" s="538">
        <v>45988</v>
      </c>
      <c r="D35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6" s="437" t="s">
        <v>2683</v>
      </c>
      <c r="F356" s="397" t="s">
        <v>3457</v>
      </c>
      <c r="G356" s="397"/>
      <c r="H356" s="524" t="s">
        <v>2685</v>
      </c>
      <c r="I356" s="403"/>
      <c r="J356" s="403">
        <v>81810</v>
      </c>
      <c r="K356" s="491">
        <f ca="1">+IF('[3]BROUILLARD DE CAISSE '!$C356="","",SUMIFS(INDIRECT("$K$7:K"&amp;ROW()),INDIRECT("$D$7:D"&amp;ROW()),"="&amp;"Report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1092166</v>
      </c>
      <c r="L356" s="403" t="str">
        <f ca="1">+IF($B356="","",SUMIFS(INDIRECT("$K$7:K"&amp;ROW()),INDIRECT("$B$7:B"&amp;ROW()),Tableau15356789101112131625236923[[#This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7" spans="1:17" ht="15" x14ac:dyDescent="0.3">
      <c r="A357" s="434"/>
      <c r="B357" s="392"/>
      <c r="C357" s="538">
        <v>45988</v>
      </c>
      <c r="D357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7" s="437" t="s">
        <v>3349</v>
      </c>
      <c r="F357" s="397" t="s">
        <v>3350</v>
      </c>
      <c r="G357" s="397"/>
      <c r="H357" s="524"/>
      <c r="I357" s="403"/>
      <c r="J357" s="403">
        <v>1500</v>
      </c>
      <c r="K357" s="491">
        <f ca="1">+IF('[3]BROUILLARD DE CAISSE '!$C357="","",SUMIFS(INDIRECT("$K$7:K"&amp;ROW()),INDIRECT("$D$7:D"&amp;ROW()),"="&amp;"Report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1090666</v>
      </c>
      <c r="L357" s="403" t="str">
        <f ca="1">+IF($B357="","",SUMIFS(INDIRECT("$K$7:K"&amp;ROW()),INDIRECT("$B$7:B"&amp;ROW()),Tableau15356789101112131625236923[[#This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58" spans="1:17" s="539" customFormat="1" ht="15" x14ac:dyDescent="0.2">
      <c r="A358" s="434"/>
      <c r="B358" s="392"/>
      <c r="C358" s="538">
        <v>45988</v>
      </c>
      <c r="D35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8" s="437" t="s">
        <v>3043</v>
      </c>
      <c r="F358" s="397" t="s">
        <v>3059</v>
      </c>
      <c r="G358" s="397"/>
      <c r="H358" s="524" t="s">
        <v>2876</v>
      </c>
      <c r="I358" s="403"/>
      <c r="J358" s="403">
        <v>180000</v>
      </c>
      <c r="K358" s="491">
        <f ca="1">+IF('[3]BROUILLARD DE CAISSE '!$C358="","",SUMIFS(INDIRECT("$K$7:K"&amp;ROW()),INDIRECT("$D$7:D"&amp;ROW()),"="&amp;"Report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910666</v>
      </c>
      <c r="L358" s="403" t="str">
        <f ca="1">+IF($B358="","",SUMIFS(INDIRECT("$K$7:K"&amp;ROW()),INDIRECT("$B$7:B"&amp;ROW()),Tableau15356789101112131625236923[[#This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58" s="540"/>
      <c r="P358" s="540"/>
      <c r="Q358" s="540"/>
    </row>
    <row r="359" spans="1:17" ht="15" x14ac:dyDescent="0.3">
      <c r="A359" s="434"/>
      <c r="B359" s="392"/>
      <c r="C359" s="538">
        <v>45988</v>
      </c>
      <c r="D35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59" s="437" t="s">
        <v>3156</v>
      </c>
      <c r="F359" s="397" t="s">
        <v>3345</v>
      </c>
      <c r="G359" s="397"/>
      <c r="H359" s="524"/>
      <c r="I359" s="403"/>
      <c r="J359" s="403">
        <v>5000</v>
      </c>
      <c r="K359" s="491">
        <f ca="1">+IF('[3]BROUILLARD DE CAISSE '!$C359="","",SUMIFS(INDIRECT("$K$7:K"&amp;ROW()),INDIRECT("$D$7:D"&amp;ROW()),"="&amp;"Report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905666</v>
      </c>
      <c r="L359" s="403" t="str">
        <f ca="1">+IF($B359="","",SUMIFS(INDIRECT("$K$7:K"&amp;ROW()),INDIRECT("$B$7:B"&amp;ROW()),Tableau15356789101112131625236923[[#This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60" spans="1:17" ht="15" x14ac:dyDescent="0.3">
      <c r="A360" s="434"/>
      <c r="B360" s="392"/>
      <c r="C360" s="538">
        <v>45988</v>
      </c>
      <c r="D36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0" s="437" t="s">
        <v>3122</v>
      </c>
      <c r="F360" s="397" t="s">
        <v>3458</v>
      </c>
      <c r="G360" s="397"/>
      <c r="H360" s="524" t="s">
        <v>3114</v>
      </c>
      <c r="I360" s="403"/>
      <c r="J360" s="403">
        <v>30300</v>
      </c>
      <c r="K360" s="491">
        <f ca="1">+IF('[3]BROUILLARD DE CAISSE '!$C360="","",SUMIFS(INDIRECT("$K$7:K"&amp;ROW()),INDIRECT("$D$7:D"&amp;ROW()),"="&amp;"Report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875366</v>
      </c>
      <c r="L360" s="403" t="str">
        <f ca="1">+IF($B360="","",SUMIFS(INDIRECT("$K$7:K"&amp;ROW()),INDIRECT("$B$7:B"&amp;ROW()),Tableau15356789101112131625236923[[#This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61" spans="1:17" s="520" customFormat="1" ht="15" x14ac:dyDescent="0.3">
      <c r="A361" s="533"/>
      <c r="B361" s="527"/>
      <c r="C361" s="541">
        <v>45988</v>
      </c>
      <c r="D361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61" s="444" t="s">
        <v>2679</v>
      </c>
      <c r="F361" s="445" t="s">
        <v>3459</v>
      </c>
      <c r="G361" s="445"/>
      <c r="H361" s="530"/>
      <c r="I361" s="447">
        <v>2000000</v>
      </c>
      <c r="J361" s="447"/>
      <c r="K361" s="491">
        <f ca="1">+IF('[3]BROUILLARD DE CAISSE '!$C361="","",SUMIFS(INDIRECT("$K$7:K"&amp;ROW()),INDIRECT("$D$7:D"&amp;ROW()),"="&amp;"Report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2875366</v>
      </c>
      <c r="L361" s="447" t="str">
        <f ca="1">+IF($B361="","",SUMIFS(INDIRECT("$K$7:K"&amp;ROW()),INDIRECT("$B$7:B"&amp;ROW()),Tableau15356789101112131625236923[[#This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61" s="482"/>
      <c r="P361" s="482"/>
      <c r="Q361" s="482"/>
    </row>
    <row r="362" spans="1:17" s="520" customFormat="1" ht="15" x14ac:dyDescent="0.3">
      <c r="A362" s="533"/>
      <c r="B362" s="527"/>
      <c r="C362" s="541">
        <v>45988</v>
      </c>
      <c r="D362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62" s="444" t="s">
        <v>2679</v>
      </c>
      <c r="F362" s="445" t="s">
        <v>3460</v>
      </c>
      <c r="G362" s="445"/>
      <c r="H362" s="530"/>
      <c r="I362" s="447">
        <v>213860</v>
      </c>
      <c r="J362" s="447"/>
      <c r="K362" s="491">
        <f ca="1">+IF('[3]BROUILLARD DE CAISSE '!$C362="","",SUMIFS(INDIRECT("$K$7:K"&amp;ROW()),INDIRECT("$D$7:D"&amp;ROW()),"="&amp;"Report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3089226</v>
      </c>
      <c r="L362" s="447" t="str">
        <f ca="1">+IF($B362="","",SUMIFS(INDIRECT("$K$7:K"&amp;ROW()),INDIRECT("$B$7:B"&amp;ROW()),Tableau15356789101112131625236923[[#This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62" s="482"/>
      <c r="P362" s="482"/>
      <c r="Q362" s="482"/>
    </row>
    <row r="363" spans="1:17" ht="15" x14ac:dyDescent="0.3">
      <c r="A363" s="434"/>
      <c r="B363" s="392"/>
      <c r="C363" s="538">
        <v>45989</v>
      </c>
      <c r="D363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3" s="437" t="s">
        <v>3128</v>
      </c>
      <c r="F363" s="397" t="s">
        <v>3461</v>
      </c>
      <c r="G363" s="397"/>
      <c r="H363" s="524"/>
      <c r="I363" s="403"/>
      <c r="J363" s="403">
        <v>69300</v>
      </c>
      <c r="K363" s="491">
        <f ca="1">+IF('[3]BROUILLARD DE CAISSE '!$C363="","",SUMIFS(INDIRECT("$K$7:K"&amp;ROW()),INDIRECT("$D$7:D"&amp;ROW()),"="&amp;"Report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3019926</v>
      </c>
      <c r="L363" s="403" t="str">
        <f ca="1">+IF($B363="","",SUMIFS(INDIRECT("$K$7:K"&amp;ROW()),INDIRECT("$B$7:B"&amp;ROW()),Tableau15356789101112131625236923[[#This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64" spans="1:17" ht="15" x14ac:dyDescent="0.3">
      <c r="A364" s="434"/>
      <c r="B364" s="392"/>
      <c r="C364" s="538">
        <v>45989</v>
      </c>
      <c r="D36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4" s="437" t="s">
        <v>3412</v>
      </c>
      <c r="F364" s="397" t="s">
        <v>3462</v>
      </c>
      <c r="G364" s="397"/>
      <c r="H364" s="524"/>
      <c r="I364" s="403"/>
      <c r="J364" s="403">
        <v>35000</v>
      </c>
      <c r="K364" s="491">
        <f ca="1">+IF('[3]BROUILLARD DE CAISSE '!$C364="","",SUMIFS(INDIRECT("$K$7:K"&amp;ROW()),INDIRECT("$D$7:D"&amp;ROW()),"="&amp;"Report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2984926</v>
      </c>
      <c r="L364" s="403" t="str">
        <f ca="1">+IF($B364="","",SUMIFS(INDIRECT("$K$7:K"&amp;ROW()),INDIRECT("$B$7:B"&amp;ROW()),Tableau15356789101112131625236923[[#This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65" spans="1:17" ht="15" x14ac:dyDescent="0.3">
      <c r="A365" s="434"/>
      <c r="B365" s="392"/>
      <c r="C365" s="538">
        <v>45989</v>
      </c>
      <c r="D36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5" s="437" t="s">
        <v>3156</v>
      </c>
      <c r="F365" s="397" t="s">
        <v>3155</v>
      </c>
      <c r="G365" s="397"/>
      <c r="H365" s="524"/>
      <c r="I365" s="403"/>
      <c r="J365" s="403">
        <v>2000</v>
      </c>
      <c r="K365" s="491">
        <f ca="1">+IF('[3]BROUILLARD DE CAISSE '!$C365="","",SUMIFS(INDIRECT("$K$7:K"&amp;ROW()),INDIRECT("$D$7:D"&amp;ROW()),"="&amp;"Report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2982926</v>
      </c>
      <c r="L365" s="403" t="str">
        <f ca="1">+IF($B365="","",SUMIFS(INDIRECT("$K$7:K"&amp;ROW()),INDIRECT("$B$7:B"&amp;ROW()),Tableau15356789101112131625236923[[#This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66" spans="1:17" s="539" customFormat="1" ht="15" x14ac:dyDescent="0.2">
      <c r="A366" s="434"/>
      <c r="B366" s="392"/>
      <c r="C366" s="538">
        <v>45989</v>
      </c>
      <c r="D36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6" s="437" t="s">
        <v>2839</v>
      </c>
      <c r="F366" s="397" t="s">
        <v>3463</v>
      </c>
      <c r="G366" s="397"/>
      <c r="H366" s="524"/>
      <c r="I366" s="403"/>
      <c r="J366" s="403">
        <v>10100</v>
      </c>
      <c r="K366" s="491">
        <f ca="1">+IF('[3]BROUILLARD DE CAISSE '!$C366="","",SUMIFS(INDIRECT("$K$7:K"&amp;ROW()),INDIRECT("$D$7:D"&amp;ROW()),"="&amp;"Report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2972826</v>
      </c>
      <c r="L366" s="403" t="str">
        <f ca="1">+IF($B366="","",SUMIFS(INDIRECT("$K$7:K"&amp;ROW()),INDIRECT("$B$7:B"&amp;ROW()),Tableau15356789101112131625236923[[#This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66" s="540"/>
      <c r="P366" s="540"/>
      <c r="Q366" s="540"/>
    </row>
    <row r="367" spans="1:17" s="520" customFormat="1" ht="15" x14ac:dyDescent="0.3">
      <c r="A367" s="533"/>
      <c r="B367" s="527"/>
      <c r="C367" s="541">
        <v>45989</v>
      </c>
      <c r="D367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67" s="444" t="s">
        <v>2679</v>
      </c>
      <c r="F367" s="445" t="s">
        <v>3464</v>
      </c>
      <c r="G367" s="445"/>
      <c r="H367" s="530"/>
      <c r="I367" s="447">
        <v>30000</v>
      </c>
      <c r="J367" s="447"/>
      <c r="K367" s="491">
        <f ca="1">+IF('[3]BROUILLARD DE CAISSE '!$C367="","",SUMIFS(INDIRECT("$K$7:K"&amp;ROW()),INDIRECT("$D$7:D"&amp;ROW()),"="&amp;"Report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3002826</v>
      </c>
      <c r="L367" s="447" t="str">
        <f ca="1">+IF($B367="","",SUMIFS(INDIRECT("$K$7:K"&amp;ROW()),INDIRECT("$B$7:B"&amp;ROW()),Tableau15356789101112131625236923[[#This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67" s="482"/>
      <c r="P367" s="482"/>
      <c r="Q367" s="482"/>
    </row>
    <row r="368" spans="1:17" s="520" customFormat="1" ht="15" x14ac:dyDescent="0.3">
      <c r="A368" s="533"/>
      <c r="B368" s="527"/>
      <c r="C368" s="541">
        <v>45989</v>
      </c>
      <c r="D368" s="443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Entrée</v>
      </c>
      <c r="E368" s="444" t="s">
        <v>2679</v>
      </c>
      <c r="F368" s="445" t="s">
        <v>3465</v>
      </c>
      <c r="G368" s="445"/>
      <c r="H368" s="530" t="s">
        <v>2876</v>
      </c>
      <c r="I368" s="447">
        <v>20000</v>
      </c>
      <c r="J368" s="447"/>
      <c r="K368" s="491">
        <f ca="1">+IF('[3]BROUILLARD DE CAISSE '!$C368="","",SUMIFS(INDIRECT("$K$7:K"&amp;ROW()),INDIRECT("$D$7:D"&amp;ROW()),"="&amp;"Report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3022826</v>
      </c>
      <c r="L368" s="447" t="str">
        <f ca="1">+IF($B368="","",SUMIFS(INDIRECT("$K$7:K"&amp;ROW()),INDIRECT("$B$7:B"&amp;ROW()),Tableau15356789101112131625236923[[#This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68" s="482"/>
      <c r="P368" s="482"/>
      <c r="Q368" s="482"/>
    </row>
    <row r="369" spans="1:17" ht="15" x14ac:dyDescent="0.3">
      <c r="A369" s="434"/>
      <c r="B369" s="392"/>
      <c r="C369" s="538">
        <v>45989</v>
      </c>
      <c r="D36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69" s="437" t="s">
        <v>2859</v>
      </c>
      <c r="F369" s="397" t="s">
        <v>3466</v>
      </c>
      <c r="G369" s="397"/>
      <c r="H369" s="524" t="s">
        <v>3372</v>
      </c>
      <c r="I369" s="403"/>
      <c r="J369" s="403">
        <v>20200</v>
      </c>
      <c r="K369" s="491">
        <f ca="1">+IF('[3]BROUILLARD DE CAISSE '!$C369="","",SUMIFS(INDIRECT("$K$7:K"&amp;ROW()),INDIRECT("$D$7:D"&amp;ROW()),"="&amp;"Report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3002626</v>
      </c>
      <c r="L369" s="403" t="str">
        <f ca="1">+IF($B369="","",SUMIFS(INDIRECT("$K$7:K"&amp;ROW()),INDIRECT("$B$7:B"&amp;ROW()),Tableau15356789101112131625236923[[#This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0" spans="1:17" s="539" customFormat="1" ht="15" x14ac:dyDescent="0.2">
      <c r="A370" s="434"/>
      <c r="B370" s="392"/>
      <c r="C370" s="538">
        <v>45989</v>
      </c>
      <c r="D37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0" s="437" t="s">
        <v>2683</v>
      </c>
      <c r="F370" s="397" t="s">
        <v>3467</v>
      </c>
      <c r="G370" s="397"/>
      <c r="H370" s="524" t="s">
        <v>2685</v>
      </c>
      <c r="I370" s="403"/>
      <c r="J370" s="403">
        <v>292395</v>
      </c>
      <c r="K370" s="491">
        <f ca="1">+IF('[3]BROUILLARD DE CAISSE '!$C370="","",SUMIFS(INDIRECT("$K$7:K"&amp;ROW()),INDIRECT("$D$7:D"&amp;ROW()),"="&amp;"Report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2710231</v>
      </c>
      <c r="L370" s="403" t="str">
        <f ca="1">+IF($B370="","",SUMIFS(INDIRECT("$K$7:K"&amp;ROW()),INDIRECT("$B$7:B"&amp;ROW()),Tableau15356789101112131625236923[[#This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70" s="540"/>
      <c r="P370" s="540"/>
      <c r="Q370" s="540"/>
    </row>
    <row r="371" spans="1:17" ht="15" x14ac:dyDescent="0.3">
      <c r="A371" s="434"/>
      <c r="B371" s="392"/>
      <c r="C371" s="538">
        <v>45989</v>
      </c>
      <c r="D371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1" s="437" t="s">
        <v>3112</v>
      </c>
      <c r="F371" s="397" t="s">
        <v>3468</v>
      </c>
      <c r="G371" s="397"/>
      <c r="H371" s="524"/>
      <c r="I371" s="403"/>
      <c r="J371" s="403">
        <v>10000</v>
      </c>
      <c r="K371" s="491">
        <f ca="1">+IF('[3]BROUILLARD DE CAISSE '!$C371="","",SUMIFS(INDIRECT("$K$7:K"&amp;ROW()),INDIRECT("$D$7:D"&amp;ROW()),"="&amp;"Report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2700231</v>
      </c>
      <c r="L371" s="403" t="str">
        <f ca="1">+IF($B371="","",SUMIFS(INDIRECT("$K$7:K"&amp;ROW()),INDIRECT("$B$7:B"&amp;ROW()),Tableau15356789101112131625236923[[#This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2" spans="1:17" ht="15" x14ac:dyDescent="0.3">
      <c r="A372" s="434"/>
      <c r="B372" s="392"/>
      <c r="C372" s="538">
        <v>45989</v>
      </c>
      <c r="D37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2" s="437" t="s">
        <v>2764</v>
      </c>
      <c r="F372" s="397" t="s">
        <v>3469</v>
      </c>
      <c r="G372" s="397"/>
      <c r="H372" s="524"/>
      <c r="I372" s="403"/>
      <c r="J372" s="403">
        <v>2600</v>
      </c>
      <c r="K372" s="491">
        <f ca="1">+IF('[3]BROUILLARD DE CAISSE '!$C372="","",SUMIFS(INDIRECT("$K$7:K"&amp;ROW()),INDIRECT("$D$7:D"&amp;ROW()),"="&amp;"Report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2697631</v>
      </c>
      <c r="L372" s="403" t="str">
        <f ca="1">+IF($B372="","",SUMIFS(INDIRECT("$K$7:K"&amp;ROW()),INDIRECT("$B$7:B"&amp;ROW()),Tableau15356789101112131625236923[[#This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3" spans="1:17" ht="15" x14ac:dyDescent="0.3">
      <c r="A373" s="434"/>
      <c r="B373" s="392"/>
      <c r="C373" s="538">
        <v>45989</v>
      </c>
      <c r="D373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3" s="437" t="s">
        <v>2863</v>
      </c>
      <c r="F373" s="397" t="s">
        <v>3470</v>
      </c>
      <c r="G373" s="397"/>
      <c r="H373" s="524" t="s">
        <v>2698</v>
      </c>
      <c r="I373" s="403"/>
      <c r="J373" s="403">
        <v>5050</v>
      </c>
      <c r="K373" s="491">
        <f ca="1">+IF('[3]BROUILLARD DE CAISSE '!$C373="","",SUMIFS(INDIRECT("$K$7:K"&amp;ROW()),INDIRECT("$D$7:D"&amp;ROW()),"="&amp;"Report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2692581</v>
      </c>
      <c r="L373" s="403" t="str">
        <f ca="1">+IF($B373="","",SUMIFS(INDIRECT("$K$7:K"&amp;ROW()),INDIRECT("$B$7:B"&amp;ROW()),Tableau15356789101112131625236923[[#This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4" spans="1:17" ht="15" x14ac:dyDescent="0.3">
      <c r="A374" s="434"/>
      <c r="B374" s="392"/>
      <c r="C374" s="538">
        <v>45989</v>
      </c>
      <c r="D37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4" s="437" t="s">
        <v>2887</v>
      </c>
      <c r="F374" s="397" t="s">
        <v>3471</v>
      </c>
      <c r="G374" s="397"/>
      <c r="H374" s="524"/>
      <c r="I374" s="403"/>
      <c r="J374" s="403">
        <v>5050</v>
      </c>
      <c r="K374" s="491">
        <f ca="1">+IF('[3]BROUILLARD DE CAISSE '!$C374="","",SUMIFS(INDIRECT("$K$7:K"&amp;ROW()),INDIRECT("$D$7:D"&amp;ROW()),"="&amp;"Report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2687531</v>
      </c>
      <c r="L374" s="403" t="str">
        <f ca="1">+IF($B374="","",SUMIFS(INDIRECT("$K$7:K"&amp;ROW()),INDIRECT("$B$7:B"&amp;ROW()),Tableau15356789101112131625236923[[#This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5" spans="1:17" s="539" customFormat="1" ht="15" x14ac:dyDescent="0.2">
      <c r="A375" s="434"/>
      <c r="B375" s="392"/>
      <c r="C375" s="538">
        <v>45989</v>
      </c>
      <c r="D37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5" s="437" t="s">
        <v>2764</v>
      </c>
      <c r="F375" s="397" t="s">
        <v>3472</v>
      </c>
      <c r="G375" s="397"/>
      <c r="H375" s="524"/>
      <c r="I375" s="403"/>
      <c r="J375" s="403">
        <v>15825</v>
      </c>
      <c r="K375" s="491">
        <f ca="1">+IF('[3]BROUILLARD DE CAISSE '!$C375="","",SUMIFS(INDIRECT("$K$7:K"&amp;ROW()),INDIRECT("$D$7:D"&amp;ROW()),"="&amp;"Report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2671706</v>
      </c>
      <c r="L375" s="403" t="str">
        <f ca="1">+IF($B375="","",SUMIFS(INDIRECT("$K$7:K"&amp;ROW()),INDIRECT("$B$7:B"&amp;ROW()),Tableau15356789101112131625236923[[#This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75" s="540"/>
      <c r="P375" s="540"/>
      <c r="Q375" s="540"/>
    </row>
    <row r="376" spans="1:17" s="539" customFormat="1" ht="15" x14ac:dyDescent="0.2">
      <c r="A376" s="434"/>
      <c r="B376" s="392"/>
      <c r="C376" s="538">
        <v>45989</v>
      </c>
      <c r="D37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6" s="437" t="s">
        <v>3349</v>
      </c>
      <c r="F376" s="397" t="s">
        <v>3438</v>
      </c>
      <c r="G376" s="397"/>
      <c r="H376" s="524"/>
      <c r="I376" s="403"/>
      <c r="J376" s="403">
        <v>3000</v>
      </c>
      <c r="K376" s="491">
        <f ca="1">+IF('[3]BROUILLARD DE CAISSE '!$C376="","",SUMIFS(INDIRECT("$K$7:K"&amp;ROW()),INDIRECT("$D$7:D"&amp;ROW()),"="&amp;"Report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2668706</v>
      </c>
      <c r="L376" s="403" t="str">
        <f ca="1">+IF($B376="","",SUMIFS(INDIRECT("$K$7:K"&amp;ROW()),INDIRECT("$B$7:B"&amp;ROW()),Tableau15356789101112131625236923[[#This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  <c r="O376" s="540"/>
      <c r="P376" s="540"/>
      <c r="Q376" s="540"/>
    </row>
    <row r="377" spans="1:17" ht="15" x14ac:dyDescent="0.3">
      <c r="A377" s="434"/>
      <c r="B377" s="392"/>
      <c r="C377" s="538">
        <v>45989</v>
      </c>
      <c r="D377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7" s="437" t="s">
        <v>3176</v>
      </c>
      <c r="F377" s="397" t="s">
        <v>3473</v>
      </c>
      <c r="G377" s="397"/>
      <c r="H377" s="524" t="s">
        <v>2707</v>
      </c>
      <c r="I377" s="403"/>
      <c r="J377" s="403">
        <v>5050</v>
      </c>
      <c r="K377" s="491">
        <f ca="1">+IF('[3]BROUILLARD DE CAISSE '!$C377="","",SUMIFS(INDIRECT("$K$7:K"&amp;ROW()),INDIRECT("$D$7:D"&amp;ROW()),"="&amp;"Report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2663656</v>
      </c>
      <c r="L377" s="403" t="str">
        <f ca="1">+IF($B377="","",SUMIFS(INDIRECT("$K$7:K"&amp;ROW()),INDIRECT("$B$7:B"&amp;ROW()),Tableau15356789101112131625236923[[#This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8" spans="1:17" ht="15" x14ac:dyDescent="0.3">
      <c r="A378" s="434"/>
      <c r="B378" s="392"/>
      <c r="C378" s="538">
        <v>45990</v>
      </c>
      <c r="D37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8" s="437" t="s">
        <v>2863</v>
      </c>
      <c r="F378" s="397" t="s">
        <v>3474</v>
      </c>
      <c r="G378" s="397"/>
      <c r="H378" s="524" t="s">
        <v>2698</v>
      </c>
      <c r="I378" s="403"/>
      <c r="J378" s="403">
        <v>10100</v>
      </c>
      <c r="K378" s="491">
        <f ca="1">+IF('[3]BROUILLARD DE CAISSE '!$C378="","",SUMIFS(INDIRECT("$K$7:K"&amp;ROW()),INDIRECT("$D$7:D"&amp;ROW()),"="&amp;"Report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2653556</v>
      </c>
      <c r="L378" s="403" t="str">
        <f ca="1">+IF($B378="","",SUMIFS(INDIRECT("$K$7:K"&amp;ROW()),INDIRECT("$B$7:B"&amp;ROW()),Tableau15356789101112131625236923[[#This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79" spans="1:17" ht="15" x14ac:dyDescent="0.3">
      <c r="A379" s="434"/>
      <c r="B379" s="392"/>
      <c r="C379" s="538">
        <v>45990</v>
      </c>
      <c r="D37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79" s="437" t="s">
        <v>3043</v>
      </c>
      <c r="F379" s="397" t="s">
        <v>3475</v>
      </c>
      <c r="G379" s="397"/>
      <c r="H379" s="524" t="s">
        <v>3120</v>
      </c>
      <c r="I379" s="403"/>
      <c r="J379" s="403">
        <v>9500</v>
      </c>
      <c r="K379" s="491">
        <f ca="1">+IF('[3]BROUILLARD DE CAISSE '!$C379="","",SUMIFS(INDIRECT("$K$7:K"&amp;ROW()),INDIRECT("$D$7:D"&amp;ROW()),"="&amp;"Report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2644056</v>
      </c>
      <c r="L379" s="403" t="str">
        <f ca="1">+IF($B379="","",SUMIFS(INDIRECT("$K$7:K"&amp;ROW()),INDIRECT("$B$7:B"&amp;ROW()),Tableau15356789101112131625236923[[#This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0" spans="1:17" ht="15" x14ac:dyDescent="0.3">
      <c r="A380" s="434"/>
      <c r="B380" s="392"/>
      <c r="C380" s="538">
        <v>45990</v>
      </c>
      <c r="D38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0" s="395" t="s">
        <v>2694</v>
      </c>
      <c r="F380" s="397" t="s">
        <v>3476</v>
      </c>
      <c r="G380" s="397"/>
      <c r="H380" s="524"/>
      <c r="I380" s="403"/>
      <c r="J380" s="403">
        <v>431000</v>
      </c>
      <c r="K380" s="491">
        <f ca="1">+IF('[3]BROUILLARD DE CAISSE '!$C380="","",SUMIFS(INDIRECT("$K$7:K"&amp;ROW()),INDIRECT("$D$7:D"&amp;ROW()),"="&amp;"Report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2213056</v>
      </c>
      <c r="L380" s="403" t="str">
        <f ca="1">+IF($B380="","",SUMIFS(INDIRECT("$K$7:K"&amp;ROW()),INDIRECT("$B$7:B"&amp;ROW()),Tableau15356789101112131625236923[[#This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1" spans="1:17" ht="15" x14ac:dyDescent="0.3">
      <c r="A381" s="434"/>
      <c r="B381" s="392"/>
      <c r="C381" s="538">
        <v>45990</v>
      </c>
      <c r="D381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1" s="437" t="s">
        <v>2756</v>
      </c>
      <c r="F381" s="397" t="s">
        <v>3477</v>
      </c>
      <c r="G381" s="397"/>
      <c r="H381" s="524"/>
      <c r="I381" s="403"/>
      <c r="J381" s="403">
        <v>100000</v>
      </c>
      <c r="K381" s="491">
        <f ca="1">+IF('[3]BROUILLARD DE CAISSE '!$C381="","",SUMIFS(INDIRECT("$K$7:K"&amp;ROW()),INDIRECT("$D$7:D"&amp;ROW()),"="&amp;"Report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2113056</v>
      </c>
      <c r="L381" s="403" t="str">
        <f ca="1">+IF($B381="","",SUMIFS(INDIRECT("$K$7:K"&amp;ROW()),INDIRECT("$B$7:B"&amp;ROW()),Tableau15356789101112131625236923[[#This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2" spans="1:17" ht="15" x14ac:dyDescent="0.3">
      <c r="A382" s="434"/>
      <c r="B382" s="392"/>
      <c r="C382" s="538">
        <v>45990</v>
      </c>
      <c r="D382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2" s="437" t="s">
        <v>2756</v>
      </c>
      <c r="F382" s="397" t="s">
        <v>3478</v>
      </c>
      <c r="G382" s="397"/>
      <c r="H382" s="524"/>
      <c r="I382" s="403"/>
      <c r="J382" s="403">
        <v>20000</v>
      </c>
      <c r="K382" s="491">
        <f ca="1">+IF('[3]BROUILLARD DE CAISSE '!$C382="","",SUMIFS(INDIRECT("$K$7:K"&amp;ROW()),INDIRECT("$D$7:D"&amp;ROW()),"="&amp;"Report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2093056</v>
      </c>
      <c r="L382" s="403" t="str">
        <f ca="1">+IF($B382="","",SUMIFS(INDIRECT("$K$7:K"&amp;ROW()),INDIRECT("$B$7:B"&amp;ROW()),Tableau15356789101112131625236923[[#This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3" spans="1:17" ht="15" x14ac:dyDescent="0.3">
      <c r="A383" s="434"/>
      <c r="B383" s="392"/>
      <c r="C383" s="538">
        <v>45990</v>
      </c>
      <c r="D383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3" s="437" t="s">
        <v>3156</v>
      </c>
      <c r="F383" s="397" t="s">
        <v>3155</v>
      </c>
      <c r="G383" s="397"/>
      <c r="H383" s="524"/>
      <c r="I383" s="403"/>
      <c r="J383" s="403">
        <v>3000</v>
      </c>
      <c r="K383" s="491">
        <f ca="1">+IF('[3]BROUILLARD DE CAISSE '!$C383="","",SUMIFS(INDIRECT("$K$7:K"&amp;ROW()),INDIRECT("$D$7:D"&amp;ROW()),"="&amp;"Report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2090056</v>
      </c>
      <c r="L383" s="403" t="str">
        <f ca="1">+IF($B383="","",SUMIFS(INDIRECT("$K$7:K"&amp;ROW()),INDIRECT("$B$7:B"&amp;ROW()),Tableau15356789101112131625236923[[#This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4" spans="1:17" ht="15" x14ac:dyDescent="0.3">
      <c r="A384" s="434"/>
      <c r="B384" s="392"/>
      <c r="C384" s="538">
        <v>45990</v>
      </c>
      <c r="D384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4" s="437" t="s">
        <v>2764</v>
      </c>
      <c r="F384" s="397" t="s">
        <v>3479</v>
      </c>
      <c r="G384" s="397"/>
      <c r="H384" s="524"/>
      <c r="I384" s="403"/>
      <c r="J384" s="403">
        <v>3335</v>
      </c>
      <c r="K384" s="491">
        <f ca="1">+IF('[3]BROUILLARD DE CAISSE '!$C384="","",SUMIFS(INDIRECT("$K$7:K"&amp;ROW()),INDIRECT("$D$7:D"&amp;ROW()),"="&amp;"Report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2086721</v>
      </c>
      <c r="L384" s="403" t="str">
        <f ca="1">+IF($B384="","",SUMIFS(INDIRECT("$K$7:K"&amp;ROW()),INDIRECT("$B$7:B"&amp;ROW()),Tableau15356789101112131625236923[[#This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5" spans="1:12" ht="15" x14ac:dyDescent="0.3">
      <c r="A385" s="434"/>
      <c r="B385" s="392"/>
      <c r="C385" s="538">
        <v>45991</v>
      </c>
      <c r="D385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>Sortie</v>
      </c>
      <c r="E385" s="437" t="s">
        <v>3480</v>
      </c>
      <c r="F385" s="397" t="s">
        <v>3481</v>
      </c>
      <c r="G385" s="397"/>
      <c r="H385" s="524"/>
      <c r="I385" s="403"/>
      <c r="J385" s="403">
        <v>101000</v>
      </c>
      <c r="K385" s="491">
        <f ca="1">+IF('[3]BROUILLARD DE CAISSE '!$C385="","",SUMIFS(INDIRECT("$K$7:K"&amp;ROW()),INDIRECT("$D$7:D"&amp;ROW()),"="&amp;"Report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>1985721</v>
      </c>
      <c r="L385" s="403" t="str">
        <f ca="1">+IF($B385="","",SUMIFS(INDIRECT("$K$7:K"&amp;ROW()),INDIRECT("$B$7:B"&amp;ROW()),Tableau15356789101112131625236923[[#This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6" spans="1:12" ht="15" x14ac:dyDescent="0.3">
      <c r="A386" s="434"/>
      <c r="B386" s="392"/>
      <c r="C386" s="538"/>
      <c r="D386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86" s="437"/>
      <c r="F386" s="397"/>
      <c r="G386" s="397"/>
      <c r="H386" s="524"/>
      <c r="I386" s="403"/>
      <c r="J386" s="403"/>
      <c r="K386" s="403" t="str">
        <f ca="1">+IF('[3]BROUILLARD DE CAISSE '!$C386="","",SUMIFS(INDIRECT("$K$7:K"&amp;ROW()),INDIRECT("$D$7:D"&amp;ROW()),"="&amp;"Report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86" s="403" t="str">
        <f ca="1">+IF($B386="","",SUMIFS(INDIRECT("$K$7:K"&amp;ROW()),INDIRECT("$B$7:B"&amp;ROW()),Tableau15356789101112131625236923[[#This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7" spans="1:12" ht="15" x14ac:dyDescent="0.3">
      <c r="A387" s="434"/>
      <c r="B387" s="392"/>
      <c r="C387" s="538"/>
      <c r="D387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87" s="437"/>
      <c r="F387" s="397"/>
      <c r="G387" s="397"/>
      <c r="H387" s="524"/>
      <c r="I387" s="403"/>
      <c r="J387" s="403"/>
      <c r="K387" s="403" t="str">
        <f ca="1">+IF('[3]BROUILLARD DE CAISSE '!$C387="","",SUMIFS(INDIRECT("$K$7:K"&amp;ROW()),INDIRECT("$D$7:D"&amp;ROW()),"="&amp;"Report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87" s="403" t="str">
        <f ca="1">+IF($B387="","",SUMIFS(INDIRECT("$K$7:K"&amp;ROW()),INDIRECT("$B$7:B"&amp;ROW()),Tableau15356789101112131625236923[[#This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8" spans="1:12" ht="15" x14ac:dyDescent="0.3">
      <c r="A388" s="434"/>
      <c r="B388" s="392"/>
      <c r="C388" s="538"/>
      <c r="D388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88" s="437"/>
      <c r="F388" s="397"/>
      <c r="G388" s="397"/>
      <c r="H388" s="524"/>
      <c r="I388" s="403"/>
      <c r="J388" s="403"/>
      <c r="K388" s="403" t="str">
        <f ca="1">+IF('[3]BROUILLARD DE CAISSE '!$C388="","",SUMIFS(INDIRECT("$K$7:K"&amp;ROW()),INDIRECT("$D$7:D"&amp;ROW()),"="&amp;"Report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88" s="403" t="str">
        <f ca="1">+IF($B388="","",SUMIFS(INDIRECT("$K$7:K"&amp;ROW()),INDIRECT("$B$7:B"&amp;ROW()),Tableau15356789101112131625236923[[#This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89" spans="1:12" ht="15" x14ac:dyDescent="0.3">
      <c r="A389" s="434"/>
      <c r="B389" s="392"/>
      <c r="C389" s="538"/>
      <c r="D389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89" s="437"/>
      <c r="F389" s="397"/>
      <c r="G389" s="397"/>
      <c r="H389" s="524"/>
      <c r="I389" s="403"/>
      <c r="J389" s="403"/>
      <c r="K389" s="403" t="str">
        <f ca="1">+IF('[3]BROUILLARD DE CAISSE '!$C389="","",SUMIFS(INDIRECT("$K$7:K"&amp;ROW()),INDIRECT("$D$7:D"&amp;ROW()),"="&amp;"Report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89" s="403" t="str">
        <f ca="1">+IF($B389="","",SUMIFS(INDIRECT("$K$7:K"&amp;ROW()),INDIRECT("$B$7:B"&amp;ROW()),Tableau15356789101112131625236923[[#This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90" spans="1:12" ht="15" x14ac:dyDescent="0.3">
      <c r="A390" s="434"/>
      <c r="B390" s="392"/>
      <c r="C390" s="538"/>
      <c r="D390" s="436" t="str">
        <f>+IF(AND(Tableau15356789101112131625236923[[#This Row],[RECETTE]]&lt;&gt;"",Tableau15356789101112131625236923[[#This Row],[LIBELLE]]="Report du Solde du mois précedent"),"Report à nouveau",IF(Tableau15356789101112131625236923[[#This Row],[RECETTE]]&lt;&gt;"","Entrée",IF(Tableau15356789101112131625236923[[#This Row],[DÉPENSE]]&lt;&gt;"","Sortie","")))</f>
        <v/>
      </c>
      <c r="E390" s="437"/>
      <c r="F390" s="397"/>
      <c r="G390" s="397"/>
      <c r="H390" s="524"/>
      <c r="I390" s="403"/>
      <c r="J390" s="403"/>
      <c r="K390" s="403" t="str">
        <f ca="1">+IF('[3]BROUILLARD DE CAISSE '!$C390="","",SUMIFS(INDIRECT("$K$7:K"&amp;ROW()),INDIRECT("$D$7:D"&amp;ROW()),"="&amp;"Report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390" s="403" t="str">
        <f ca="1">+IF($B390="","",SUMIFS(INDIRECT("$K$7:K"&amp;ROW()),INDIRECT("$B$7:B"&amp;ROW()),Tableau15356789101112131625236923[[#This Row],[ACTIVITES]],INDIRECT("$D$7:D"&amp;ROW()),"="&amp;"Report à nouveau")+SUMIFS(INDIRECT("$K$7:K"&amp;ROW()),INDIRECT("$B$7:B"&amp;ROW()),Tableau15356789101112131625236923[[#This Row],[ACTIVITES]],INDIRECT("$D$7:D"&amp;ROW()),"="&amp;"Entrée")-SUMIFS(INDIRECT("$L$7:L"&amp;ROW()),INDIRECT("$B$7:B"&amp;ROW()),Tableau15356789101112131625236923[[#This Row],[ACTIVITES]],INDIRECT("$D$7:D"&amp;ROW()),"="&amp;"Sortie"))</f>
        <v/>
      </c>
    </row>
    <row r="394" spans="1:12" ht="40.200000000000003" customHeight="1" x14ac:dyDescent="0.3">
      <c r="E394" s="574" t="s">
        <v>22</v>
      </c>
      <c r="F394" s="574"/>
    </row>
    <row r="395" spans="1:12" ht="26.4" customHeight="1" x14ac:dyDescent="0.3">
      <c r="E395" s="476" t="s">
        <v>3087</v>
      </c>
      <c r="F395" s="477">
        <f>+I7</f>
        <v>327026</v>
      </c>
    </row>
    <row r="396" spans="1:12" ht="25.8" customHeight="1" x14ac:dyDescent="0.3">
      <c r="E396" s="476" t="s">
        <v>3088</v>
      </c>
      <c r="F396" s="477">
        <f>SUM(I8:I391)</f>
        <v>44938010</v>
      </c>
    </row>
    <row r="397" spans="1:12" ht="30" customHeight="1" x14ac:dyDescent="0.3">
      <c r="E397" s="478" t="s">
        <v>3089</v>
      </c>
      <c r="F397" s="479">
        <f>+J39+J43+J129+J261+J263+J283+J286+J287+J305+J350</f>
        <v>6939410</v>
      </c>
    </row>
    <row r="398" spans="1:12" ht="26.4" customHeight="1" x14ac:dyDescent="0.3">
      <c r="E398" s="476" t="s">
        <v>3090</v>
      </c>
      <c r="F398" s="480">
        <v>36339905</v>
      </c>
    </row>
    <row r="399" spans="1:12" ht="43.2" customHeight="1" x14ac:dyDescent="0.3">
      <c r="F399" s="481">
        <f>+F395+F396-F397-F398</f>
        <v>1985721</v>
      </c>
    </row>
  </sheetData>
  <mergeCells count="1">
    <mergeCell ref="E394:F394"/>
  </mergeCells>
  <conditionalFormatting sqref="F163 D171:F171 E172 E173:F175 F176 E177:F187 F188 E189:F211 D201:D204 F213 E219:E220 F220 E224:F224">
    <cfRule type="expression" dxfId="22" priority="7" stopIfTrue="1">
      <formula>$I163&lt;&gt;""</formula>
    </cfRule>
    <cfRule type="expression" dxfId="21" priority="8">
      <formula>#REF!="FF"</formula>
    </cfRule>
  </conditionalFormatting>
  <conditionalFormatting sqref="I7:L7 A7:G153 H7:H390 I8:K8 L8:L154 I9:J154 K9:K385 B154:G154 A154:A161 B155:D158 B159:B161 D159:D161 C159:C168 A162:B168 A169:C171 F172 A172:D200 E176 E188 A201:C204 A205:D211 E212 A212:B315 C212:C390 E230 E241 E244 E252 E259 E267 E295 E303 E316 E328 E336 E342 E354 E380">
    <cfRule type="expression" dxfId="20" priority="1" stopIfTrue="1">
      <formula>$I7&lt;&gt;""</formula>
    </cfRule>
  </conditionalFormatting>
  <conditionalFormatting sqref="I7:L8 A7:H97 I9:J97 L9:L154 K9:K385 A98:J98 A99:D153 E99:J154 B154:D158 A154:A161 B159:B161 D159:D161 C159:C168 A162:B168 A169:C171 F172 A172:D200 E176 E188 A201:C204 A205:D211 E212 A212:B315 C212:C390 E230 E241 E244 E252 E259 E267 E295 E303 E316 E328 E336 E342 E354 E380">
    <cfRule type="expression" dxfId="19" priority="2">
      <formula>#REF!="FF"</formula>
    </cfRule>
  </conditionalFormatting>
  <conditionalFormatting sqref="M32:M33">
    <cfRule type="expression" dxfId="18" priority="4" stopIfTrue="1">
      <formula>$I31&lt;&gt;""</formula>
    </cfRule>
  </conditionalFormatting>
  <conditionalFormatting sqref="M32:M35">
    <cfRule type="expression" dxfId="17" priority="3">
      <formula>#REF!="FF"</formula>
    </cfRule>
  </conditionalFormatting>
  <conditionalFormatting sqref="M34">
    <cfRule type="expression" dxfId="16" priority="6" stopIfTrue="1">
      <formula>$I32&lt;&gt;""</formula>
    </cfRule>
  </conditionalFormatting>
  <conditionalFormatting sqref="M35">
    <cfRule type="expression" dxfId="15" priority="5" stopIfTrue="1">
      <formula>$I32&lt;&gt;""</formula>
    </cfRule>
  </conditionalFormatting>
  <dataValidations count="3">
    <dataValidation type="list" allowBlank="1" showInputMessage="1" showErrorMessage="1" sqref="B7:B390" xr:uid="{9B9C2460-F23B-47A7-BBD2-B7D0B98DA287}">
      <formula1>ACTIVITE</formula1>
    </dataValidation>
    <dataValidation type="list" allowBlank="1" showInputMessage="1" showErrorMessage="1" sqref="H7:H390" xr:uid="{F53E8763-A220-43AA-84D3-6D72E90D806E}">
      <formula1>ID_ENGIN</formula1>
    </dataValidation>
    <dataValidation type="list" allowBlank="1" showInputMessage="1" showErrorMessage="1" sqref="G55" xr:uid="{BCE9231E-8332-4D08-B3BA-9EF772B13B05}">
      <formula1>PROJET_CHANTIER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08A8-8293-4592-83E2-29C5C9BE1FC5}">
  <dimension ref="A1:R608"/>
  <sheetViews>
    <sheetView topLeftCell="C388" zoomScale="60" zoomScaleNormal="60" workbookViewId="0">
      <selection activeCell="O405" sqref="O405"/>
    </sheetView>
  </sheetViews>
  <sheetFormatPr baseColWidth="10" defaultColWidth="10.109375" defaultRowHeight="14.4" x14ac:dyDescent="0.3"/>
  <cols>
    <col min="1" max="1" width="20.21875" style="368" hidden="1" customWidth="1"/>
    <col min="2" max="2" width="30.88671875" style="368" hidden="1" customWidth="1"/>
    <col min="3" max="3" width="19.44140625" style="368" bestFit="1" customWidth="1"/>
    <col min="4" max="4" width="22" style="368" bestFit="1" customWidth="1"/>
    <col min="5" max="5" width="31.21875" bestFit="1" customWidth="1"/>
    <col min="6" max="6" width="94.6640625" style="368" customWidth="1"/>
    <col min="7" max="7" width="24.77734375" style="368" customWidth="1"/>
    <col min="8" max="8" width="27.44140625" style="368" customWidth="1"/>
    <col min="9" max="9" width="19" bestFit="1" customWidth="1"/>
    <col min="10" max="10" width="19.44140625" bestFit="1" customWidth="1"/>
    <col min="11" max="11" width="18.21875" style="368" customWidth="1"/>
    <col min="12" max="12" width="25.33203125" hidden="1" customWidth="1"/>
    <col min="13" max="13" width="20.5546875" style="368" hidden="1" customWidth="1"/>
    <col min="14" max="14" width="19.6640625" style="368" bestFit="1" customWidth="1"/>
    <col min="15" max="15" width="27.77734375" style="368" bestFit="1" customWidth="1"/>
    <col min="16" max="16" width="11.109375" bestFit="1" customWidth="1"/>
    <col min="18" max="18" width="24.109375" customWidth="1"/>
    <col min="19" max="19" width="21.88671875" style="368" bestFit="1" customWidth="1"/>
    <col min="20" max="20" width="30.33203125" style="368" customWidth="1"/>
    <col min="21" max="21" width="53.21875" style="368" customWidth="1"/>
    <col min="22" max="16384" width="10.109375" style="368"/>
  </cols>
  <sheetData>
    <row r="1" spans="1:18" ht="17.399999999999999" x14ac:dyDescent="0.3">
      <c r="A1" s="365" t="s">
        <v>2659</v>
      </c>
      <c r="B1" s="366" t="s">
        <v>2660</v>
      </c>
      <c r="C1" s="367"/>
      <c r="E1" s="368"/>
      <c r="I1" s="368"/>
      <c r="J1" s="368"/>
      <c r="L1" s="368"/>
      <c r="M1" s="369" t="s">
        <v>2661</v>
      </c>
      <c r="P1" s="368"/>
      <c r="Q1" s="368"/>
      <c r="R1" s="368"/>
    </row>
    <row r="2" spans="1:18" s="374" customFormat="1" ht="57" customHeight="1" x14ac:dyDescent="0.3">
      <c r="A2" s="371" t="s">
        <v>2662</v>
      </c>
      <c r="B2" s="372" t="s">
        <v>2663</v>
      </c>
      <c r="C2" s="373">
        <v>45992</v>
      </c>
      <c r="F2" s="375"/>
      <c r="I2" s="376" t="s">
        <v>2664</v>
      </c>
      <c r="J2" s="377" t="s">
        <v>2665</v>
      </c>
      <c r="K2" s="376" t="s">
        <v>2666</v>
      </c>
    </row>
    <row r="3" spans="1:18" s="382" customFormat="1" ht="23.4" x14ac:dyDescent="0.3">
      <c r="A3" s="379" t="s">
        <v>2667</v>
      </c>
      <c r="B3" s="380" t="s">
        <v>2668</v>
      </c>
      <c r="C3" s="381">
        <f>+EDATE(C2,1)-1</f>
        <v>46022</v>
      </c>
      <c r="H3" s="383"/>
      <c r="I3" s="483">
        <f>+SUBTOTAL(9,Tableau15356789101112131625236924[RECETTE])</f>
        <v>41946421</v>
      </c>
      <c r="J3" s="483">
        <f>+SUBTOTAL(9,Tableau15356789101112131625236924[DÉPENSE])</f>
        <v>40585172</v>
      </c>
      <c r="K3" s="483">
        <f>+I3-J3</f>
        <v>1361249</v>
      </c>
      <c r="L3" s="484">
        <v>925160</v>
      </c>
    </row>
    <row r="4" spans="1:18" s="385" customFormat="1" ht="16.8" x14ac:dyDescent="0.3"/>
    <row r="5" spans="1:18" ht="3" customHeight="1" x14ac:dyDescent="0.3">
      <c r="E5" s="368"/>
      <c r="I5" s="368"/>
      <c r="J5" s="368"/>
      <c r="L5" s="368"/>
      <c r="P5" s="368"/>
      <c r="Q5" s="368"/>
      <c r="R5" s="368"/>
    </row>
    <row r="6" spans="1:18" s="388" customFormat="1" ht="45.6" customHeight="1" x14ac:dyDescent="0.3">
      <c r="A6" s="386" t="s">
        <v>2659</v>
      </c>
      <c r="B6" s="387" t="s">
        <v>2669</v>
      </c>
      <c r="C6" s="388" t="s">
        <v>2670</v>
      </c>
      <c r="D6" s="389" t="s">
        <v>2671</v>
      </c>
      <c r="E6" s="388" t="s">
        <v>2672</v>
      </c>
      <c r="F6" s="388" t="s">
        <v>1</v>
      </c>
      <c r="G6" s="387" t="s">
        <v>2673</v>
      </c>
      <c r="H6" s="390" t="s">
        <v>2674</v>
      </c>
      <c r="I6" s="388" t="s">
        <v>2675</v>
      </c>
      <c r="J6" s="388" t="s">
        <v>2676</v>
      </c>
      <c r="K6" s="389" t="s">
        <v>2666</v>
      </c>
      <c r="L6" s="389" t="s">
        <v>2677</v>
      </c>
      <c r="M6" s="388" t="s">
        <v>3482</v>
      </c>
    </row>
    <row r="7" spans="1:18" s="493" customFormat="1" ht="15" x14ac:dyDescent="0.3">
      <c r="A7" s="485" t="s">
        <v>2660</v>
      </c>
      <c r="B7" s="486" t="s">
        <v>2678</v>
      </c>
      <c r="C7" s="393">
        <v>45992</v>
      </c>
      <c r="D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Report à nouveau</v>
      </c>
      <c r="E7" s="395" t="s">
        <v>2679</v>
      </c>
      <c r="F7" s="396" t="s">
        <v>2680</v>
      </c>
      <c r="G7" s="454"/>
      <c r="H7" s="396"/>
      <c r="I7" s="398">
        <v>1985721</v>
      </c>
      <c r="J7" s="491"/>
      <c r="K7" s="491">
        <f>+Tableau15356789101112131625236924[[#This Row],[RECETTE]]</f>
        <v>1985721</v>
      </c>
      <c r="L7" s="492">
        <f ca="1">+IF($B7="","",SUMIFS(INDIRECT("$K$7:K"&amp;ROW()),INDIRECT("$B$7:B"&amp;ROW()),Tableau15356789101112131625236924[[#This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1985721</v>
      </c>
      <c r="M7" s="545"/>
    </row>
    <row r="8" spans="1:18" s="494" customFormat="1" ht="15" x14ac:dyDescent="0.3">
      <c r="A8" s="485" t="s">
        <v>2660</v>
      </c>
      <c r="B8" s="486" t="s">
        <v>2678</v>
      </c>
      <c r="C8" s="393">
        <v>45992</v>
      </c>
      <c r="D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" s="395" t="s">
        <v>3483</v>
      </c>
      <c r="F8" s="395"/>
      <c r="G8" s="454"/>
      <c r="H8" s="524"/>
      <c r="I8" s="499"/>
      <c r="J8" s="499">
        <v>1044110</v>
      </c>
      <c r="K8" s="491">
        <f>+K7+Tableau15356789101112131625236924[[#This Row],[RECETTE]]-Tableau15356789101112131625236924[[#This Row],[DÉPENSE]]</f>
        <v>941611</v>
      </c>
      <c r="L8" s="492">
        <f ca="1">+IF($B8="","",SUMIFS(INDIRECT("$K$7:K"&amp;ROW()),INDIRECT("$B$7:B"&amp;ROW()),Tableau15356789101112131625236924[[#This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1044110</v>
      </c>
      <c r="M8" s="546"/>
    </row>
    <row r="9" spans="1:18" s="494" customFormat="1" ht="15" x14ac:dyDescent="0.3">
      <c r="A9" s="485" t="s">
        <v>2660</v>
      </c>
      <c r="B9" s="486" t="s">
        <v>2678</v>
      </c>
      <c r="C9" s="393">
        <v>45992</v>
      </c>
      <c r="D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" s="395" t="s">
        <v>3439</v>
      </c>
      <c r="F9" s="395" t="s">
        <v>3484</v>
      </c>
      <c r="G9" s="454"/>
      <c r="H9" s="524"/>
      <c r="I9" s="499"/>
      <c r="J9" s="499">
        <v>9090</v>
      </c>
      <c r="K9" s="491">
        <f>+K8+Tableau15356789101112131625236924[[#This Row],[RECETTE]]-Tableau15356789101112131625236924[[#This Row],[DÉPENSE]]</f>
        <v>932521</v>
      </c>
      <c r="L9" s="492">
        <f ca="1">+IF($B9="","",SUMIFS(INDIRECT("$K$7:K"&amp;ROW()),INDIRECT("$B$7:B"&amp;ROW()),Tableau15356789101112131625236924[[#This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2097310</v>
      </c>
      <c r="M9" s="546"/>
    </row>
    <row r="10" spans="1:18" s="494" customFormat="1" ht="15" x14ac:dyDescent="0.3">
      <c r="A10" s="485" t="s">
        <v>2660</v>
      </c>
      <c r="B10" s="486" t="s">
        <v>2678</v>
      </c>
      <c r="C10" s="393">
        <v>45992</v>
      </c>
      <c r="D1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" s="395" t="s">
        <v>2818</v>
      </c>
      <c r="F10" s="395" t="s">
        <v>3485</v>
      </c>
      <c r="G10" s="454"/>
      <c r="H10" s="524"/>
      <c r="I10" s="499"/>
      <c r="J10" s="499">
        <v>303000</v>
      </c>
      <c r="K10" s="491">
        <f>+K9+Tableau15356789101112131625236924[[#This Row],[RECETTE]]-Tableau15356789101112131625236924[[#This Row],[DÉPENSE]]</f>
        <v>629521</v>
      </c>
      <c r="L10" s="492">
        <f ca="1">+IF($B10="","",SUMIFS(INDIRECT("$K$7:K"&amp;ROW()),INDIRECT("$B$7:B"&amp;ROW()),Tableau15356789101112131625236924[[#This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3453510</v>
      </c>
      <c r="M10" s="546"/>
    </row>
    <row r="11" spans="1:18" s="423" customFormat="1" ht="15" x14ac:dyDescent="0.3">
      <c r="A11" s="485" t="s">
        <v>2660</v>
      </c>
      <c r="B11" s="486" t="s">
        <v>2678</v>
      </c>
      <c r="C11" s="393">
        <v>45992</v>
      </c>
      <c r="D1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" s="395" t="s">
        <v>2727</v>
      </c>
      <c r="F11" s="395" t="s">
        <v>2879</v>
      </c>
      <c r="G11" s="454"/>
      <c r="H11" s="524" t="s">
        <v>2729</v>
      </c>
      <c r="I11" s="499"/>
      <c r="J11" s="499">
        <v>20000</v>
      </c>
      <c r="K11" s="491">
        <f>+K10+Tableau15356789101112131625236924[[#This Row],[RECETTE]]-Tableau15356789101112131625236924[[#This Row],[DÉPENSE]]</f>
        <v>609521</v>
      </c>
      <c r="L11" s="492">
        <f ca="1">+IF($B11="","",SUMIFS(INDIRECT("$K$7:K"&amp;ROW()),INDIRECT("$B$7:B"&amp;ROW()),Tableau15356789101112131625236924[[#This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4829710</v>
      </c>
      <c r="M11" s="546"/>
    </row>
    <row r="12" spans="1:18" s="464" customFormat="1" ht="15" x14ac:dyDescent="0.3">
      <c r="A12" s="505" t="s">
        <v>2660</v>
      </c>
      <c r="B12" s="506" t="s">
        <v>2678</v>
      </c>
      <c r="C12" s="406">
        <v>45992</v>
      </c>
      <c r="D1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" s="408" t="s">
        <v>3486</v>
      </c>
      <c r="F12" s="408" t="s">
        <v>2748</v>
      </c>
      <c r="G12" s="418"/>
      <c r="H12" s="522"/>
      <c r="I12" s="513"/>
      <c r="J12" s="513">
        <v>20000</v>
      </c>
      <c r="K12" s="491">
        <f>+K11+Tableau15356789101112131625236924[[#This Row],[RECETTE]]-Tableau15356789101112131625236924[[#This Row],[DÉPENSE]]</f>
        <v>589521</v>
      </c>
      <c r="L12" s="510">
        <f ca="1">+IF($B12="","",SUMIFS(INDIRECT("$K$7:K"&amp;ROW()),INDIRECT("$B$7:B"&amp;ROW()),Tableau15356789101112131625236924[[#This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6225910</v>
      </c>
      <c r="M12" s="547"/>
    </row>
    <row r="13" spans="1:18" s="423" customFormat="1" ht="15" x14ac:dyDescent="0.3">
      <c r="A13" s="485" t="s">
        <v>2660</v>
      </c>
      <c r="B13" s="486" t="s">
        <v>2678</v>
      </c>
      <c r="C13" s="393">
        <v>45992</v>
      </c>
      <c r="D1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" s="395" t="s">
        <v>3073</v>
      </c>
      <c r="F13" s="395" t="s">
        <v>2879</v>
      </c>
      <c r="G13" s="454"/>
      <c r="H13" s="524" t="s">
        <v>3487</v>
      </c>
      <c r="I13" s="499"/>
      <c r="J13" s="499">
        <v>10000</v>
      </c>
      <c r="K13" s="491">
        <f>+K12+Tableau15356789101112131625236924[[#This Row],[RECETTE]]-Tableau15356789101112131625236924[[#This Row],[DÉPENSE]]</f>
        <v>579521</v>
      </c>
      <c r="L13" s="492">
        <f ca="1">+IF($B13="","",SUMIFS(INDIRECT("$K$7:K"&amp;ROW()),INDIRECT("$B$7:B"&amp;ROW()),Tableau15356789101112131625236924[[#This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7632110</v>
      </c>
      <c r="M13" s="546"/>
    </row>
    <row r="14" spans="1:18" s="423" customFormat="1" ht="15" x14ac:dyDescent="0.3">
      <c r="A14" s="485" t="s">
        <v>2660</v>
      </c>
      <c r="B14" s="486" t="s">
        <v>2678</v>
      </c>
      <c r="C14" s="393">
        <v>45992</v>
      </c>
      <c r="D1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" s="395" t="s">
        <v>3073</v>
      </c>
      <c r="F14" s="395" t="s">
        <v>3488</v>
      </c>
      <c r="G14" s="454"/>
      <c r="H14" s="524"/>
      <c r="I14" s="499"/>
      <c r="J14" s="499">
        <v>104000</v>
      </c>
      <c r="K14" s="491">
        <f>+K13+Tableau15356789101112131625236924[[#This Row],[RECETTE]]-Tableau15356789101112131625236924[[#This Row],[DÉPENSE]]</f>
        <v>475521</v>
      </c>
      <c r="L14" s="492">
        <f ca="1">+IF($B14="","",SUMIFS(INDIRECT("$K$7:K"&amp;ROW()),INDIRECT("$B$7:B"&amp;ROW()),Tableau15356789101112131625236924[[#This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9142310</v>
      </c>
      <c r="M14" s="546"/>
    </row>
    <row r="15" spans="1:18" s="423" customFormat="1" ht="15" x14ac:dyDescent="0.3">
      <c r="A15" s="485" t="s">
        <v>2660</v>
      </c>
      <c r="B15" s="486" t="s">
        <v>2678</v>
      </c>
      <c r="C15" s="393">
        <v>45992</v>
      </c>
      <c r="D1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" s="395" t="s">
        <v>2756</v>
      </c>
      <c r="F15" s="395" t="s">
        <v>3489</v>
      </c>
      <c r="G15" s="454"/>
      <c r="H15" s="524" t="s">
        <v>3162</v>
      </c>
      <c r="I15" s="499"/>
      <c r="J15" s="499">
        <v>59000</v>
      </c>
      <c r="K15" s="491">
        <f>+K14+Tableau15356789101112131625236924[[#This Row],[RECETTE]]-Tableau15356789101112131625236924[[#This Row],[DÉPENSE]]</f>
        <v>416521</v>
      </c>
      <c r="L15" s="492">
        <f ca="1">+IF($B15="","",SUMIFS(INDIRECT("$K$7:K"&amp;ROW()),INDIRECT("$B$7:B"&amp;ROW()),Tableau15356789101112131625236924[[#This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10711510</v>
      </c>
      <c r="M15" s="546"/>
    </row>
    <row r="16" spans="1:18" ht="15" x14ac:dyDescent="0.3">
      <c r="A16" s="391" t="s">
        <v>2660</v>
      </c>
      <c r="B16" s="392" t="s">
        <v>2678</v>
      </c>
      <c r="C16" s="393">
        <v>45992</v>
      </c>
      <c r="D1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" s="395" t="s">
        <v>2756</v>
      </c>
      <c r="F16" s="395" t="s">
        <v>2879</v>
      </c>
      <c r="G16" s="454"/>
      <c r="H16" s="524" t="s">
        <v>3490</v>
      </c>
      <c r="I16" s="499"/>
      <c r="J16" s="499">
        <v>20000</v>
      </c>
      <c r="K16" s="491">
        <f>+K15+Tableau15356789101112131625236924[[#This Row],[RECETTE]]-Tableau15356789101112131625236924[[#This Row],[DÉPENSE]]</f>
        <v>396521</v>
      </c>
      <c r="L16" s="399">
        <f ca="1">+IF($B16="","",SUMIFS(INDIRECT("$K$7:K"&amp;ROW()),INDIRECT("$B$7:B"&amp;ROW()),Tableau15356789101112131625236924[[#This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12300710</v>
      </c>
      <c r="M16" s="546"/>
      <c r="P16" s="368"/>
      <c r="Q16" s="368"/>
      <c r="R16" s="368"/>
    </row>
    <row r="17" spans="1:18" ht="15" x14ac:dyDescent="0.3">
      <c r="A17" s="391" t="s">
        <v>2660</v>
      </c>
      <c r="B17" s="392" t="s">
        <v>2678</v>
      </c>
      <c r="C17" s="393">
        <v>45992</v>
      </c>
      <c r="D1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" s="395" t="s">
        <v>2813</v>
      </c>
      <c r="F17" s="395" t="s">
        <v>3491</v>
      </c>
      <c r="G17" s="454"/>
      <c r="H17" s="524" t="s">
        <v>2937</v>
      </c>
      <c r="I17" s="499"/>
      <c r="J17" s="499">
        <v>36360</v>
      </c>
      <c r="K17" s="491">
        <f>+K16+Tableau15356789101112131625236924[[#This Row],[RECETTE]]-Tableau15356789101112131625236924[[#This Row],[DÉPENSE]]</f>
        <v>360161</v>
      </c>
      <c r="L17" s="399">
        <f ca="1">+IF($B17="","",SUMIFS(INDIRECT("$K$7:K"&amp;ROW()),INDIRECT("$B$7:B"&amp;ROW()),Tableau15356789101112131625236924[[#This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13926270</v>
      </c>
      <c r="M17" s="546"/>
      <c r="P17" s="368"/>
      <c r="Q17" s="368"/>
      <c r="R17" s="368"/>
    </row>
    <row r="18" spans="1:18" ht="15" x14ac:dyDescent="0.3">
      <c r="A18" s="391" t="s">
        <v>2660</v>
      </c>
      <c r="B18" s="392" t="s">
        <v>2678</v>
      </c>
      <c r="C18" s="393">
        <v>45992</v>
      </c>
      <c r="D1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" s="395" t="s">
        <v>2844</v>
      </c>
      <c r="F18" s="395" t="s">
        <v>2879</v>
      </c>
      <c r="G18" s="454"/>
      <c r="H18" s="524" t="s">
        <v>3490</v>
      </c>
      <c r="I18" s="499"/>
      <c r="J18" s="499">
        <v>10000</v>
      </c>
      <c r="K18" s="491">
        <f>+K17+Tableau15356789101112131625236924[[#This Row],[RECETTE]]-Tableau15356789101112131625236924[[#This Row],[DÉPENSE]]</f>
        <v>350161</v>
      </c>
      <c r="L18" s="399">
        <f ca="1">+IF($B18="","",SUMIFS(INDIRECT("$K$7:K"&amp;ROW()),INDIRECT("$B$7:B"&amp;ROW()),Tableau15356789101112131625236924[[#This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15561830</v>
      </c>
      <c r="M18" s="546"/>
      <c r="P18" s="368"/>
      <c r="Q18" s="368"/>
      <c r="R18" s="368"/>
    </row>
    <row r="19" spans="1:18" ht="15" x14ac:dyDescent="0.3">
      <c r="A19" s="391" t="s">
        <v>2660</v>
      </c>
      <c r="B19" s="392" t="s">
        <v>2678</v>
      </c>
      <c r="C19" s="393">
        <v>45992</v>
      </c>
      <c r="D1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" s="395" t="s">
        <v>2844</v>
      </c>
      <c r="F19" s="395" t="s">
        <v>3492</v>
      </c>
      <c r="G19" s="454"/>
      <c r="H19" s="524" t="s">
        <v>2698</v>
      </c>
      <c r="I19" s="499"/>
      <c r="J19" s="499">
        <v>30000</v>
      </c>
      <c r="K19" s="491">
        <f>+K18+Tableau15356789101112131625236924[[#This Row],[RECETTE]]-Tableau15356789101112131625236924[[#This Row],[DÉPENSE]]</f>
        <v>320161</v>
      </c>
      <c r="L19" s="399">
        <f ca="1">+IF($B19="","",SUMIFS(INDIRECT("$K$7:K"&amp;ROW()),INDIRECT("$B$7:B"&amp;ROW()),Tableau15356789101112131625236924[[#This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17227390</v>
      </c>
      <c r="M19" s="546"/>
      <c r="P19" s="368"/>
      <c r="Q19" s="368"/>
      <c r="R19" s="368"/>
    </row>
    <row r="20" spans="1:18" ht="15" x14ac:dyDescent="0.3">
      <c r="A20" s="391" t="s">
        <v>2660</v>
      </c>
      <c r="B20" s="392" t="s">
        <v>2678</v>
      </c>
      <c r="C20" s="393">
        <v>45992</v>
      </c>
      <c r="D2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" s="395" t="s">
        <v>2686</v>
      </c>
      <c r="F20" s="395" t="s">
        <v>2706</v>
      </c>
      <c r="G20" s="454"/>
      <c r="H20" s="524" t="s">
        <v>2707</v>
      </c>
      <c r="I20" s="499"/>
      <c r="J20" s="499">
        <v>5050</v>
      </c>
      <c r="K20" s="491">
        <f>+K19+Tableau15356789101112131625236924[[#This Row],[RECETTE]]-Tableau15356789101112131625236924[[#This Row],[DÉPENSE]]</f>
        <v>315111</v>
      </c>
      <c r="L20" s="399">
        <f ca="1">+IF($B20="","",SUMIFS(INDIRECT("$K$7:K"&amp;ROW()),INDIRECT("$B$7:B"&amp;ROW()),Tableau15356789101112131625236924[[#This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18898000</v>
      </c>
      <c r="M20" s="546"/>
      <c r="P20" s="368"/>
      <c r="Q20" s="368"/>
      <c r="R20" s="368"/>
    </row>
    <row r="21" spans="1:18" ht="15" x14ac:dyDescent="0.3">
      <c r="A21" s="391" t="s">
        <v>2660</v>
      </c>
      <c r="B21" s="392" t="s">
        <v>2678</v>
      </c>
      <c r="C21" s="393">
        <v>45992</v>
      </c>
      <c r="D2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" s="395" t="s">
        <v>2990</v>
      </c>
      <c r="F21" s="395" t="s">
        <v>3493</v>
      </c>
      <c r="G21" s="454"/>
      <c r="H21" s="524" t="s">
        <v>3494</v>
      </c>
      <c r="I21" s="499"/>
      <c r="J21" s="499">
        <v>136500</v>
      </c>
      <c r="K21" s="491">
        <f>+K20+Tableau15356789101112131625236924[[#This Row],[RECETTE]]-Tableau15356789101112131625236924[[#This Row],[DÉPENSE]]</f>
        <v>178611</v>
      </c>
      <c r="L21" s="399">
        <f ca="1">+IF($B21="","",SUMIFS(INDIRECT("$K$7:K"&amp;ROW()),INDIRECT("$B$7:B"&amp;ROW()),Tableau15356789101112131625236924[[#This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20705110</v>
      </c>
      <c r="M21" s="546"/>
      <c r="P21" s="368"/>
      <c r="Q21" s="368"/>
      <c r="R21" s="368"/>
    </row>
    <row r="22" spans="1:18" ht="15" x14ac:dyDescent="0.3">
      <c r="A22" s="391" t="s">
        <v>2660</v>
      </c>
      <c r="B22" s="392" t="s">
        <v>2678</v>
      </c>
      <c r="C22" s="393">
        <v>45992</v>
      </c>
      <c r="D2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" s="395" t="s">
        <v>3495</v>
      </c>
      <c r="F22" s="395" t="s">
        <v>2706</v>
      </c>
      <c r="G22" s="454"/>
      <c r="H22" s="524" t="s">
        <v>2707</v>
      </c>
      <c r="I22" s="499"/>
      <c r="J22" s="499">
        <v>5050</v>
      </c>
      <c r="K22" s="491">
        <f>+K21+Tableau15356789101112131625236924[[#This Row],[RECETTE]]-Tableau15356789101112131625236924[[#This Row],[DÉPENSE]]</f>
        <v>173561</v>
      </c>
      <c r="L22" s="399">
        <f ca="1">+IF($B22="","",SUMIFS(INDIRECT("$K$7:K"&amp;ROW()),INDIRECT("$B$7:B"&amp;ROW()),Tableau15356789101112131625236924[[#This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22517270</v>
      </c>
      <c r="M22" s="546"/>
      <c r="P22" s="368"/>
      <c r="Q22" s="368"/>
      <c r="R22" s="368"/>
    </row>
    <row r="23" spans="1:18" ht="15" x14ac:dyDescent="0.3">
      <c r="A23" s="391" t="s">
        <v>2660</v>
      </c>
      <c r="B23" s="392" t="s">
        <v>2678</v>
      </c>
      <c r="C23" s="393">
        <v>45992</v>
      </c>
      <c r="D2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" s="395" t="s">
        <v>2813</v>
      </c>
      <c r="F23" s="395" t="s">
        <v>3496</v>
      </c>
      <c r="G23" s="454"/>
      <c r="H23" s="524"/>
      <c r="I23" s="499"/>
      <c r="J23" s="499">
        <v>3030</v>
      </c>
      <c r="K23" s="491">
        <f>+K22+Tableau15356789101112131625236924[[#This Row],[RECETTE]]-Tableau15356789101112131625236924[[#This Row],[DÉPENSE]]</f>
        <v>170531</v>
      </c>
      <c r="L23" s="399">
        <f ca="1">+IF($B23="","",SUMIFS(INDIRECT("$K$7:K"&amp;ROW()),INDIRECT("$B$7:B"&amp;ROW()),Tableau15356789101112131625236924[[#This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24332460</v>
      </c>
      <c r="M23" s="546"/>
      <c r="P23" s="368"/>
      <c r="Q23" s="368"/>
      <c r="R23" s="368"/>
    </row>
    <row r="24" spans="1:18" ht="15" x14ac:dyDescent="0.3">
      <c r="A24" s="391" t="s">
        <v>2660</v>
      </c>
      <c r="B24" s="392" t="s">
        <v>2678</v>
      </c>
      <c r="C24" s="393">
        <v>45993</v>
      </c>
      <c r="D2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" s="395" t="s">
        <v>3495</v>
      </c>
      <c r="F24" s="395" t="s">
        <v>2706</v>
      </c>
      <c r="G24" s="454"/>
      <c r="H24" s="524" t="s">
        <v>2707</v>
      </c>
      <c r="I24" s="499"/>
      <c r="J24" s="499">
        <v>10100</v>
      </c>
      <c r="K24" s="491">
        <f>+K23+Tableau15356789101112131625236924[[#This Row],[RECETTE]]-Tableau15356789101112131625236924[[#This Row],[DÉPENSE]]</f>
        <v>160431</v>
      </c>
      <c r="L24" s="399">
        <f ca="1">+IF($B24="","",SUMIFS(INDIRECT("$K$7:K"&amp;ROW()),INDIRECT("$B$7:B"&amp;ROW()),Tableau15356789101112131625236924[[#This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26157750</v>
      </c>
      <c r="M24" s="546"/>
      <c r="P24" s="368"/>
      <c r="Q24" s="368"/>
      <c r="R24" s="368"/>
    </row>
    <row r="25" spans="1:18" ht="15" x14ac:dyDescent="0.3">
      <c r="A25" s="391" t="s">
        <v>2660</v>
      </c>
      <c r="B25" s="392" t="s">
        <v>2678</v>
      </c>
      <c r="C25" s="393">
        <v>45993</v>
      </c>
      <c r="D2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" s="395" t="s">
        <v>2820</v>
      </c>
      <c r="F25" s="395" t="s">
        <v>2706</v>
      </c>
      <c r="G25" s="454"/>
      <c r="H25" s="524" t="s">
        <v>2687</v>
      </c>
      <c r="I25" s="499"/>
      <c r="J25" s="499">
        <v>10100</v>
      </c>
      <c r="K25" s="491">
        <f>+K24+Tableau15356789101112131625236924[[#This Row],[RECETTE]]-Tableau15356789101112131625236924[[#This Row],[DÉPENSE]]</f>
        <v>150331</v>
      </c>
      <c r="L25" s="399">
        <f ca="1">+IF($B25="","",SUMIFS(INDIRECT("$K$7:K"&amp;ROW()),INDIRECT("$B$7:B"&amp;ROW()),Tableau15356789101112131625236924[[#This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27993140</v>
      </c>
      <c r="M25" s="546"/>
      <c r="P25" s="368"/>
      <c r="Q25" s="368"/>
      <c r="R25" s="368"/>
    </row>
    <row r="26" spans="1:18" ht="15" x14ac:dyDescent="0.3">
      <c r="A26" s="391" t="s">
        <v>2660</v>
      </c>
      <c r="B26" s="392" t="s">
        <v>2678</v>
      </c>
      <c r="C26" s="393">
        <v>45993</v>
      </c>
      <c r="D2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" s="395" t="s">
        <v>3176</v>
      </c>
      <c r="F26" s="395" t="s">
        <v>3497</v>
      </c>
      <c r="G26" s="454"/>
      <c r="H26" s="524" t="s">
        <v>3062</v>
      </c>
      <c r="I26" s="499"/>
      <c r="J26" s="499">
        <v>40905</v>
      </c>
      <c r="K26" s="491">
        <f>+K25+Tableau15356789101112131625236924[[#This Row],[RECETTE]]-Tableau15356789101112131625236924[[#This Row],[DÉPENSE]]</f>
        <v>109426</v>
      </c>
      <c r="L26" s="399">
        <f ca="1">+IF($B26="","",SUMIFS(INDIRECT("$K$7:K"&amp;ROW()),INDIRECT("$B$7:B"&amp;ROW()),Tableau15356789101112131625236924[[#This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29869435</v>
      </c>
      <c r="M26" s="546"/>
      <c r="P26" s="368"/>
      <c r="Q26" s="368"/>
      <c r="R26" s="368"/>
    </row>
    <row r="27" spans="1:18" ht="15" x14ac:dyDescent="0.3">
      <c r="A27" s="391" t="s">
        <v>2660</v>
      </c>
      <c r="B27" s="392" t="s">
        <v>2678</v>
      </c>
      <c r="C27" s="393">
        <v>45993</v>
      </c>
      <c r="D2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7" s="395" t="s">
        <v>2679</v>
      </c>
      <c r="F27" s="395" t="s">
        <v>3498</v>
      </c>
      <c r="G27" s="454"/>
      <c r="H27" s="524"/>
      <c r="I27" s="499">
        <v>2000000</v>
      </c>
      <c r="J27" s="499"/>
      <c r="K27" s="491">
        <f>+K26+Tableau15356789101112131625236924[[#This Row],[RECETTE]]-Tableau15356789101112131625236924[[#This Row],[DÉPENSE]]</f>
        <v>2109426</v>
      </c>
      <c r="L27" s="399">
        <f ca="1">+IF($B27="","",SUMIFS(INDIRECT("$K$7:K"&amp;ROW()),INDIRECT("$B$7:B"&amp;ROW()),Tableau15356789101112131625236924[[#This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29869435</v>
      </c>
      <c r="M27" s="546"/>
      <c r="P27" s="368"/>
      <c r="Q27" s="368"/>
      <c r="R27" s="368"/>
    </row>
    <row r="28" spans="1:18" ht="15" x14ac:dyDescent="0.3">
      <c r="A28" s="391" t="s">
        <v>2660</v>
      </c>
      <c r="B28" s="392" t="s">
        <v>2678</v>
      </c>
      <c r="C28" s="393">
        <v>45993</v>
      </c>
      <c r="D2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" s="395" t="s">
        <v>3176</v>
      </c>
      <c r="F28" s="395" t="s">
        <v>3499</v>
      </c>
      <c r="G28" s="454"/>
      <c r="H28" s="524" t="s">
        <v>3062</v>
      </c>
      <c r="I28" s="499"/>
      <c r="J28" s="499">
        <v>151500</v>
      </c>
      <c r="K28" s="491">
        <f>+K27+Tableau15356789101112131625236924[[#This Row],[RECETTE]]-Tableau15356789101112131625236924[[#This Row],[DÉPENSE]]</f>
        <v>1957926</v>
      </c>
      <c r="L28" s="399">
        <f ca="1">+IF($B28="","",SUMIFS(INDIRECT("$K$7:K"&amp;ROW()),INDIRECT("$B$7:B"&amp;ROW()),Tableau15356789101112131625236924[[#This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29897230</v>
      </c>
      <c r="M28" s="546"/>
      <c r="P28" s="368"/>
      <c r="Q28" s="368"/>
      <c r="R28" s="368"/>
    </row>
    <row r="29" spans="1:18" ht="15" x14ac:dyDescent="0.3">
      <c r="A29" s="391" t="s">
        <v>2660</v>
      </c>
      <c r="B29" s="392" t="s">
        <v>2678</v>
      </c>
      <c r="C29" s="393">
        <v>45993</v>
      </c>
      <c r="D2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" s="395" t="s">
        <v>3176</v>
      </c>
      <c r="F29" s="395" t="s">
        <v>3500</v>
      </c>
      <c r="G29" s="454"/>
      <c r="H29" s="524" t="s">
        <v>3062</v>
      </c>
      <c r="I29" s="499"/>
      <c r="J29" s="499">
        <v>5050</v>
      </c>
      <c r="K29" s="491">
        <f>+K28+Tableau15356789101112131625236924[[#This Row],[RECETTE]]-Tableau15356789101112131625236924[[#This Row],[DÉPENSE]]</f>
        <v>1952876</v>
      </c>
      <c r="L29" s="399">
        <f ca="1">+IF($B29="","",SUMIFS(INDIRECT("$K$7:K"&amp;ROW()),INDIRECT("$B$7:B"&amp;ROW()),Tableau15356789101112131625236924[[#This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29930075</v>
      </c>
      <c r="M29" s="546"/>
      <c r="P29" s="368"/>
      <c r="Q29" s="368"/>
      <c r="R29" s="368"/>
    </row>
    <row r="30" spans="1:18" ht="15" x14ac:dyDescent="0.3">
      <c r="A30" s="391" t="s">
        <v>2660</v>
      </c>
      <c r="B30" s="392" t="s">
        <v>2678</v>
      </c>
      <c r="C30" s="393">
        <v>45993</v>
      </c>
      <c r="D3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" s="395" t="s">
        <v>3501</v>
      </c>
      <c r="F30" s="395" t="s">
        <v>3059</v>
      </c>
      <c r="G30" s="454"/>
      <c r="H30" s="524" t="s">
        <v>2811</v>
      </c>
      <c r="I30" s="499"/>
      <c r="J30" s="499">
        <v>20200</v>
      </c>
      <c r="K30" s="491">
        <f>+K29+Tableau15356789101112131625236924[[#This Row],[RECETTE]]-Tableau15356789101112131625236924[[#This Row],[DÉPENSE]]</f>
        <v>1932676</v>
      </c>
      <c r="L30" s="399">
        <f ca="1">+IF($B30="","",SUMIFS(INDIRECT("$K$7:K"&amp;ROW()),INDIRECT("$B$7:B"&amp;ROW()),Tableau15356789101112131625236924[[#This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29983120</v>
      </c>
      <c r="M30" s="546"/>
      <c r="P30" s="368"/>
      <c r="Q30" s="368"/>
      <c r="R30" s="368"/>
    </row>
    <row r="31" spans="1:18" ht="15" x14ac:dyDescent="0.3">
      <c r="A31" s="391" t="s">
        <v>2660</v>
      </c>
      <c r="B31" s="392" t="s">
        <v>2678</v>
      </c>
      <c r="C31" s="393">
        <v>45993</v>
      </c>
      <c r="D3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" s="395" t="s">
        <v>3502</v>
      </c>
      <c r="F31" s="395" t="s">
        <v>3503</v>
      </c>
      <c r="G31" s="454"/>
      <c r="H31" s="524"/>
      <c r="I31" s="499"/>
      <c r="J31" s="499">
        <v>500000</v>
      </c>
      <c r="K31" s="491">
        <f>+K30+Tableau15356789101112131625236924[[#This Row],[RECETTE]]-Tableau15356789101112131625236924[[#This Row],[DÉPENSE]]</f>
        <v>1432676</v>
      </c>
      <c r="L31" s="399">
        <f ca="1">+IF($B31="","",SUMIFS(INDIRECT("$K$7:K"&amp;ROW()),INDIRECT("$B$7:B"&amp;ROW()),Tableau15356789101112131625236924[[#This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30536165</v>
      </c>
      <c r="M31" s="546"/>
      <c r="P31" s="368"/>
      <c r="Q31" s="368"/>
      <c r="R31" s="368"/>
    </row>
    <row r="32" spans="1:18" ht="15" x14ac:dyDescent="0.3">
      <c r="A32" s="391" t="s">
        <v>2660</v>
      </c>
      <c r="B32" s="392" t="s">
        <v>2678</v>
      </c>
      <c r="C32" s="393">
        <v>45993</v>
      </c>
      <c r="D3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" s="395" t="s">
        <v>3073</v>
      </c>
      <c r="F32" s="395" t="s">
        <v>2879</v>
      </c>
      <c r="G32" s="454"/>
      <c r="H32" s="524" t="s">
        <v>3487</v>
      </c>
      <c r="I32" s="499"/>
      <c r="J32" s="499">
        <v>50000</v>
      </c>
      <c r="K32" s="491">
        <f>+K31+Tableau15356789101112131625236924[[#This Row],[RECETTE]]-Tableau15356789101112131625236924[[#This Row],[DÉPENSE]]</f>
        <v>1382676</v>
      </c>
      <c r="L32" s="399">
        <f ca="1">+IF($B32="","",SUMIFS(INDIRECT("$K$7:K"&amp;ROW()),INDIRECT("$B$7:B"&amp;ROW()),Tableau15356789101112131625236924[[#This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31139210</v>
      </c>
      <c r="M32" s="546"/>
      <c r="N32" s="404"/>
      <c r="P32" s="368"/>
      <c r="Q32" s="368"/>
      <c r="R32" s="368"/>
    </row>
    <row r="33" spans="1:18" ht="15" x14ac:dyDescent="0.3">
      <c r="A33" s="391"/>
      <c r="B33" s="392"/>
      <c r="C33" s="393">
        <v>45993</v>
      </c>
      <c r="D3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" s="395" t="s">
        <v>2844</v>
      </c>
      <c r="F33" s="395" t="s">
        <v>3504</v>
      </c>
      <c r="G33" s="454"/>
      <c r="H33" s="524"/>
      <c r="I33" s="499"/>
      <c r="J33" s="499">
        <v>110000</v>
      </c>
      <c r="K33" s="491">
        <f>+K32+Tableau15356789101112131625236924[[#This Row],[RECETTE]]-Tableau15356789101112131625236924[[#This Row],[DÉPENSE]]</f>
        <v>1272676</v>
      </c>
      <c r="L33" s="399" t="str">
        <f ca="1">+IF($B33="","",SUMIFS(INDIRECT("$K$7:K"&amp;ROW()),INDIRECT("$B$7:B"&amp;ROW()),Tableau15356789101112131625236924[[#This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" s="546"/>
      <c r="N33" s="404"/>
      <c r="P33" s="368"/>
      <c r="Q33" s="368"/>
      <c r="R33" s="368"/>
    </row>
    <row r="34" spans="1:18" ht="15" x14ac:dyDescent="0.3">
      <c r="A34" s="391"/>
      <c r="B34" s="392"/>
      <c r="C34" s="393">
        <v>45993</v>
      </c>
      <c r="D3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" s="395" t="s">
        <v>2714</v>
      </c>
      <c r="F34" s="395" t="s">
        <v>3505</v>
      </c>
      <c r="G34" s="454"/>
      <c r="H34" s="524"/>
      <c r="I34" s="499"/>
      <c r="J34" s="499">
        <v>50500</v>
      </c>
      <c r="K34" s="491">
        <f>+K33+Tableau15356789101112131625236924[[#This Row],[RECETTE]]-Tableau15356789101112131625236924[[#This Row],[DÉPENSE]]</f>
        <v>1222176</v>
      </c>
      <c r="L34" s="399" t="str">
        <f ca="1">+IF($B34="","",SUMIFS(INDIRECT("$K$7:K"&amp;ROW()),INDIRECT("$B$7:B"&amp;ROW()),Tableau15356789101112131625236924[[#This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" s="546"/>
      <c r="N34" s="404"/>
      <c r="P34" s="368"/>
      <c r="Q34" s="368"/>
      <c r="R34" s="368"/>
    </row>
    <row r="35" spans="1:18" ht="15" x14ac:dyDescent="0.3">
      <c r="A35" s="391"/>
      <c r="B35" s="392"/>
      <c r="C35" s="393">
        <v>45993</v>
      </c>
      <c r="D3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" s="395" t="s">
        <v>2756</v>
      </c>
      <c r="F35" s="395" t="s">
        <v>3506</v>
      </c>
      <c r="G35" s="454"/>
      <c r="H35" s="524"/>
      <c r="I35" s="499"/>
      <c r="J35" s="499">
        <v>121200</v>
      </c>
      <c r="K35" s="491">
        <f>+K34+Tableau15356789101112131625236924[[#This Row],[RECETTE]]-Tableau15356789101112131625236924[[#This Row],[DÉPENSE]]</f>
        <v>1100976</v>
      </c>
      <c r="L35" s="399" t="str">
        <f ca="1">+IF($B35="","",SUMIFS(INDIRECT("$K$7:K"&amp;ROW()),INDIRECT("$B$7:B"&amp;ROW()),Tableau15356789101112131625236924[[#This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" s="546"/>
      <c r="N35" s="404"/>
      <c r="P35" s="368"/>
      <c r="Q35" s="368"/>
      <c r="R35" s="368"/>
    </row>
    <row r="36" spans="1:18" ht="15" x14ac:dyDescent="0.3">
      <c r="A36" s="391" t="s">
        <v>2660</v>
      </c>
      <c r="B36" s="392" t="s">
        <v>2678</v>
      </c>
      <c r="C36" s="393">
        <v>45993</v>
      </c>
      <c r="D3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" s="395" t="s">
        <v>2727</v>
      </c>
      <c r="F36" s="395" t="s">
        <v>3507</v>
      </c>
      <c r="G36" s="454"/>
      <c r="H36" s="524"/>
      <c r="I36" s="499"/>
      <c r="J36" s="499">
        <v>20000</v>
      </c>
      <c r="K36" s="491">
        <f>+K35+Tableau15356789101112131625236924[[#This Row],[RECETTE]]-Tableau15356789101112131625236924[[#This Row],[DÉPENSE]]</f>
        <v>1080976</v>
      </c>
      <c r="L36" s="399">
        <f ca="1">+IF($B36="","",SUMIFS(INDIRECT("$K$7:K"&amp;ROW()),INDIRECT("$B$7:B"&amp;ROW()),Tableau15356789101112131625236924[[#This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32043955</v>
      </c>
      <c r="M36" s="546"/>
      <c r="P36" s="368"/>
      <c r="Q36" s="368"/>
      <c r="R36" s="368"/>
    </row>
    <row r="37" spans="1:18" ht="15" x14ac:dyDescent="0.3">
      <c r="A37" s="391" t="s">
        <v>2660</v>
      </c>
      <c r="B37" s="392" t="s">
        <v>2678</v>
      </c>
      <c r="C37" s="393">
        <v>45993</v>
      </c>
      <c r="D3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" s="395" t="s">
        <v>3349</v>
      </c>
      <c r="F37" s="395" t="s">
        <v>3508</v>
      </c>
      <c r="G37" s="454"/>
      <c r="H37" s="524"/>
      <c r="I37" s="499"/>
      <c r="J37" s="499">
        <v>4000</v>
      </c>
      <c r="K37" s="491">
        <f>+K36+Tableau15356789101112131625236924[[#This Row],[RECETTE]]-Tableau15356789101112131625236924[[#This Row],[DÉPENSE]]</f>
        <v>1076976</v>
      </c>
      <c r="L37" s="399">
        <f ca="1">+IF($B37="","",SUMIFS(INDIRECT("$K$7:K"&amp;ROW()),INDIRECT("$B$7:B"&amp;ROW()),Tableau15356789101112131625236924[[#This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32952700</v>
      </c>
      <c r="M37" s="546"/>
      <c r="P37" s="368"/>
      <c r="Q37" s="368"/>
      <c r="R37" s="368"/>
    </row>
    <row r="38" spans="1:18" ht="15" x14ac:dyDescent="0.3">
      <c r="A38" s="391" t="s">
        <v>2660</v>
      </c>
      <c r="B38" s="392" t="s">
        <v>2678</v>
      </c>
      <c r="C38" s="393">
        <v>45993</v>
      </c>
      <c r="D3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" s="395" t="s">
        <v>2852</v>
      </c>
      <c r="F38" s="395" t="s">
        <v>3509</v>
      </c>
      <c r="G38" s="454"/>
      <c r="H38" s="524"/>
      <c r="I38" s="499"/>
      <c r="J38" s="499">
        <v>20000</v>
      </c>
      <c r="K38" s="491">
        <f>+K37+Tableau15356789101112131625236924[[#This Row],[RECETTE]]-Tableau15356789101112131625236924[[#This Row],[DÉPENSE]]</f>
        <v>1056976</v>
      </c>
      <c r="L38" s="399">
        <f ca="1">+IF($B38="","",SUMIFS(INDIRECT("$K$7:K"&amp;ROW()),INDIRECT("$B$7:B"&amp;ROW()),Tableau15356789101112131625236924[[#This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33881445</v>
      </c>
      <c r="M38" s="546"/>
      <c r="P38" s="368"/>
      <c r="Q38" s="368"/>
      <c r="R38" s="368"/>
    </row>
    <row r="39" spans="1:18" s="412" customFormat="1" ht="15" x14ac:dyDescent="0.3">
      <c r="A39" s="514" t="s">
        <v>2660</v>
      </c>
      <c r="B39" s="515" t="s">
        <v>2678</v>
      </c>
      <c r="C39" s="406">
        <v>45993</v>
      </c>
      <c r="D3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" s="408" t="s">
        <v>3128</v>
      </c>
      <c r="F39" s="408" t="s">
        <v>3510</v>
      </c>
      <c r="G39" s="418"/>
      <c r="H39" s="522"/>
      <c r="I39" s="513"/>
      <c r="J39" s="513">
        <v>40000</v>
      </c>
      <c r="K39" s="421">
        <f>+K38+Tableau15356789101112131625236924[[#This Row],[RECETTE]]-Tableau15356789101112131625236924[[#This Row],[DÉPENSE]]</f>
        <v>1016976</v>
      </c>
      <c r="L39" s="431">
        <f ca="1">+IF($B39="","",SUMIFS(INDIRECT("$K$7:K"&amp;ROW()),INDIRECT("$B$7:B"&amp;ROW()),Tableau15356789101112131625236924[[#This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34850190</v>
      </c>
      <c r="M39" s="547"/>
    </row>
    <row r="40" spans="1:18" ht="15" x14ac:dyDescent="0.3">
      <c r="A40" s="391" t="s">
        <v>2660</v>
      </c>
      <c r="B40" s="392" t="s">
        <v>2678</v>
      </c>
      <c r="C40" s="393">
        <v>45993</v>
      </c>
      <c r="D4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0" s="395" t="s">
        <v>3511</v>
      </c>
      <c r="F40" s="395" t="s">
        <v>3512</v>
      </c>
      <c r="G40" s="454"/>
      <c r="H40" s="524"/>
      <c r="I40" s="499"/>
      <c r="J40" s="499">
        <v>82820</v>
      </c>
      <c r="K40" s="491">
        <f>+K39+Tableau15356789101112131625236924[[#This Row],[RECETTE]]-Tableau15356789101112131625236924[[#This Row],[DÉPENSE]]</f>
        <v>934156</v>
      </c>
      <c r="L40" s="399">
        <f ca="1">+IF($B40="","",SUMIFS(INDIRECT("$K$7:K"&amp;ROW()),INDIRECT("$B$7:B"&amp;ROW()),Tableau15356789101112131625236924[[#This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35901755</v>
      </c>
      <c r="M40" s="546"/>
      <c r="P40" s="368"/>
      <c r="Q40" s="368"/>
      <c r="R40" s="368"/>
    </row>
    <row r="41" spans="1:18" ht="15" x14ac:dyDescent="0.3">
      <c r="A41" s="391" t="s">
        <v>2660</v>
      </c>
      <c r="B41" s="392" t="s">
        <v>2678</v>
      </c>
      <c r="C41" s="393">
        <v>45994</v>
      </c>
      <c r="D4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1" s="395" t="s">
        <v>2727</v>
      </c>
      <c r="F41" s="395" t="s">
        <v>2896</v>
      </c>
      <c r="G41" s="454"/>
      <c r="H41" s="524" t="s">
        <v>2729</v>
      </c>
      <c r="I41" s="499"/>
      <c r="J41" s="499">
        <v>2000</v>
      </c>
      <c r="K41" s="491">
        <f>+K40+Tableau15356789101112131625236924[[#This Row],[RECETTE]]-Tableau15356789101112131625236924[[#This Row],[DÉPENSE]]</f>
        <v>932156</v>
      </c>
      <c r="L41" s="399">
        <f ca="1">+IF($B41="","",SUMIFS(INDIRECT("$K$7:K"&amp;ROW()),INDIRECT("$B$7:B"&amp;ROW()),Tableau15356789101112131625236924[[#This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36955320</v>
      </c>
      <c r="M41" s="546"/>
      <c r="P41" s="368"/>
      <c r="Q41" s="368"/>
      <c r="R41" s="368"/>
    </row>
    <row r="42" spans="1:18" ht="15" x14ac:dyDescent="0.3">
      <c r="A42" s="391" t="s">
        <v>2660</v>
      </c>
      <c r="B42" s="392" t="s">
        <v>2678</v>
      </c>
      <c r="C42" s="393">
        <v>45994</v>
      </c>
      <c r="D4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2" s="395" t="s">
        <v>3176</v>
      </c>
      <c r="F42" s="395" t="s">
        <v>3513</v>
      </c>
      <c r="G42" s="454"/>
      <c r="H42" s="524" t="s">
        <v>3062</v>
      </c>
      <c r="I42" s="499"/>
      <c r="J42" s="499">
        <v>59690</v>
      </c>
      <c r="K42" s="491">
        <f>+K41+Tableau15356789101112131625236924[[#This Row],[RECETTE]]-Tableau15356789101112131625236924[[#This Row],[DÉPENSE]]</f>
        <v>872466</v>
      </c>
      <c r="L42" s="399">
        <f ca="1">+IF($B42="","",SUMIFS(INDIRECT("$K$7:K"&amp;ROW()),INDIRECT("$B$7:B"&amp;ROW()),Tableau15356789101112131625236924[[#This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38068575</v>
      </c>
      <c r="M42" s="546"/>
      <c r="P42" s="368"/>
      <c r="Q42" s="368"/>
      <c r="R42" s="368"/>
    </row>
    <row r="43" spans="1:18" ht="15" x14ac:dyDescent="0.3">
      <c r="A43" s="391" t="s">
        <v>2660</v>
      </c>
      <c r="B43" s="392" t="s">
        <v>2678</v>
      </c>
      <c r="C43" s="393">
        <v>45994</v>
      </c>
      <c r="D4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3" s="395" t="s">
        <v>2747</v>
      </c>
      <c r="F43" s="395" t="s">
        <v>2879</v>
      </c>
      <c r="G43" s="454"/>
      <c r="H43" s="524"/>
      <c r="I43" s="499"/>
      <c r="J43" s="499">
        <v>5050</v>
      </c>
      <c r="K43" s="491">
        <f>+K42+Tableau15356789101112131625236924[[#This Row],[RECETTE]]-Tableau15356789101112131625236924[[#This Row],[DÉPENSE]]</f>
        <v>867416</v>
      </c>
      <c r="L43" s="399">
        <f ca="1">+IF($B43="","",SUMIFS(INDIRECT("$K$7:K"&amp;ROW()),INDIRECT("$B$7:B"&amp;ROW()),Tableau15356789101112131625236924[[#This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39186880</v>
      </c>
      <c r="M43" s="546"/>
      <c r="P43" s="368"/>
      <c r="Q43" s="368"/>
      <c r="R43" s="368"/>
    </row>
    <row r="44" spans="1:18" ht="15" x14ac:dyDescent="0.3">
      <c r="A44" s="391" t="s">
        <v>2660</v>
      </c>
      <c r="B44" s="392" t="s">
        <v>2678</v>
      </c>
      <c r="C44" s="393">
        <v>45994</v>
      </c>
      <c r="D4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4" s="395" t="s">
        <v>2686</v>
      </c>
      <c r="F44" s="395" t="s">
        <v>2706</v>
      </c>
      <c r="G44" s="454"/>
      <c r="H44" s="524" t="s">
        <v>2707</v>
      </c>
      <c r="I44" s="499"/>
      <c r="J44" s="499">
        <v>5050</v>
      </c>
      <c r="K44" s="491">
        <f>+K43+Tableau15356789101112131625236924[[#This Row],[RECETTE]]-Tableau15356789101112131625236924[[#This Row],[DÉPENSE]]</f>
        <v>862366</v>
      </c>
      <c r="L44" s="399">
        <f ca="1">+IF($B44="","",SUMIFS(INDIRECT("$K$7:K"&amp;ROW()),INDIRECT("$B$7:B"&amp;ROW()),Tableau15356789101112131625236924[[#This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40310235</v>
      </c>
      <c r="M44" s="546"/>
      <c r="P44" s="368"/>
      <c r="Q44" s="368"/>
      <c r="R44" s="368"/>
    </row>
    <row r="45" spans="1:18" ht="15" x14ac:dyDescent="0.3">
      <c r="A45" s="391" t="s">
        <v>2660</v>
      </c>
      <c r="B45" s="392" t="s">
        <v>2678</v>
      </c>
      <c r="C45" s="393">
        <v>45994</v>
      </c>
      <c r="D4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5" s="395" t="s">
        <v>2758</v>
      </c>
      <c r="F45" s="395" t="s">
        <v>3514</v>
      </c>
      <c r="G45" s="454"/>
      <c r="H45" s="524"/>
      <c r="I45" s="499"/>
      <c r="J45" s="499">
        <v>151500</v>
      </c>
      <c r="K45" s="491">
        <f>+K44+Tableau15356789101112131625236924[[#This Row],[RECETTE]]-Tableau15356789101112131625236924[[#This Row],[DÉPENSE]]</f>
        <v>710866</v>
      </c>
      <c r="L45" s="399">
        <f ca="1">+IF($B45="","",SUMIFS(INDIRECT("$K$7:K"&amp;ROW()),INDIRECT("$B$7:B"&amp;ROW()),Tableau15356789101112131625236924[[#This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41585090</v>
      </c>
      <c r="M45" s="546"/>
      <c r="P45" s="368"/>
      <c r="Q45" s="368"/>
      <c r="R45" s="368"/>
    </row>
    <row r="46" spans="1:18" ht="15" x14ac:dyDescent="0.3">
      <c r="A46" s="391" t="s">
        <v>2660</v>
      </c>
      <c r="B46" s="392" t="s">
        <v>2678</v>
      </c>
      <c r="C46" s="393">
        <v>45994</v>
      </c>
      <c r="D4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6" s="395" t="s">
        <v>3515</v>
      </c>
      <c r="F46" s="395" t="s">
        <v>3516</v>
      </c>
      <c r="G46" s="454"/>
      <c r="H46" s="524"/>
      <c r="I46" s="499"/>
      <c r="J46" s="499">
        <v>6500</v>
      </c>
      <c r="K46" s="491">
        <f>+K45+Tableau15356789101112131625236924[[#This Row],[RECETTE]]-Tableau15356789101112131625236924[[#This Row],[DÉPENSE]]</f>
        <v>704366</v>
      </c>
      <c r="L46" s="399">
        <f ca="1">+IF($B46="","",SUMIFS(INDIRECT("$K$7:K"&amp;ROW()),INDIRECT("$B$7:B"&amp;ROW()),Tableau15356789101112131625236924[[#This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42866445</v>
      </c>
      <c r="M46" s="546"/>
      <c r="P46" s="368"/>
      <c r="Q46" s="368"/>
      <c r="R46" s="368"/>
    </row>
    <row r="47" spans="1:18" ht="15" x14ac:dyDescent="0.3">
      <c r="A47" s="391" t="s">
        <v>2660</v>
      </c>
      <c r="B47" s="392" t="s">
        <v>2678</v>
      </c>
      <c r="C47" s="393">
        <v>45994</v>
      </c>
      <c r="D4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7" s="395" t="s">
        <v>2863</v>
      </c>
      <c r="F47" s="395" t="s">
        <v>2963</v>
      </c>
      <c r="G47" s="454"/>
      <c r="H47" s="524"/>
      <c r="I47" s="499"/>
      <c r="J47" s="499">
        <v>2020</v>
      </c>
      <c r="K47" s="491">
        <f>+K46+Tableau15356789101112131625236924[[#This Row],[RECETTE]]-Tableau15356789101112131625236924[[#This Row],[DÉPENSE]]</f>
        <v>702346</v>
      </c>
      <c r="L47" s="399">
        <f ca="1">+IF($B47="","",SUMIFS(INDIRECT("$K$7:K"&amp;ROW()),INDIRECT("$B$7:B"&amp;ROW()),Tableau15356789101112131625236924[[#This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44149820</v>
      </c>
      <c r="M47" s="546"/>
      <c r="P47" s="368"/>
      <c r="Q47" s="368"/>
      <c r="R47" s="368"/>
    </row>
    <row r="48" spans="1:18" ht="15" x14ac:dyDescent="0.3">
      <c r="A48" s="391" t="s">
        <v>2660</v>
      </c>
      <c r="B48" s="392" t="s">
        <v>2678</v>
      </c>
      <c r="C48" s="393">
        <v>45994</v>
      </c>
      <c r="D4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48" s="395" t="s">
        <v>2679</v>
      </c>
      <c r="F48" s="395" t="s">
        <v>3517</v>
      </c>
      <c r="G48" s="454"/>
      <c r="H48" s="524"/>
      <c r="I48" s="499">
        <v>2969200</v>
      </c>
      <c r="J48" s="499"/>
      <c r="K48" s="491">
        <f>+K47+Tableau15356789101112131625236924[[#This Row],[RECETTE]]-Tableau15356789101112131625236924[[#This Row],[DÉPENSE]]</f>
        <v>3671546</v>
      </c>
      <c r="L48" s="399">
        <f ca="1">+IF($B48="","",SUMIFS(INDIRECT("$K$7:K"&amp;ROW()),INDIRECT("$B$7:B"&amp;ROW()),Tableau15356789101112131625236924[[#This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44149820</v>
      </c>
      <c r="M48" s="546"/>
      <c r="P48" s="368"/>
      <c r="Q48" s="368"/>
      <c r="R48" s="368"/>
    </row>
    <row r="49" spans="1:18" ht="15" x14ac:dyDescent="0.3">
      <c r="A49" s="391" t="s">
        <v>2660</v>
      </c>
      <c r="B49" s="392" t="s">
        <v>2678</v>
      </c>
      <c r="C49" s="393">
        <v>45994</v>
      </c>
      <c r="D4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49" s="395" t="s">
        <v>2679</v>
      </c>
      <c r="F49" s="395" t="s">
        <v>3518</v>
      </c>
      <c r="G49" s="454"/>
      <c r="H49" s="524"/>
      <c r="I49" s="499">
        <v>975000</v>
      </c>
      <c r="J49" s="499"/>
      <c r="K49" s="491">
        <f>+K48+Tableau15356789101112131625236924[[#This Row],[RECETTE]]-Tableau15356789101112131625236924[[#This Row],[DÉPENSE]]</f>
        <v>4646546</v>
      </c>
      <c r="L49" s="399">
        <f ca="1">+IF($B49="","",SUMIFS(INDIRECT("$K$7:K"&amp;ROW()),INDIRECT("$B$7:B"&amp;ROW()),Tableau15356789101112131625236924[[#This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44149820</v>
      </c>
      <c r="M49" s="546"/>
      <c r="P49" s="368"/>
      <c r="Q49" s="368"/>
      <c r="R49" s="368"/>
    </row>
    <row r="50" spans="1:18" ht="15" x14ac:dyDescent="0.3">
      <c r="A50" s="391" t="s">
        <v>2660</v>
      </c>
      <c r="B50" s="392" t="s">
        <v>2678</v>
      </c>
      <c r="C50" s="393">
        <v>45994</v>
      </c>
      <c r="D5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50" s="395" t="s">
        <v>2679</v>
      </c>
      <c r="F50" s="395" t="s">
        <v>3519</v>
      </c>
      <c r="G50" s="454"/>
      <c r="H50" s="524"/>
      <c r="I50" s="499">
        <v>2000000</v>
      </c>
      <c r="J50" s="499"/>
      <c r="K50" s="491">
        <f>+K49+Tableau15356789101112131625236924[[#This Row],[RECETTE]]-Tableau15356789101112131625236924[[#This Row],[DÉPENSE]]</f>
        <v>6646546</v>
      </c>
      <c r="L50" s="399">
        <f ca="1">+IF($B50="","",SUMIFS(INDIRECT("$K$7:K"&amp;ROW()),INDIRECT("$B$7:B"&amp;ROW()),Tableau15356789101112131625236924[[#This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44149820</v>
      </c>
      <c r="M50" s="546"/>
      <c r="P50" s="368"/>
      <c r="Q50" s="368"/>
      <c r="R50" s="368"/>
    </row>
    <row r="51" spans="1:18" ht="15" x14ac:dyDescent="0.3">
      <c r="A51" s="391" t="s">
        <v>2660</v>
      </c>
      <c r="B51" s="392" t="s">
        <v>2678</v>
      </c>
      <c r="C51" s="393">
        <v>45994</v>
      </c>
      <c r="D5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1" s="395" t="s">
        <v>2700</v>
      </c>
      <c r="F51" s="395" t="s">
        <v>3520</v>
      </c>
      <c r="G51" s="454"/>
      <c r="H51" s="524"/>
      <c r="I51" s="499"/>
      <c r="J51" s="499">
        <v>800000</v>
      </c>
      <c r="K51" s="491">
        <f>+K50+Tableau15356789101112131625236924[[#This Row],[RECETTE]]-Tableau15356789101112131625236924[[#This Row],[DÉPENSE]]</f>
        <v>5846546</v>
      </c>
      <c r="L51" s="399">
        <f ca="1">+IF($B51="","",SUMIFS(INDIRECT("$K$7:K"&amp;ROW()),INDIRECT("$B$7:B"&amp;ROW()),Tableau15356789101112131625236924[[#This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40288995</v>
      </c>
      <c r="M51" s="546"/>
      <c r="P51" s="368"/>
      <c r="Q51" s="368"/>
      <c r="R51" s="368"/>
    </row>
    <row r="52" spans="1:18" ht="15" x14ac:dyDescent="0.3">
      <c r="A52" s="391" t="s">
        <v>2660</v>
      </c>
      <c r="B52" s="392" t="s">
        <v>2678</v>
      </c>
      <c r="C52" s="393">
        <v>45994</v>
      </c>
      <c r="D5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2" s="395" t="s">
        <v>2727</v>
      </c>
      <c r="F52" s="395" t="s">
        <v>3521</v>
      </c>
      <c r="G52" s="454"/>
      <c r="H52" s="524"/>
      <c r="I52" s="499"/>
      <c r="J52" s="499">
        <v>402500</v>
      </c>
      <c r="K52" s="491">
        <f>+K51+Tableau15356789101112131625236924[[#This Row],[RECETTE]]-Tableau15356789101112131625236924[[#This Row],[DÉPENSE]]</f>
        <v>5444046</v>
      </c>
      <c r="L52" s="399">
        <f ca="1">+IF($B52="","",SUMIFS(INDIRECT("$K$7:K"&amp;ROW()),INDIRECT("$B$7:B"&amp;ROW()),Tableau15356789101112131625236924[[#This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36830670</v>
      </c>
      <c r="M52" s="546"/>
      <c r="P52" s="368"/>
      <c r="Q52" s="368"/>
      <c r="R52" s="368"/>
    </row>
    <row r="53" spans="1:18" ht="15" x14ac:dyDescent="0.3">
      <c r="A53" s="391" t="s">
        <v>2660</v>
      </c>
      <c r="B53" s="392" t="s">
        <v>2678</v>
      </c>
      <c r="C53" s="393">
        <v>45994</v>
      </c>
      <c r="D5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3" s="395" t="s">
        <v>3015</v>
      </c>
      <c r="F53" s="395" t="s">
        <v>3522</v>
      </c>
      <c r="G53" s="454"/>
      <c r="H53" s="524"/>
      <c r="I53" s="499"/>
      <c r="J53" s="499">
        <v>110000</v>
      </c>
      <c r="K53" s="491">
        <f>+K52+Tableau15356789101112131625236924[[#This Row],[RECETTE]]-Tableau15356789101112131625236924[[#This Row],[DÉPENSE]]</f>
        <v>5334046</v>
      </c>
      <c r="L53" s="399">
        <f ca="1">+IF($B53="","",SUMIFS(INDIRECT("$K$7:K"&amp;ROW()),INDIRECT("$B$7:B"&amp;ROW()),Tableau15356789101112131625236924[[#This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33482345</v>
      </c>
      <c r="M53" s="546"/>
      <c r="P53" s="368"/>
      <c r="Q53" s="368"/>
      <c r="R53" s="368"/>
    </row>
    <row r="54" spans="1:18" ht="15" x14ac:dyDescent="0.3">
      <c r="A54" s="391" t="s">
        <v>2660</v>
      </c>
      <c r="B54" s="392" t="s">
        <v>2678</v>
      </c>
      <c r="C54" s="393">
        <v>45994</v>
      </c>
      <c r="D5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54" s="395" t="s">
        <v>2818</v>
      </c>
      <c r="F54" s="395" t="s">
        <v>3523</v>
      </c>
      <c r="G54" s="454"/>
      <c r="H54" s="524"/>
      <c r="I54" s="499">
        <v>300000</v>
      </c>
      <c r="J54" s="499"/>
      <c r="K54" s="491">
        <f>+K53+Tableau15356789101112131625236924[[#This Row],[RECETTE]]-Tableau15356789101112131625236924[[#This Row],[DÉPENSE]]</f>
        <v>5634046</v>
      </c>
      <c r="L54" s="399">
        <f ca="1">+IF($B54="","",SUMIFS(INDIRECT("$K$7:K"&amp;ROW()),INDIRECT("$B$7:B"&amp;ROW()),Tableau15356789101112131625236924[[#This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33482345</v>
      </c>
      <c r="M54" s="546"/>
      <c r="P54" s="368"/>
      <c r="Q54" s="368"/>
      <c r="R54" s="368"/>
    </row>
    <row r="55" spans="1:18" ht="15" x14ac:dyDescent="0.3">
      <c r="A55" s="391" t="s">
        <v>2660</v>
      </c>
      <c r="B55" s="392" t="s">
        <v>2678</v>
      </c>
      <c r="C55" s="393">
        <v>45994</v>
      </c>
      <c r="D5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5" s="395" t="s">
        <v>3524</v>
      </c>
      <c r="F55" s="395" t="s">
        <v>2706</v>
      </c>
      <c r="G55" s="454"/>
      <c r="H55" s="524" t="s">
        <v>3525</v>
      </c>
      <c r="I55" s="499"/>
      <c r="J55" s="499">
        <v>10100</v>
      </c>
      <c r="K55" s="491">
        <f>+K54+Tableau15356789101112131625236924[[#This Row],[RECETTE]]-Tableau15356789101112131625236924[[#This Row],[DÉPENSE]]</f>
        <v>5623946</v>
      </c>
      <c r="L55" s="399">
        <f ca="1">+IF($B55="","",SUMIFS(INDIRECT("$K$7:K"&amp;ROW()),INDIRECT("$B$7:B"&amp;ROW()),Tableau15356789101112131625236924[[#This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29844120</v>
      </c>
      <c r="M55" s="546"/>
      <c r="P55" s="368"/>
      <c r="Q55" s="368"/>
      <c r="R55" s="368"/>
    </row>
    <row r="56" spans="1:18" s="412" customFormat="1" ht="15" x14ac:dyDescent="0.3">
      <c r="A56" s="391" t="s">
        <v>2660</v>
      </c>
      <c r="B56" s="392" t="s">
        <v>2678</v>
      </c>
      <c r="C56" s="393">
        <v>45994</v>
      </c>
      <c r="D5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6" s="395" t="s">
        <v>2764</v>
      </c>
      <c r="F56" s="395" t="s">
        <v>3526</v>
      </c>
      <c r="G56" s="454"/>
      <c r="H56" s="524"/>
      <c r="I56" s="499"/>
      <c r="J56" s="499">
        <v>5500</v>
      </c>
      <c r="K56" s="491">
        <f>+K55+Tableau15356789101112131625236924[[#This Row],[RECETTE]]-Tableau15356789101112131625236924[[#This Row],[DÉPENSE]]</f>
        <v>5618446</v>
      </c>
      <c r="L56" s="399">
        <f ca="1">+IF($B56="","",SUMIFS(INDIRECT("$K$7:K"&amp;ROW()),INDIRECT("$B$7:B"&amp;ROW()),Tableau15356789101112131625236924[[#This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26211395</v>
      </c>
      <c r="M56" s="546"/>
    </row>
    <row r="57" spans="1:18" ht="15" x14ac:dyDescent="0.3">
      <c r="A57" s="391" t="s">
        <v>2660</v>
      </c>
      <c r="B57" s="392" t="s">
        <v>2678</v>
      </c>
      <c r="C57" s="393">
        <v>45994</v>
      </c>
      <c r="D5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7" s="395" t="s">
        <v>3133</v>
      </c>
      <c r="F57" s="395" t="s">
        <v>2896</v>
      </c>
      <c r="G57" s="454"/>
      <c r="H57" s="524"/>
      <c r="I57" s="499"/>
      <c r="J57" s="499">
        <v>2000</v>
      </c>
      <c r="K57" s="491">
        <f>+K56+Tableau15356789101112131625236924[[#This Row],[RECETTE]]-Tableau15356789101112131625236924[[#This Row],[DÉPENSE]]</f>
        <v>5616446</v>
      </c>
      <c r="L57" s="399">
        <f ca="1">+IF($B57="","",SUMIFS(INDIRECT("$K$7:K"&amp;ROW()),INDIRECT("$B$7:B"&amp;ROW()),Tableau15356789101112131625236924[[#This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22580670</v>
      </c>
      <c r="M57" s="546"/>
      <c r="P57" s="368"/>
      <c r="Q57" s="368"/>
      <c r="R57" s="368"/>
    </row>
    <row r="58" spans="1:18" ht="15" x14ac:dyDescent="0.3">
      <c r="A58" s="391" t="s">
        <v>2660</v>
      </c>
      <c r="B58" s="392" t="s">
        <v>2678</v>
      </c>
      <c r="C58" s="393">
        <v>45994</v>
      </c>
      <c r="D5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8" s="395" t="s">
        <v>2694</v>
      </c>
      <c r="F58" s="395" t="s">
        <v>3527</v>
      </c>
      <c r="G58" s="454"/>
      <c r="H58" s="524"/>
      <c r="I58" s="499"/>
      <c r="J58" s="499">
        <v>156000</v>
      </c>
      <c r="K58" s="491">
        <f>+K57+Tableau15356789101112131625236924[[#This Row],[RECETTE]]-Tableau15356789101112131625236924[[#This Row],[DÉPENSE]]</f>
        <v>5460446</v>
      </c>
      <c r="L58" s="399">
        <f ca="1">+IF($B58="","",SUMIFS(INDIRECT("$K$7:K"&amp;ROW()),INDIRECT("$B$7:B"&amp;ROW()),Tableau15356789101112131625236924[[#This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19105945</v>
      </c>
      <c r="M58" s="546"/>
      <c r="P58" s="368"/>
      <c r="Q58" s="368"/>
      <c r="R58" s="368"/>
    </row>
    <row r="59" spans="1:18" s="412" customFormat="1" ht="15" x14ac:dyDescent="0.3">
      <c r="A59" s="514" t="s">
        <v>2660</v>
      </c>
      <c r="B59" s="515" t="s">
        <v>2678</v>
      </c>
      <c r="C59" s="406">
        <v>45994</v>
      </c>
      <c r="D5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59" s="408" t="s">
        <v>2683</v>
      </c>
      <c r="F59" s="408" t="s">
        <v>2793</v>
      </c>
      <c r="G59" s="418"/>
      <c r="H59" s="522" t="s">
        <v>2685</v>
      </c>
      <c r="I59" s="513"/>
      <c r="J59" s="513">
        <v>305020</v>
      </c>
      <c r="K59" s="421">
        <f>+K58+Tableau15356789101112131625236924[[#This Row],[RECETTE]]-Tableau15356789101112131625236924[[#This Row],[DÉPENSE]]</f>
        <v>5155426</v>
      </c>
      <c r="L59" s="431">
        <f ca="1">+IF($B59="","",SUMIFS(INDIRECT("$K$7:K"&amp;ROW()),INDIRECT("$B$7:B"&amp;ROW()),Tableau15356789101112131625236924[[#This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15936240</v>
      </c>
      <c r="M59" s="547"/>
    </row>
    <row r="60" spans="1:18" ht="15" x14ac:dyDescent="0.3">
      <c r="A60" s="391" t="s">
        <v>2660</v>
      </c>
      <c r="B60" s="392" t="s">
        <v>2678</v>
      </c>
      <c r="C60" s="393">
        <v>45995</v>
      </c>
      <c r="D6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0" s="395" t="s">
        <v>3439</v>
      </c>
      <c r="F60" s="395" t="s">
        <v>3528</v>
      </c>
      <c r="G60" s="454"/>
      <c r="H60" s="524"/>
      <c r="I60" s="499"/>
      <c r="J60" s="499">
        <v>60000</v>
      </c>
      <c r="K60" s="491">
        <f>+K59+Tableau15356789101112131625236924[[#This Row],[RECETTE]]-Tableau15356789101112131625236924[[#This Row],[DÉPENSE]]</f>
        <v>5095426</v>
      </c>
      <c r="L60" s="399">
        <f ca="1">+IF($B60="","",SUMIFS(INDIRECT("$K$7:K"&amp;ROW()),INDIRECT("$B$7:B"&amp;ROW()),Tableau15356789101112131625236924[[#This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12826535</v>
      </c>
      <c r="M60" s="546"/>
      <c r="P60" s="368"/>
      <c r="Q60" s="368"/>
      <c r="R60" s="368"/>
    </row>
    <row r="61" spans="1:18" ht="15" x14ac:dyDescent="0.3">
      <c r="A61" s="391" t="s">
        <v>2660</v>
      </c>
      <c r="B61" s="392" t="s">
        <v>2678</v>
      </c>
      <c r="C61" s="393">
        <v>45995</v>
      </c>
      <c r="D6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1" s="395" t="s">
        <v>2704</v>
      </c>
      <c r="F61" s="395" t="s">
        <v>3529</v>
      </c>
      <c r="G61" s="454"/>
      <c r="H61" s="524"/>
      <c r="I61" s="499"/>
      <c r="J61" s="499">
        <v>1000000</v>
      </c>
      <c r="K61" s="491">
        <f>+K60+Tableau15356789101112131625236924[[#This Row],[RECETTE]]-Tableau15356789101112131625236924[[#This Row],[DÉPENSE]]</f>
        <v>4095426</v>
      </c>
      <c r="L61" s="399">
        <f ca="1">+IF($B61="","",SUMIFS(INDIRECT("$K$7:K"&amp;ROW()),INDIRECT("$B$7:B"&amp;ROW()),Tableau15356789101112131625236924[[#This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10716830</v>
      </c>
      <c r="M61" s="546"/>
      <c r="P61" s="368"/>
      <c r="Q61" s="368"/>
      <c r="R61" s="368"/>
    </row>
    <row r="62" spans="1:18" ht="15" x14ac:dyDescent="0.3">
      <c r="A62" s="391" t="s">
        <v>2660</v>
      </c>
      <c r="B62" s="392" t="s">
        <v>2678</v>
      </c>
      <c r="C62" s="393">
        <v>45995</v>
      </c>
      <c r="D6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2" s="395" t="s">
        <v>2852</v>
      </c>
      <c r="F62" s="395" t="s">
        <v>3530</v>
      </c>
      <c r="G62" s="454"/>
      <c r="H62" s="524"/>
      <c r="I62" s="499"/>
      <c r="J62" s="499">
        <v>461550</v>
      </c>
      <c r="K62" s="491">
        <f>+K61+Tableau15356789101112131625236924[[#This Row],[RECETTE]]-Tableau15356789101112131625236924[[#This Row],[DÉPENSE]]</f>
        <v>3633876</v>
      </c>
      <c r="L62" s="399">
        <f ca="1">+IF($B62="","",SUMIFS(INDIRECT("$K$7:K"&amp;ROW()),INDIRECT("$B$7:B"&amp;ROW()),Tableau15356789101112131625236924[[#This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9068675</v>
      </c>
      <c r="M62" s="546"/>
      <c r="P62" s="368"/>
      <c r="Q62" s="368"/>
      <c r="R62" s="368"/>
    </row>
    <row r="63" spans="1:18" ht="15" x14ac:dyDescent="0.3">
      <c r="A63" s="391" t="s">
        <v>2660</v>
      </c>
      <c r="B63" s="392" t="s">
        <v>2678</v>
      </c>
      <c r="C63" s="393">
        <v>45995</v>
      </c>
      <c r="D6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3" s="395" t="s">
        <v>3531</v>
      </c>
      <c r="F63" s="395" t="s">
        <v>3532</v>
      </c>
      <c r="G63" s="454"/>
      <c r="H63" s="524"/>
      <c r="I63" s="499"/>
      <c r="J63" s="499">
        <v>500000</v>
      </c>
      <c r="K63" s="491">
        <f>+K62+Tableau15356789101112131625236924[[#This Row],[RECETTE]]-Tableau15356789101112131625236924[[#This Row],[DÉPENSE]]</f>
        <v>3133876</v>
      </c>
      <c r="L63" s="399">
        <f ca="1">+IF($B63="","",SUMIFS(INDIRECT("$K$7:K"&amp;ROW()),INDIRECT("$B$7:B"&amp;ROW()),Tableau15356789101112131625236924[[#This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7920520</v>
      </c>
      <c r="M63" s="546"/>
      <c r="P63" s="368"/>
      <c r="Q63" s="368"/>
      <c r="R63" s="368"/>
    </row>
    <row r="64" spans="1:18" s="464" customFormat="1" ht="15" x14ac:dyDescent="0.3">
      <c r="A64" s="505"/>
      <c r="B64" s="506"/>
      <c r="C64" s="393">
        <v>45995</v>
      </c>
      <c r="D6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4" s="395" t="s">
        <v>2915</v>
      </c>
      <c r="F64" s="395" t="s">
        <v>3533</v>
      </c>
      <c r="G64" s="454"/>
      <c r="H64" s="524"/>
      <c r="I64" s="499"/>
      <c r="J64" s="499">
        <v>828000</v>
      </c>
      <c r="K64" s="491">
        <f>+K63+Tableau15356789101112131625236924[[#This Row],[RECETTE]]-Tableau15356789101112131625236924[[#This Row],[DÉPENSE]]</f>
        <v>2305876</v>
      </c>
      <c r="L64" s="510" t="str">
        <f ca="1">+IF($B64="","",SUMIFS(INDIRECT("$K$7:K"&amp;ROW()),INDIRECT("$B$7:B"&amp;ROW()),Tableau15356789101112131625236924[[#This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4" s="546"/>
    </row>
    <row r="65" spans="1:18" ht="15" x14ac:dyDescent="0.3">
      <c r="A65" s="391" t="s">
        <v>2660</v>
      </c>
      <c r="B65" s="392" t="s">
        <v>2678</v>
      </c>
      <c r="C65" s="393">
        <v>45995</v>
      </c>
      <c r="D6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5" s="395" t="s">
        <v>3534</v>
      </c>
      <c r="F65" s="395" t="s">
        <v>3535</v>
      </c>
      <c r="G65" s="454"/>
      <c r="H65" s="524"/>
      <c r="I65" s="499"/>
      <c r="J65" s="499">
        <v>211540</v>
      </c>
      <c r="K65" s="491">
        <f>+K64+Tableau15356789101112131625236924[[#This Row],[RECETTE]]-Tableau15356789101112131625236924[[#This Row],[DÉPENSE]]</f>
        <v>2094336</v>
      </c>
      <c r="L65" s="399">
        <f ca="1">+IF($B65="","",SUMIFS(INDIRECT("$K$7:K"&amp;ROW()),INDIRECT("$B$7:B"&amp;ROW()),Tableau15356789101112131625236924[[#This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7811905</v>
      </c>
      <c r="M65" s="546"/>
      <c r="P65" s="368"/>
      <c r="Q65" s="368"/>
      <c r="R65" s="368"/>
    </row>
    <row r="66" spans="1:18" ht="15" x14ac:dyDescent="0.3">
      <c r="A66" s="391" t="s">
        <v>2660</v>
      </c>
      <c r="B66" s="392" t="s">
        <v>2678</v>
      </c>
      <c r="C66" s="393">
        <v>45995</v>
      </c>
      <c r="D6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6" s="395" t="s">
        <v>2686</v>
      </c>
      <c r="F66" s="395" t="s">
        <v>2706</v>
      </c>
      <c r="G66" s="454"/>
      <c r="H66" s="524" t="s">
        <v>2707</v>
      </c>
      <c r="I66" s="499"/>
      <c r="J66" s="499">
        <v>10100</v>
      </c>
      <c r="K66" s="491">
        <f>+K65+Tableau15356789101112131625236924[[#This Row],[RECETTE]]-Tableau15356789101112131625236924[[#This Row],[DÉPENSE]]</f>
        <v>2084236</v>
      </c>
      <c r="L66" s="399">
        <f ca="1">+IF($B66="","",SUMIFS(INDIRECT("$K$7:K"&amp;ROW()),INDIRECT("$B$7:B"&amp;ROW()),Tableau15356789101112131625236924[[#This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7713390</v>
      </c>
      <c r="M66" s="546"/>
      <c r="P66" s="368"/>
      <c r="Q66" s="368"/>
      <c r="R66" s="368"/>
    </row>
    <row r="67" spans="1:18" ht="15" x14ac:dyDescent="0.3">
      <c r="A67" s="391" t="s">
        <v>2660</v>
      </c>
      <c r="B67" s="392" t="s">
        <v>2678</v>
      </c>
      <c r="C67" s="393">
        <v>45995</v>
      </c>
      <c r="D6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7" s="395" t="s">
        <v>2121</v>
      </c>
      <c r="F67" s="395" t="s">
        <v>3536</v>
      </c>
      <c r="G67" s="454"/>
      <c r="H67" s="524"/>
      <c r="I67" s="499"/>
      <c r="J67" s="499">
        <v>555000</v>
      </c>
      <c r="K67" s="491">
        <f>+K66+Tableau15356789101112131625236924[[#This Row],[RECETTE]]-Tableau15356789101112131625236924[[#This Row],[DÉPENSE]]</f>
        <v>1529236</v>
      </c>
      <c r="L67" s="399">
        <f ca="1">+IF($B67="","",SUMIFS(INDIRECT("$K$7:K"&amp;ROW()),INDIRECT("$B$7:B"&amp;ROW()),Tableau15356789101112131625236924[[#This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8169875</v>
      </c>
      <c r="M67" s="546"/>
      <c r="P67" s="368"/>
      <c r="Q67" s="368"/>
      <c r="R67" s="368"/>
    </row>
    <row r="68" spans="1:18" ht="15" x14ac:dyDescent="0.3">
      <c r="A68" s="391" t="s">
        <v>2660</v>
      </c>
      <c r="B68" s="392" t="s">
        <v>2678</v>
      </c>
      <c r="C68" s="393">
        <v>45995</v>
      </c>
      <c r="D6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8" s="395" t="s">
        <v>3349</v>
      </c>
      <c r="F68" s="395" t="s">
        <v>3537</v>
      </c>
      <c r="G68" s="454"/>
      <c r="H68" s="524"/>
      <c r="I68" s="499"/>
      <c r="J68" s="499">
        <v>3000</v>
      </c>
      <c r="K68" s="491">
        <f>+K67+Tableau15356789101112131625236924[[#This Row],[RECETTE]]-Tableau15356789101112131625236924[[#This Row],[DÉPENSE]]</f>
        <v>1526236</v>
      </c>
      <c r="L68" s="399">
        <f ca="1">+IF($B68="","",SUMIFS(INDIRECT("$K$7:K"&amp;ROW()),INDIRECT("$B$7:B"&amp;ROW()),Tableau15356789101112131625236924[[#This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8629360</v>
      </c>
      <c r="M68" s="546"/>
      <c r="P68" s="368"/>
      <c r="Q68" s="368"/>
      <c r="R68" s="368"/>
    </row>
    <row r="69" spans="1:18" ht="15" x14ac:dyDescent="0.3">
      <c r="A69" s="391" t="s">
        <v>2660</v>
      </c>
      <c r="B69" s="392" t="s">
        <v>2678</v>
      </c>
      <c r="C69" s="393">
        <v>45995</v>
      </c>
      <c r="D6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69" s="395" t="s">
        <v>3538</v>
      </c>
      <c r="F69" s="395" t="s">
        <v>3539</v>
      </c>
      <c r="G69" s="454"/>
      <c r="H69" s="524" t="s">
        <v>2876</v>
      </c>
      <c r="I69" s="499"/>
      <c r="J69" s="499">
        <v>500000</v>
      </c>
      <c r="K69" s="491">
        <f>+K68+Tableau15356789101112131625236924[[#This Row],[RECETTE]]-Tableau15356789101112131625236924[[#This Row],[DÉPENSE]]</f>
        <v>1026236</v>
      </c>
      <c r="L69" s="399">
        <f ca="1">+IF($B69="","",SUMIFS(INDIRECT("$K$7:K"&amp;ROW()),INDIRECT("$B$7:B"&amp;ROW()),Tableau15356789101112131625236924[[#This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9588845</v>
      </c>
      <c r="M69" s="546" t="s">
        <v>3540</v>
      </c>
      <c r="P69" s="368"/>
      <c r="Q69" s="368"/>
      <c r="R69" s="368"/>
    </row>
    <row r="70" spans="1:18" ht="15" x14ac:dyDescent="0.3">
      <c r="A70" s="391" t="s">
        <v>2660</v>
      </c>
      <c r="B70" s="392" t="s">
        <v>2678</v>
      </c>
      <c r="C70" s="393">
        <v>45995</v>
      </c>
      <c r="D7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0" s="395" t="s">
        <v>3541</v>
      </c>
      <c r="F70" s="395" t="s">
        <v>3542</v>
      </c>
      <c r="G70" s="454"/>
      <c r="H70" s="524"/>
      <c r="I70" s="499"/>
      <c r="J70" s="499">
        <v>16865</v>
      </c>
      <c r="K70" s="491">
        <f>+K69+Tableau15356789101112131625236924[[#This Row],[RECETTE]]-Tableau15356789101112131625236924[[#This Row],[DÉPENSE]]</f>
        <v>1009371</v>
      </c>
      <c r="L70" s="399">
        <f ca="1">+IF($B70="","",SUMIFS(INDIRECT("$K$7:K"&amp;ROW()),INDIRECT("$B$7:B"&amp;ROW()),Tableau15356789101112131625236924[[#This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10565195</v>
      </c>
      <c r="M70" s="546"/>
      <c r="P70" s="368"/>
      <c r="Q70" s="368"/>
      <c r="R70" s="368"/>
    </row>
    <row r="71" spans="1:18" ht="15" x14ac:dyDescent="0.3">
      <c r="A71" s="391" t="s">
        <v>2660</v>
      </c>
      <c r="B71" s="392" t="s">
        <v>2678</v>
      </c>
      <c r="C71" s="393">
        <v>45995</v>
      </c>
      <c r="D7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1" s="395" t="s">
        <v>3349</v>
      </c>
      <c r="F71" s="395" t="s">
        <v>3543</v>
      </c>
      <c r="G71" s="454"/>
      <c r="H71" s="524"/>
      <c r="I71" s="499"/>
      <c r="J71" s="499">
        <v>3000</v>
      </c>
      <c r="K71" s="491">
        <f>+K70+Tableau15356789101112131625236924[[#This Row],[RECETTE]]-Tableau15356789101112131625236924[[#This Row],[DÉPENSE]]</f>
        <v>1006371</v>
      </c>
      <c r="L71" s="399">
        <f ca="1">+IF($B71="","",SUMIFS(INDIRECT("$K$7:K"&amp;ROW()),INDIRECT("$B$7:B"&amp;ROW()),Tableau15356789101112131625236924[[#This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11544545</v>
      </c>
      <c r="M71" s="546"/>
      <c r="P71" s="368"/>
      <c r="Q71" s="368"/>
      <c r="R71" s="368"/>
    </row>
    <row r="72" spans="1:18" ht="15" x14ac:dyDescent="0.3">
      <c r="A72" s="391" t="s">
        <v>2660</v>
      </c>
      <c r="B72" s="392" t="s">
        <v>2678</v>
      </c>
      <c r="C72" s="393">
        <v>45995</v>
      </c>
      <c r="D7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2" s="395" t="s">
        <v>3544</v>
      </c>
      <c r="F72" s="395" t="s">
        <v>3545</v>
      </c>
      <c r="G72" s="454"/>
      <c r="H72" s="524"/>
      <c r="I72" s="499"/>
      <c r="J72" s="499">
        <v>295000</v>
      </c>
      <c r="K72" s="491">
        <f>+K71+Tableau15356789101112131625236924[[#This Row],[RECETTE]]-Tableau15356789101112131625236924[[#This Row],[DÉPENSE]]</f>
        <v>711371</v>
      </c>
      <c r="L72" s="399">
        <f ca="1">+IF($B72="","",SUMIFS(INDIRECT("$K$7:K"&amp;ROW()),INDIRECT("$B$7:B"&amp;ROW()),Tableau15356789101112131625236924[[#This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12818895</v>
      </c>
      <c r="M72" s="546"/>
      <c r="P72" s="368"/>
      <c r="Q72" s="368"/>
      <c r="R72" s="368"/>
    </row>
    <row r="73" spans="1:18" ht="15" x14ac:dyDescent="0.3">
      <c r="A73" s="391" t="s">
        <v>2660</v>
      </c>
      <c r="B73" s="392" t="s">
        <v>2678</v>
      </c>
      <c r="C73" s="393">
        <v>45995</v>
      </c>
      <c r="D7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3" s="395" t="s">
        <v>3515</v>
      </c>
      <c r="F73" s="395" t="s">
        <v>3546</v>
      </c>
      <c r="G73" s="454"/>
      <c r="H73" s="524"/>
      <c r="I73" s="499"/>
      <c r="J73" s="499">
        <v>10000</v>
      </c>
      <c r="K73" s="491">
        <f>+K72+Tableau15356789101112131625236924[[#This Row],[RECETTE]]-Tableau15356789101112131625236924[[#This Row],[DÉPENSE]]</f>
        <v>701371</v>
      </c>
      <c r="L73" s="399">
        <f ca="1">+IF($B73="","",SUMIFS(INDIRECT("$K$7:K"&amp;ROW()),INDIRECT("$B$7:B"&amp;ROW()),Tableau15356789101112131625236924[[#This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14103245</v>
      </c>
      <c r="M73" s="546"/>
      <c r="P73" s="368"/>
      <c r="Q73" s="368"/>
      <c r="R73" s="368"/>
    </row>
    <row r="74" spans="1:18" ht="15" x14ac:dyDescent="0.3">
      <c r="A74" s="391" t="s">
        <v>2660</v>
      </c>
      <c r="B74" s="392" t="s">
        <v>2678</v>
      </c>
      <c r="C74" s="393">
        <v>45995</v>
      </c>
      <c r="D7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4" s="395" t="s">
        <v>2813</v>
      </c>
      <c r="F74" s="395" t="s">
        <v>3547</v>
      </c>
      <c r="G74" s="454"/>
      <c r="H74" s="524" t="s">
        <v>2811</v>
      </c>
      <c r="I74" s="499"/>
      <c r="J74" s="499">
        <v>25250</v>
      </c>
      <c r="K74" s="491">
        <f>+K73+Tableau15356789101112131625236924[[#This Row],[RECETTE]]-Tableau15356789101112131625236924[[#This Row],[DÉPENSE]]</f>
        <v>676121</v>
      </c>
      <c r="L74" s="399">
        <f ca="1">+IF($B74="","",SUMIFS(INDIRECT("$K$7:K"&amp;ROW()),INDIRECT("$B$7:B"&amp;ROW()),Tableau15356789101112131625236924[[#This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15412845</v>
      </c>
      <c r="M74" s="546"/>
      <c r="P74" s="368"/>
      <c r="Q74" s="368"/>
      <c r="R74" s="368"/>
    </row>
    <row r="75" spans="1:18" ht="15" x14ac:dyDescent="0.3">
      <c r="A75" s="391"/>
      <c r="B75" s="392"/>
      <c r="C75" s="393">
        <v>45996</v>
      </c>
      <c r="D7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5" s="395" t="s">
        <v>2951</v>
      </c>
      <c r="F75" s="395" t="s">
        <v>3548</v>
      </c>
      <c r="G75" s="454"/>
      <c r="H75" s="524"/>
      <c r="I75" s="499"/>
      <c r="J75" s="499">
        <v>60000</v>
      </c>
      <c r="K75" s="491">
        <f>+K74+Tableau15356789101112131625236924[[#This Row],[RECETTE]]-Tableau15356789101112131625236924[[#This Row],[DÉPENSE]]</f>
        <v>616121</v>
      </c>
      <c r="L75" s="399" t="str">
        <f ca="1">+IF($B75="","",SUMIFS(INDIRECT("$K$7:K"&amp;ROW()),INDIRECT("$B$7:B"&amp;ROW()),Tableau15356789101112131625236924[[#This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75" s="546"/>
      <c r="P75" s="368"/>
      <c r="Q75" s="368"/>
      <c r="R75" s="368"/>
    </row>
    <row r="76" spans="1:18" ht="15" x14ac:dyDescent="0.3">
      <c r="A76" s="391"/>
      <c r="B76" s="392"/>
      <c r="C76" s="393">
        <v>45996</v>
      </c>
      <c r="D7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6" s="395" t="s">
        <v>3515</v>
      </c>
      <c r="F76" s="395" t="s">
        <v>3155</v>
      </c>
      <c r="G76" s="454"/>
      <c r="H76" s="524"/>
      <c r="I76" s="499"/>
      <c r="J76" s="499">
        <v>1500</v>
      </c>
      <c r="K76" s="491">
        <f>+K75+Tableau15356789101112131625236924[[#This Row],[RECETTE]]-Tableau15356789101112131625236924[[#This Row],[DÉPENSE]]</f>
        <v>614621</v>
      </c>
      <c r="L76" s="399" t="str">
        <f ca="1">+IF($B76="","",SUMIFS(INDIRECT("$K$7:K"&amp;ROW()),INDIRECT("$B$7:B"&amp;ROW()),Tableau15356789101112131625236924[[#This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76" s="546"/>
      <c r="P76" s="368"/>
      <c r="Q76" s="368"/>
      <c r="R76" s="368"/>
    </row>
    <row r="77" spans="1:18" ht="15" x14ac:dyDescent="0.3">
      <c r="A77" s="391" t="s">
        <v>2660</v>
      </c>
      <c r="B77" s="392" t="s">
        <v>2678</v>
      </c>
      <c r="C77" s="393">
        <v>45996</v>
      </c>
      <c r="D7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77" s="395" t="s">
        <v>2679</v>
      </c>
      <c r="F77" s="395" t="s">
        <v>3549</v>
      </c>
      <c r="G77" s="454"/>
      <c r="H77" s="524"/>
      <c r="I77" s="499">
        <v>3250000</v>
      </c>
      <c r="J77" s="499"/>
      <c r="K77" s="491">
        <f>+K76+Tableau15356789101112131625236924[[#This Row],[RECETTE]]-Tableau15356789101112131625236924[[#This Row],[DÉPENSE]]</f>
        <v>3864621</v>
      </c>
      <c r="L77" s="399">
        <f ca="1">+IF($B77="","",SUMIFS(INDIRECT("$K$7:K"&amp;ROW()),INDIRECT("$B$7:B"&amp;ROW()),Tableau15356789101112131625236924[[#This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15412845</v>
      </c>
      <c r="M77" s="546"/>
      <c r="P77" s="368"/>
      <c r="Q77" s="368"/>
      <c r="R77" s="368"/>
    </row>
    <row r="78" spans="1:18" ht="15" x14ac:dyDescent="0.3">
      <c r="A78" s="391" t="s">
        <v>2660</v>
      </c>
      <c r="B78" s="392" t="s">
        <v>2678</v>
      </c>
      <c r="C78" s="393">
        <v>45996</v>
      </c>
      <c r="D7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8" s="395" t="s">
        <v>3179</v>
      </c>
      <c r="F78" s="395" t="s">
        <v>3550</v>
      </c>
      <c r="G78" s="454"/>
      <c r="H78" s="524" t="s">
        <v>2959</v>
      </c>
      <c r="I78" s="499"/>
      <c r="J78" s="499">
        <v>30300</v>
      </c>
      <c r="K78" s="491">
        <f>+K77+Tableau15356789101112131625236924[[#This Row],[RECETTE]]-Tableau15356789101112131625236924[[#This Row],[DÉPENSE]]</f>
        <v>3834321</v>
      </c>
      <c r="L78" s="399">
        <f ca="1">+IF($B78="","",SUMIFS(INDIRECT("$K$7:K"&amp;ROW()),INDIRECT("$B$7:B"&amp;ROW()),Tableau15356789101112131625236924[[#This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13564245</v>
      </c>
      <c r="M78" s="546"/>
      <c r="P78" s="368"/>
      <c r="Q78" s="368"/>
      <c r="R78" s="368"/>
    </row>
    <row r="79" spans="1:18" ht="15" x14ac:dyDescent="0.3">
      <c r="A79" s="391" t="s">
        <v>2660</v>
      </c>
      <c r="B79" s="392" t="s">
        <v>2678</v>
      </c>
      <c r="C79" s="393">
        <v>45996</v>
      </c>
      <c r="D7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79" s="395" t="s">
        <v>3439</v>
      </c>
      <c r="F79" s="395" t="s">
        <v>3551</v>
      </c>
      <c r="G79" s="454"/>
      <c r="H79" s="524"/>
      <c r="I79" s="499"/>
      <c r="J79" s="499">
        <v>373700</v>
      </c>
      <c r="K79" s="491">
        <f>+K78+Tableau15356789101112131625236924[[#This Row],[RECETTE]]-Tableau15356789101112131625236924[[#This Row],[DÉPENSE]]</f>
        <v>3460621</v>
      </c>
      <c r="L79" s="399">
        <f ca="1">+IF($B79="","",SUMIFS(INDIRECT("$K$7:K"&amp;ROW()),INDIRECT("$B$7:B"&amp;ROW()),Tableau15356789101112131625236924[[#This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12089345</v>
      </c>
      <c r="M79" s="546"/>
      <c r="P79" s="368"/>
      <c r="Q79" s="368"/>
      <c r="R79" s="368"/>
    </row>
    <row r="80" spans="1:18" ht="15" x14ac:dyDescent="0.3">
      <c r="A80" s="391" t="s">
        <v>2660</v>
      </c>
      <c r="B80" s="392" t="s">
        <v>2678</v>
      </c>
      <c r="C80" s="393">
        <v>45996</v>
      </c>
      <c r="D8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0" s="395" t="s">
        <v>3552</v>
      </c>
      <c r="F80" s="395" t="s">
        <v>3553</v>
      </c>
      <c r="G80" s="454"/>
      <c r="H80" s="524"/>
      <c r="I80" s="499"/>
      <c r="J80" s="499">
        <v>404000</v>
      </c>
      <c r="K80" s="491">
        <f>+K79+Tableau15356789101112131625236924[[#This Row],[RECETTE]]-Tableau15356789101112131625236924[[#This Row],[DÉPENSE]]</f>
        <v>3056621</v>
      </c>
      <c r="L80" s="399">
        <f ca="1">+IF($B80="","",SUMIFS(INDIRECT("$K$7:K"&amp;ROW()),INDIRECT("$B$7:B"&amp;ROW()),Tableau15356789101112131625236924[[#This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11018445</v>
      </c>
      <c r="M80" s="546" t="s">
        <v>3554</v>
      </c>
      <c r="P80" s="368"/>
      <c r="Q80" s="368"/>
      <c r="R80" s="368"/>
    </row>
    <row r="81" spans="1:18" ht="15" x14ac:dyDescent="0.3">
      <c r="A81" s="391" t="s">
        <v>2660</v>
      </c>
      <c r="B81" s="392" t="s">
        <v>2678</v>
      </c>
      <c r="C81" s="393">
        <v>45996</v>
      </c>
      <c r="D8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1" s="395" t="s">
        <v>3555</v>
      </c>
      <c r="F81" s="395" t="s">
        <v>3556</v>
      </c>
      <c r="G81" s="454"/>
      <c r="H81" s="524"/>
      <c r="I81" s="499"/>
      <c r="J81" s="499">
        <v>143420</v>
      </c>
      <c r="K81" s="491">
        <f>+K80+Tableau15356789101112131625236924[[#This Row],[RECETTE]]-Tableau15356789101112131625236924[[#This Row],[DÉPENSE]]</f>
        <v>2913201</v>
      </c>
      <c r="L81" s="399">
        <f ca="1">+IF($B81="","",SUMIFS(INDIRECT("$K$7:K"&amp;ROW()),INDIRECT("$B$7:B"&amp;ROW()),Tableau15356789101112131625236924[[#This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10090965</v>
      </c>
      <c r="M81" s="546"/>
      <c r="P81" s="368"/>
      <c r="Q81" s="368"/>
      <c r="R81" s="368"/>
    </row>
    <row r="82" spans="1:18" ht="15" x14ac:dyDescent="0.3">
      <c r="A82" s="391" t="s">
        <v>2660</v>
      </c>
      <c r="B82" s="392" t="s">
        <v>2678</v>
      </c>
      <c r="C82" s="393">
        <v>45996</v>
      </c>
      <c r="D8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2" s="395" t="s">
        <v>3439</v>
      </c>
      <c r="F82" s="395" t="s">
        <v>3557</v>
      </c>
      <c r="G82" s="454"/>
      <c r="H82" s="524"/>
      <c r="I82" s="499"/>
      <c r="J82" s="499">
        <v>30000</v>
      </c>
      <c r="K82" s="491">
        <f>+K81+Tableau15356789101112131625236924[[#This Row],[RECETTE]]-Tableau15356789101112131625236924[[#This Row],[DÉPENSE]]</f>
        <v>2883201</v>
      </c>
      <c r="L82" s="399">
        <f ca="1">+IF($B82="","",SUMIFS(INDIRECT("$K$7:K"&amp;ROW()),INDIRECT("$B$7:B"&amp;ROW()),Tableau15356789101112131625236924[[#This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9193485</v>
      </c>
      <c r="M82" s="546"/>
      <c r="P82" s="368"/>
      <c r="Q82" s="368"/>
      <c r="R82" s="368"/>
    </row>
    <row r="83" spans="1:18" ht="15" x14ac:dyDescent="0.3">
      <c r="A83" s="391" t="s">
        <v>2660</v>
      </c>
      <c r="B83" s="392" t="s">
        <v>2678</v>
      </c>
      <c r="C83" s="393">
        <v>45996</v>
      </c>
      <c r="D8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3" s="395" t="s">
        <v>3558</v>
      </c>
      <c r="F83" s="395" t="s">
        <v>3559</v>
      </c>
      <c r="G83" s="454"/>
      <c r="H83" s="524" t="s">
        <v>2876</v>
      </c>
      <c r="I83" s="499"/>
      <c r="J83" s="499">
        <v>256000</v>
      </c>
      <c r="K83" s="491">
        <f>+K82+Tableau15356789101112131625236924[[#This Row],[RECETTE]]-Tableau15356789101112131625236924[[#This Row],[DÉPENSE]]</f>
        <v>2627201</v>
      </c>
      <c r="L83" s="399">
        <f ca="1">+IF($B83="","",SUMIFS(INDIRECT("$K$7:K"&amp;ROW()),INDIRECT("$B$7:B"&amp;ROW()),Tableau15356789101112131625236924[[#This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8552005</v>
      </c>
      <c r="M83" s="546"/>
      <c r="P83" s="368"/>
      <c r="Q83" s="368"/>
      <c r="R83" s="368"/>
    </row>
    <row r="84" spans="1:18" ht="15" x14ac:dyDescent="0.3">
      <c r="A84" s="391" t="s">
        <v>2660</v>
      </c>
      <c r="B84" s="392" t="s">
        <v>2678</v>
      </c>
      <c r="C84" s="393">
        <v>45996</v>
      </c>
      <c r="D8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4" s="395" t="s">
        <v>2764</v>
      </c>
      <c r="F84" s="395" t="s">
        <v>3560</v>
      </c>
      <c r="G84" s="454"/>
      <c r="H84" s="524"/>
      <c r="I84" s="499"/>
      <c r="J84" s="499">
        <v>96500</v>
      </c>
      <c r="K84" s="491">
        <f>+K83+Tableau15356789101112131625236924[[#This Row],[RECETTE]]-Tableau15356789101112131625236924[[#This Row],[DÉPENSE]]</f>
        <v>2530701</v>
      </c>
      <c r="L84" s="399">
        <f ca="1">+IF($B84="","",SUMIFS(INDIRECT("$K$7:K"&amp;ROW()),INDIRECT("$B$7:B"&amp;ROW()),Tableau15356789101112131625236924[[#This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8007025</v>
      </c>
      <c r="M84" s="546"/>
      <c r="P84" s="368"/>
      <c r="Q84" s="368"/>
      <c r="R84" s="368"/>
    </row>
    <row r="85" spans="1:18" ht="15" x14ac:dyDescent="0.3">
      <c r="A85" s="391" t="s">
        <v>2660</v>
      </c>
      <c r="B85" s="392" t="s">
        <v>2678</v>
      </c>
      <c r="C85" s="393">
        <v>45996</v>
      </c>
      <c r="D8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5" s="395" t="s">
        <v>2727</v>
      </c>
      <c r="F85" s="395" t="s">
        <v>2879</v>
      </c>
      <c r="G85" s="454"/>
      <c r="H85" s="524" t="s">
        <v>2729</v>
      </c>
      <c r="I85" s="499"/>
      <c r="J85" s="499">
        <v>20000</v>
      </c>
      <c r="K85" s="491">
        <f>+K84+Tableau15356789101112131625236924[[#This Row],[RECETTE]]-Tableau15356789101112131625236924[[#This Row],[DÉPENSE]]</f>
        <v>2510701</v>
      </c>
      <c r="L85" s="399">
        <f ca="1">+IF($B85="","",SUMIFS(INDIRECT("$K$7:K"&amp;ROW()),INDIRECT("$B$7:B"&amp;ROW()),Tableau15356789101112131625236924[[#This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7482045</v>
      </c>
      <c r="M85" s="546"/>
      <c r="P85" s="368"/>
      <c r="Q85" s="368"/>
      <c r="R85" s="368"/>
    </row>
    <row r="86" spans="1:18" ht="15" x14ac:dyDescent="0.3">
      <c r="A86" s="391" t="s">
        <v>2660</v>
      </c>
      <c r="B86" s="392" t="s">
        <v>2678</v>
      </c>
      <c r="C86" s="393">
        <v>45996</v>
      </c>
      <c r="D8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6" s="395" t="s">
        <v>2863</v>
      </c>
      <c r="F86" s="395" t="s">
        <v>3561</v>
      </c>
      <c r="G86" s="454"/>
      <c r="H86" s="524" t="s">
        <v>2698</v>
      </c>
      <c r="I86" s="499"/>
      <c r="J86" s="499">
        <v>10100</v>
      </c>
      <c r="K86" s="491">
        <f>+K85+Tableau15356789101112131625236924[[#This Row],[RECETTE]]-Tableau15356789101112131625236924[[#This Row],[DÉPENSE]]</f>
        <v>2500601</v>
      </c>
      <c r="L86" s="399">
        <f ca="1">+IF($B86="","",SUMIFS(INDIRECT("$K$7:K"&amp;ROW()),INDIRECT("$B$7:B"&amp;ROW()),Tableau15356789101112131625236924[[#This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6967165</v>
      </c>
      <c r="M86" s="546"/>
      <c r="P86" s="368"/>
      <c r="Q86" s="368"/>
      <c r="R86" s="368"/>
    </row>
    <row r="87" spans="1:18" ht="15" x14ac:dyDescent="0.3">
      <c r="A87" s="391" t="s">
        <v>2660</v>
      </c>
      <c r="B87" s="392" t="s">
        <v>2678</v>
      </c>
      <c r="C87" s="393">
        <v>45996</v>
      </c>
      <c r="D8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7" s="395" t="s">
        <v>3562</v>
      </c>
      <c r="F87" s="395" t="s">
        <v>3563</v>
      </c>
      <c r="G87" s="454"/>
      <c r="H87" s="524"/>
      <c r="I87" s="499"/>
      <c r="J87" s="499">
        <v>151500</v>
      </c>
      <c r="K87" s="491">
        <f>+K86+Tableau15356789101112131625236924[[#This Row],[RECETTE]]-Tableau15356789101112131625236924[[#This Row],[DÉPENSE]]</f>
        <v>2349101</v>
      </c>
      <c r="L87" s="399">
        <f ca="1">+IF($B87="","",SUMIFS(INDIRECT("$K$7:K"&amp;ROW()),INDIRECT("$B$7:B"&amp;ROW()),Tableau15356789101112131625236924[[#This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6603785</v>
      </c>
      <c r="M87" s="546"/>
      <c r="P87" s="368"/>
      <c r="Q87" s="368"/>
      <c r="R87" s="368"/>
    </row>
    <row r="88" spans="1:18" ht="15" x14ac:dyDescent="0.3">
      <c r="A88" s="391" t="s">
        <v>2660</v>
      </c>
      <c r="B88" s="392" t="s">
        <v>2678</v>
      </c>
      <c r="C88" s="393">
        <v>45996</v>
      </c>
      <c r="D8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8" s="395" t="s">
        <v>2764</v>
      </c>
      <c r="F88" s="395" t="s">
        <v>3564</v>
      </c>
      <c r="G88" s="454"/>
      <c r="H88" s="524"/>
      <c r="I88" s="499"/>
      <c r="J88" s="499">
        <v>1415</v>
      </c>
      <c r="K88" s="491">
        <f>+K87+Tableau15356789101112131625236924[[#This Row],[RECETTE]]-Tableau15356789101112131625236924[[#This Row],[DÉPENSE]]</f>
        <v>2347686</v>
      </c>
      <c r="L88" s="399">
        <f ca="1">+IF($B88="","",SUMIFS(INDIRECT("$K$7:K"&amp;ROW()),INDIRECT("$B$7:B"&amp;ROW()),Tableau15356789101112131625236924[[#This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6241820</v>
      </c>
      <c r="M88" s="546"/>
      <c r="P88" s="368"/>
      <c r="Q88" s="368"/>
      <c r="R88" s="368"/>
    </row>
    <row r="89" spans="1:18" ht="15" x14ac:dyDescent="0.3">
      <c r="A89" s="391" t="s">
        <v>2660</v>
      </c>
      <c r="B89" s="392" t="s">
        <v>2678</v>
      </c>
      <c r="C89" s="393">
        <v>45996</v>
      </c>
      <c r="D8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89" s="395" t="s">
        <v>3541</v>
      </c>
      <c r="F89" s="395" t="s">
        <v>3565</v>
      </c>
      <c r="G89" s="454"/>
      <c r="H89" s="524"/>
      <c r="I89" s="499"/>
      <c r="J89" s="499">
        <v>123625</v>
      </c>
      <c r="K89" s="491">
        <f>+K88+Tableau15356789101112131625236924[[#This Row],[RECETTE]]-Tableau15356789101112131625236924[[#This Row],[DÉPENSE]]</f>
        <v>2224061</v>
      </c>
      <c r="L89" s="399">
        <f ca="1">+IF($B89="","",SUMIFS(INDIRECT("$K$7:K"&amp;ROW()),INDIRECT("$B$7:B"&amp;ROW()),Tableau15356789101112131625236924[[#This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6003480</v>
      </c>
      <c r="M89" s="546"/>
      <c r="P89" s="368"/>
      <c r="Q89" s="368"/>
      <c r="R89" s="368"/>
    </row>
    <row r="90" spans="1:18" ht="15" x14ac:dyDescent="0.3">
      <c r="A90" s="391" t="s">
        <v>2660</v>
      </c>
      <c r="B90" s="392" t="s">
        <v>2678</v>
      </c>
      <c r="C90" s="393">
        <v>45996</v>
      </c>
      <c r="D9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0" s="395" t="s">
        <v>3349</v>
      </c>
      <c r="F90" s="395" t="s">
        <v>3566</v>
      </c>
      <c r="G90" s="454"/>
      <c r="H90" s="524"/>
      <c r="I90" s="499"/>
      <c r="J90" s="499">
        <v>3030</v>
      </c>
      <c r="K90" s="491">
        <f>+K89+Tableau15356789101112131625236924[[#This Row],[RECETTE]]-Tableau15356789101112131625236924[[#This Row],[DÉPENSE]]</f>
        <v>2221031</v>
      </c>
      <c r="L90" s="399">
        <f ca="1">+IF($B90="","",SUMIFS(INDIRECT("$K$7:K"&amp;ROW()),INDIRECT("$B$7:B"&amp;ROW()),Tableau15356789101112131625236924[[#This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5768170</v>
      </c>
      <c r="M90" s="546"/>
      <c r="P90" s="368"/>
      <c r="Q90" s="368"/>
      <c r="R90" s="368"/>
    </row>
    <row r="91" spans="1:18" ht="15" x14ac:dyDescent="0.3">
      <c r="A91" s="391" t="s">
        <v>2660</v>
      </c>
      <c r="B91" s="392" t="s">
        <v>2678</v>
      </c>
      <c r="C91" s="393">
        <v>45996</v>
      </c>
      <c r="D9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1" s="395" t="s">
        <v>2694</v>
      </c>
      <c r="F91" s="395" t="s">
        <v>3567</v>
      </c>
      <c r="G91" s="454"/>
      <c r="H91" s="524"/>
      <c r="I91" s="499"/>
      <c r="J91" s="499">
        <v>76335</v>
      </c>
      <c r="K91" s="491">
        <f>+K90+Tableau15356789101112131625236924[[#This Row],[RECETTE]]-Tableau15356789101112131625236924[[#This Row],[DÉPENSE]]</f>
        <v>2144696</v>
      </c>
      <c r="L91" s="399">
        <f ca="1">+IF($B91="","",SUMIFS(INDIRECT("$K$7:K"&amp;ROW()),INDIRECT("$B$7:B"&amp;ROW()),Tableau15356789101112131625236924[[#This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5609195</v>
      </c>
      <c r="M91" s="546"/>
      <c r="P91" s="368"/>
      <c r="Q91" s="368"/>
      <c r="R91" s="368"/>
    </row>
    <row r="92" spans="1:18" s="412" customFormat="1" ht="15" x14ac:dyDescent="0.3">
      <c r="A92" s="514" t="s">
        <v>2660</v>
      </c>
      <c r="B92" s="515" t="s">
        <v>2678</v>
      </c>
      <c r="C92" s="406">
        <v>45996</v>
      </c>
      <c r="D9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2" s="408" t="s">
        <v>2896</v>
      </c>
      <c r="F92" s="408" t="s">
        <v>3568</v>
      </c>
      <c r="G92" s="418"/>
      <c r="H92" s="522"/>
      <c r="I92" s="513"/>
      <c r="J92" s="513">
        <v>130290</v>
      </c>
      <c r="K92" s="491">
        <f>+K91+Tableau15356789101112131625236924[[#This Row],[RECETTE]]-Tableau15356789101112131625236924[[#This Row],[DÉPENSE]]</f>
        <v>2014406</v>
      </c>
      <c r="L92" s="431">
        <f ca="1">+IF($B92="","",SUMIFS(INDIRECT("$K$7:K"&amp;ROW()),INDIRECT("$B$7:B"&amp;ROW()),Tableau15356789101112131625236924[[#This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5580510</v>
      </c>
      <c r="M92" s="547"/>
    </row>
    <row r="93" spans="1:18" ht="15" x14ac:dyDescent="0.3">
      <c r="A93" s="391" t="s">
        <v>2660</v>
      </c>
      <c r="B93" s="392" t="s">
        <v>2678</v>
      </c>
      <c r="C93" s="393">
        <v>45996</v>
      </c>
      <c r="D9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3" s="395" t="s">
        <v>2683</v>
      </c>
      <c r="F93" s="395" t="s">
        <v>3569</v>
      </c>
      <c r="G93" s="454"/>
      <c r="H93" s="524" t="s">
        <v>2685</v>
      </c>
      <c r="I93" s="499"/>
      <c r="J93" s="499">
        <v>302495</v>
      </c>
      <c r="K93" s="491">
        <f>+K92+Tableau15356789101112131625236924[[#This Row],[RECETTE]]-Tableau15356789101112131625236924[[#This Row],[DÉPENSE]]</f>
        <v>1711911</v>
      </c>
      <c r="L93" s="399">
        <f ca="1">+IF($B93="","",SUMIFS(INDIRECT("$K$7:K"&amp;ROW()),INDIRECT("$B$7:B"&amp;ROW()),Tableau15356789101112131625236924[[#This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5854320</v>
      </c>
      <c r="M93" s="546"/>
      <c r="P93" s="368"/>
      <c r="Q93" s="368"/>
      <c r="R93" s="368"/>
    </row>
    <row r="94" spans="1:18" ht="15" x14ac:dyDescent="0.3">
      <c r="A94" s="391" t="s">
        <v>2660</v>
      </c>
      <c r="B94" s="392" t="s">
        <v>2678</v>
      </c>
      <c r="C94" s="393">
        <v>45996</v>
      </c>
      <c r="D9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4" s="395" t="s">
        <v>2747</v>
      </c>
      <c r="F94" s="395" t="s">
        <v>2748</v>
      </c>
      <c r="G94" s="454"/>
      <c r="H94" s="524"/>
      <c r="I94" s="499"/>
      <c r="J94" s="499">
        <v>5050</v>
      </c>
      <c r="K94" s="491">
        <f>+K93+Tableau15356789101112131625236924[[#This Row],[RECETTE]]-Tableau15356789101112131625236924[[#This Row],[DÉPENSE]]</f>
        <v>1706861</v>
      </c>
      <c r="L94" s="399">
        <f ca="1">+IF($B94="","",SUMIFS(INDIRECT("$K$7:K"&amp;ROW()),INDIRECT("$B$7:B"&amp;ROW()),Tableau15356789101112131625236924[[#This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6133180</v>
      </c>
      <c r="M94" s="546"/>
      <c r="P94" s="368"/>
      <c r="Q94" s="368"/>
      <c r="R94" s="368"/>
    </row>
    <row r="95" spans="1:18" ht="15" x14ac:dyDescent="0.3">
      <c r="A95" s="391" t="s">
        <v>2660</v>
      </c>
      <c r="B95" s="392" t="s">
        <v>2678</v>
      </c>
      <c r="C95" s="393">
        <v>45997</v>
      </c>
      <c r="D9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5" s="408" t="s">
        <v>2686</v>
      </c>
      <c r="F95" s="408" t="s">
        <v>2706</v>
      </c>
      <c r="G95" s="454"/>
      <c r="H95" s="522"/>
      <c r="I95" s="513"/>
      <c r="J95" s="513">
        <v>10100</v>
      </c>
      <c r="K95" s="491">
        <f>+K94+Tableau15356789101112131625236924[[#This Row],[RECETTE]]-Tableau15356789101112131625236924[[#This Row],[DÉPENSE]]</f>
        <v>1696761</v>
      </c>
      <c r="L95" s="399">
        <f ca="1">+IF($B95="","",SUMIFS(INDIRECT("$K$7:K"&amp;ROW()),INDIRECT("$B$7:B"&amp;ROW()),Tableau15356789101112131625236924[[#This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6422140</v>
      </c>
      <c r="M95" s="547"/>
      <c r="P95" s="368"/>
      <c r="Q95" s="368"/>
      <c r="R95" s="368"/>
    </row>
    <row r="96" spans="1:18" ht="15" x14ac:dyDescent="0.3">
      <c r="A96" s="391" t="s">
        <v>2660</v>
      </c>
      <c r="B96" s="392" t="s">
        <v>2678</v>
      </c>
      <c r="C96" s="393">
        <v>45997</v>
      </c>
      <c r="D9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6" s="395" t="s">
        <v>3570</v>
      </c>
      <c r="F96" s="395" t="s">
        <v>3571</v>
      </c>
      <c r="G96" s="454"/>
      <c r="H96" s="524" t="s">
        <v>2698</v>
      </c>
      <c r="I96" s="499"/>
      <c r="J96" s="499">
        <v>105040</v>
      </c>
      <c r="K96" s="491">
        <f>+K95+Tableau15356789101112131625236924[[#This Row],[RECETTE]]-Tableau15356789101112131625236924[[#This Row],[DÉPENSE]]</f>
        <v>1591721</v>
      </c>
      <c r="L96" s="399">
        <f ca="1">+IF($B96="","",SUMIFS(INDIRECT("$K$7:K"&amp;ROW()),INDIRECT("$B$7:B"&amp;ROW()),Tableau15356789101112131625236924[[#This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6816140</v>
      </c>
      <c r="M96" s="546"/>
      <c r="P96" s="368"/>
      <c r="Q96" s="368"/>
      <c r="R96" s="368"/>
    </row>
    <row r="97" spans="1:18" ht="15" x14ac:dyDescent="0.3">
      <c r="A97" s="391" t="s">
        <v>2660</v>
      </c>
      <c r="B97" s="392" t="s">
        <v>2678</v>
      </c>
      <c r="C97" s="393">
        <v>45997</v>
      </c>
      <c r="D9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7" s="395" t="s">
        <v>3439</v>
      </c>
      <c r="F97" s="395" t="s">
        <v>3572</v>
      </c>
      <c r="G97" s="454"/>
      <c r="H97" s="524"/>
      <c r="I97" s="499"/>
      <c r="J97" s="499">
        <v>450000</v>
      </c>
      <c r="K97" s="491">
        <f>+K96+Tableau15356789101112131625236924[[#This Row],[RECETTE]]-Tableau15356789101112131625236924[[#This Row],[DÉPENSE]]</f>
        <v>1141721</v>
      </c>
      <c r="L97" s="399">
        <f ca="1">+IF($B97="","",SUMIFS(INDIRECT("$K$7:K"&amp;ROW()),INDIRECT("$B$7:B"&amp;ROW()),Tableau15356789101112131625236924[[#This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7660140</v>
      </c>
      <c r="M97" s="546"/>
      <c r="P97" s="368"/>
      <c r="Q97" s="368"/>
      <c r="R97" s="368"/>
    </row>
    <row r="98" spans="1:18" ht="15" x14ac:dyDescent="0.3">
      <c r="A98" s="391" t="s">
        <v>2660</v>
      </c>
      <c r="B98" s="392" t="s">
        <v>2678</v>
      </c>
      <c r="C98" s="393">
        <v>45997</v>
      </c>
      <c r="D9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8" s="395" t="s">
        <v>3515</v>
      </c>
      <c r="F98" s="395" t="s">
        <v>3422</v>
      </c>
      <c r="G98" s="454"/>
      <c r="H98" s="524"/>
      <c r="I98" s="499"/>
      <c r="J98" s="499">
        <v>1600</v>
      </c>
      <c r="K98" s="491">
        <f>+K97+Tableau15356789101112131625236924[[#This Row],[RECETTE]]-Tableau15356789101112131625236924[[#This Row],[DÉPENSE]]</f>
        <v>1140121</v>
      </c>
      <c r="L98" s="399">
        <f ca="1">+IF($B98="","",SUMIFS(INDIRECT("$K$7:K"&amp;ROW()),INDIRECT("$B$7:B"&amp;ROW()),Tableau15356789101112131625236924[[#This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8505740</v>
      </c>
      <c r="M98" s="546"/>
      <c r="P98" s="368"/>
      <c r="Q98" s="368"/>
      <c r="R98" s="368"/>
    </row>
    <row r="99" spans="1:18" ht="15" x14ac:dyDescent="0.3">
      <c r="A99" s="391" t="s">
        <v>2660</v>
      </c>
      <c r="B99" s="392" t="s">
        <v>2678</v>
      </c>
      <c r="C99" s="393">
        <v>45997</v>
      </c>
      <c r="D9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99" s="395" t="s">
        <v>3552</v>
      </c>
      <c r="F99" s="395" t="s">
        <v>3573</v>
      </c>
      <c r="G99" s="454"/>
      <c r="H99" s="524"/>
      <c r="I99" s="499"/>
      <c r="J99" s="499">
        <v>454500</v>
      </c>
      <c r="K99" s="491">
        <f>+K98+Tableau15356789101112131625236924[[#This Row],[RECETTE]]-Tableau15356789101112131625236924[[#This Row],[DÉPENSE]]</f>
        <v>685621</v>
      </c>
      <c r="L99" s="399">
        <f ca="1">+IF($B99="","",SUMIFS(INDIRECT("$K$7:K"&amp;ROW()),INDIRECT("$B$7:B"&amp;ROW()),Tableau15356789101112131625236924[[#This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9805840</v>
      </c>
      <c r="M99" s="546" t="s">
        <v>3574</v>
      </c>
      <c r="P99" s="368"/>
      <c r="Q99" s="368"/>
      <c r="R99" s="368"/>
    </row>
    <row r="100" spans="1:18" ht="15" x14ac:dyDescent="0.3">
      <c r="A100" s="391" t="s">
        <v>2660</v>
      </c>
      <c r="B100" s="392" t="s">
        <v>2678</v>
      </c>
      <c r="C100" s="393">
        <v>45997</v>
      </c>
      <c r="D10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0" s="395" t="s">
        <v>3575</v>
      </c>
      <c r="F100" s="395" t="s">
        <v>3576</v>
      </c>
      <c r="G100" s="454"/>
      <c r="H100" s="524"/>
      <c r="I100" s="499"/>
      <c r="J100" s="499">
        <v>20200</v>
      </c>
      <c r="K100" s="491">
        <f>+K99+Tableau15356789101112131625236924[[#This Row],[RECETTE]]-Tableau15356789101112131625236924[[#This Row],[DÉPENSE]]</f>
        <v>665421</v>
      </c>
      <c r="L100" s="399">
        <f ca="1">+IF($B100="","",SUMIFS(INDIRECT("$K$7:K"&amp;ROW()),INDIRECT("$B$7:B"&amp;ROW()),Tableau15356789101112131625236924[[#This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11126140</v>
      </c>
      <c r="M100" s="546"/>
      <c r="P100" s="368"/>
      <c r="Q100" s="368"/>
      <c r="R100" s="368"/>
    </row>
    <row r="101" spans="1:18" ht="15" x14ac:dyDescent="0.3">
      <c r="A101" s="391" t="s">
        <v>2660</v>
      </c>
      <c r="B101" s="392" t="s">
        <v>2678</v>
      </c>
      <c r="C101" s="393">
        <v>45997</v>
      </c>
      <c r="D10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1" s="395" t="s">
        <v>3577</v>
      </c>
      <c r="F101" s="395" t="s">
        <v>3578</v>
      </c>
      <c r="G101" s="454"/>
      <c r="H101" s="524" t="s">
        <v>3579</v>
      </c>
      <c r="I101" s="499"/>
      <c r="J101" s="499">
        <v>20200</v>
      </c>
      <c r="K101" s="491">
        <f>+K100+Tableau15356789101112131625236924[[#This Row],[RECETTE]]-Tableau15356789101112131625236924[[#This Row],[DÉPENSE]]</f>
        <v>645221</v>
      </c>
      <c r="L101" s="399">
        <f ca="1">+IF($B101="","",SUMIFS(INDIRECT("$K$7:K"&amp;ROW()),INDIRECT("$B$7:B"&amp;ROW()),Tableau15356789101112131625236924[[#This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12466640</v>
      </c>
      <c r="M101" s="546"/>
      <c r="P101" s="368"/>
      <c r="Q101" s="368"/>
      <c r="R101" s="368"/>
    </row>
    <row r="102" spans="1:18" ht="15" x14ac:dyDescent="0.3">
      <c r="A102" s="391" t="s">
        <v>2660</v>
      </c>
      <c r="B102" s="392" t="s">
        <v>2678</v>
      </c>
      <c r="C102" s="393">
        <v>45997</v>
      </c>
      <c r="D10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102" s="395" t="s">
        <v>2679</v>
      </c>
      <c r="F102" s="395" t="s">
        <v>3580</v>
      </c>
      <c r="G102" s="454"/>
      <c r="H102" s="524"/>
      <c r="I102" s="499">
        <v>33500</v>
      </c>
      <c r="J102" s="499"/>
      <c r="K102" s="491">
        <f>+K101+Tableau15356789101112131625236924[[#This Row],[RECETTE]]-Tableau15356789101112131625236924[[#This Row],[DÉPENSE]]</f>
        <v>678721</v>
      </c>
      <c r="L102" s="399">
        <f ca="1">+IF($B102="","",SUMIFS(INDIRECT("$K$7:K"&amp;ROW()),INDIRECT("$B$7:B"&amp;ROW()),Tableau15356789101112131625236924[[#This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12466640</v>
      </c>
      <c r="M102" s="546"/>
      <c r="P102" s="368"/>
      <c r="Q102" s="368"/>
      <c r="R102" s="368"/>
    </row>
    <row r="103" spans="1:18" ht="15" x14ac:dyDescent="0.3">
      <c r="A103" s="391" t="s">
        <v>2660</v>
      </c>
      <c r="B103" s="392" t="s">
        <v>2678</v>
      </c>
      <c r="C103" s="393">
        <v>45997</v>
      </c>
      <c r="D10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103" s="395" t="s">
        <v>2679</v>
      </c>
      <c r="F103" s="395" t="s">
        <v>3549</v>
      </c>
      <c r="G103" s="454"/>
      <c r="H103" s="524"/>
      <c r="I103" s="499">
        <v>5500000</v>
      </c>
      <c r="J103" s="499"/>
      <c r="K103" s="491">
        <f>+K102+Tableau15356789101112131625236924[[#This Row],[RECETTE]]-Tableau15356789101112131625236924[[#This Row],[DÉPENSE]]</f>
        <v>6178721</v>
      </c>
      <c r="L103" s="399">
        <f ca="1">+IF($B103="","",SUMIFS(INDIRECT("$K$7:K"&amp;ROW()),INDIRECT("$B$7:B"&amp;ROW()),Tableau15356789101112131625236924[[#This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12466640</v>
      </c>
      <c r="M103" s="546"/>
      <c r="P103" s="368"/>
      <c r="Q103" s="368"/>
      <c r="R103" s="368"/>
    </row>
    <row r="104" spans="1:18" ht="15" x14ac:dyDescent="0.3">
      <c r="A104" s="391" t="s">
        <v>2660</v>
      </c>
      <c r="B104" s="392" t="s">
        <v>2678</v>
      </c>
      <c r="C104" s="406">
        <v>45998</v>
      </c>
      <c r="D10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4" s="408" t="s">
        <v>2756</v>
      </c>
      <c r="F104" s="408" t="s">
        <v>3095</v>
      </c>
      <c r="G104" s="454"/>
      <c r="H104" s="522" t="s">
        <v>3162</v>
      </c>
      <c r="I104" s="513"/>
      <c r="J104" s="513">
        <v>50500</v>
      </c>
      <c r="K104" s="491">
        <f>+K103+Tableau15356789101112131625236924[[#This Row],[RECETTE]]-Tableau15356789101112131625236924[[#This Row],[DÉPENSE]]</f>
        <v>6128221</v>
      </c>
      <c r="L104" s="399">
        <f ca="1">+IF($B104="","",SUMIFS(INDIRECT("$K$7:K"&amp;ROW()),INDIRECT("$B$7:B"&amp;ROW()),Tableau15356789101112131625236924[[#This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8324140</v>
      </c>
      <c r="M104" s="547"/>
      <c r="P104" s="368"/>
      <c r="Q104" s="368"/>
      <c r="R104" s="368"/>
    </row>
    <row r="105" spans="1:18" ht="15" x14ac:dyDescent="0.3">
      <c r="A105" s="391" t="s">
        <v>2660</v>
      </c>
      <c r="B105" s="392" t="s">
        <v>2678</v>
      </c>
      <c r="C105" s="393">
        <v>45999</v>
      </c>
      <c r="D10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5" s="395" t="s">
        <v>2813</v>
      </c>
      <c r="F105" s="395" t="s">
        <v>3581</v>
      </c>
      <c r="G105" s="454"/>
      <c r="H105" s="524" t="s">
        <v>3582</v>
      </c>
      <c r="I105" s="499"/>
      <c r="J105" s="499">
        <v>20200</v>
      </c>
      <c r="K105" s="491">
        <f>+K104+Tableau15356789101112131625236924[[#This Row],[RECETTE]]-Tableau15356789101112131625236924[[#This Row],[DÉPENSE]]</f>
        <v>6108021</v>
      </c>
      <c r="L105" s="399">
        <f ca="1">+IF($B105="","",SUMIFS(INDIRECT("$K$7:K"&amp;ROW()),INDIRECT("$B$7:B"&amp;ROW()),Tableau15356789101112131625236924[[#This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4201840</v>
      </c>
      <c r="M105" s="546"/>
      <c r="P105" s="368"/>
      <c r="Q105" s="368"/>
      <c r="R105" s="368"/>
    </row>
    <row r="106" spans="1:18" ht="15" x14ac:dyDescent="0.3">
      <c r="A106" s="391" t="s">
        <v>2660</v>
      </c>
      <c r="B106" s="392" t="s">
        <v>2678</v>
      </c>
      <c r="C106" s="393">
        <v>45999</v>
      </c>
      <c r="D10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6" s="395" t="s">
        <v>3583</v>
      </c>
      <c r="F106" s="395" t="s">
        <v>3584</v>
      </c>
      <c r="G106" s="454"/>
      <c r="H106" s="524"/>
      <c r="I106" s="499"/>
      <c r="J106" s="499">
        <v>102000</v>
      </c>
      <c r="K106" s="491">
        <f>+K105+Tableau15356789101112131625236924[[#This Row],[RECETTE]]-Tableau15356789101112131625236924[[#This Row],[DÉPENSE]]</f>
        <v>6006021</v>
      </c>
      <c r="L106" s="399">
        <f ca="1">+IF($B106="","",SUMIFS(INDIRECT("$K$7:K"&amp;ROW()),INDIRECT("$B$7:B"&amp;ROW()),Tableau15356789101112131625236924[[#This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181540</v>
      </c>
      <c r="M106" s="546"/>
      <c r="P106" s="368"/>
      <c r="Q106" s="368"/>
      <c r="R106" s="368"/>
    </row>
    <row r="107" spans="1:18" s="464" customFormat="1" ht="15" x14ac:dyDescent="0.3">
      <c r="A107" s="391" t="s">
        <v>2660</v>
      </c>
      <c r="B107" s="392" t="s">
        <v>2678</v>
      </c>
      <c r="C107" s="393">
        <v>45999</v>
      </c>
      <c r="D10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07" s="395" t="s">
        <v>3585</v>
      </c>
      <c r="F107" s="395" t="s">
        <v>3586</v>
      </c>
      <c r="G107" s="454"/>
      <c r="H107" s="524"/>
      <c r="I107" s="499"/>
      <c r="J107" s="499">
        <v>550000</v>
      </c>
      <c r="K107" s="491">
        <f>+K106+Tableau15356789101112131625236924[[#This Row],[RECETTE]]-Tableau15356789101112131625236924[[#This Row],[DÉPENSE]]</f>
        <v>5456021</v>
      </c>
      <c r="L107" s="399">
        <f ca="1">+IF($B107="","",SUMIFS(INDIRECT("$K$7:K"&amp;ROW()),INDIRECT("$B$7:B"&amp;ROW()),Tableau15356789101112131625236924[[#This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-3288760</v>
      </c>
      <c r="M107" s="546"/>
    </row>
    <row r="108" spans="1:18" ht="15" x14ac:dyDescent="0.3">
      <c r="A108" s="391" t="s">
        <v>2660</v>
      </c>
      <c r="B108" s="392" t="s">
        <v>2678</v>
      </c>
      <c r="C108" s="393">
        <v>45999</v>
      </c>
      <c r="D10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108" s="395" t="s">
        <v>2679</v>
      </c>
      <c r="F108" s="395" t="s">
        <v>3549</v>
      </c>
      <c r="G108" s="454"/>
      <c r="H108" s="524"/>
      <c r="I108" s="499">
        <v>2000000</v>
      </c>
      <c r="J108" s="499"/>
      <c r="K108" s="491">
        <f>+K107+Tableau15356789101112131625236924[[#This Row],[RECETTE]]-Tableau15356789101112131625236924[[#This Row],[DÉPENSE]]</f>
        <v>7456021</v>
      </c>
      <c r="L108" s="399">
        <f ca="1">+IF($B108="","",SUMIFS(INDIRECT("$K$7:K"&amp;ROW()),INDIRECT("$B$7:B"&amp;ROW()),Tableau15356789101112131625236924[[#This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-3288760</v>
      </c>
      <c r="M108" s="546"/>
      <c r="P108" s="368"/>
      <c r="Q108" s="368"/>
      <c r="R108" s="368"/>
    </row>
    <row r="109" spans="1:18" ht="15" x14ac:dyDescent="0.3">
      <c r="A109" s="391" t="s">
        <v>2660</v>
      </c>
      <c r="B109" s="392" t="s">
        <v>2678</v>
      </c>
      <c r="C109" s="393">
        <v>45999</v>
      </c>
      <c r="D10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109" s="395" t="s">
        <v>2679</v>
      </c>
      <c r="F109" s="395" t="s">
        <v>3549</v>
      </c>
      <c r="G109" s="454"/>
      <c r="H109" s="524"/>
      <c r="I109" s="499">
        <v>2000000</v>
      </c>
      <c r="J109" s="499"/>
      <c r="K109" s="491">
        <f>+K108+Tableau15356789101112131625236924[[#This Row],[RECETTE]]-Tableau15356789101112131625236924[[#This Row],[DÉPENSE]]</f>
        <v>9456021</v>
      </c>
      <c r="L109" s="399">
        <f ca="1">+IF($B109="","",SUMIFS(INDIRECT("$K$7:K"&amp;ROW()),INDIRECT("$B$7:B"&amp;ROW()),Tableau15356789101112131625236924[[#This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-3288760</v>
      </c>
      <c r="M109" s="546"/>
      <c r="P109" s="368"/>
      <c r="Q109" s="368"/>
      <c r="R109" s="368"/>
    </row>
    <row r="110" spans="1:18" ht="15" x14ac:dyDescent="0.3">
      <c r="A110" s="391" t="s">
        <v>2660</v>
      </c>
      <c r="B110" s="392" t="s">
        <v>2678</v>
      </c>
      <c r="C110" s="393">
        <v>45999</v>
      </c>
      <c r="D11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0" s="395" t="s">
        <v>3585</v>
      </c>
      <c r="F110" s="395" t="s">
        <v>3586</v>
      </c>
      <c r="G110" s="454"/>
      <c r="H110" s="524"/>
      <c r="I110" s="499"/>
      <c r="J110" s="499">
        <v>550000</v>
      </c>
      <c r="K110" s="491">
        <f>+K109+Tableau15356789101112131625236924[[#This Row],[RECETTE]]-Tableau15356789101112131625236924[[#This Row],[DÉPENSE]]</f>
        <v>8906021</v>
      </c>
      <c r="L110" s="399">
        <f ca="1">+IF($B110="","",SUMIFS(INDIRECT("$K$7:K"&amp;ROW()),INDIRECT("$B$7:B"&amp;ROW()),Tableau15356789101112131625236924[[#This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-10209060</v>
      </c>
      <c r="M110" s="546"/>
      <c r="P110" s="368"/>
      <c r="Q110" s="368"/>
      <c r="R110" s="368"/>
    </row>
    <row r="111" spans="1:18" ht="15" x14ac:dyDescent="0.3">
      <c r="A111" s="391" t="s">
        <v>2660</v>
      </c>
      <c r="B111" s="392" t="s">
        <v>2678</v>
      </c>
      <c r="C111" s="393">
        <v>45999</v>
      </c>
      <c r="D11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1" s="395" t="s">
        <v>3577</v>
      </c>
      <c r="F111" s="395" t="s">
        <v>3491</v>
      </c>
      <c r="G111" s="454"/>
      <c r="H111" s="524" t="s">
        <v>3579</v>
      </c>
      <c r="I111" s="499"/>
      <c r="J111" s="499">
        <v>36360</v>
      </c>
      <c r="K111" s="491">
        <f>+K110+Tableau15356789101112131625236924[[#This Row],[RECETTE]]-Tableau15356789101112131625236924[[#This Row],[DÉPENSE]]</f>
        <v>8869661</v>
      </c>
      <c r="L111" s="399">
        <f ca="1">+IF($B111="","",SUMIFS(INDIRECT("$K$7:K"&amp;ROW()),INDIRECT("$B$7:B"&amp;ROW()),Tableau15356789101112131625236924[[#This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-17093000</v>
      </c>
      <c r="M111" s="546"/>
      <c r="P111" s="368"/>
      <c r="Q111" s="368"/>
      <c r="R111" s="368"/>
    </row>
    <row r="112" spans="1:18" s="423" customFormat="1" ht="15" x14ac:dyDescent="0.3">
      <c r="A112" s="391" t="s">
        <v>2660</v>
      </c>
      <c r="B112" s="392" t="s">
        <v>2678</v>
      </c>
      <c r="C112" s="393">
        <v>45999</v>
      </c>
      <c r="D11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2" s="395" t="s">
        <v>3552</v>
      </c>
      <c r="F112" s="395" t="s">
        <v>3587</v>
      </c>
      <c r="G112" s="454"/>
      <c r="H112" s="524"/>
      <c r="I112" s="499"/>
      <c r="J112" s="499">
        <v>656500</v>
      </c>
      <c r="K112" s="491">
        <f>+K111+Tableau15356789101112131625236924[[#This Row],[RECETTE]]-Tableau15356789101112131625236924[[#This Row],[DÉPENSE]]</f>
        <v>8213161</v>
      </c>
      <c r="L112" s="399">
        <f ca="1">+IF($B112="","",SUMIFS(INDIRECT("$K$7:K"&amp;ROW()),INDIRECT("$B$7:B"&amp;ROW()),Tableau15356789101112131625236924[[#This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-23320440</v>
      </c>
      <c r="M112" s="546"/>
    </row>
    <row r="113" spans="1:18" ht="15" x14ac:dyDescent="0.3">
      <c r="A113" s="391" t="s">
        <v>2660</v>
      </c>
      <c r="B113" s="392" t="s">
        <v>2678</v>
      </c>
      <c r="C113" s="393">
        <v>45999</v>
      </c>
      <c r="D11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3" s="395" t="s">
        <v>3588</v>
      </c>
      <c r="F113" s="395" t="s">
        <v>3589</v>
      </c>
      <c r="G113" s="454"/>
      <c r="H113" s="524" t="s">
        <v>3590</v>
      </c>
      <c r="I113" s="499"/>
      <c r="J113" s="499">
        <v>17170</v>
      </c>
      <c r="K113" s="491">
        <f>+K112+Tableau15356789101112131625236924[[#This Row],[RECETTE]]-Tableau15356789101112131625236924[[#This Row],[DÉPENSE]]</f>
        <v>8195991</v>
      </c>
      <c r="L113" s="399">
        <f ca="1">+IF($B113="","",SUMIFS(INDIRECT("$K$7:K"&amp;ROW()),INDIRECT("$B$7:B"&amp;ROW()),Tableau15356789101112131625236924[[#This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-29530710</v>
      </c>
      <c r="M113" s="546"/>
      <c r="P113" s="368"/>
      <c r="Q113" s="368"/>
      <c r="R113" s="368"/>
    </row>
    <row r="114" spans="1:18" ht="15" x14ac:dyDescent="0.3">
      <c r="A114" s="391" t="s">
        <v>2660</v>
      </c>
      <c r="B114" s="392" t="s">
        <v>2678</v>
      </c>
      <c r="C114" s="393">
        <v>45999</v>
      </c>
      <c r="D11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4" s="395" t="s">
        <v>2683</v>
      </c>
      <c r="F114" s="395" t="s">
        <v>3591</v>
      </c>
      <c r="G114" s="454"/>
      <c r="H114" s="524" t="s">
        <v>2685</v>
      </c>
      <c r="I114" s="499"/>
      <c r="J114" s="499">
        <v>10100</v>
      </c>
      <c r="K114" s="491">
        <f>+K113+Tableau15356789101112131625236924[[#This Row],[RECETTE]]-Tableau15356789101112131625236924[[#This Row],[DÉPENSE]]</f>
        <v>8185891</v>
      </c>
      <c r="L114" s="399">
        <f ca="1">+IF($B114="","",SUMIFS(INDIRECT("$K$7:K"&amp;ROW()),INDIRECT("$B$7:B"&amp;ROW()),Tableau15356789101112131625236924[[#This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-35730880</v>
      </c>
      <c r="M114" s="546"/>
      <c r="P114" s="368"/>
      <c r="Q114" s="368"/>
      <c r="R114" s="368"/>
    </row>
    <row r="115" spans="1:18" ht="15" x14ac:dyDescent="0.3">
      <c r="A115" s="391" t="s">
        <v>2660</v>
      </c>
      <c r="B115" s="392" t="s">
        <v>2678</v>
      </c>
      <c r="C115" s="393">
        <v>46000</v>
      </c>
      <c r="D11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5" s="395" t="s">
        <v>2859</v>
      </c>
      <c r="F115" s="395" t="s">
        <v>3592</v>
      </c>
      <c r="G115" s="454"/>
      <c r="H115" s="524"/>
      <c r="I115" s="499"/>
      <c r="J115" s="499">
        <v>252000</v>
      </c>
      <c r="K115" s="491">
        <f>+K114+Tableau15356789101112131625236924[[#This Row],[RECETTE]]-Tableau15356789101112131625236924[[#This Row],[DÉPENSE]]</f>
        <v>7933891</v>
      </c>
      <c r="L115" s="399">
        <f ca="1">+IF($B115="","",SUMIFS(INDIRECT("$K$7:K"&amp;ROW()),INDIRECT("$B$7:B"&amp;ROW()),Tableau15356789101112131625236924[[#This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-41679050</v>
      </c>
      <c r="M115" s="546"/>
      <c r="P115" s="368"/>
      <c r="Q115" s="368"/>
      <c r="R115" s="368"/>
    </row>
    <row r="116" spans="1:18" ht="15" x14ac:dyDescent="0.3">
      <c r="A116" s="391" t="s">
        <v>2660</v>
      </c>
      <c r="B116" s="392" t="s">
        <v>2678</v>
      </c>
      <c r="C116" s="393">
        <v>46000</v>
      </c>
      <c r="D11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6" s="395" t="s">
        <v>3593</v>
      </c>
      <c r="F116" s="395" t="s">
        <v>3592</v>
      </c>
      <c r="G116" s="454"/>
      <c r="H116" s="524"/>
      <c r="I116" s="499"/>
      <c r="J116" s="499">
        <v>202000</v>
      </c>
      <c r="K116" s="491">
        <f>+K115+Tableau15356789101112131625236924[[#This Row],[RECETTE]]-Tableau15356789101112131625236924[[#This Row],[DÉPENSE]]</f>
        <v>7731891</v>
      </c>
      <c r="L116" s="399">
        <f ca="1">+IF($B116="","",SUMIFS(INDIRECT("$K$7:K"&amp;ROW()),INDIRECT("$B$7:B"&amp;ROW()),Tableau15356789101112131625236924[[#This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-47425220</v>
      </c>
      <c r="M116" s="546"/>
      <c r="P116" s="368"/>
      <c r="Q116" s="368"/>
      <c r="R116" s="368"/>
    </row>
    <row r="117" spans="1:18" ht="15" x14ac:dyDescent="0.3">
      <c r="A117" s="391" t="s">
        <v>2660</v>
      </c>
      <c r="B117" s="392" t="s">
        <v>2678</v>
      </c>
      <c r="C117" s="393">
        <v>46000</v>
      </c>
      <c r="D11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7" s="395" t="s">
        <v>3177</v>
      </c>
      <c r="F117" s="395" t="s">
        <v>3592</v>
      </c>
      <c r="G117" s="454"/>
      <c r="H117" s="524"/>
      <c r="I117" s="499"/>
      <c r="J117" s="499">
        <v>80800</v>
      </c>
      <c r="K117" s="491">
        <f>+K116+Tableau15356789101112131625236924[[#This Row],[RECETTE]]-Tableau15356789101112131625236924[[#This Row],[DÉPENSE]]</f>
        <v>7651091</v>
      </c>
      <c r="L117" s="399">
        <f ca="1">+IF($B117="","",SUMIFS(INDIRECT("$K$7:K"&amp;ROW()),INDIRECT("$B$7:B"&amp;ROW()),Tableau15356789101112131625236924[[#This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-53090590</v>
      </c>
      <c r="M117" s="546"/>
      <c r="P117" s="368"/>
      <c r="Q117" s="368"/>
      <c r="R117" s="368"/>
    </row>
    <row r="118" spans="1:18" s="412" customFormat="1" ht="15" x14ac:dyDescent="0.3">
      <c r="A118" s="514" t="s">
        <v>2660</v>
      </c>
      <c r="B118" s="515" t="s">
        <v>2678</v>
      </c>
      <c r="C118" s="393">
        <v>46000</v>
      </c>
      <c r="D11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8" s="395" t="s">
        <v>3594</v>
      </c>
      <c r="F118" s="395" t="s">
        <v>3592</v>
      </c>
      <c r="G118" s="454"/>
      <c r="H118" s="524"/>
      <c r="I118" s="499"/>
      <c r="J118" s="499">
        <v>151500</v>
      </c>
      <c r="K118" s="491">
        <f>+K117+Tableau15356789101112131625236924[[#This Row],[RECETTE]]-Tableau15356789101112131625236924[[#This Row],[DÉPENSE]]</f>
        <v>7499591</v>
      </c>
      <c r="L118" s="431">
        <f ca="1">+IF($B118="","",SUMIFS(INDIRECT("$K$7:K"&amp;ROW()),INDIRECT("$B$7:B"&amp;ROW()),Tableau15356789101112131625236924[[#This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-58604460</v>
      </c>
      <c r="M118" s="546"/>
    </row>
    <row r="119" spans="1:18" ht="15" x14ac:dyDescent="0.3">
      <c r="A119" s="391" t="s">
        <v>2660</v>
      </c>
      <c r="B119" s="392" t="s">
        <v>2678</v>
      </c>
      <c r="C119" s="393">
        <v>46000</v>
      </c>
      <c r="D11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19" s="395" t="s">
        <v>2820</v>
      </c>
      <c r="F119" s="395" t="s">
        <v>3592</v>
      </c>
      <c r="G119" s="454"/>
      <c r="H119" s="524"/>
      <c r="I119" s="499"/>
      <c r="J119" s="499">
        <v>202000</v>
      </c>
      <c r="K119" s="491">
        <f>+K118+Tableau15356789101112131625236924[[#This Row],[RECETTE]]-Tableau15356789101112131625236924[[#This Row],[DÉPENSE]]</f>
        <v>7297591</v>
      </c>
      <c r="L119" s="399">
        <f ca="1">+IF($B119="","",SUMIFS(INDIRECT("$K$7:K"&amp;ROW()),INDIRECT("$B$7:B"&amp;ROW()),Tableau15356789101112131625236924[[#This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-63916330</v>
      </c>
      <c r="M119" s="546"/>
      <c r="P119" s="368"/>
      <c r="Q119" s="368"/>
      <c r="R119" s="368"/>
    </row>
    <row r="120" spans="1:18" ht="15" x14ac:dyDescent="0.3">
      <c r="A120" s="391" t="s">
        <v>2660</v>
      </c>
      <c r="B120" s="392" t="s">
        <v>2678</v>
      </c>
      <c r="C120" s="393">
        <v>46000</v>
      </c>
      <c r="D12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0" s="395" t="s">
        <v>2686</v>
      </c>
      <c r="F120" s="395" t="s">
        <v>3592</v>
      </c>
      <c r="G120" s="454"/>
      <c r="H120" s="524"/>
      <c r="I120" s="499"/>
      <c r="J120" s="499">
        <v>151500</v>
      </c>
      <c r="K120" s="491">
        <f>+K119+Tableau15356789101112131625236924[[#This Row],[RECETTE]]-Tableau15356789101112131625236924[[#This Row],[DÉPENSE]]</f>
        <v>7146091</v>
      </c>
      <c r="L120" s="399">
        <f ca="1">+IF($B120="","",SUMIFS(INDIRECT("$K$7:K"&amp;ROW()),INDIRECT("$B$7:B"&amp;ROW()),Tableau15356789101112131625236924[[#This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-69076700</v>
      </c>
      <c r="M120" s="546"/>
      <c r="P120" s="368"/>
      <c r="Q120" s="368"/>
      <c r="R120" s="368"/>
    </row>
    <row r="121" spans="1:18" ht="15" x14ac:dyDescent="0.3">
      <c r="A121" s="391" t="s">
        <v>2660</v>
      </c>
      <c r="B121" s="392" t="s">
        <v>2678</v>
      </c>
      <c r="C121" s="393">
        <v>46000</v>
      </c>
      <c r="D12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1" s="395" t="s">
        <v>3179</v>
      </c>
      <c r="F121" s="395" t="s">
        <v>3592</v>
      </c>
      <c r="G121" s="454"/>
      <c r="H121" s="524"/>
      <c r="I121" s="499"/>
      <c r="J121" s="499">
        <v>75750</v>
      </c>
      <c r="K121" s="491">
        <f>+K120+Tableau15356789101112131625236924[[#This Row],[RECETTE]]-Tableau15356789101112131625236924[[#This Row],[DÉPENSE]]</f>
        <v>7070341</v>
      </c>
      <c r="L121" s="399">
        <f ca="1">+IF($B121="","",SUMIFS(INDIRECT("$K$7:K"&amp;ROW()),INDIRECT("$B$7:B"&amp;ROW()),Tableau15356789101112131625236924[[#This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-74161320</v>
      </c>
      <c r="M121" s="546"/>
      <c r="P121" s="368"/>
      <c r="Q121" s="368"/>
      <c r="R121" s="368"/>
    </row>
    <row r="122" spans="1:18" ht="15" x14ac:dyDescent="0.3">
      <c r="A122" s="391" t="s">
        <v>2660</v>
      </c>
      <c r="B122" s="392" t="s">
        <v>2678</v>
      </c>
      <c r="C122" s="393">
        <v>46000</v>
      </c>
      <c r="D12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2" s="395" t="s">
        <v>2860</v>
      </c>
      <c r="F122" s="395" t="s">
        <v>3592</v>
      </c>
      <c r="G122" s="454"/>
      <c r="H122" s="524"/>
      <c r="I122" s="499"/>
      <c r="J122" s="499">
        <v>252500</v>
      </c>
      <c r="K122" s="491">
        <f>+K121+Tableau15356789101112131625236924[[#This Row],[RECETTE]]-Tableau15356789101112131625236924[[#This Row],[DÉPENSE]]</f>
        <v>6817841</v>
      </c>
      <c r="L122" s="399">
        <f ca="1">+IF($B122="","",SUMIFS(INDIRECT("$K$7:K"&amp;ROW()),INDIRECT("$B$7:B"&amp;ROW()),Tableau15356789101112131625236924[[#This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-78993440</v>
      </c>
      <c r="M122" s="546"/>
      <c r="P122" s="368"/>
      <c r="Q122" s="368"/>
      <c r="R122" s="368"/>
    </row>
    <row r="123" spans="1:18" ht="15" x14ac:dyDescent="0.3">
      <c r="A123" s="391" t="s">
        <v>2660</v>
      </c>
      <c r="B123" s="392" t="s">
        <v>2678</v>
      </c>
      <c r="C123" s="393">
        <v>46000</v>
      </c>
      <c r="D12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3" s="395" t="s">
        <v>2870</v>
      </c>
      <c r="F123" s="395" t="s">
        <v>3592</v>
      </c>
      <c r="G123" s="454"/>
      <c r="H123" s="524"/>
      <c r="I123" s="499"/>
      <c r="J123" s="499">
        <v>121200</v>
      </c>
      <c r="K123" s="491">
        <f>+K122+Tableau15356789101112131625236924[[#This Row],[RECETTE]]-Tableau15356789101112131625236924[[#This Row],[DÉPENSE]]</f>
        <v>6696641</v>
      </c>
      <c r="L123" s="399">
        <f ca="1">+IF($B123="","",SUMIFS(INDIRECT("$K$7:K"&amp;ROW()),INDIRECT("$B$7:B"&amp;ROW()),Tableau15356789101112131625236924[[#This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-83704360</v>
      </c>
      <c r="M123" s="546"/>
      <c r="P123" s="368"/>
      <c r="Q123" s="368"/>
      <c r="R123" s="368"/>
    </row>
    <row r="124" spans="1:18" ht="15" x14ac:dyDescent="0.3">
      <c r="A124" s="391" t="s">
        <v>2660</v>
      </c>
      <c r="B124" s="392" t="s">
        <v>2678</v>
      </c>
      <c r="C124" s="393">
        <v>46000</v>
      </c>
      <c r="D12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4" s="395" t="s">
        <v>2683</v>
      </c>
      <c r="F124" s="395" t="s">
        <v>3592</v>
      </c>
      <c r="G124" s="454"/>
      <c r="H124" s="524"/>
      <c r="I124" s="499"/>
      <c r="J124" s="499">
        <v>151500</v>
      </c>
      <c r="K124" s="491">
        <f>+K123+Tableau15356789101112131625236924[[#This Row],[RECETTE]]-Tableau15356789101112131625236924[[#This Row],[DÉPENSE]]</f>
        <v>6545141</v>
      </c>
      <c r="L124" s="399">
        <f ca="1">+IF($B124="","",SUMIFS(INDIRECT("$K$7:K"&amp;ROW()),INDIRECT("$B$7:B"&amp;ROW()),Tableau15356789101112131625236924[[#This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-88263780</v>
      </c>
      <c r="M124" s="546"/>
      <c r="P124" s="368"/>
      <c r="Q124" s="368"/>
      <c r="R124" s="368"/>
    </row>
    <row r="125" spans="1:18" ht="15" x14ac:dyDescent="0.3">
      <c r="A125" s="391" t="s">
        <v>2660</v>
      </c>
      <c r="B125" s="392" t="s">
        <v>2678</v>
      </c>
      <c r="C125" s="393">
        <v>46000</v>
      </c>
      <c r="D12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5" s="395" t="s">
        <v>2869</v>
      </c>
      <c r="F125" s="395" t="s">
        <v>3592</v>
      </c>
      <c r="G125" s="454"/>
      <c r="H125" s="524"/>
      <c r="I125" s="499"/>
      <c r="J125" s="499">
        <v>151500</v>
      </c>
      <c r="K125" s="491">
        <f>+K124+Tableau15356789101112131625236924[[#This Row],[RECETTE]]-Tableau15356789101112131625236924[[#This Row],[DÉPENSE]]</f>
        <v>6393641</v>
      </c>
      <c r="L125" s="399">
        <f ca="1">+IF($B125="","",SUMIFS(INDIRECT("$K$7:K"&amp;ROW()),INDIRECT("$B$7:B"&amp;ROW()),Tableau15356789101112131625236924[[#This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-92671700</v>
      </c>
      <c r="M125" s="546"/>
      <c r="P125" s="368"/>
      <c r="Q125" s="368"/>
      <c r="R125" s="368"/>
    </row>
    <row r="126" spans="1:18" ht="15" x14ac:dyDescent="0.3">
      <c r="A126" s="391" t="s">
        <v>2660</v>
      </c>
      <c r="B126" s="392" t="s">
        <v>2678</v>
      </c>
      <c r="C126" s="393">
        <v>46000</v>
      </c>
      <c r="D12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6" s="395" t="s">
        <v>2828</v>
      </c>
      <c r="F126" s="395" t="s">
        <v>3592</v>
      </c>
      <c r="G126" s="454"/>
      <c r="H126" s="524"/>
      <c r="I126" s="499"/>
      <c r="J126" s="499">
        <v>202000</v>
      </c>
      <c r="K126" s="491">
        <f>+K125+Tableau15356789101112131625236924[[#This Row],[RECETTE]]-Tableau15356789101112131625236924[[#This Row],[DÉPENSE]]</f>
        <v>6191641</v>
      </c>
      <c r="L126" s="399">
        <f ca="1">+IF($B126="","",SUMIFS(INDIRECT("$K$7:K"&amp;ROW()),INDIRECT("$B$7:B"&amp;ROW()),Tableau15356789101112131625236924[[#This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-96877620</v>
      </c>
      <c r="M126" s="546"/>
      <c r="P126" s="368"/>
      <c r="Q126" s="368"/>
      <c r="R126" s="368"/>
    </row>
    <row r="127" spans="1:18" ht="15" x14ac:dyDescent="0.3">
      <c r="A127" s="391" t="s">
        <v>2660</v>
      </c>
      <c r="B127" s="392" t="s">
        <v>2678</v>
      </c>
      <c r="C127" s="393">
        <v>46000</v>
      </c>
      <c r="D12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7" s="395" t="s">
        <v>3143</v>
      </c>
      <c r="F127" s="395" t="s">
        <v>3592</v>
      </c>
      <c r="G127" s="454"/>
      <c r="H127" s="524"/>
      <c r="I127" s="499"/>
      <c r="J127" s="499">
        <v>252500</v>
      </c>
      <c r="K127" s="491">
        <f>+K126+Tableau15356789101112131625236924[[#This Row],[RECETTE]]-Tableau15356789101112131625236924[[#This Row],[DÉPENSE]]</f>
        <v>5939141</v>
      </c>
      <c r="L127" s="399">
        <f ca="1">+IF($B127="","",SUMIFS(INDIRECT("$K$7:K"&amp;ROW()),INDIRECT("$B$7:B"&amp;ROW()),Tableau15356789101112131625236924[[#This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-100831040</v>
      </c>
      <c r="M127" s="546"/>
      <c r="P127" s="368"/>
      <c r="Q127" s="368"/>
      <c r="R127" s="368"/>
    </row>
    <row r="128" spans="1:18" s="423" customFormat="1" ht="15" x14ac:dyDescent="0.3">
      <c r="A128" s="485" t="s">
        <v>2660</v>
      </c>
      <c r="B128" s="486" t="s">
        <v>2678</v>
      </c>
      <c r="C128" s="393">
        <v>46000</v>
      </c>
      <c r="D12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8" s="395" t="s">
        <v>2861</v>
      </c>
      <c r="F128" s="395" t="s">
        <v>3592</v>
      </c>
      <c r="G128" s="454"/>
      <c r="H128" s="524"/>
      <c r="I128" s="499"/>
      <c r="J128" s="499">
        <v>80800</v>
      </c>
      <c r="K128" s="491">
        <f>+K127+Tableau15356789101112131625236924[[#This Row],[RECETTE]]-Tableau15356789101112131625236924[[#This Row],[DÉPENSE]]</f>
        <v>5858341</v>
      </c>
      <c r="L128" s="492">
        <f ca="1">+IF($B128="","",SUMIFS(INDIRECT("$K$7:K"&amp;ROW()),INDIRECT("$B$7:B"&amp;ROW()),Tableau15356789101112131625236924[[#This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-104703660</v>
      </c>
      <c r="M128" s="546"/>
    </row>
    <row r="129" spans="1:18" s="412" customFormat="1" ht="15" x14ac:dyDescent="0.3">
      <c r="A129" s="514" t="s">
        <v>2660</v>
      </c>
      <c r="B129" s="515" t="s">
        <v>2678</v>
      </c>
      <c r="C129" s="406">
        <v>46000</v>
      </c>
      <c r="D12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29" s="408" t="s">
        <v>3595</v>
      </c>
      <c r="F129" s="408" t="s">
        <v>3592</v>
      </c>
      <c r="G129" s="418"/>
      <c r="H129" s="522"/>
      <c r="I129" s="513"/>
      <c r="J129" s="513">
        <v>202000</v>
      </c>
      <c r="K129" s="421">
        <f>+K128+Tableau15356789101112131625236924[[#This Row],[RECETTE]]-Tableau15356789101112131625236924[[#This Row],[DÉPENSE]]</f>
        <v>5656341</v>
      </c>
      <c r="L129" s="431">
        <f ca="1">+IF($B129="","",SUMIFS(INDIRECT("$K$7:K"&amp;ROW()),INDIRECT("$B$7:B"&amp;ROW()),Tableau15356789101112131625236924[[#This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-108374280</v>
      </c>
      <c r="M129" s="547"/>
    </row>
    <row r="130" spans="1:18" s="412" customFormat="1" ht="15" x14ac:dyDescent="0.3">
      <c r="A130" s="514" t="s">
        <v>2660</v>
      </c>
      <c r="B130" s="515" t="s">
        <v>2678</v>
      </c>
      <c r="C130" s="393">
        <v>46000</v>
      </c>
      <c r="D13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0" s="395" t="s">
        <v>2868</v>
      </c>
      <c r="F130" s="395" t="s">
        <v>3592</v>
      </c>
      <c r="G130" s="454"/>
      <c r="H130" s="524"/>
      <c r="I130" s="499"/>
      <c r="J130" s="499">
        <v>122210</v>
      </c>
      <c r="K130" s="491">
        <f>+K129+Tableau15356789101112131625236924[[#This Row],[RECETTE]]-Tableau15356789101112131625236924[[#This Row],[DÉPENSE]]</f>
        <v>5534131</v>
      </c>
      <c r="L130" s="431">
        <f ca="1">+IF($B130="","",SUMIFS(INDIRECT("$K$7:K"&amp;ROW()),INDIRECT("$B$7:B"&amp;ROW()),Tableau15356789101112131625236924[[#This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-111922690</v>
      </c>
      <c r="M130" s="546"/>
    </row>
    <row r="131" spans="1:18" ht="15" x14ac:dyDescent="0.3">
      <c r="A131" s="391" t="s">
        <v>2660</v>
      </c>
      <c r="B131" s="392" t="s">
        <v>2678</v>
      </c>
      <c r="C131" s="393">
        <v>46000</v>
      </c>
      <c r="D13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1" s="395" t="s">
        <v>2864</v>
      </c>
      <c r="F131" s="395" t="s">
        <v>3592</v>
      </c>
      <c r="G131" s="454"/>
      <c r="H131" s="524"/>
      <c r="I131" s="499"/>
      <c r="J131" s="499">
        <v>202000</v>
      </c>
      <c r="K131" s="491">
        <f>+K130+Tableau15356789101112131625236924[[#This Row],[RECETTE]]-Tableau15356789101112131625236924[[#This Row],[DÉPENSE]]</f>
        <v>5332131</v>
      </c>
      <c r="L131" s="399">
        <f ca="1">+IF($B131="","",SUMIFS(INDIRECT("$K$7:K"&amp;ROW()),INDIRECT("$B$7:B"&amp;ROW()),Tableau15356789101112131625236924[[#This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-115269100</v>
      </c>
      <c r="M131" s="546"/>
      <c r="P131" s="368"/>
      <c r="Q131" s="368"/>
      <c r="R131" s="368"/>
    </row>
    <row r="132" spans="1:18" ht="15" x14ac:dyDescent="0.3">
      <c r="A132" s="391" t="s">
        <v>2660</v>
      </c>
      <c r="B132" s="392" t="s">
        <v>2678</v>
      </c>
      <c r="C132" s="393">
        <v>46000</v>
      </c>
      <c r="D13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2" s="395" t="s">
        <v>2865</v>
      </c>
      <c r="F132" s="395" t="s">
        <v>3592</v>
      </c>
      <c r="G132" s="454"/>
      <c r="H132" s="524"/>
      <c r="I132" s="499"/>
      <c r="J132" s="499">
        <v>151500</v>
      </c>
      <c r="K132" s="491">
        <f>+K131+Tableau15356789101112131625236924[[#This Row],[RECETTE]]-Tableau15356789101112131625236924[[#This Row],[DÉPENSE]]</f>
        <v>5180631</v>
      </c>
      <c r="L132" s="399">
        <f ca="1">+IF($B132="","",SUMIFS(INDIRECT("$K$7:K"&amp;ROW()),INDIRECT("$B$7:B"&amp;ROW()),Tableau15356789101112131625236924[[#This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-118464010</v>
      </c>
      <c r="M132" s="546"/>
      <c r="P132" s="368"/>
      <c r="Q132" s="368"/>
      <c r="R132" s="368"/>
    </row>
    <row r="133" spans="1:18" ht="15" x14ac:dyDescent="0.3">
      <c r="A133" s="391" t="s">
        <v>2660</v>
      </c>
      <c r="B133" s="392" t="s">
        <v>2678</v>
      </c>
      <c r="C133" s="393">
        <v>46000</v>
      </c>
      <c r="D13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3" s="395" t="s">
        <v>2863</v>
      </c>
      <c r="F133" s="395" t="s">
        <v>3592</v>
      </c>
      <c r="G133" s="454"/>
      <c r="H133" s="524"/>
      <c r="I133" s="499"/>
      <c r="J133" s="499">
        <v>151500</v>
      </c>
      <c r="K133" s="491">
        <f>+K132+Tableau15356789101112131625236924[[#This Row],[RECETTE]]-Tableau15356789101112131625236924[[#This Row],[DÉPENSE]]</f>
        <v>5029131</v>
      </c>
      <c r="L133" s="399">
        <f ca="1">+IF($B133="","",SUMIFS(INDIRECT("$K$7:K"&amp;ROW()),INDIRECT("$B$7:B"&amp;ROW()),Tableau15356789101112131625236924[[#This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-121507420</v>
      </c>
      <c r="M133" s="546"/>
      <c r="P133" s="368"/>
      <c r="Q133" s="368"/>
      <c r="R133" s="368"/>
    </row>
    <row r="134" spans="1:18" ht="15" x14ac:dyDescent="0.3">
      <c r="A134" s="391" t="s">
        <v>2660</v>
      </c>
      <c r="B134" s="392" t="s">
        <v>2678</v>
      </c>
      <c r="C134" s="393">
        <v>46000</v>
      </c>
      <c r="D13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4" s="395" t="s">
        <v>3596</v>
      </c>
      <c r="F134" s="395" t="s">
        <v>3592</v>
      </c>
      <c r="G134" s="454"/>
      <c r="H134" s="524"/>
      <c r="I134" s="499"/>
      <c r="J134" s="499">
        <v>151500</v>
      </c>
      <c r="K134" s="491">
        <f>+K133+Tableau15356789101112131625236924[[#This Row],[RECETTE]]-Tableau15356789101112131625236924[[#This Row],[DÉPENSE]]</f>
        <v>4877631</v>
      </c>
      <c r="L134" s="399">
        <f ca="1">+IF($B134="","",SUMIFS(INDIRECT("$K$7:K"&amp;ROW()),INDIRECT("$B$7:B"&amp;ROW()),Tableau15356789101112131625236924[[#This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-124399330</v>
      </c>
      <c r="M134" s="546"/>
      <c r="P134" s="368"/>
      <c r="Q134" s="368"/>
      <c r="R134" s="368"/>
    </row>
    <row r="135" spans="1:18" s="423" customFormat="1" ht="15" x14ac:dyDescent="0.3">
      <c r="A135" s="391" t="s">
        <v>2660</v>
      </c>
      <c r="B135" s="392" t="s">
        <v>2678</v>
      </c>
      <c r="C135" s="393">
        <v>46000</v>
      </c>
      <c r="D13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5" s="395" t="s">
        <v>2862</v>
      </c>
      <c r="F135" s="395" t="s">
        <v>3592</v>
      </c>
      <c r="G135" s="454"/>
      <c r="H135" s="524"/>
      <c r="I135" s="499"/>
      <c r="J135" s="499">
        <v>202000</v>
      </c>
      <c r="K135" s="491">
        <f>+K134+Tableau15356789101112131625236924[[#This Row],[RECETTE]]-Tableau15356789101112131625236924[[#This Row],[DÉPENSE]]</f>
        <v>4675631</v>
      </c>
      <c r="L135" s="422">
        <f ca="1">+IF($B135="","",SUMIFS(INDIRECT("$K$7:K"&amp;ROW()),INDIRECT("$B$7:B"&amp;ROW()),Tableau15356789101112131625236924[[#This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-127089240</v>
      </c>
      <c r="M135" s="546"/>
    </row>
    <row r="136" spans="1:18" ht="15" x14ac:dyDescent="0.3">
      <c r="A136" s="391" t="s">
        <v>2660</v>
      </c>
      <c r="B136" s="392" t="s">
        <v>2678</v>
      </c>
      <c r="C136" s="393">
        <v>46000</v>
      </c>
      <c r="D13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6" s="395" t="s">
        <v>2867</v>
      </c>
      <c r="F136" s="395" t="s">
        <v>3592</v>
      </c>
      <c r="G136" s="454"/>
      <c r="H136" s="524"/>
      <c r="I136" s="499"/>
      <c r="J136" s="499">
        <v>151500</v>
      </c>
      <c r="K136" s="491">
        <f>+K135+Tableau15356789101112131625236924[[#This Row],[RECETTE]]-Tableau15356789101112131625236924[[#This Row],[DÉPENSE]]</f>
        <v>4524131</v>
      </c>
      <c r="L136" s="414">
        <f ca="1">+IF($B136="","",SUMIFS(INDIRECT("$K$7:K"&amp;ROW()),INDIRECT("$B$7:B"&amp;ROW()),Tableau15356789101112131625236924[[#This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-129627650</v>
      </c>
      <c r="M136" s="546"/>
      <c r="P136" s="368"/>
      <c r="Q136" s="368"/>
      <c r="R136" s="368"/>
    </row>
    <row r="137" spans="1:18" ht="15" x14ac:dyDescent="0.3">
      <c r="A137" s="391" t="s">
        <v>2660</v>
      </c>
      <c r="B137" s="392" t="s">
        <v>2678</v>
      </c>
      <c r="C137" s="406">
        <v>46000</v>
      </c>
      <c r="D13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7" s="408" t="s">
        <v>3183</v>
      </c>
      <c r="F137" s="408" t="s">
        <v>3012</v>
      </c>
      <c r="G137" s="454"/>
      <c r="H137" s="522"/>
      <c r="I137" s="513"/>
      <c r="J137" s="513">
        <v>5000</v>
      </c>
      <c r="K137" s="491">
        <f>+K136+Tableau15356789101112131625236924[[#This Row],[RECETTE]]-Tableau15356789101112131625236924[[#This Row],[DÉPENSE]]</f>
        <v>4519131</v>
      </c>
      <c r="L137" s="414">
        <f ca="1">+IF($B137="","",SUMIFS(INDIRECT("$K$7:K"&amp;ROW()),INDIRECT("$B$7:B"&amp;ROW()),Tableau15356789101112131625236924[[#This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-132161060</v>
      </c>
      <c r="M137" s="547"/>
      <c r="P137" s="368"/>
      <c r="Q137" s="368"/>
      <c r="R137" s="368"/>
    </row>
    <row r="138" spans="1:18" ht="15" x14ac:dyDescent="0.3">
      <c r="A138" s="391" t="s">
        <v>2660</v>
      </c>
      <c r="B138" s="392" t="s">
        <v>2678</v>
      </c>
      <c r="C138" s="406">
        <v>46000</v>
      </c>
      <c r="D13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8" s="408" t="s">
        <v>2727</v>
      </c>
      <c r="F138" s="408" t="s">
        <v>339</v>
      </c>
      <c r="G138" s="454"/>
      <c r="H138" s="522"/>
      <c r="I138" s="513"/>
      <c r="J138" s="513">
        <v>72500</v>
      </c>
      <c r="K138" s="491">
        <f>+K137+Tableau15356789101112131625236924[[#This Row],[RECETTE]]-Tableau15356789101112131625236924[[#This Row],[DÉPENSE]]</f>
        <v>4446631</v>
      </c>
      <c r="L138" s="414">
        <f ca="1">+IF($B138="","",SUMIFS(INDIRECT("$K$7:K"&amp;ROW()),INDIRECT("$B$7:B"&amp;ROW()),Tableau15356789101112131625236924[[#This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-134621970</v>
      </c>
      <c r="M138" s="547"/>
      <c r="P138" s="368"/>
      <c r="Q138" s="368"/>
      <c r="R138" s="368"/>
    </row>
    <row r="139" spans="1:18" ht="15" x14ac:dyDescent="0.3">
      <c r="A139" s="391" t="s">
        <v>2660</v>
      </c>
      <c r="B139" s="392" t="s">
        <v>2678</v>
      </c>
      <c r="C139" s="406">
        <v>46000</v>
      </c>
      <c r="D13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39" s="408" t="s">
        <v>2844</v>
      </c>
      <c r="F139" s="408" t="s">
        <v>3597</v>
      </c>
      <c r="G139" s="454"/>
      <c r="H139" s="522" t="s">
        <v>2698</v>
      </c>
      <c r="I139" s="513"/>
      <c r="J139" s="513">
        <v>104000</v>
      </c>
      <c r="K139" s="491">
        <f>+K138+Tableau15356789101112131625236924[[#This Row],[RECETTE]]-Tableau15356789101112131625236924[[#This Row],[DÉPENSE]]</f>
        <v>4342631</v>
      </c>
      <c r="L139" s="414">
        <f ca="1">+IF($B139="","",SUMIFS(INDIRECT("$K$7:K"&amp;ROW()),INDIRECT("$B$7:B"&amp;ROW()),Tableau15356789101112131625236924[[#This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-136978880</v>
      </c>
      <c r="M139" s="547"/>
      <c r="P139" s="368"/>
      <c r="Q139" s="368"/>
      <c r="R139" s="368"/>
    </row>
    <row r="140" spans="1:18" ht="15" x14ac:dyDescent="0.3">
      <c r="A140" s="391" t="s">
        <v>2660</v>
      </c>
      <c r="B140" s="392" t="s">
        <v>2678</v>
      </c>
      <c r="C140" s="393">
        <v>46000</v>
      </c>
      <c r="D14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0" s="395" t="s">
        <v>2881</v>
      </c>
      <c r="F140" s="395" t="s">
        <v>2893</v>
      </c>
      <c r="G140" s="454"/>
      <c r="H140" s="524"/>
      <c r="I140" s="499"/>
      <c r="J140" s="499">
        <v>2000</v>
      </c>
      <c r="K140" s="491">
        <f>+K139+Tableau15356789101112131625236924[[#This Row],[RECETTE]]-Tableau15356789101112131625236924[[#This Row],[DÉPENSE]]</f>
        <v>4340631</v>
      </c>
      <c r="L140" s="414">
        <f ca="1">+IF($B140="","",SUMIFS(INDIRECT("$K$7:K"&amp;ROW()),INDIRECT("$B$7:B"&amp;ROW()),Tableau15356789101112131625236924[[#This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-139333790</v>
      </c>
      <c r="M140" s="546"/>
      <c r="P140" s="368"/>
      <c r="Q140" s="368"/>
      <c r="R140" s="368"/>
    </row>
    <row r="141" spans="1:18" s="423" customFormat="1" ht="15" x14ac:dyDescent="0.3">
      <c r="A141" s="391" t="s">
        <v>2660</v>
      </c>
      <c r="B141" s="392" t="s">
        <v>2678</v>
      </c>
      <c r="C141" s="406">
        <v>46000</v>
      </c>
      <c r="D14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1" s="408" t="s">
        <v>2844</v>
      </c>
      <c r="F141" s="408" t="s">
        <v>3598</v>
      </c>
      <c r="G141" s="454"/>
      <c r="H141" s="522" t="s">
        <v>2685</v>
      </c>
      <c r="I141" s="513"/>
      <c r="J141" s="513">
        <v>144000</v>
      </c>
      <c r="K141" s="491">
        <f>+K140+Tableau15356789101112131625236924[[#This Row],[RECETTE]]-Tableau15356789101112131625236924[[#This Row],[DÉPENSE]]</f>
        <v>4196631</v>
      </c>
      <c r="L141" s="422">
        <f ca="1">+IF($B141="","",SUMIFS(INDIRECT("$K$7:K"&amp;ROW()),INDIRECT("$B$7:B"&amp;ROW()),Tableau15356789101112131625236924[[#This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-141544700</v>
      </c>
      <c r="M141" s="547"/>
    </row>
    <row r="142" spans="1:18" ht="15" x14ac:dyDescent="0.3">
      <c r="A142" s="391" t="s">
        <v>2660</v>
      </c>
      <c r="B142" s="392" t="s">
        <v>2678</v>
      </c>
      <c r="C142" s="393">
        <v>46000</v>
      </c>
      <c r="D14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2" s="395" t="s">
        <v>2710</v>
      </c>
      <c r="F142" s="395" t="s">
        <v>3599</v>
      </c>
      <c r="G142" s="454"/>
      <c r="H142" s="524" t="s">
        <v>3186</v>
      </c>
      <c r="I142" s="499"/>
      <c r="J142" s="499">
        <v>22725</v>
      </c>
      <c r="K142" s="491">
        <f>+K141+Tableau15356789101112131625236924[[#This Row],[RECETTE]]-Tableau15356789101112131625236924[[#This Row],[DÉPENSE]]</f>
        <v>4173906</v>
      </c>
      <c r="L142" s="431">
        <f ca="1">+IF($B142="","",SUMIFS(INDIRECT("$K$7:K"&amp;ROW()),INDIRECT("$B$7:B"&amp;ROW()),Tableau15356789101112131625236924[[#This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-143732885</v>
      </c>
      <c r="M142" s="546"/>
      <c r="P142" s="368"/>
      <c r="Q142" s="368"/>
      <c r="R142" s="368"/>
    </row>
    <row r="143" spans="1:18" ht="15" x14ac:dyDescent="0.3">
      <c r="A143" s="391" t="s">
        <v>2660</v>
      </c>
      <c r="B143" s="392" t="s">
        <v>2678</v>
      </c>
      <c r="C143" s="393">
        <v>46000</v>
      </c>
      <c r="D14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3" s="395" t="s">
        <v>2863</v>
      </c>
      <c r="F143" s="395" t="s">
        <v>3600</v>
      </c>
      <c r="G143" s="454"/>
      <c r="H143" s="522" t="s">
        <v>2698</v>
      </c>
      <c r="I143" s="499"/>
      <c r="J143" s="499">
        <v>13130</v>
      </c>
      <c r="K143" s="491">
        <f>+K142+Tableau15356789101112131625236924[[#This Row],[RECETTE]]-Tableau15356789101112131625236924[[#This Row],[DÉPENSE]]</f>
        <v>4160776</v>
      </c>
      <c r="L143" s="414">
        <f ca="1">+IF($B143="","",SUMIFS(INDIRECT("$K$7:K"&amp;ROW()),INDIRECT("$B$7:B"&amp;ROW()),Tableau15356789101112131625236924[[#This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-145907940</v>
      </c>
      <c r="M143" s="546"/>
      <c r="P143" s="368"/>
      <c r="Q143" s="368"/>
      <c r="R143" s="368"/>
    </row>
    <row r="144" spans="1:18" ht="15" x14ac:dyDescent="0.3">
      <c r="A144" s="391" t="s">
        <v>2660</v>
      </c>
      <c r="B144" s="392" t="s">
        <v>2678</v>
      </c>
      <c r="C144" s="393">
        <v>46000</v>
      </c>
      <c r="D14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4" s="395" t="s">
        <v>2813</v>
      </c>
      <c r="F144" s="395" t="s">
        <v>3601</v>
      </c>
      <c r="G144" s="454"/>
      <c r="H144" s="524" t="s">
        <v>2876</v>
      </c>
      <c r="I144" s="499"/>
      <c r="J144" s="499">
        <v>15150</v>
      </c>
      <c r="K144" s="491">
        <f>+K143+Tableau15356789101112131625236924[[#This Row],[RECETTE]]-Tableau15356789101112131625236924[[#This Row],[DÉPENSE]]</f>
        <v>4145626</v>
      </c>
      <c r="L144" s="414">
        <f ca="1">+IF($B144="","",SUMIFS(INDIRECT("$K$7:K"&amp;ROW()),INDIRECT("$B$7:B"&amp;ROW()),Tableau15356789101112131625236924[[#This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-148067845</v>
      </c>
      <c r="M144" s="546"/>
      <c r="P144" s="368"/>
      <c r="Q144" s="368"/>
      <c r="R144" s="368"/>
    </row>
    <row r="145" spans="1:18" ht="15" x14ac:dyDescent="0.3">
      <c r="A145" s="391" t="s">
        <v>2660</v>
      </c>
      <c r="B145" s="392" t="s">
        <v>2678</v>
      </c>
      <c r="C145" s="393">
        <v>46000</v>
      </c>
      <c r="D14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5" s="395" t="s">
        <v>2820</v>
      </c>
      <c r="F145" s="395" t="s">
        <v>2706</v>
      </c>
      <c r="G145" s="454"/>
      <c r="H145" s="524" t="s">
        <v>2687</v>
      </c>
      <c r="I145" s="499"/>
      <c r="J145" s="499">
        <v>10100</v>
      </c>
      <c r="K145" s="491">
        <f>+K144+Tableau15356789101112131625236924[[#This Row],[RECETTE]]-Tableau15356789101112131625236924[[#This Row],[DÉPENSE]]</f>
        <v>4135526</v>
      </c>
      <c r="L145" s="414">
        <f ca="1">+IF($B145="","",SUMIFS(INDIRECT("$K$7:K"&amp;ROW()),INDIRECT("$B$7:B"&amp;ROW()),Tableau15356789101112131625236924[[#This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-150217650</v>
      </c>
      <c r="M145" s="546"/>
      <c r="P145" s="368"/>
      <c r="Q145" s="368"/>
      <c r="R145" s="368"/>
    </row>
    <row r="146" spans="1:18" ht="15" x14ac:dyDescent="0.3">
      <c r="A146" s="391" t="s">
        <v>2660</v>
      </c>
      <c r="B146" s="392" t="s">
        <v>2678</v>
      </c>
      <c r="C146" s="393">
        <v>46000</v>
      </c>
      <c r="D14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6" s="395" t="s">
        <v>2710</v>
      </c>
      <c r="F146" s="395" t="s">
        <v>3602</v>
      </c>
      <c r="G146" s="454"/>
      <c r="H146" s="524"/>
      <c r="I146" s="499"/>
      <c r="J146" s="499">
        <v>161600</v>
      </c>
      <c r="K146" s="491">
        <f>+K145+Tableau15356789101112131625236924[[#This Row],[RECETTE]]-Tableau15356789101112131625236924[[#This Row],[DÉPENSE]]</f>
        <v>3973926</v>
      </c>
      <c r="L146" s="414">
        <f ca="1">+IF($B146="","",SUMIFS(INDIRECT("$K$7:K"&amp;ROW()),INDIRECT("$B$7:B"&amp;ROW()),Tableau15356789101112131625236924[[#This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-152205855</v>
      </c>
      <c r="M146" s="546"/>
      <c r="P146" s="368"/>
      <c r="Q146" s="368"/>
      <c r="R146" s="368"/>
    </row>
    <row r="147" spans="1:18" s="412" customFormat="1" ht="15" x14ac:dyDescent="0.3">
      <c r="A147" s="514" t="s">
        <v>2660</v>
      </c>
      <c r="B147" s="515" t="s">
        <v>2678</v>
      </c>
      <c r="C147" s="393">
        <v>46000</v>
      </c>
      <c r="D14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7" s="395" t="s">
        <v>2696</v>
      </c>
      <c r="F147" s="395" t="s">
        <v>2923</v>
      </c>
      <c r="G147" s="454"/>
      <c r="H147" s="524"/>
      <c r="I147" s="499"/>
      <c r="J147" s="499">
        <v>45450</v>
      </c>
      <c r="K147" s="491">
        <f>+K146+Tableau15356789101112131625236924[[#This Row],[RECETTE]]-Tableau15356789101112131625236924[[#This Row],[DÉPENSE]]</f>
        <v>3928476</v>
      </c>
      <c r="L147" s="414">
        <f ca="1">+IF($B147="","",SUMIFS(INDIRECT("$K$7:K"&amp;ROW()),INDIRECT("$B$7:B"&amp;ROW()),Tableau15356789101112131625236924[[#This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-154148610</v>
      </c>
      <c r="M147" s="546"/>
    </row>
    <row r="148" spans="1:18" s="412" customFormat="1" ht="15" x14ac:dyDescent="0.3">
      <c r="A148" s="514" t="s">
        <v>2660</v>
      </c>
      <c r="B148" s="515" t="s">
        <v>2678</v>
      </c>
      <c r="C148" s="393">
        <v>46000</v>
      </c>
      <c r="D14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8" s="395" t="s">
        <v>3176</v>
      </c>
      <c r="F148" s="395" t="s">
        <v>2918</v>
      </c>
      <c r="G148" s="454"/>
      <c r="H148" s="524"/>
      <c r="I148" s="499"/>
      <c r="J148" s="499">
        <v>40400</v>
      </c>
      <c r="K148" s="491">
        <f>+K147+Tableau15356789101112131625236924[[#This Row],[RECETTE]]-Tableau15356789101112131625236924[[#This Row],[DÉPENSE]]</f>
        <v>3888076</v>
      </c>
      <c r="L148" s="414">
        <f ca="1">+IF($B148="","",SUMIFS(INDIRECT("$K$7:K"&amp;ROW()),INDIRECT("$B$7:B"&amp;ROW()),Tableau15356789101112131625236924[[#This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-156050965</v>
      </c>
      <c r="M148" s="546"/>
    </row>
    <row r="149" spans="1:18" s="412" customFormat="1" ht="15" x14ac:dyDescent="0.3">
      <c r="A149" s="514" t="s">
        <v>2660</v>
      </c>
      <c r="B149" s="515" t="s">
        <v>2678</v>
      </c>
      <c r="C149" s="393">
        <v>46000</v>
      </c>
      <c r="D14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49" s="395" t="s">
        <v>3595</v>
      </c>
      <c r="F149" s="395" t="s">
        <v>3603</v>
      </c>
      <c r="G149" s="454"/>
      <c r="H149" s="524"/>
      <c r="I149" s="499"/>
      <c r="J149" s="499">
        <v>15150</v>
      </c>
      <c r="K149" s="491">
        <f>+K148+Tableau15356789101112131625236924[[#This Row],[RECETTE]]-Tableau15356789101112131625236924[[#This Row],[DÉPENSE]]</f>
        <v>3872926</v>
      </c>
      <c r="L149" s="414">
        <f ca="1">+IF($B149="","",SUMIFS(INDIRECT("$K$7:K"&amp;ROW()),INDIRECT("$B$7:B"&amp;ROW()),Tableau15356789101112131625236924[[#This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-157938170</v>
      </c>
      <c r="M149" s="546"/>
    </row>
    <row r="150" spans="1:18" s="412" customFormat="1" ht="15" x14ac:dyDescent="0.3">
      <c r="A150" s="514" t="s">
        <v>2660</v>
      </c>
      <c r="B150" s="515" t="s">
        <v>2678</v>
      </c>
      <c r="C150" s="393">
        <v>46000</v>
      </c>
      <c r="D15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0" s="395" t="s">
        <v>2813</v>
      </c>
      <c r="F150" s="395" t="s">
        <v>3604</v>
      </c>
      <c r="G150" s="454"/>
      <c r="H150" s="524"/>
      <c r="I150" s="499"/>
      <c r="J150" s="499">
        <v>50500</v>
      </c>
      <c r="K150" s="491">
        <f>+K149+Tableau15356789101112131625236924[[#This Row],[RECETTE]]-Tableau15356789101112131625236924[[#This Row],[DÉPENSE]]</f>
        <v>3822426</v>
      </c>
      <c r="L150" s="414">
        <f ca="1">+IF($B150="","",SUMIFS(INDIRECT("$K$7:K"&amp;ROW()),INDIRECT("$B$7:B"&amp;ROW()),Tableau15356789101112131625236924[[#This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-159774875</v>
      </c>
      <c r="M150" s="546"/>
    </row>
    <row r="151" spans="1:18" s="412" customFormat="1" ht="15" x14ac:dyDescent="0.3">
      <c r="A151" s="514" t="s">
        <v>2660</v>
      </c>
      <c r="B151" s="515" t="s">
        <v>2678</v>
      </c>
      <c r="C151" s="393">
        <v>46000</v>
      </c>
      <c r="D15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1" s="395" t="s">
        <v>2747</v>
      </c>
      <c r="F151" s="395" t="s">
        <v>3605</v>
      </c>
      <c r="G151" s="454"/>
      <c r="H151" s="524"/>
      <c r="I151" s="499"/>
      <c r="J151" s="499">
        <v>45450</v>
      </c>
      <c r="K151" s="491">
        <f>+K150+Tableau15356789101112131625236924[[#This Row],[RECETTE]]-Tableau15356789101112131625236924[[#This Row],[DÉPENSE]]</f>
        <v>3776976</v>
      </c>
      <c r="L151" s="414">
        <f ca="1">+IF($B151="","",SUMIFS(INDIRECT("$K$7:K"&amp;ROW()),INDIRECT("$B$7:B"&amp;ROW()),Tableau15356789101112131625236924[[#This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-161566130</v>
      </c>
      <c r="M151" s="546"/>
    </row>
    <row r="152" spans="1:18" s="412" customFormat="1" ht="15" x14ac:dyDescent="0.3">
      <c r="A152" s="514" t="s">
        <v>2660</v>
      </c>
      <c r="B152" s="515" t="s">
        <v>2678</v>
      </c>
      <c r="C152" s="393">
        <v>46000</v>
      </c>
      <c r="D15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2" s="395" t="s">
        <v>2794</v>
      </c>
      <c r="F152" s="395" t="s">
        <v>491</v>
      </c>
      <c r="G152" s="454"/>
      <c r="H152" s="524"/>
      <c r="I152" s="499"/>
      <c r="J152" s="499">
        <v>30300</v>
      </c>
      <c r="K152" s="491">
        <f>+K151+Tableau15356789101112131625236924[[#This Row],[RECETTE]]-Tableau15356789101112131625236924[[#This Row],[DÉPENSE]]</f>
        <v>3746676</v>
      </c>
      <c r="L152" s="414">
        <f ca="1">+IF($B152="","",SUMIFS(INDIRECT("$K$7:K"&amp;ROW()),INDIRECT("$B$7:B"&amp;ROW()),Tableau15356789101112131625236924[[#This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-163327085</v>
      </c>
      <c r="M152" s="546"/>
    </row>
    <row r="153" spans="1:18" s="412" customFormat="1" ht="15" x14ac:dyDescent="0.3">
      <c r="A153" s="514" t="s">
        <v>2660</v>
      </c>
      <c r="B153" s="515" t="s">
        <v>2678</v>
      </c>
      <c r="C153" s="393">
        <v>46000</v>
      </c>
      <c r="D15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3" s="395" t="s">
        <v>2810</v>
      </c>
      <c r="F153" s="395" t="s">
        <v>3606</v>
      </c>
      <c r="G153" s="454"/>
      <c r="H153" s="524"/>
      <c r="I153" s="499"/>
      <c r="J153" s="499">
        <v>30300</v>
      </c>
      <c r="K153" s="491">
        <f>+K152+Tableau15356789101112131625236924[[#This Row],[RECETTE]]-Tableau15356789101112131625236924[[#This Row],[DÉPENSE]]</f>
        <v>3716376</v>
      </c>
      <c r="L153" s="414">
        <f ca="1">+IF($B153="","",SUMIFS(INDIRECT("$K$7:K"&amp;ROW()),INDIRECT("$B$7:B"&amp;ROW()),Tableau15356789101112131625236924[[#This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-165057740</v>
      </c>
      <c r="M153" s="546"/>
    </row>
    <row r="154" spans="1:18" s="412" customFormat="1" ht="15" x14ac:dyDescent="0.3">
      <c r="A154" s="514" t="s">
        <v>2660</v>
      </c>
      <c r="B154" s="515" t="s">
        <v>2678</v>
      </c>
      <c r="C154" s="393">
        <v>46000</v>
      </c>
      <c r="D15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4" s="395" t="s">
        <v>3189</v>
      </c>
      <c r="F154" s="395" t="s">
        <v>3592</v>
      </c>
      <c r="G154" s="454"/>
      <c r="H154" s="524"/>
      <c r="I154" s="499"/>
      <c r="J154" s="499">
        <v>15000</v>
      </c>
      <c r="K154" s="491">
        <f>+K153+Tableau15356789101112131625236924[[#This Row],[RECETTE]]-Tableau15356789101112131625236924[[#This Row],[DÉPENSE]]</f>
        <v>3701376</v>
      </c>
      <c r="L154" s="414">
        <f ca="1">+IF($B154="","",SUMIFS(INDIRECT("$K$7:K"&amp;ROW()),INDIRECT("$B$7:B"&amp;ROW()),Tableau15356789101112131625236924[[#This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-166773395</v>
      </c>
      <c r="M154" s="546"/>
    </row>
    <row r="155" spans="1:18" s="412" customFormat="1" ht="15" x14ac:dyDescent="0.3">
      <c r="A155" s="514" t="s">
        <v>2660</v>
      </c>
      <c r="B155" s="515" t="s">
        <v>2678</v>
      </c>
      <c r="C155" s="393">
        <v>46000</v>
      </c>
      <c r="D15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5" s="395" t="s">
        <v>3176</v>
      </c>
      <c r="F155" s="395" t="s">
        <v>3607</v>
      </c>
      <c r="G155" s="454"/>
      <c r="H155" s="524" t="s">
        <v>3372</v>
      </c>
      <c r="I155" s="499"/>
      <c r="J155" s="499">
        <v>30300</v>
      </c>
      <c r="K155" s="491">
        <f>+K154+Tableau15356789101112131625236924[[#This Row],[RECETTE]]-Tableau15356789101112131625236924[[#This Row],[DÉPENSE]]</f>
        <v>3671076</v>
      </c>
      <c r="L155" s="431">
        <f ca="1">+IF($B155="","",SUMIFS(INDIRECT("$K$7:K"&amp;ROW()),INDIRECT("$B$7:B"&amp;ROW()),Tableau15356789101112131625236924[[#This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-168458750</v>
      </c>
      <c r="M155" s="546"/>
    </row>
    <row r="156" spans="1:18" s="464" customFormat="1" ht="15" x14ac:dyDescent="0.3">
      <c r="A156" s="505" t="s">
        <v>2660</v>
      </c>
      <c r="B156" s="506" t="s">
        <v>2678</v>
      </c>
      <c r="C156" s="393">
        <v>46000</v>
      </c>
      <c r="D15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6" s="395" t="s">
        <v>2951</v>
      </c>
      <c r="F156" s="395" t="s">
        <v>3608</v>
      </c>
      <c r="G156" s="454"/>
      <c r="H156" s="524" t="s">
        <v>3494</v>
      </c>
      <c r="I156" s="499"/>
      <c r="J156" s="499">
        <v>164000</v>
      </c>
      <c r="K156" s="491">
        <f>+K155+Tableau15356789101112131625236924[[#This Row],[RECETTE]]-Tableau15356789101112131625236924[[#This Row],[DÉPENSE]]</f>
        <v>3507076</v>
      </c>
      <c r="L156" s="422">
        <f ca="1">+IF($B156="","",SUMIFS(INDIRECT("$K$7:K"&amp;ROW()),INDIRECT("$B$7:B"&amp;ROW()),Tableau15356789101112131625236924[[#This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-169980105</v>
      </c>
      <c r="M156" s="546"/>
    </row>
    <row r="157" spans="1:18" s="412" customFormat="1" ht="15" x14ac:dyDescent="0.3">
      <c r="A157" s="514" t="s">
        <v>2660</v>
      </c>
      <c r="B157" s="515" t="s">
        <v>2678</v>
      </c>
      <c r="C157" s="393">
        <v>46000</v>
      </c>
      <c r="D15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7" s="395" t="s">
        <v>3349</v>
      </c>
      <c r="F157" s="395" t="s">
        <v>789</v>
      </c>
      <c r="G157" s="454"/>
      <c r="H157" s="524"/>
      <c r="I157" s="499"/>
      <c r="J157" s="499">
        <v>4000</v>
      </c>
      <c r="K157" s="491">
        <f>+K156+Tableau15356789101112131625236924[[#This Row],[RECETTE]]-Tableau15356789101112131625236924[[#This Row],[DÉPENSE]]</f>
        <v>3503076</v>
      </c>
      <c r="L157" s="414">
        <f ca="1">+IF($B157="","",SUMIFS(INDIRECT("$K$7:K"&amp;ROW()),INDIRECT("$B$7:B"&amp;ROW()),Tableau15356789101112131625236924[[#This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-171497460</v>
      </c>
      <c r="M157" s="546"/>
    </row>
    <row r="158" spans="1:18" s="412" customFormat="1" ht="15" x14ac:dyDescent="0.3">
      <c r="A158" s="514" t="s">
        <v>2660</v>
      </c>
      <c r="B158" s="515" t="s">
        <v>2678</v>
      </c>
      <c r="C158" s="393">
        <v>46000</v>
      </c>
      <c r="D15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8" s="395" t="s">
        <v>3439</v>
      </c>
      <c r="F158" s="395" t="s">
        <v>1330</v>
      </c>
      <c r="G158" s="454"/>
      <c r="H158" s="524"/>
      <c r="I158" s="499"/>
      <c r="J158" s="499">
        <v>5000</v>
      </c>
      <c r="K158" s="491">
        <f>+K157+Tableau15356789101112131625236924[[#This Row],[RECETTE]]-Tableau15356789101112131625236924[[#This Row],[DÉPENSE]]</f>
        <v>3498076</v>
      </c>
      <c r="L158" s="414">
        <f ca="1">+IF($B158="","",SUMIFS(INDIRECT("$K$7:K"&amp;ROW()),INDIRECT("$B$7:B"&amp;ROW()),Tableau15356789101112131625236924[[#This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-173009815</v>
      </c>
      <c r="M158" s="546"/>
    </row>
    <row r="159" spans="1:18" s="412" customFormat="1" ht="15" x14ac:dyDescent="0.3">
      <c r="A159" s="514" t="s">
        <v>2660</v>
      </c>
      <c r="B159" s="515" t="s">
        <v>2678</v>
      </c>
      <c r="C159" s="393">
        <v>46000</v>
      </c>
      <c r="D15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59" s="395" t="s">
        <v>2813</v>
      </c>
      <c r="F159" s="395" t="s">
        <v>3609</v>
      </c>
      <c r="G159" s="454"/>
      <c r="H159" s="524" t="s">
        <v>2876</v>
      </c>
      <c r="I159" s="499"/>
      <c r="J159" s="499">
        <v>10100</v>
      </c>
      <c r="K159" s="491">
        <f>+K158+Tableau15356789101112131625236924[[#This Row],[RECETTE]]-Tableau15356789101112131625236924[[#This Row],[DÉPENSE]]</f>
        <v>3487976</v>
      </c>
      <c r="L159" s="414">
        <f ca="1">+IF($B159="","",SUMIFS(INDIRECT("$K$7:K"&amp;ROW()),INDIRECT("$B$7:B"&amp;ROW()),Tableau15356789101112131625236924[[#This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-174512070</v>
      </c>
      <c r="M159" s="546"/>
    </row>
    <row r="160" spans="1:18" s="412" customFormat="1" ht="15" x14ac:dyDescent="0.3">
      <c r="A160" s="514" t="s">
        <v>2660</v>
      </c>
      <c r="B160" s="515" t="s">
        <v>2678</v>
      </c>
      <c r="C160" s="393">
        <v>46001</v>
      </c>
      <c r="D16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0" s="395" t="s">
        <v>2756</v>
      </c>
      <c r="F160" s="395" t="s">
        <v>3608</v>
      </c>
      <c r="G160" s="454"/>
      <c r="H160" s="524"/>
      <c r="I160" s="499"/>
      <c r="J160" s="499">
        <v>144000</v>
      </c>
      <c r="K160" s="491">
        <f>+K159+Tableau15356789101112131625236924[[#This Row],[RECETTE]]-Tableau15356789101112131625236924[[#This Row],[DÉPENSE]]</f>
        <v>3343976</v>
      </c>
      <c r="L160" s="414">
        <f ca="1">+IF($B160="","",SUMIFS(INDIRECT("$K$7:K"&amp;ROW()),INDIRECT("$B$7:B"&amp;ROW()),Tableau15356789101112131625236924[[#This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-175870325</v>
      </c>
      <c r="M160" s="546"/>
    </row>
    <row r="161" spans="1:18" s="412" customFormat="1" ht="15" x14ac:dyDescent="0.3">
      <c r="A161" s="514" t="s">
        <v>2660</v>
      </c>
      <c r="B161" s="515" t="s">
        <v>2678</v>
      </c>
      <c r="C161" s="393">
        <v>46001</v>
      </c>
      <c r="D16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1" s="395" t="s">
        <v>3610</v>
      </c>
      <c r="F161" s="395" t="s">
        <v>3611</v>
      </c>
      <c r="G161" s="454"/>
      <c r="H161" s="524"/>
      <c r="I161" s="499"/>
      <c r="J161" s="499">
        <v>10000</v>
      </c>
      <c r="K161" s="491">
        <f>+K160+Tableau15356789101112131625236924[[#This Row],[RECETTE]]-Tableau15356789101112131625236924[[#This Row],[DÉPENSE]]</f>
        <v>3333976</v>
      </c>
      <c r="L161" s="414">
        <f ca="1">+IF($B161="","",SUMIFS(INDIRECT("$K$7:K"&amp;ROW()),INDIRECT("$B$7:B"&amp;ROW()),Tableau15356789101112131625236924[[#This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-177218580</v>
      </c>
      <c r="M161" s="546"/>
    </row>
    <row r="162" spans="1:18" s="412" customFormat="1" ht="15" x14ac:dyDescent="0.3">
      <c r="A162" s="514" t="s">
        <v>2660</v>
      </c>
      <c r="B162" s="515" t="s">
        <v>2678</v>
      </c>
      <c r="C162" s="393">
        <v>46001</v>
      </c>
      <c r="D16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2" s="395" t="s">
        <v>2813</v>
      </c>
      <c r="F162" s="395" t="s">
        <v>3612</v>
      </c>
      <c r="G162" s="454"/>
      <c r="H162" s="524"/>
      <c r="I162" s="499"/>
      <c r="J162" s="499">
        <v>4040</v>
      </c>
      <c r="K162" s="491">
        <f>+K161+Tableau15356789101112131625236924[[#This Row],[RECETTE]]-Tableau15356789101112131625236924[[#This Row],[DÉPENSE]]</f>
        <v>3329936</v>
      </c>
      <c r="L162" s="414">
        <f ca="1">+IF($B162="","",SUMIFS(INDIRECT("$K$7:K"&amp;ROW()),INDIRECT("$B$7:B"&amp;ROW()),Tableau15356789101112131625236924[[#This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-178562795</v>
      </c>
      <c r="M162" s="546"/>
    </row>
    <row r="163" spans="1:18" s="412" customFormat="1" ht="15" x14ac:dyDescent="0.3">
      <c r="A163" s="514" t="s">
        <v>2660</v>
      </c>
      <c r="B163" s="515" t="s">
        <v>2678</v>
      </c>
      <c r="C163" s="393">
        <v>46001</v>
      </c>
      <c r="D16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3" s="395" t="s">
        <v>2686</v>
      </c>
      <c r="F163" s="395" t="s">
        <v>2706</v>
      </c>
      <c r="G163" s="454"/>
      <c r="H163" s="524" t="s">
        <v>2707</v>
      </c>
      <c r="I163" s="499"/>
      <c r="J163" s="499">
        <v>10100</v>
      </c>
      <c r="K163" s="491">
        <f>+K162+Tableau15356789101112131625236924[[#This Row],[RECETTE]]-Tableau15356789101112131625236924[[#This Row],[DÉPENSE]]</f>
        <v>3319836</v>
      </c>
      <c r="L163" s="414">
        <f ca="1">+IF($B163="","",SUMIFS(INDIRECT("$K$7:K"&amp;ROW()),INDIRECT("$B$7:B"&amp;ROW()),Tableau15356789101112131625236924[[#This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-179896910</v>
      </c>
      <c r="M163" s="546"/>
    </row>
    <row r="164" spans="1:18" s="412" customFormat="1" ht="15" x14ac:dyDescent="0.3">
      <c r="A164" s="514" t="s">
        <v>2660</v>
      </c>
      <c r="B164" s="515" t="s">
        <v>2678</v>
      </c>
      <c r="C164" s="393">
        <v>46001</v>
      </c>
      <c r="D16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4" s="395" t="s">
        <v>3610</v>
      </c>
      <c r="F164" s="395" t="s">
        <v>2706</v>
      </c>
      <c r="G164" s="454"/>
      <c r="H164" s="524" t="s">
        <v>3579</v>
      </c>
      <c r="I164" s="499"/>
      <c r="J164" s="499">
        <v>10100</v>
      </c>
      <c r="K164" s="491">
        <f>+K163+Tableau15356789101112131625236924[[#This Row],[RECETTE]]-Tableau15356789101112131625236924[[#This Row],[DÉPENSE]]</f>
        <v>3309736</v>
      </c>
      <c r="L164" s="414">
        <f ca="1">+IF($B164="","",SUMIFS(INDIRECT("$K$7:K"&amp;ROW()),INDIRECT("$B$7:B"&amp;ROW()),Tableau15356789101112131625236924[[#This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-181220925</v>
      </c>
      <c r="M164" s="546"/>
    </row>
    <row r="165" spans="1:18" s="412" customFormat="1" ht="15" x14ac:dyDescent="0.3">
      <c r="A165" s="514" t="s">
        <v>2660</v>
      </c>
      <c r="B165" s="515" t="s">
        <v>2678</v>
      </c>
      <c r="C165" s="393">
        <v>46001</v>
      </c>
      <c r="D16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5" s="395" t="s">
        <v>2844</v>
      </c>
      <c r="F165" s="395" t="s">
        <v>3613</v>
      </c>
      <c r="G165" s="454"/>
      <c r="H165" s="524" t="s">
        <v>3579</v>
      </c>
      <c r="I165" s="499"/>
      <c r="J165" s="499">
        <v>40000</v>
      </c>
      <c r="K165" s="491">
        <f>+K164+Tableau15356789101112131625236924[[#This Row],[RECETTE]]-Tableau15356789101112131625236924[[#This Row],[DÉPENSE]]</f>
        <v>3269736</v>
      </c>
      <c r="L165" s="414">
        <f ca="1">+IF($B165="","",SUMIFS(INDIRECT("$K$7:K"&amp;ROW()),INDIRECT("$B$7:B"&amp;ROW()),Tableau15356789101112131625236924[[#This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-182504940</v>
      </c>
      <c r="M165" s="546"/>
    </row>
    <row r="166" spans="1:18" s="412" customFormat="1" ht="15" x14ac:dyDescent="0.3">
      <c r="A166" s="514" t="s">
        <v>2660</v>
      </c>
      <c r="B166" s="515" t="s">
        <v>2678</v>
      </c>
      <c r="C166" s="393">
        <v>46001</v>
      </c>
      <c r="D16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6" s="395" t="s">
        <v>2756</v>
      </c>
      <c r="F166" s="395" t="s">
        <v>3614</v>
      </c>
      <c r="G166" s="454"/>
      <c r="H166" s="524"/>
      <c r="I166" s="499"/>
      <c r="J166" s="499">
        <v>30300</v>
      </c>
      <c r="K166" s="491">
        <f>+K165+Tableau15356789101112131625236924[[#This Row],[RECETTE]]-Tableau15356789101112131625236924[[#This Row],[DÉPENSE]]</f>
        <v>3239436</v>
      </c>
      <c r="L166" s="414">
        <f ca="1">+IF($B166="","",SUMIFS(INDIRECT("$K$7:K"&amp;ROW()),INDIRECT("$B$7:B"&amp;ROW()),Tableau15356789101112131625236924[[#This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-183758655</v>
      </c>
      <c r="M166" s="546"/>
    </row>
    <row r="167" spans="1:18" s="412" customFormat="1" ht="15" x14ac:dyDescent="0.3">
      <c r="A167" s="514" t="s">
        <v>2660</v>
      </c>
      <c r="B167" s="515" t="s">
        <v>2678</v>
      </c>
      <c r="C167" s="406">
        <v>46001</v>
      </c>
      <c r="D16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7" s="408" t="s">
        <v>2727</v>
      </c>
      <c r="F167" s="408" t="s">
        <v>3615</v>
      </c>
      <c r="G167" s="418"/>
      <c r="H167" s="522" t="s">
        <v>2729</v>
      </c>
      <c r="I167" s="513"/>
      <c r="J167" s="513">
        <v>22000</v>
      </c>
      <c r="K167" s="491">
        <f>+K166+Tableau15356789101112131625236924[[#This Row],[RECETTE]]-Tableau15356789101112131625236924[[#This Row],[DÉPENSE]]</f>
        <v>3217436</v>
      </c>
      <c r="L167" s="414">
        <f ca="1">+IF($B167="","",SUMIFS(INDIRECT("$K$7:K"&amp;ROW()),INDIRECT("$B$7:B"&amp;ROW()),Tableau15356789101112131625236924[[#This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-184990370</v>
      </c>
      <c r="M167" s="547"/>
    </row>
    <row r="168" spans="1:18" s="412" customFormat="1" ht="15" x14ac:dyDescent="0.3">
      <c r="A168" s="514" t="s">
        <v>2660</v>
      </c>
      <c r="B168" s="515" t="s">
        <v>2678</v>
      </c>
      <c r="C168" s="406">
        <v>46001</v>
      </c>
      <c r="D16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8" s="408" t="s">
        <v>3616</v>
      </c>
      <c r="F168" s="408" t="s">
        <v>3617</v>
      </c>
      <c r="G168" s="418"/>
      <c r="H168" s="522" t="s">
        <v>3582</v>
      </c>
      <c r="I168" s="513"/>
      <c r="J168" s="513">
        <v>505000</v>
      </c>
      <c r="K168" s="491">
        <f>+K167+Tableau15356789101112131625236924[[#This Row],[RECETTE]]-Tableau15356789101112131625236924[[#This Row],[DÉPENSE]]</f>
        <v>2712436</v>
      </c>
      <c r="L168" s="414">
        <f ca="1">+IF($B168="","",SUMIFS(INDIRECT("$K$7:K"&amp;ROW()),INDIRECT("$B$7:B"&amp;ROW()),Tableau15356789101112131625236924[[#This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-185717085</v>
      </c>
      <c r="M168" s="547" t="s">
        <v>3618</v>
      </c>
    </row>
    <row r="169" spans="1:18" ht="15" x14ac:dyDescent="0.3">
      <c r="A169" s="391" t="s">
        <v>2660</v>
      </c>
      <c r="B169" s="392" t="s">
        <v>2678</v>
      </c>
      <c r="C169" s="393">
        <v>46001</v>
      </c>
      <c r="D16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69" s="395" t="s">
        <v>3541</v>
      </c>
      <c r="F169" s="395" t="s">
        <v>3541</v>
      </c>
      <c r="G169" s="454"/>
      <c r="H169" s="524"/>
      <c r="I169" s="499"/>
      <c r="J169" s="499">
        <v>2300</v>
      </c>
      <c r="K169" s="491">
        <f>+K168+Tableau15356789101112131625236924[[#This Row],[RECETTE]]-Tableau15356789101112131625236924[[#This Row],[DÉPENSE]]</f>
        <v>2710136</v>
      </c>
      <c r="L169" s="403">
        <f ca="1">+IF($B169="","",SUMIFS(INDIRECT("$K$7:K"&amp;ROW()),INDIRECT("$B$7:B"&amp;ROW()),Tableau15356789101112131625236924[[#This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-186441500</v>
      </c>
      <c r="M169" s="546"/>
      <c r="P169" s="368"/>
      <c r="Q169" s="368"/>
      <c r="R169" s="368"/>
    </row>
    <row r="170" spans="1:18" ht="15" x14ac:dyDescent="0.3">
      <c r="A170" s="391" t="s">
        <v>2660</v>
      </c>
      <c r="B170" s="392" t="s">
        <v>2678</v>
      </c>
      <c r="C170" s="393">
        <v>46001</v>
      </c>
      <c r="D17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0" s="395" t="s">
        <v>3541</v>
      </c>
      <c r="F170" s="395" t="s">
        <v>3619</v>
      </c>
      <c r="G170" s="454"/>
      <c r="H170" s="524"/>
      <c r="I170" s="499"/>
      <c r="J170" s="499">
        <v>4040</v>
      </c>
      <c r="K170" s="491">
        <f>+K169+Tableau15356789101112131625236924[[#This Row],[RECETTE]]-Tableau15356789101112131625236924[[#This Row],[DÉPENSE]]</f>
        <v>2706096</v>
      </c>
      <c r="L170" s="403">
        <f ca="1">+IF($B170="","",SUMIFS(INDIRECT("$K$7:K"&amp;ROW()),INDIRECT("$B$7:B"&amp;ROW()),Tableau15356789101112131625236924[[#This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-187161875</v>
      </c>
      <c r="M170" s="546"/>
      <c r="P170" s="368"/>
      <c r="Q170" s="368"/>
      <c r="R170" s="368"/>
    </row>
    <row r="171" spans="1:18" s="520" customFormat="1" ht="15" x14ac:dyDescent="0.3">
      <c r="A171" s="526" t="s">
        <v>2660</v>
      </c>
      <c r="B171" s="527" t="s">
        <v>2678</v>
      </c>
      <c r="C171" s="393">
        <v>46001</v>
      </c>
      <c r="D17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1" s="395" t="s">
        <v>3620</v>
      </c>
      <c r="F171" s="395" t="s">
        <v>3161</v>
      </c>
      <c r="G171" s="454"/>
      <c r="H171" s="524" t="s">
        <v>3621</v>
      </c>
      <c r="I171" s="499"/>
      <c r="J171" s="499">
        <v>151500</v>
      </c>
      <c r="K171" s="491">
        <f>+K170+Tableau15356789101112131625236924[[#This Row],[RECETTE]]-Tableau15356789101112131625236924[[#This Row],[DÉPENSE]]</f>
        <v>2554596</v>
      </c>
      <c r="L171" s="447">
        <f ca="1">+IF($B171="","",SUMIFS(INDIRECT("$K$7:K"&amp;ROW()),INDIRECT("$B$7:B"&amp;ROW()),Tableau15356789101112131625236924[[#This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-187730750</v>
      </c>
      <c r="M171" s="546"/>
    </row>
    <row r="172" spans="1:18" s="464" customFormat="1" ht="15" x14ac:dyDescent="0.3">
      <c r="A172" s="505" t="s">
        <v>2660</v>
      </c>
      <c r="B172" s="506" t="s">
        <v>2678</v>
      </c>
      <c r="C172" s="393">
        <v>46001</v>
      </c>
      <c r="D17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2" s="395" t="s">
        <v>3610</v>
      </c>
      <c r="F172" s="395" t="s">
        <v>3622</v>
      </c>
      <c r="G172" s="454"/>
      <c r="H172" s="524"/>
      <c r="I172" s="499"/>
      <c r="J172" s="499">
        <v>17170</v>
      </c>
      <c r="K172" s="491">
        <f>+K171+Tableau15356789101112131625236924[[#This Row],[RECETTE]]-Tableau15356789101112131625236924[[#This Row],[DÉPENSE]]</f>
        <v>2537426</v>
      </c>
      <c r="L172" s="422">
        <f ca="1">+IF($B172="","",SUMIFS(INDIRECT("$K$7:K"&amp;ROW()),INDIRECT("$B$7:B"&amp;ROW()),Tableau15356789101112131625236924[[#This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-188282455</v>
      </c>
      <c r="M172" s="546"/>
    </row>
    <row r="173" spans="1:18" ht="15" x14ac:dyDescent="0.3">
      <c r="A173" s="514" t="s">
        <v>2660</v>
      </c>
      <c r="B173" s="392" t="s">
        <v>2678</v>
      </c>
      <c r="C173" s="393">
        <v>46001</v>
      </c>
      <c r="D17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3" s="395" t="s">
        <v>2764</v>
      </c>
      <c r="F173" s="395" t="s">
        <v>3623</v>
      </c>
      <c r="G173" s="454"/>
      <c r="H173" s="524"/>
      <c r="I173" s="499"/>
      <c r="J173" s="499">
        <v>13130</v>
      </c>
      <c r="K173" s="491">
        <f>+K172+Tableau15356789101112131625236924[[#This Row],[RECETTE]]-Tableau15356789101112131625236924[[#This Row],[DÉPENSE]]</f>
        <v>2524296</v>
      </c>
      <c r="L173" s="403">
        <f ca="1">+IF($B173="","",SUMIFS(INDIRECT("$K$7:K"&amp;ROW()),INDIRECT("$B$7:B"&amp;ROW()),Tableau15356789101112131625236924[[#This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-188821030</v>
      </c>
      <c r="M173" s="546"/>
      <c r="P173" s="368"/>
      <c r="Q173" s="368"/>
      <c r="R173" s="368"/>
    </row>
    <row r="174" spans="1:18" s="412" customFormat="1" ht="15" x14ac:dyDescent="0.3">
      <c r="A174" s="514" t="s">
        <v>2660</v>
      </c>
      <c r="B174" s="515" t="s">
        <v>2678</v>
      </c>
      <c r="C174" s="406">
        <v>46002</v>
      </c>
      <c r="D174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4" s="408" t="s">
        <v>3624</v>
      </c>
      <c r="F174" s="408" t="s">
        <v>3625</v>
      </c>
      <c r="G174" s="418"/>
      <c r="H174" s="522" t="s">
        <v>2876</v>
      </c>
      <c r="I174" s="513"/>
      <c r="J174" s="513">
        <v>504000</v>
      </c>
      <c r="K174" s="491">
        <f>+K173+Tableau15356789101112131625236924[[#This Row],[RECETTE]]-Tableau15356789101112131625236924[[#This Row],[DÉPENSE]]</f>
        <v>2020296</v>
      </c>
      <c r="L174" s="414">
        <f ca="1">+IF($B174="","",SUMIFS(INDIRECT("$K$7:K"&amp;ROW()),INDIRECT("$B$7:B"&amp;ROW()),Tableau15356789101112131625236924[[#This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-188855605</v>
      </c>
      <c r="M174" s="547"/>
    </row>
    <row r="175" spans="1:18" ht="15" x14ac:dyDescent="0.3">
      <c r="A175" s="514" t="s">
        <v>2660</v>
      </c>
      <c r="B175" s="392" t="s">
        <v>2678</v>
      </c>
      <c r="C175" s="393">
        <v>46002</v>
      </c>
      <c r="D17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5" s="395" t="s">
        <v>2773</v>
      </c>
      <c r="F175" s="395" t="s">
        <v>3626</v>
      </c>
      <c r="G175" s="454"/>
      <c r="H175" s="524"/>
      <c r="I175" s="499"/>
      <c r="J175" s="499">
        <v>2000</v>
      </c>
      <c r="K175" s="491">
        <f>+K174+Tableau15356789101112131625236924[[#This Row],[RECETTE]]-Tableau15356789101112131625236924[[#This Row],[DÉPENSE]]</f>
        <v>2018296</v>
      </c>
      <c r="L175" s="403">
        <f ca="1">+IF($B175="","",SUMIFS(INDIRECT("$K$7:K"&amp;ROW()),INDIRECT("$B$7:B"&amp;ROW()),Tableau15356789101112131625236924[[#This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-188888180</v>
      </c>
      <c r="M175" s="546"/>
      <c r="P175" s="368"/>
      <c r="Q175" s="368"/>
      <c r="R175" s="368"/>
    </row>
    <row r="176" spans="1:18" ht="15" x14ac:dyDescent="0.3">
      <c r="A176" s="514" t="s">
        <v>2660</v>
      </c>
      <c r="B176" s="392" t="s">
        <v>2678</v>
      </c>
      <c r="C176" s="393">
        <v>46002</v>
      </c>
      <c r="D17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6" s="395" t="s">
        <v>3541</v>
      </c>
      <c r="F176" s="395" t="s">
        <v>3627</v>
      </c>
      <c r="G176" s="454"/>
      <c r="H176" s="524"/>
      <c r="I176" s="499"/>
      <c r="J176" s="499">
        <v>349865</v>
      </c>
      <c r="K176" s="491">
        <f>+K175+Tableau15356789101112131625236924[[#This Row],[RECETTE]]-Tableau15356789101112131625236924[[#This Row],[DÉPENSE]]</f>
        <v>1668431</v>
      </c>
      <c r="L176" s="403">
        <f ca="1">+IF($B176="","",SUMIFS(INDIRECT("$K$7:K"&amp;ROW()),INDIRECT("$B$7:B"&amp;ROW()),Tableau15356789101112131625236924[[#This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-188570890</v>
      </c>
      <c r="M176" s="546"/>
      <c r="P176" s="368"/>
      <c r="Q176" s="368"/>
      <c r="R176" s="368"/>
    </row>
    <row r="177" spans="1:18" ht="15" x14ac:dyDescent="0.3">
      <c r="A177" s="514" t="s">
        <v>2660</v>
      </c>
      <c r="B177" s="392" t="s">
        <v>2678</v>
      </c>
      <c r="C177" s="435">
        <v>46002</v>
      </c>
      <c r="D17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7" s="435" t="s">
        <v>2844</v>
      </c>
      <c r="F177" s="435" t="s">
        <v>3628</v>
      </c>
      <c r="G177" s="454"/>
      <c r="H177" s="548"/>
      <c r="I177" s="491"/>
      <c r="J177" s="549">
        <v>25000</v>
      </c>
      <c r="K177" s="491">
        <f>+K176+Tableau15356789101112131625236924[[#This Row],[RECETTE]]-Tableau15356789101112131625236924[[#This Row],[DÉPENSE]]</f>
        <v>1643431</v>
      </c>
      <c r="L177" s="403">
        <f ca="1">+IF($B177="","",SUMIFS(INDIRECT("$K$7:K"&amp;ROW()),INDIRECT("$B$7:B"&amp;ROW()),Tableau15356789101112131625236924[[#This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-188228600</v>
      </c>
      <c r="M177" s="435"/>
      <c r="P177" s="368"/>
      <c r="Q177" s="368"/>
      <c r="R177" s="368"/>
    </row>
    <row r="178" spans="1:18" ht="15" x14ac:dyDescent="0.3">
      <c r="A178" s="514" t="s">
        <v>2660</v>
      </c>
      <c r="B178" s="392" t="s">
        <v>2678</v>
      </c>
      <c r="C178" s="435">
        <v>46002</v>
      </c>
      <c r="D17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8" s="395" t="s">
        <v>2813</v>
      </c>
      <c r="F178" s="435" t="s">
        <v>3629</v>
      </c>
      <c r="G178" s="454"/>
      <c r="H178" s="548"/>
      <c r="I178" s="491"/>
      <c r="J178" s="550">
        <v>12120</v>
      </c>
      <c r="K178" s="491">
        <f>+K177+Tableau15356789101112131625236924[[#This Row],[RECETTE]]-Tableau15356789101112131625236924[[#This Row],[DÉPENSE]]</f>
        <v>1631311</v>
      </c>
      <c r="L178" s="403">
        <f ca="1">+IF($B178="","",SUMIFS(INDIRECT("$K$7:K"&amp;ROW()),INDIRECT("$B$7:B"&amp;ROW()),Tableau15356789101112131625236924[[#This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-187874190</v>
      </c>
      <c r="M178" s="435"/>
      <c r="P178" s="368"/>
      <c r="Q178" s="368"/>
      <c r="R178" s="368"/>
    </row>
    <row r="179" spans="1:18" ht="15" x14ac:dyDescent="0.3">
      <c r="A179" s="514" t="s">
        <v>2660</v>
      </c>
      <c r="B179" s="392" t="s">
        <v>2678</v>
      </c>
      <c r="C179" s="435">
        <v>46002</v>
      </c>
      <c r="D17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79" s="435" t="s">
        <v>3610</v>
      </c>
      <c r="F179" s="435" t="s">
        <v>3630</v>
      </c>
      <c r="G179" s="454"/>
      <c r="H179" s="548" t="s">
        <v>3579</v>
      </c>
      <c r="I179" s="491"/>
      <c r="J179" s="550">
        <v>7575</v>
      </c>
      <c r="K179" s="491">
        <f>+K178+Tableau15356789101112131625236924[[#This Row],[RECETTE]]-Tableau15356789101112131625236924[[#This Row],[DÉPENSE]]</f>
        <v>1623736</v>
      </c>
      <c r="L179" s="403">
        <f ca="1">+IF($B179="","",SUMIFS(INDIRECT("$K$7:K"&amp;ROW()),INDIRECT("$B$7:B"&amp;ROW()),Tableau15356789101112131625236924[[#This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-187512205</v>
      </c>
      <c r="M179" s="435"/>
      <c r="P179" s="368"/>
      <c r="Q179" s="368"/>
      <c r="R179" s="368"/>
    </row>
    <row r="180" spans="1:18" ht="15" x14ac:dyDescent="0.3">
      <c r="A180" s="514" t="s">
        <v>2660</v>
      </c>
      <c r="B180" s="392" t="s">
        <v>2678</v>
      </c>
      <c r="C180" s="435">
        <v>46002</v>
      </c>
      <c r="D18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0" s="435" t="s">
        <v>3631</v>
      </c>
      <c r="F180" s="435" t="s">
        <v>3632</v>
      </c>
      <c r="G180" s="454"/>
      <c r="H180" s="548"/>
      <c r="I180" s="491"/>
      <c r="J180" s="550">
        <v>45450</v>
      </c>
      <c r="K180" s="491">
        <f>+K179+Tableau15356789101112131625236924[[#This Row],[RECETTE]]-Tableau15356789101112131625236924[[#This Row],[DÉPENSE]]</f>
        <v>1578286</v>
      </c>
      <c r="L180" s="403">
        <f ca="1">+IF($B180="","",SUMIFS(INDIRECT("$K$7:K"&amp;ROW()),INDIRECT("$B$7:B"&amp;ROW()),Tableau15356789101112131625236924[[#This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-187104770</v>
      </c>
      <c r="M180" s="435"/>
      <c r="P180" s="368"/>
      <c r="Q180" s="368"/>
      <c r="R180" s="368"/>
    </row>
    <row r="181" spans="1:18" ht="15" x14ac:dyDescent="0.3">
      <c r="A181" s="514" t="s">
        <v>2660</v>
      </c>
      <c r="B181" s="392" t="s">
        <v>2678</v>
      </c>
      <c r="C181" s="435">
        <v>46002</v>
      </c>
      <c r="D18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1" s="435" t="s">
        <v>2866</v>
      </c>
      <c r="F181" s="435" t="s">
        <v>3633</v>
      </c>
      <c r="G181" s="454"/>
      <c r="H181" s="548" t="s">
        <v>3634</v>
      </c>
      <c r="I181" s="491"/>
      <c r="J181" s="550">
        <v>79790</v>
      </c>
      <c r="K181" s="491">
        <f>+K180+Tableau15356789101112131625236924[[#This Row],[RECETTE]]-Tableau15356789101112131625236924[[#This Row],[DÉPENSE]]</f>
        <v>1498496</v>
      </c>
      <c r="L181" s="403">
        <f ca="1">+IF($B181="","",SUMIFS(INDIRECT("$K$7:K"&amp;ROW()),INDIRECT("$B$7:B"&amp;ROW()),Tableau15356789101112131625236924[[#This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-186617545</v>
      </c>
      <c r="M181" s="435"/>
      <c r="P181" s="368"/>
      <c r="Q181" s="368"/>
      <c r="R181" s="368"/>
    </row>
    <row r="182" spans="1:18" ht="15" x14ac:dyDescent="0.3">
      <c r="A182" s="514" t="s">
        <v>2660</v>
      </c>
      <c r="B182" s="392" t="s">
        <v>2678</v>
      </c>
      <c r="C182" s="435">
        <v>46002</v>
      </c>
      <c r="D18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2" s="489" t="s">
        <v>3541</v>
      </c>
      <c r="F182" s="489" t="s">
        <v>3541</v>
      </c>
      <c r="G182" s="454"/>
      <c r="H182" s="494"/>
      <c r="I182" s="492"/>
      <c r="J182" s="492">
        <v>15680</v>
      </c>
      <c r="K182" s="491">
        <f>+K181+Tableau15356789101112131625236924[[#This Row],[RECETTE]]-Tableau15356789101112131625236924[[#This Row],[DÉPENSE]]</f>
        <v>1482816</v>
      </c>
      <c r="L182" s="403">
        <f ca="1">+IF($B182="","",SUMIFS(INDIRECT("$K$7:K"&amp;ROW()),INDIRECT("$B$7:B"&amp;ROW()),Tableau15356789101112131625236924[[#This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-186114640</v>
      </c>
      <c r="M182" s="435"/>
      <c r="P182" s="368"/>
      <c r="Q182" s="368"/>
      <c r="R182" s="368"/>
    </row>
    <row r="183" spans="1:18" ht="15" x14ac:dyDescent="0.3">
      <c r="A183" s="514" t="s">
        <v>2660</v>
      </c>
      <c r="B183" s="392" t="s">
        <v>2678</v>
      </c>
      <c r="C183" s="435">
        <v>46002</v>
      </c>
      <c r="D18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3" s="489" t="s">
        <v>2694</v>
      </c>
      <c r="F183" s="489" t="s">
        <v>3635</v>
      </c>
      <c r="G183" s="454"/>
      <c r="H183" s="494"/>
      <c r="I183" s="492"/>
      <c r="J183" s="492">
        <v>150000</v>
      </c>
      <c r="K183" s="491">
        <f>+K182+Tableau15356789101112131625236924[[#This Row],[RECETTE]]-Tableau15356789101112131625236924[[#This Row],[DÉPENSE]]</f>
        <v>1332816</v>
      </c>
      <c r="L183" s="403">
        <f ca="1">+IF($B183="","",SUMIFS(INDIRECT("$K$7:K"&amp;ROW()),INDIRECT("$B$7:B"&amp;ROW()),Tableau15356789101112131625236924[[#This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-185461735</v>
      </c>
      <c r="M183" s="435"/>
      <c r="P183" s="368"/>
      <c r="Q183" s="368"/>
      <c r="R183" s="368"/>
    </row>
    <row r="184" spans="1:18" ht="15" x14ac:dyDescent="0.3">
      <c r="A184" s="514" t="s">
        <v>2660</v>
      </c>
      <c r="B184" s="392" t="s">
        <v>2678</v>
      </c>
      <c r="C184" s="435">
        <v>46002</v>
      </c>
      <c r="D18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4" s="489" t="s">
        <v>2694</v>
      </c>
      <c r="F184" s="489" t="s">
        <v>3636</v>
      </c>
      <c r="G184" s="454"/>
      <c r="H184" s="494"/>
      <c r="I184" s="492"/>
      <c r="J184" s="492">
        <v>17000</v>
      </c>
      <c r="K184" s="491">
        <f>+K183+Tableau15356789101112131625236924[[#This Row],[RECETTE]]-Tableau15356789101112131625236924[[#This Row],[DÉPENSE]]</f>
        <v>1315816</v>
      </c>
      <c r="L184" s="403">
        <f ca="1">+IF($B184="","",SUMIFS(INDIRECT("$K$7:K"&amp;ROW()),INDIRECT("$B$7:B"&amp;ROW()),Tableau15356789101112131625236924[[#This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-184791830</v>
      </c>
      <c r="M184" s="435"/>
      <c r="P184" s="368"/>
      <c r="Q184" s="368"/>
      <c r="R184" s="368"/>
    </row>
    <row r="185" spans="1:18" ht="15" x14ac:dyDescent="0.3">
      <c r="A185" s="514" t="s">
        <v>2660</v>
      </c>
      <c r="B185" s="392" t="s">
        <v>2678</v>
      </c>
      <c r="C185" s="435">
        <v>46002</v>
      </c>
      <c r="D18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5" s="489" t="s">
        <v>3349</v>
      </c>
      <c r="F185" s="489" t="s">
        <v>3637</v>
      </c>
      <c r="G185" s="454"/>
      <c r="H185" s="494"/>
      <c r="I185" s="492"/>
      <c r="J185" s="492">
        <v>3000</v>
      </c>
      <c r="K185" s="491">
        <f>+K184+Tableau15356789101112131625236924[[#This Row],[RECETTE]]-Tableau15356789101112131625236924[[#This Row],[DÉPENSE]]</f>
        <v>1312816</v>
      </c>
      <c r="L185" s="403">
        <f ca="1">+IF($B185="","",SUMIFS(INDIRECT("$K$7:K"&amp;ROW()),INDIRECT("$B$7:B"&amp;ROW()),Tableau15356789101112131625236924[[#This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-184118925</v>
      </c>
      <c r="M185" s="435"/>
      <c r="P185" s="368"/>
      <c r="Q185" s="368"/>
      <c r="R185" s="368"/>
    </row>
    <row r="186" spans="1:18" ht="15" x14ac:dyDescent="0.3">
      <c r="A186" s="514" t="s">
        <v>2660</v>
      </c>
      <c r="B186" s="392" t="s">
        <v>2678</v>
      </c>
      <c r="C186" s="435">
        <v>46002</v>
      </c>
      <c r="D18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6" s="489" t="s">
        <v>2764</v>
      </c>
      <c r="F186" s="489" t="s">
        <v>3638</v>
      </c>
      <c r="G186" s="454"/>
      <c r="H186" s="494"/>
      <c r="I186" s="492"/>
      <c r="J186" s="492">
        <v>27000</v>
      </c>
      <c r="K186" s="491">
        <f>+K185+Tableau15356789101112131625236924[[#This Row],[RECETTE]]-Tableau15356789101112131625236924[[#This Row],[DÉPENSE]]</f>
        <v>1285816</v>
      </c>
      <c r="L186" s="403">
        <f ca="1">+IF($B186="","",SUMIFS(INDIRECT("$K$7:K"&amp;ROW()),INDIRECT("$B$7:B"&amp;ROW()),Tableau15356789101112131625236924[[#This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-183419020</v>
      </c>
      <c r="M186" s="435"/>
      <c r="P186" s="368"/>
      <c r="Q186" s="368"/>
      <c r="R186" s="368"/>
    </row>
    <row r="187" spans="1:18" s="423" customFormat="1" ht="15" x14ac:dyDescent="0.3">
      <c r="A187" s="505" t="s">
        <v>2660</v>
      </c>
      <c r="B187" s="486" t="s">
        <v>2678</v>
      </c>
      <c r="C187" s="435">
        <v>46002</v>
      </c>
      <c r="D18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7" s="489" t="s">
        <v>2764</v>
      </c>
      <c r="F187" s="489" t="s">
        <v>3639</v>
      </c>
      <c r="G187" s="454"/>
      <c r="H187" s="494"/>
      <c r="I187" s="492"/>
      <c r="J187" s="492">
        <v>2727</v>
      </c>
      <c r="K187" s="491">
        <f>+K186+Tableau15356789101112131625236924[[#This Row],[RECETTE]]-Tableau15356789101112131625236924[[#This Row],[DÉPENSE]]</f>
        <v>1283089</v>
      </c>
      <c r="L187" s="456">
        <f ca="1">+IF($B187="","",SUMIFS(INDIRECT("$K$7:K"&amp;ROW()),INDIRECT("$B$7:B"&amp;ROW()),Tableau15356789101112131625236924[[#This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-182716388</v>
      </c>
      <c r="M187" s="435"/>
    </row>
    <row r="188" spans="1:18" ht="15" x14ac:dyDescent="0.3">
      <c r="A188" s="514" t="s">
        <v>2660</v>
      </c>
      <c r="B188" s="392" t="s">
        <v>2678</v>
      </c>
      <c r="C188" s="435">
        <v>46002</v>
      </c>
      <c r="D18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8" s="489" t="s">
        <v>2951</v>
      </c>
      <c r="F188" s="489" t="s">
        <v>3640</v>
      </c>
      <c r="G188" s="454"/>
      <c r="H188" s="494" t="s">
        <v>3641</v>
      </c>
      <c r="I188" s="492"/>
      <c r="J188" s="492">
        <v>20200</v>
      </c>
      <c r="K188" s="491">
        <f>+K187+Tableau15356789101112131625236924[[#This Row],[RECETTE]]-Tableau15356789101112131625236924[[#This Row],[DÉPENSE]]</f>
        <v>1262889</v>
      </c>
      <c r="L188" s="403">
        <f ca="1">+IF($B188="","",SUMIFS(INDIRECT("$K$7:K"&amp;ROW()),INDIRECT("$B$7:B"&amp;ROW()),Tableau15356789101112131625236924[[#This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-181993556</v>
      </c>
      <c r="M188" s="435"/>
      <c r="P188" s="368"/>
      <c r="Q188" s="368"/>
      <c r="R188" s="368"/>
    </row>
    <row r="189" spans="1:18" ht="15" x14ac:dyDescent="0.3">
      <c r="A189" s="526" t="s">
        <v>2660</v>
      </c>
      <c r="B189" s="527" t="s">
        <v>2678</v>
      </c>
      <c r="C189" s="435">
        <v>46002</v>
      </c>
      <c r="D18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89" s="489" t="s">
        <v>2764</v>
      </c>
      <c r="F189" s="489" t="s">
        <v>3642</v>
      </c>
      <c r="G189" s="454"/>
      <c r="H189" s="494"/>
      <c r="I189" s="492"/>
      <c r="J189" s="492">
        <v>2325</v>
      </c>
      <c r="K189" s="491">
        <f>+K188+Tableau15356789101112131625236924[[#This Row],[RECETTE]]-Tableau15356789101112131625236924[[#This Row],[DÉPENSE]]</f>
        <v>1260564</v>
      </c>
      <c r="L189" s="447">
        <f ca="1">+IF($B189="","",SUMIFS(INDIRECT("$K$7:K"&amp;ROW()),INDIRECT("$B$7:B"&amp;ROW()),Tableau15356789101112131625236924[[#This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-181268399</v>
      </c>
      <c r="M189" s="435"/>
      <c r="P189" s="368"/>
      <c r="Q189" s="368"/>
      <c r="R189" s="368"/>
    </row>
    <row r="190" spans="1:18" ht="15" x14ac:dyDescent="0.3">
      <c r="A190" s="505" t="s">
        <v>2660</v>
      </c>
      <c r="B190" s="392" t="s">
        <v>2678</v>
      </c>
      <c r="C190" s="435">
        <v>46003</v>
      </c>
      <c r="D19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0" s="489" t="s">
        <v>2764</v>
      </c>
      <c r="F190" s="489" t="s">
        <v>3643</v>
      </c>
      <c r="G190" s="454"/>
      <c r="H190" s="494"/>
      <c r="I190" s="492"/>
      <c r="J190" s="492">
        <v>5655</v>
      </c>
      <c r="K190" s="491">
        <f>+K189+Tableau15356789101112131625236924[[#This Row],[RECETTE]]-Tableau15356789101112131625236924[[#This Row],[DÉPENSE]]</f>
        <v>1254909</v>
      </c>
      <c r="L190" s="403">
        <f ca="1">+IF($B190="","",SUMIFS(INDIRECT("$K$7:K"&amp;ROW()),INDIRECT("$B$7:B"&amp;ROW()),Tableau15356789101112131625236924[[#This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-180537587</v>
      </c>
      <c r="M190" s="435"/>
      <c r="P190" s="368"/>
      <c r="Q190" s="368"/>
      <c r="R190" s="368"/>
    </row>
    <row r="191" spans="1:18" ht="15" x14ac:dyDescent="0.3">
      <c r="A191" s="505" t="s">
        <v>2660</v>
      </c>
      <c r="B191" s="392" t="s">
        <v>2678</v>
      </c>
      <c r="C191" s="435">
        <v>46003</v>
      </c>
      <c r="D19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1" s="489" t="s">
        <v>2696</v>
      </c>
      <c r="F191" s="489" t="s">
        <v>3644</v>
      </c>
      <c r="G191" s="454"/>
      <c r="H191" s="494" t="s">
        <v>2698</v>
      </c>
      <c r="I191" s="492"/>
      <c r="J191" s="492">
        <v>30300</v>
      </c>
      <c r="K191" s="491">
        <f>+K190+Tableau15356789101112131625236924[[#This Row],[RECETTE]]-Tableau15356789101112131625236924[[#This Row],[DÉPENSE]]</f>
        <v>1224609</v>
      </c>
      <c r="L191" s="403">
        <f ca="1">+IF($B191="","",SUMIFS(INDIRECT("$K$7:K"&amp;ROW()),INDIRECT("$B$7:B"&amp;ROW()),Tableau15356789101112131625236924[[#This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-179776475</v>
      </c>
      <c r="M191" s="435"/>
      <c r="P191" s="368"/>
      <c r="Q191" s="368"/>
      <c r="R191" s="368"/>
    </row>
    <row r="192" spans="1:18" ht="15" x14ac:dyDescent="0.3">
      <c r="A192" s="505" t="s">
        <v>2660</v>
      </c>
      <c r="B192" s="392" t="s">
        <v>2678</v>
      </c>
      <c r="C192" s="435">
        <v>46003</v>
      </c>
      <c r="D19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2" s="489" t="s">
        <v>2773</v>
      </c>
      <c r="F192" s="489" t="s">
        <v>3645</v>
      </c>
      <c r="G192" s="454"/>
      <c r="H192" s="494"/>
      <c r="I192" s="492"/>
      <c r="J192" s="492">
        <v>15000</v>
      </c>
      <c r="K192" s="491">
        <f>+K191+Tableau15356789101112131625236924[[#This Row],[RECETTE]]-Tableau15356789101112131625236924[[#This Row],[DÉPENSE]]</f>
        <v>1209609</v>
      </c>
      <c r="L192" s="403">
        <f ca="1">+IF($B192="","",SUMIFS(INDIRECT("$K$7:K"&amp;ROW()),INDIRECT("$B$7:B"&amp;ROW()),Tableau15356789101112131625236924[[#This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-179000363</v>
      </c>
      <c r="M192" s="435"/>
      <c r="P192" s="368"/>
      <c r="Q192" s="368"/>
      <c r="R192" s="368"/>
    </row>
    <row r="193" spans="1:18" ht="15" x14ac:dyDescent="0.3">
      <c r="A193" s="505" t="s">
        <v>2660</v>
      </c>
      <c r="B193" s="392" t="s">
        <v>2678</v>
      </c>
      <c r="C193" s="435">
        <v>46003</v>
      </c>
      <c r="D19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3" s="489" t="s">
        <v>2764</v>
      </c>
      <c r="F193" s="489" t="s">
        <v>3646</v>
      </c>
      <c r="G193" s="454"/>
      <c r="H193" s="494"/>
      <c r="I193" s="492"/>
      <c r="J193" s="492">
        <v>2800</v>
      </c>
      <c r="K193" s="491">
        <f>+K192+Tableau15356789101112131625236924[[#This Row],[RECETTE]]-Tableau15356789101112131625236924[[#This Row],[DÉPENSE]]</f>
        <v>1206809</v>
      </c>
      <c r="L193" s="403">
        <f ca="1">+IF($B193="","",SUMIFS(INDIRECT("$K$7:K"&amp;ROW()),INDIRECT("$B$7:B"&amp;ROW()),Tableau15356789101112131625236924[[#This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-178221451</v>
      </c>
      <c r="M193" s="435"/>
      <c r="P193" s="368"/>
      <c r="Q193" s="368"/>
      <c r="R193" s="368"/>
    </row>
    <row r="194" spans="1:18" ht="15" x14ac:dyDescent="0.3">
      <c r="A194" s="505" t="s">
        <v>2660</v>
      </c>
      <c r="B194" s="392" t="s">
        <v>2678</v>
      </c>
      <c r="C194" s="435">
        <v>46003</v>
      </c>
      <c r="D19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4" s="489" t="s">
        <v>3133</v>
      </c>
      <c r="F194" s="489" t="s">
        <v>3647</v>
      </c>
      <c r="G194" s="454"/>
      <c r="H194" s="494"/>
      <c r="I194" s="492"/>
      <c r="J194" s="492">
        <v>20000</v>
      </c>
      <c r="K194" s="491">
        <f>+K193+Tableau15356789101112131625236924[[#This Row],[RECETTE]]-Tableau15356789101112131625236924[[#This Row],[DÉPENSE]]</f>
        <v>1186809</v>
      </c>
      <c r="L194" s="403">
        <f ca="1">+IF($B194="","",SUMIFS(INDIRECT("$K$7:K"&amp;ROW()),INDIRECT("$B$7:B"&amp;ROW()),Tableau15356789101112131625236924[[#This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-177422539</v>
      </c>
      <c r="M194" s="435"/>
      <c r="P194" s="368"/>
      <c r="Q194" s="368"/>
      <c r="R194" s="368"/>
    </row>
    <row r="195" spans="1:18" ht="15" x14ac:dyDescent="0.3">
      <c r="A195" s="505" t="s">
        <v>2660</v>
      </c>
      <c r="B195" s="392" t="s">
        <v>2678</v>
      </c>
      <c r="C195" s="435">
        <v>46003</v>
      </c>
      <c r="D19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5" s="489" t="s">
        <v>3541</v>
      </c>
      <c r="F195" s="489" t="s">
        <v>3541</v>
      </c>
      <c r="G195" s="454"/>
      <c r="H195" s="494"/>
      <c r="I195" s="492"/>
      <c r="J195" s="492">
        <v>6365</v>
      </c>
      <c r="K195" s="491">
        <f>+K194+Tableau15356789101112131625236924[[#This Row],[RECETTE]]-Tableau15356789101112131625236924[[#This Row],[DÉPENSE]]</f>
        <v>1180444</v>
      </c>
      <c r="L195" s="403">
        <f ca="1">+IF($B195="","",SUMIFS(INDIRECT("$K$7:K"&amp;ROW()),INDIRECT("$B$7:B"&amp;ROW()),Tableau15356789101112131625236924[[#This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-176617262</v>
      </c>
      <c r="M195" s="435"/>
      <c r="P195" s="368"/>
      <c r="Q195" s="368"/>
      <c r="R195" s="368"/>
    </row>
    <row r="196" spans="1:18" ht="15" x14ac:dyDescent="0.3">
      <c r="A196" s="505" t="s">
        <v>2660</v>
      </c>
      <c r="B196" s="392" t="s">
        <v>2678</v>
      </c>
      <c r="C196" s="435">
        <v>46003</v>
      </c>
      <c r="D19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6" s="489" t="s">
        <v>3541</v>
      </c>
      <c r="F196" s="489" t="s">
        <v>3648</v>
      </c>
      <c r="G196" s="454"/>
      <c r="H196" s="494"/>
      <c r="I196" s="492"/>
      <c r="J196" s="492">
        <v>3100</v>
      </c>
      <c r="K196" s="491">
        <f>+K195+Tableau15356789101112131625236924[[#This Row],[RECETTE]]-Tableau15356789101112131625236924[[#This Row],[DÉPENSE]]</f>
        <v>1177344</v>
      </c>
      <c r="L196" s="403">
        <f ca="1">+IF($B196="","",SUMIFS(INDIRECT("$K$7:K"&amp;ROW()),INDIRECT("$B$7:B"&amp;ROW()),Tableau15356789101112131625236924[[#This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-175808885</v>
      </c>
      <c r="M196" s="435"/>
      <c r="P196" s="368"/>
      <c r="Q196" s="368"/>
      <c r="R196" s="368"/>
    </row>
    <row r="197" spans="1:18" s="412" customFormat="1" ht="15" x14ac:dyDescent="0.3">
      <c r="A197" s="505" t="s">
        <v>2660</v>
      </c>
      <c r="B197" s="515" t="s">
        <v>2678</v>
      </c>
      <c r="C197" s="449">
        <v>46003</v>
      </c>
      <c r="D19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7" s="417" t="s">
        <v>3515</v>
      </c>
      <c r="F197" s="417" t="s">
        <v>3649</v>
      </c>
      <c r="G197" s="418"/>
      <c r="H197" s="419"/>
      <c r="I197" s="510"/>
      <c r="J197" s="510">
        <v>3500</v>
      </c>
      <c r="K197" s="491">
        <f>+K196+Tableau15356789101112131625236924[[#This Row],[RECETTE]]-Tableau15356789101112131625236924[[#This Row],[DÉPENSE]]</f>
        <v>1173844</v>
      </c>
      <c r="L197" s="414">
        <f ca="1">+IF($B197="","",SUMIFS(INDIRECT("$K$7:K"&amp;ROW()),INDIRECT("$B$7:B"&amp;ROW()),Tableau15356789101112131625236924[[#This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-174997008</v>
      </c>
      <c r="M197" s="449"/>
    </row>
    <row r="198" spans="1:18" ht="15" x14ac:dyDescent="0.3">
      <c r="A198" s="505" t="s">
        <v>2660</v>
      </c>
      <c r="B198" s="392" t="s">
        <v>2678</v>
      </c>
      <c r="C198" s="435">
        <v>46003</v>
      </c>
      <c r="D19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8" s="489" t="s">
        <v>3541</v>
      </c>
      <c r="F198" s="489" t="s">
        <v>3627</v>
      </c>
      <c r="G198" s="454"/>
      <c r="H198" s="494"/>
      <c r="I198" s="492"/>
      <c r="J198" s="492">
        <v>26250</v>
      </c>
      <c r="K198" s="491">
        <f>+K197+Tableau15356789101112131625236924[[#This Row],[RECETTE]]-Tableau15356789101112131625236924[[#This Row],[DÉPENSE]]</f>
        <v>1147594</v>
      </c>
      <c r="L198" s="403">
        <f ca="1">+IF($B198="","",SUMIFS(INDIRECT("$K$7:K"&amp;ROW()),INDIRECT("$B$7:B"&amp;ROW()),Tableau15356789101112131625236924[[#This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-174158881</v>
      </c>
      <c r="M198" s="435"/>
      <c r="P198" s="368"/>
      <c r="Q198" s="368"/>
      <c r="R198" s="368"/>
    </row>
    <row r="199" spans="1:18" s="423" customFormat="1" ht="15" x14ac:dyDescent="0.3">
      <c r="A199" s="505" t="s">
        <v>2660</v>
      </c>
      <c r="B199" s="486" t="s">
        <v>2678</v>
      </c>
      <c r="C199" s="435">
        <v>46003</v>
      </c>
      <c r="D19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199" s="489" t="s">
        <v>2886</v>
      </c>
      <c r="F199" s="489" t="s">
        <v>3650</v>
      </c>
      <c r="G199" s="454"/>
      <c r="H199" s="494"/>
      <c r="I199" s="492"/>
      <c r="J199" s="492">
        <v>2000</v>
      </c>
      <c r="K199" s="491">
        <f>+K198+Tableau15356789101112131625236924[[#This Row],[RECETTE]]-Tableau15356789101112131625236924[[#This Row],[DÉPENSE]]</f>
        <v>1145594</v>
      </c>
      <c r="L199" s="456">
        <f ca="1">+IF($B199="","",SUMIFS(INDIRECT("$K$7:K"&amp;ROW()),INDIRECT("$B$7:B"&amp;ROW()),Tableau15356789101112131625236924[[#This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-173318754</v>
      </c>
      <c r="M199" s="490"/>
    </row>
    <row r="200" spans="1:18" ht="15" x14ac:dyDescent="0.3">
      <c r="A200" s="505" t="s">
        <v>2660</v>
      </c>
      <c r="B200" s="392" t="s">
        <v>2678</v>
      </c>
      <c r="C200" s="435">
        <v>46003</v>
      </c>
      <c r="D20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0" s="489" t="s">
        <v>3515</v>
      </c>
      <c r="F200" s="489" t="s">
        <v>3651</v>
      </c>
      <c r="G200" s="454"/>
      <c r="H200" s="494" t="s">
        <v>2729</v>
      </c>
      <c r="I200" s="492"/>
      <c r="J200" s="492">
        <v>2000</v>
      </c>
      <c r="K200" s="491">
        <f>+K199+Tableau15356789101112131625236924[[#This Row],[RECETTE]]-Tableau15356789101112131625236924[[#This Row],[DÉPENSE]]</f>
        <v>1143594</v>
      </c>
      <c r="L200" s="403">
        <f ca="1">+IF($B200="","",SUMIFS(INDIRECT("$K$7:K"&amp;ROW()),INDIRECT("$B$7:B"&amp;ROW()),Tableau15356789101112131625236924[[#This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-172476627</v>
      </c>
      <c r="M200" s="490"/>
      <c r="P200" s="368"/>
      <c r="Q200" s="368"/>
      <c r="R200" s="368"/>
    </row>
    <row r="201" spans="1:18" ht="15" x14ac:dyDescent="0.3">
      <c r="A201" s="526" t="s">
        <v>2660</v>
      </c>
      <c r="B201" s="527" t="s">
        <v>2678</v>
      </c>
      <c r="C201" s="435">
        <v>46003</v>
      </c>
      <c r="D20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1" s="489"/>
      <c r="F201" s="489" t="s">
        <v>3652</v>
      </c>
      <c r="G201" s="454"/>
      <c r="H201" s="494"/>
      <c r="I201" s="492"/>
      <c r="J201" s="492">
        <v>440730</v>
      </c>
      <c r="K201" s="491">
        <f>+K200+Tableau15356789101112131625236924[[#This Row],[RECETTE]]-Tableau15356789101112131625236924[[#This Row],[DÉPENSE]]</f>
        <v>702864</v>
      </c>
      <c r="L201" s="447">
        <f ca="1">+IF($B201="","",SUMIFS(INDIRECT("$K$7:K"&amp;ROW()),INDIRECT("$B$7:B"&amp;ROW()),Tableau15356789101112131625236924[[#This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-171193770</v>
      </c>
      <c r="M201" s="490"/>
      <c r="P201" s="368"/>
      <c r="Q201" s="368"/>
      <c r="R201" s="368"/>
    </row>
    <row r="202" spans="1:18" ht="15" x14ac:dyDescent="0.3">
      <c r="A202" s="505" t="s">
        <v>2660</v>
      </c>
      <c r="B202" s="392" t="s">
        <v>2678</v>
      </c>
      <c r="C202" s="435">
        <v>46003</v>
      </c>
      <c r="D20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02" s="489" t="s">
        <v>2679</v>
      </c>
      <c r="F202" s="489" t="s">
        <v>3653</v>
      </c>
      <c r="G202" s="454"/>
      <c r="H202" s="494"/>
      <c r="I202" s="492">
        <v>1800000</v>
      </c>
      <c r="J202" s="492"/>
      <c r="K202" s="491">
        <f>+K201+Tableau15356789101112131625236924[[#This Row],[RECETTE]]-Tableau15356789101112131625236924[[#This Row],[DÉPENSE]]</f>
        <v>2502864</v>
      </c>
      <c r="L202" s="403">
        <f ca="1">+IF($B202="","",SUMIFS(INDIRECT("$K$7:K"&amp;ROW()),INDIRECT("$B$7:B"&amp;ROW()),Tableau15356789101112131625236924[[#This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-171193770</v>
      </c>
      <c r="M202" s="490"/>
      <c r="P202" s="368"/>
      <c r="Q202" s="368"/>
      <c r="R202" s="368"/>
    </row>
    <row r="203" spans="1:18" ht="15" x14ac:dyDescent="0.3">
      <c r="A203" s="505" t="s">
        <v>2660</v>
      </c>
      <c r="B203" s="392" t="s">
        <v>2678</v>
      </c>
      <c r="C203" s="435">
        <v>46003</v>
      </c>
      <c r="D20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3" s="489" t="s">
        <v>2813</v>
      </c>
      <c r="F203" s="489" t="s">
        <v>3654</v>
      </c>
      <c r="G203" s="454"/>
      <c r="H203" s="494"/>
      <c r="I203" s="492"/>
      <c r="J203" s="492">
        <v>12120</v>
      </c>
      <c r="K203" s="491">
        <f>+K202+Tableau15356789101112131625236924[[#This Row],[RECETTE]]-Tableau15356789101112131625236924[[#This Row],[DÉPENSE]]</f>
        <v>2490744</v>
      </c>
      <c r="L203" s="403">
        <f ca="1">+IF($B203="","",SUMIFS(INDIRECT("$K$7:K"&amp;ROW()),INDIRECT("$B$7:B"&amp;ROW()),Tableau15356789101112131625236924[[#This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-171698793</v>
      </c>
      <c r="M203" s="490"/>
      <c r="P203" s="368"/>
      <c r="Q203" s="368"/>
      <c r="R203" s="368"/>
    </row>
    <row r="204" spans="1:18" s="423" customFormat="1" ht="15" x14ac:dyDescent="0.3">
      <c r="A204" s="505" t="s">
        <v>2660</v>
      </c>
      <c r="B204" s="486" t="s">
        <v>2678</v>
      </c>
      <c r="C204" s="435">
        <v>46003</v>
      </c>
      <c r="D20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4" s="489" t="s">
        <v>3655</v>
      </c>
      <c r="F204" s="489" t="s">
        <v>3656</v>
      </c>
      <c r="G204" s="454"/>
      <c r="H204" s="494"/>
      <c r="I204" s="492"/>
      <c r="J204" s="492">
        <v>50000</v>
      </c>
      <c r="K204" s="491">
        <f>+K203+Tableau15356789101112131625236924[[#This Row],[RECETTE]]-Tableau15356789101112131625236924[[#This Row],[DÉPENSE]]</f>
        <v>2440744</v>
      </c>
      <c r="L204" s="456">
        <f ca="1">+IF($B204="","",SUMIFS(INDIRECT("$K$7:K"&amp;ROW()),INDIRECT("$B$7:B"&amp;ROW()),Tableau15356789101112131625236924[[#This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-172153816</v>
      </c>
      <c r="M204" s="490"/>
    </row>
    <row r="205" spans="1:18" ht="15" x14ac:dyDescent="0.3">
      <c r="A205" s="505" t="s">
        <v>2660</v>
      </c>
      <c r="B205" s="392" t="s">
        <v>2678</v>
      </c>
      <c r="C205" s="435">
        <v>46004</v>
      </c>
      <c r="D20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5" s="489" t="s">
        <v>2859</v>
      </c>
      <c r="F205" s="489" t="s">
        <v>3657</v>
      </c>
      <c r="G205" s="454"/>
      <c r="H205" s="494" t="s">
        <v>2987</v>
      </c>
      <c r="I205" s="492"/>
      <c r="J205" s="492">
        <v>3030</v>
      </c>
      <c r="K205" s="491">
        <f>+K204+Tableau15356789101112131625236924[[#This Row],[RECETTE]]-Tableau15356789101112131625236924[[#This Row],[DÉPENSE]]</f>
        <v>2437714</v>
      </c>
      <c r="L205" s="403">
        <f ca="1">+IF($B205="","",SUMIFS(INDIRECT("$K$7:K"&amp;ROW()),INDIRECT("$B$7:B"&amp;ROW()),Tableau15356789101112131625236924[[#This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-172605809</v>
      </c>
      <c r="M205" s="490"/>
      <c r="P205" s="368"/>
      <c r="Q205" s="368"/>
      <c r="R205" s="368"/>
    </row>
    <row r="206" spans="1:18" ht="15" x14ac:dyDescent="0.3">
      <c r="A206" s="505" t="s">
        <v>2660</v>
      </c>
      <c r="B206" s="392" t="s">
        <v>2678</v>
      </c>
      <c r="C206" s="435">
        <v>46004</v>
      </c>
      <c r="D20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6" s="489" t="s">
        <v>3658</v>
      </c>
      <c r="F206" s="489" t="s">
        <v>3659</v>
      </c>
      <c r="G206" s="454"/>
      <c r="H206" s="494" t="s">
        <v>3660</v>
      </c>
      <c r="I206" s="492"/>
      <c r="J206" s="492">
        <v>50500</v>
      </c>
      <c r="K206" s="491">
        <f>+K205+Tableau15356789101112131625236924[[#This Row],[RECETTE]]-Tableau15356789101112131625236924[[#This Row],[DÉPENSE]]</f>
        <v>2387214</v>
      </c>
      <c r="L206" s="403">
        <f ca="1">+IF($B206="","",SUMIFS(INDIRECT("$K$7:K"&amp;ROW()),INDIRECT("$B$7:B"&amp;ROW()),Tableau15356789101112131625236924[[#This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-173007302</v>
      </c>
      <c r="M206" s="490"/>
      <c r="P206" s="368"/>
      <c r="Q206" s="368"/>
      <c r="R206" s="368"/>
    </row>
    <row r="207" spans="1:18" ht="15" x14ac:dyDescent="0.3">
      <c r="A207" s="505" t="s">
        <v>2660</v>
      </c>
      <c r="B207" s="392" t="s">
        <v>2678</v>
      </c>
      <c r="C207" s="435">
        <v>46004</v>
      </c>
      <c r="D20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07" s="489" t="s">
        <v>2679</v>
      </c>
      <c r="F207" s="489" t="s">
        <v>3661</v>
      </c>
      <c r="G207" s="454"/>
      <c r="H207" s="494"/>
      <c r="I207" s="492">
        <v>6000000</v>
      </c>
      <c r="J207" s="492"/>
      <c r="K207" s="491">
        <f>+K206+Tableau15356789101112131625236924[[#This Row],[RECETTE]]-Tableau15356789101112131625236924[[#This Row],[DÉPENSE]]</f>
        <v>8387214</v>
      </c>
      <c r="L207" s="403">
        <f ca="1">+IF($B207="","",SUMIFS(INDIRECT("$K$7:K"&amp;ROW()),INDIRECT("$B$7:B"&amp;ROW()),Tableau15356789101112131625236924[[#This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-173007302</v>
      </c>
      <c r="M207" s="490"/>
      <c r="P207" s="368"/>
      <c r="Q207" s="368"/>
      <c r="R207" s="368"/>
    </row>
    <row r="208" spans="1:18" ht="15" x14ac:dyDescent="0.3">
      <c r="A208" s="505" t="s">
        <v>2660</v>
      </c>
      <c r="B208" s="392" t="s">
        <v>2678</v>
      </c>
      <c r="C208" s="435">
        <v>46004</v>
      </c>
      <c r="D20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8" s="489" t="s">
        <v>2773</v>
      </c>
      <c r="F208" s="489" t="s">
        <v>3592</v>
      </c>
      <c r="G208" s="454"/>
      <c r="H208" s="494"/>
      <c r="I208" s="492"/>
      <c r="J208" s="492">
        <v>165000</v>
      </c>
      <c r="K208" s="491">
        <f>+K207+Tableau15356789101112131625236924[[#This Row],[RECETTE]]-Tableau15356789101112131625236924[[#This Row],[DÉPENSE]]</f>
        <v>8222214</v>
      </c>
      <c r="L208" s="403">
        <f ca="1">+IF($B208="","",SUMIFS(INDIRECT("$K$7:K"&amp;ROW()),INDIRECT("$B$7:B"&amp;ROW()),Tableau15356789101112131625236924[[#This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-179243795</v>
      </c>
      <c r="M208" s="490"/>
      <c r="P208" s="368"/>
      <c r="Q208" s="368"/>
      <c r="R208" s="368"/>
    </row>
    <row r="209" spans="1:18" s="423" customFormat="1" ht="15" x14ac:dyDescent="0.3">
      <c r="A209" s="505" t="s">
        <v>2660</v>
      </c>
      <c r="B209" s="392" t="s">
        <v>2678</v>
      </c>
      <c r="C209" s="435">
        <v>46004</v>
      </c>
      <c r="D20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09" s="489" t="s">
        <v>3662</v>
      </c>
      <c r="F209" s="489" t="s">
        <v>3592</v>
      </c>
      <c r="G209" s="454"/>
      <c r="H209" s="494"/>
      <c r="I209" s="492"/>
      <c r="J209" s="492">
        <v>150000</v>
      </c>
      <c r="K209" s="491">
        <f>+K208+Tableau15356789101112131625236924[[#This Row],[RECETTE]]-Tableau15356789101112131625236924[[#This Row],[DÉPENSE]]</f>
        <v>8072214</v>
      </c>
      <c r="L209" s="403">
        <f ca="1">+IF($B209="","",SUMIFS(INDIRECT("$K$7:K"&amp;ROW()),INDIRECT("$B$7:B"&amp;ROW()),Tableau15356789101112131625236924[[#This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-185330288</v>
      </c>
      <c r="M209" s="490"/>
    </row>
    <row r="210" spans="1:18" s="423" customFormat="1" ht="15" x14ac:dyDescent="0.3">
      <c r="A210" s="505" t="s">
        <v>2660</v>
      </c>
      <c r="B210" s="392" t="s">
        <v>2678</v>
      </c>
      <c r="C210" s="435">
        <v>46004</v>
      </c>
      <c r="D21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0" s="489" t="s">
        <v>2881</v>
      </c>
      <c r="F210" s="489" t="s">
        <v>3592</v>
      </c>
      <c r="G210" s="454"/>
      <c r="H210" s="494"/>
      <c r="I210" s="492"/>
      <c r="J210" s="492">
        <v>130000</v>
      </c>
      <c r="K210" s="491">
        <f>+K209+Tableau15356789101112131625236924[[#This Row],[RECETTE]]-Tableau15356789101112131625236924[[#This Row],[DÉPENSE]]</f>
        <v>7942214</v>
      </c>
      <c r="L210" s="403">
        <f ca="1">+IF($B210="","",SUMIFS(INDIRECT("$K$7:K"&amp;ROW()),INDIRECT("$B$7:B"&amp;ROW()),Tableau15356789101112131625236924[[#This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-191286781</v>
      </c>
      <c r="M210" s="490"/>
    </row>
    <row r="211" spans="1:18" s="412" customFormat="1" ht="15" x14ac:dyDescent="0.3">
      <c r="A211" s="505" t="s">
        <v>2660</v>
      </c>
      <c r="B211" s="515" t="s">
        <v>2678</v>
      </c>
      <c r="C211" s="435">
        <v>46004</v>
      </c>
      <c r="D21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1" s="489" t="s">
        <v>2700</v>
      </c>
      <c r="F211" s="489" t="s">
        <v>3592</v>
      </c>
      <c r="G211" s="454"/>
      <c r="H211" s="494"/>
      <c r="I211" s="492"/>
      <c r="J211" s="492">
        <v>130000</v>
      </c>
      <c r="K211" s="491">
        <f>+K210+Tableau15356789101112131625236924[[#This Row],[RECETTE]]-Tableau15356789101112131625236924[[#This Row],[DÉPENSE]]</f>
        <v>7812214</v>
      </c>
      <c r="L211" s="414">
        <f ca="1">+IF($B211="","",SUMIFS(INDIRECT("$K$7:K"&amp;ROW()),INDIRECT("$B$7:B"&amp;ROW()),Tableau15356789101112131625236924[[#This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-197113274</v>
      </c>
      <c r="M211" s="490"/>
    </row>
    <row r="212" spans="1:18" ht="15" x14ac:dyDescent="0.3">
      <c r="A212" s="434" t="s">
        <v>2660</v>
      </c>
      <c r="B212" s="392" t="s">
        <v>2678</v>
      </c>
      <c r="C212" s="435">
        <v>46004</v>
      </c>
      <c r="D21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2" s="489" t="s">
        <v>3173</v>
      </c>
      <c r="F212" s="489" t="s">
        <v>3592</v>
      </c>
      <c r="G212" s="454"/>
      <c r="H212" s="494"/>
      <c r="I212" s="492"/>
      <c r="J212" s="492">
        <v>300000</v>
      </c>
      <c r="K212" s="491">
        <f>+K211+Tableau15356789101112131625236924[[#This Row],[RECETTE]]-Tableau15356789101112131625236924[[#This Row],[DÉPENSE]]</f>
        <v>7512214</v>
      </c>
      <c r="L212" s="403">
        <f ca="1">+IF($B212="","",SUMIFS(INDIRECT("$K$7:K"&amp;ROW()),INDIRECT("$B$7:B"&amp;ROW()),Tableau15356789101112131625236924[[#This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-202639767</v>
      </c>
      <c r="M212" s="490"/>
      <c r="P212" s="368"/>
      <c r="Q212" s="368"/>
      <c r="R212" s="368"/>
    </row>
    <row r="213" spans="1:18" ht="15" x14ac:dyDescent="0.3">
      <c r="A213" s="434" t="s">
        <v>2660</v>
      </c>
      <c r="B213" s="392" t="s">
        <v>2678</v>
      </c>
      <c r="C213" s="435">
        <v>46004</v>
      </c>
      <c r="D21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3" s="489" t="s">
        <v>3663</v>
      </c>
      <c r="F213" s="489" t="s">
        <v>3592</v>
      </c>
      <c r="G213" s="454"/>
      <c r="H213" s="494"/>
      <c r="I213" s="492"/>
      <c r="J213" s="492">
        <v>115000</v>
      </c>
      <c r="K213" s="491">
        <f>+K212+Tableau15356789101112131625236924[[#This Row],[RECETTE]]-Tableau15356789101112131625236924[[#This Row],[DÉPENSE]]</f>
        <v>7397214</v>
      </c>
      <c r="L213" s="403">
        <f ca="1">+IF($B213="","",SUMIFS(INDIRECT("$K$7:K"&amp;ROW()),INDIRECT("$B$7:B"&amp;ROW()),Tableau15356789101112131625236924[[#This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-208051260</v>
      </c>
      <c r="M213" s="490"/>
      <c r="P213" s="368"/>
      <c r="Q213" s="368"/>
      <c r="R213" s="368"/>
    </row>
    <row r="214" spans="1:18" ht="15" x14ac:dyDescent="0.3">
      <c r="A214" s="434" t="s">
        <v>2660</v>
      </c>
      <c r="B214" s="392" t="s">
        <v>2678</v>
      </c>
      <c r="C214" s="435">
        <v>46004</v>
      </c>
      <c r="D21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14" s="489" t="s">
        <v>2679</v>
      </c>
      <c r="F214" s="489" t="s">
        <v>3653</v>
      </c>
      <c r="G214" s="454"/>
      <c r="H214" s="494"/>
      <c r="I214" s="492">
        <v>1500000</v>
      </c>
      <c r="J214" s="492"/>
      <c r="K214" s="491">
        <f>+K213+Tableau15356789101112131625236924[[#This Row],[RECETTE]]-Tableau15356789101112131625236924[[#This Row],[DÉPENSE]]</f>
        <v>8897214</v>
      </c>
      <c r="L214" s="403">
        <f ca="1">+IF($B214="","",SUMIFS(INDIRECT("$K$7:K"&amp;ROW()),INDIRECT("$B$7:B"&amp;ROW()),Tableau15356789101112131625236924[[#This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-208051260</v>
      </c>
      <c r="M214" s="490"/>
      <c r="P214" s="368"/>
      <c r="Q214" s="368"/>
      <c r="R214" s="368"/>
    </row>
    <row r="215" spans="1:18" s="423" customFormat="1" ht="15" x14ac:dyDescent="0.3">
      <c r="A215" s="532" t="s">
        <v>2660</v>
      </c>
      <c r="B215" s="486" t="s">
        <v>2678</v>
      </c>
      <c r="C215" s="435">
        <v>46004</v>
      </c>
      <c r="D21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5" s="489" t="s">
        <v>3515</v>
      </c>
      <c r="F215" s="489" t="s">
        <v>3592</v>
      </c>
      <c r="G215" s="454"/>
      <c r="H215" s="494"/>
      <c r="I215" s="492"/>
      <c r="J215" s="492">
        <v>400000</v>
      </c>
      <c r="K215" s="491">
        <f>+K214+Tableau15356789101112131625236924[[#This Row],[RECETTE]]-Tableau15356789101112131625236924[[#This Row],[DÉPENSE]]</f>
        <v>8497214</v>
      </c>
      <c r="L215" s="456">
        <f ca="1">+IF($B215="","",SUMIFS(INDIRECT("$K$7:K"&amp;ROW()),INDIRECT("$B$7:B"&amp;ROW()),Tableau15356789101112131625236924[[#This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-214562753</v>
      </c>
      <c r="M215" s="490"/>
    </row>
    <row r="216" spans="1:18" ht="15" x14ac:dyDescent="0.3">
      <c r="A216" s="434" t="s">
        <v>2660</v>
      </c>
      <c r="B216" s="392" t="s">
        <v>2678</v>
      </c>
      <c r="C216" s="435">
        <v>46004</v>
      </c>
      <c r="D21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6" s="489" t="s">
        <v>3624</v>
      </c>
      <c r="F216" s="489" t="s">
        <v>3592</v>
      </c>
      <c r="G216" s="454"/>
      <c r="H216" s="494"/>
      <c r="I216" s="492"/>
      <c r="J216" s="492">
        <v>150000</v>
      </c>
      <c r="K216" s="491">
        <f>+K215+Tableau15356789101112131625236924[[#This Row],[RECETTE]]-Tableau15356789101112131625236924[[#This Row],[DÉPENSE]]</f>
        <v>8347214</v>
      </c>
      <c r="L216" s="403">
        <f ca="1">+IF($B216="","",SUMIFS(INDIRECT("$K$7:K"&amp;ROW()),INDIRECT("$B$7:B"&amp;ROW()),Tableau15356789101112131625236924[[#This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-220924246</v>
      </c>
      <c r="M216" s="490"/>
      <c r="P216" s="368"/>
      <c r="Q216" s="368"/>
      <c r="R216" s="368"/>
    </row>
    <row r="217" spans="1:18" ht="15" x14ac:dyDescent="0.3">
      <c r="A217" s="434" t="s">
        <v>2660</v>
      </c>
      <c r="B217" s="392" t="s">
        <v>2678</v>
      </c>
      <c r="C217" s="435">
        <v>46004</v>
      </c>
      <c r="D21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7" s="489" t="s">
        <v>2886</v>
      </c>
      <c r="F217" s="489" t="s">
        <v>3592</v>
      </c>
      <c r="G217" s="454"/>
      <c r="H217" s="494"/>
      <c r="I217" s="492"/>
      <c r="J217" s="492">
        <v>130000</v>
      </c>
      <c r="K217" s="491">
        <f>+K216+Tableau15356789101112131625236924[[#This Row],[RECETTE]]-Tableau15356789101112131625236924[[#This Row],[DÉPENSE]]</f>
        <v>8217214</v>
      </c>
      <c r="L217" s="403">
        <f ca="1">+IF($B217="","",SUMIFS(INDIRECT("$K$7:K"&amp;ROW()),INDIRECT("$B$7:B"&amp;ROW()),Tableau15356789101112131625236924[[#This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-227155739</v>
      </c>
      <c r="M217" s="490"/>
      <c r="P217" s="368"/>
      <c r="Q217" s="368"/>
      <c r="R217" s="368"/>
    </row>
    <row r="218" spans="1:18" ht="15" x14ac:dyDescent="0.3">
      <c r="A218" s="434" t="s">
        <v>2660</v>
      </c>
      <c r="B218" s="392" t="s">
        <v>2678</v>
      </c>
      <c r="C218" s="435">
        <v>46004</v>
      </c>
      <c r="D21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8" s="489" t="s">
        <v>3664</v>
      </c>
      <c r="F218" s="489" t="s">
        <v>3592</v>
      </c>
      <c r="G218" s="454"/>
      <c r="H218" s="494"/>
      <c r="I218" s="492"/>
      <c r="J218" s="492">
        <v>130000</v>
      </c>
      <c r="K218" s="491">
        <f>+K217+Tableau15356789101112131625236924[[#This Row],[RECETTE]]-Tableau15356789101112131625236924[[#This Row],[DÉPENSE]]</f>
        <v>8087214</v>
      </c>
      <c r="L218" s="403">
        <f ca="1">+IF($B218="","",SUMIFS(INDIRECT("$K$7:K"&amp;ROW()),INDIRECT("$B$7:B"&amp;ROW()),Tableau15356789101112131625236924[[#This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-233257232</v>
      </c>
      <c r="M218" s="490"/>
      <c r="P218" s="368"/>
      <c r="Q218" s="368"/>
      <c r="R218" s="368"/>
    </row>
    <row r="219" spans="1:18" ht="15" x14ac:dyDescent="0.3">
      <c r="A219" s="434" t="s">
        <v>2660</v>
      </c>
      <c r="B219" s="392" t="s">
        <v>2678</v>
      </c>
      <c r="C219" s="435">
        <v>46004</v>
      </c>
      <c r="D21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19" s="489" t="s">
        <v>2951</v>
      </c>
      <c r="F219" s="489" t="s">
        <v>3592</v>
      </c>
      <c r="G219" s="454"/>
      <c r="H219" s="494"/>
      <c r="I219" s="492"/>
      <c r="J219" s="492">
        <v>400000</v>
      </c>
      <c r="K219" s="491">
        <f>+K218+Tableau15356789101112131625236924[[#This Row],[RECETTE]]-Tableau15356789101112131625236924[[#This Row],[DÉPENSE]]</f>
        <v>7687214</v>
      </c>
      <c r="L219" s="403">
        <f ca="1">+IF($B219="","",SUMIFS(INDIRECT("$K$7:K"&amp;ROW()),INDIRECT("$B$7:B"&amp;ROW()),Tableau15356789101112131625236924[[#This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-238958725</v>
      </c>
      <c r="M219" s="490"/>
      <c r="P219" s="368"/>
      <c r="Q219" s="368"/>
      <c r="R219" s="368"/>
    </row>
    <row r="220" spans="1:18" s="412" customFormat="1" ht="15" x14ac:dyDescent="0.3">
      <c r="A220" s="434" t="s">
        <v>2660</v>
      </c>
      <c r="B220" s="392" t="s">
        <v>2678</v>
      </c>
      <c r="C220" s="435">
        <v>46004</v>
      </c>
      <c r="D22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0" s="489" t="s">
        <v>3183</v>
      </c>
      <c r="F220" s="489" t="s">
        <v>3592</v>
      </c>
      <c r="G220" s="454"/>
      <c r="H220" s="494"/>
      <c r="I220" s="492"/>
      <c r="J220" s="492">
        <v>220000</v>
      </c>
      <c r="K220" s="491">
        <f>+K219+Tableau15356789101112131625236924[[#This Row],[RECETTE]]-Tableau15356789101112131625236924[[#This Row],[DÉPENSE]]</f>
        <v>7467214</v>
      </c>
      <c r="L220" s="403">
        <f ca="1">+IF($B220="","",SUMIFS(INDIRECT("$K$7:K"&amp;ROW()),INDIRECT("$B$7:B"&amp;ROW()),Tableau15356789101112131625236924[[#This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-244440218</v>
      </c>
      <c r="M220" s="490"/>
    </row>
    <row r="221" spans="1:18" ht="15" x14ac:dyDescent="0.3">
      <c r="A221" s="434" t="s">
        <v>2660</v>
      </c>
      <c r="B221" s="392" t="s">
        <v>2678</v>
      </c>
      <c r="C221" s="435">
        <v>46004</v>
      </c>
      <c r="D22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1" s="489" t="s">
        <v>2708</v>
      </c>
      <c r="F221" s="489" t="s">
        <v>3592</v>
      </c>
      <c r="G221" s="454"/>
      <c r="H221" s="494"/>
      <c r="I221" s="492"/>
      <c r="J221" s="492">
        <v>100000</v>
      </c>
      <c r="K221" s="491">
        <f>+K220+Tableau15356789101112131625236924[[#This Row],[RECETTE]]-Tableau15356789101112131625236924[[#This Row],[DÉPENSE]]</f>
        <v>7367214</v>
      </c>
      <c r="L221" s="403">
        <f ca="1">+IF($B221="","",SUMIFS(INDIRECT("$K$7:K"&amp;ROW()),INDIRECT("$B$7:B"&amp;ROW()),Tableau15356789101112131625236924[[#This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-249821711</v>
      </c>
      <c r="M221" s="490"/>
      <c r="P221" s="368"/>
      <c r="Q221" s="368"/>
      <c r="R221" s="368"/>
    </row>
    <row r="222" spans="1:18" s="423" customFormat="1" ht="15" x14ac:dyDescent="0.3">
      <c r="A222" s="532" t="s">
        <v>2660</v>
      </c>
      <c r="B222" s="486" t="s">
        <v>2678</v>
      </c>
      <c r="C222" s="435">
        <v>46004</v>
      </c>
      <c r="D22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2" s="489" t="s">
        <v>2756</v>
      </c>
      <c r="F222" s="489" t="s">
        <v>3592</v>
      </c>
      <c r="G222" s="454"/>
      <c r="H222" s="494"/>
      <c r="I222" s="492"/>
      <c r="J222" s="492">
        <v>350000</v>
      </c>
      <c r="K222" s="491">
        <f>+K221+Tableau15356789101112131625236924[[#This Row],[RECETTE]]-Tableau15356789101112131625236924[[#This Row],[DÉPENSE]]</f>
        <v>7017214</v>
      </c>
      <c r="L222" s="456">
        <f ca="1">+IF($B222="","",SUMIFS(INDIRECT("$K$7:K"&amp;ROW()),INDIRECT("$B$7:B"&amp;ROW()),Tableau15356789101112131625236924[[#This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-254853204</v>
      </c>
      <c r="M222" s="490"/>
    </row>
    <row r="223" spans="1:18" ht="15" x14ac:dyDescent="0.3">
      <c r="A223" s="434" t="s">
        <v>2660</v>
      </c>
      <c r="B223" s="392" t="s">
        <v>2678</v>
      </c>
      <c r="C223" s="435">
        <v>46004</v>
      </c>
      <c r="D22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3" s="489" t="s">
        <v>2714</v>
      </c>
      <c r="F223" s="489" t="s">
        <v>3592</v>
      </c>
      <c r="G223" s="454"/>
      <c r="H223" s="494"/>
      <c r="I223" s="492"/>
      <c r="J223" s="492">
        <v>175000</v>
      </c>
      <c r="K223" s="491">
        <f>+K222+Tableau15356789101112131625236924[[#This Row],[RECETTE]]-Tableau15356789101112131625236924[[#This Row],[DÉPENSE]]</f>
        <v>6842214</v>
      </c>
      <c r="L223" s="403">
        <f ca="1">+IF($B223="","",SUMIFS(INDIRECT("$K$7:K"&amp;ROW()),INDIRECT("$B$7:B"&amp;ROW()),Tableau15356789101112131625236924[[#This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-259709697</v>
      </c>
      <c r="M223" s="490"/>
      <c r="P223" s="368"/>
      <c r="Q223" s="368"/>
      <c r="R223" s="368"/>
    </row>
    <row r="224" spans="1:18" ht="15" x14ac:dyDescent="0.3">
      <c r="A224" s="434" t="s">
        <v>2660</v>
      </c>
      <c r="B224" s="392" t="s">
        <v>2678</v>
      </c>
      <c r="C224" s="435">
        <v>46004</v>
      </c>
      <c r="D22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4" s="489" t="s">
        <v>2818</v>
      </c>
      <c r="F224" s="489" t="s">
        <v>3592</v>
      </c>
      <c r="G224" s="454"/>
      <c r="H224" s="494"/>
      <c r="I224" s="492"/>
      <c r="J224" s="492">
        <v>450000</v>
      </c>
      <c r="K224" s="491">
        <f>+K223+Tableau15356789101112131625236924[[#This Row],[RECETTE]]-Tableau15356789101112131625236924[[#This Row],[DÉPENSE]]</f>
        <v>6392214</v>
      </c>
      <c r="L224" s="403">
        <f ca="1">+IF($B224="","",SUMIFS(INDIRECT("$K$7:K"&amp;ROW()),INDIRECT("$B$7:B"&amp;ROW()),Tableau15356789101112131625236924[[#This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-264116190</v>
      </c>
      <c r="M224" s="490"/>
      <c r="P224" s="368"/>
      <c r="Q224" s="368"/>
      <c r="R224" s="368"/>
    </row>
    <row r="225" spans="1:18" ht="15" x14ac:dyDescent="0.3">
      <c r="A225" s="434" t="s">
        <v>2660</v>
      </c>
      <c r="B225" s="392" t="s">
        <v>2678</v>
      </c>
      <c r="C225" s="435">
        <v>46004</v>
      </c>
      <c r="D22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5" s="489" t="s">
        <v>2727</v>
      </c>
      <c r="F225" s="494" t="s">
        <v>3665</v>
      </c>
      <c r="G225" s="454"/>
      <c r="H225" s="494" t="s">
        <v>3621</v>
      </c>
      <c r="I225" s="492"/>
      <c r="J225" s="492">
        <v>262600</v>
      </c>
      <c r="K225" s="491">
        <f>+K224+Tableau15356789101112131625236924[[#This Row],[RECETTE]]-Tableau15356789101112131625236924[[#This Row],[DÉPENSE]]</f>
        <v>6129614</v>
      </c>
      <c r="L225" s="403">
        <f ca="1">+IF($B225="","",SUMIFS(INDIRECT("$K$7:K"&amp;ROW()),INDIRECT("$B$7:B"&amp;ROW()),Tableau15356789101112131625236924[[#This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-268260083</v>
      </c>
      <c r="M225" s="490"/>
      <c r="P225" s="368"/>
      <c r="Q225" s="368"/>
      <c r="R225" s="368"/>
    </row>
    <row r="226" spans="1:18" ht="15" x14ac:dyDescent="0.3">
      <c r="A226" s="434" t="s">
        <v>2660</v>
      </c>
      <c r="B226" s="392" t="s">
        <v>2678</v>
      </c>
      <c r="C226" s="435">
        <v>46004</v>
      </c>
      <c r="D22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6" s="488" t="s">
        <v>2710</v>
      </c>
      <c r="F226" s="494" t="s">
        <v>3666</v>
      </c>
      <c r="G226" s="454"/>
      <c r="H226" s="494"/>
      <c r="I226" s="492"/>
      <c r="J226" s="492">
        <v>25250</v>
      </c>
      <c r="K226" s="491">
        <f>+K225+Tableau15356789101112131625236924[[#This Row],[RECETTE]]-Tableau15356789101112131625236924[[#This Row],[DÉPENSE]]</f>
        <v>6104364</v>
      </c>
      <c r="L226" s="403">
        <f ca="1">+IF($B226="","",SUMIFS(INDIRECT("$K$7:K"&amp;ROW()),INDIRECT("$B$7:B"&amp;ROW()),Tableau15356789101112131625236924[[#This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-272378726</v>
      </c>
      <c r="M226" s="490"/>
      <c r="P226" s="368"/>
      <c r="Q226" s="368"/>
      <c r="R226" s="368"/>
    </row>
    <row r="227" spans="1:18" ht="15" x14ac:dyDescent="0.3">
      <c r="A227" s="434" t="s">
        <v>2660</v>
      </c>
      <c r="B227" s="392" t="s">
        <v>2678</v>
      </c>
      <c r="C227" s="435">
        <v>46004</v>
      </c>
      <c r="D22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7" s="489" t="s">
        <v>3667</v>
      </c>
      <c r="F227" s="494" t="s">
        <v>2824</v>
      </c>
      <c r="G227" s="454"/>
      <c r="H227" s="494"/>
      <c r="I227" s="492"/>
      <c r="J227" s="492">
        <v>50500</v>
      </c>
      <c r="K227" s="491">
        <f>+K226+Tableau15356789101112131625236924[[#This Row],[RECETTE]]-Tableau15356789101112131625236924[[#This Row],[DÉPENSE]]</f>
        <v>6053864</v>
      </c>
      <c r="L227" s="403">
        <f ca="1">+IF($B227="","",SUMIFS(INDIRECT("$K$7:K"&amp;ROW()),INDIRECT("$B$7:B"&amp;ROW()),Tableau15356789101112131625236924[[#This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-276446869</v>
      </c>
      <c r="M227" s="490"/>
      <c r="P227" s="368"/>
      <c r="Q227" s="368"/>
      <c r="R227" s="368"/>
    </row>
    <row r="228" spans="1:18" ht="15" x14ac:dyDescent="0.3">
      <c r="A228" s="434" t="s">
        <v>2660</v>
      </c>
      <c r="B228" s="392" t="s">
        <v>2678</v>
      </c>
      <c r="C228" s="487">
        <v>46006</v>
      </c>
      <c r="D22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8" s="489" t="s">
        <v>3558</v>
      </c>
      <c r="F228" s="494" t="s">
        <v>3592</v>
      </c>
      <c r="G228" s="454"/>
      <c r="H228" s="494"/>
      <c r="I228" s="492"/>
      <c r="J228" s="492">
        <v>200000</v>
      </c>
      <c r="K228" s="491">
        <f>+K227+Tableau15356789101112131625236924[[#This Row],[RECETTE]]-Tableau15356789101112131625236924[[#This Row],[DÉPENSE]]</f>
        <v>5853864</v>
      </c>
      <c r="L228" s="403">
        <f ca="1">+IF($B228="","",SUMIFS(INDIRECT("$K$7:K"&amp;ROW()),INDIRECT("$B$7:B"&amp;ROW()),Tableau15356789101112131625236924[[#This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-280315012</v>
      </c>
      <c r="M228" s="490"/>
      <c r="P228" s="368"/>
      <c r="Q228" s="368"/>
      <c r="R228" s="368"/>
    </row>
    <row r="229" spans="1:18" ht="15" x14ac:dyDescent="0.3">
      <c r="A229" s="434" t="s">
        <v>2660</v>
      </c>
      <c r="B229" s="392" t="s">
        <v>2678</v>
      </c>
      <c r="C229" s="487">
        <v>46006</v>
      </c>
      <c r="D22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29" s="489" t="s">
        <v>2764</v>
      </c>
      <c r="F229" s="494" t="s">
        <v>3668</v>
      </c>
      <c r="G229" s="454"/>
      <c r="H229" s="494"/>
      <c r="I229" s="492"/>
      <c r="J229" s="492">
        <v>3200</v>
      </c>
      <c r="K229" s="491">
        <f>+K228+Tableau15356789101112131625236924[[#This Row],[RECETTE]]-Tableau15356789101112131625236924[[#This Row],[DÉPENSE]]</f>
        <v>5850664</v>
      </c>
      <c r="L229" s="403">
        <f ca="1">+IF($B229="","",SUMIFS(INDIRECT("$K$7:K"&amp;ROW()),INDIRECT("$B$7:B"&amp;ROW()),Tableau15356789101112131625236924[[#This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-284179955</v>
      </c>
      <c r="M229" s="490"/>
      <c r="P229" s="368"/>
      <c r="Q229" s="368"/>
      <c r="R229" s="368"/>
    </row>
    <row r="230" spans="1:18" ht="15" x14ac:dyDescent="0.3">
      <c r="A230" s="434" t="s">
        <v>2660</v>
      </c>
      <c r="B230" s="392" t="s">
        <v>2678</v>
      </c>
      <c r="C230" s="487">
        <v>46006</v>
      </c>
      <c r="D23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30" s="489" t="s">
        <v>2679</v>
      </c>
      <c r="F230" s="408" t="s">
        <v>3669</v>
      </c>
      <c r="G230" s="418"/>
      <c r="H230" s="522" t="s">
        <v>2876</v>
      </c>
      <c r="I230" s="492">
        <v>193000</v>
      </c>
      <c r="J230" s="492"/>
      <c r="K230" s="491">
        <f>+K229+Tableau15356789101112131625236924[[#This Row],[RECETTE]]-Tableau15356789101112131625236924[[#This Row],[DÉPENSE]]</f>
        <v>6043664</v>
      </c>
      <c r="L230" s="403">
        <f ca="1">+IF($B232="","",SUMIFS(INDIRECT("$K$7:K"&amp;ROW()),INDIRECT("$B$7:B"&amp;ROW()),Tableau15356789101112131625236924[[#This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-284179955</v>
      </c>
      <c r="M230" s="490"/>
      <c r="P230" s="368"/>
      <c r="Q230" s="368"/>
      <c r="R230" s="368"/>
    </row>
    <row r="231" spans="1:18" ht="15" x14ac:dyDescent="0.3">
      <c r="A231" s="434" t="s">
        <v>2660</v>
      </c>
      <c r="B231" s="392" t="s">
        <v>2678</v>
      </c>
      <c r="C231" s="487">
        <v>46006</v>
      </c>
      <c r="D23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1" s="489" t="s">
        <v>2870</v>
      </c>
      <c r="F231" s="494" t="s">
        <v>3657</v>
      </c>
      <c r="G231" s="454"/>
      <c r="H231" s="494" t="s">
        <v>3670</v>
      </c>
      <c r="I231" s="492"/>
      <c r="J231" s="492">
        <v>2020</v>
      </c>
      <c r="K231" s="491">
        <f>+K230+Tableau15356789101112131625236924[[#This Row],[RECETTE]]-Tableau15356789101112131625236924[[#This Row],[DÉPENSE]]</f>
        <v>6041644</v>
      </c>
      <c r="L231" s="403">
        <f ca="1">+IF($B231="","",SUMIFS(INDIRECT("$K$7:K"&amp;ROW()),INDIRECT("$B$7:B"&amp;ROW()),Tableau15356789101112131625236924[[#This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-288235878</v>
      </c>
      <c r="M231" s="490"/>
      <c r="P231" s="368"/>
      <c r="Q231" s="368"/>
      <c r="R231" s="368"/>
    </row>
    <row r="232" spans="1:18" ht="15" x14ac:dyDescent="0.3">
      <c r="A232" s="434" t="s">
        <v>2660</v>
      </c>
      <c r="B232" s="392" t="s">
        <v>2678</v>
      </c>
      <c r="C232" s="487">
        <v>46006</v>
      </c>
      <c r="D23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2" s="489" t="s">
        <v>2794</v>
      </c>
      <c r="F232" s="494" t="s">
        <v>3592</v>
      </c>
      <c r="G232" s="454"/>
      <c r="H232" s="494"/>
      <c r="I232" s="492"/>
      <c r="J232" s="492">
        <v>151500</v>
      </c>
      <c r="K232" s="491">
        <f>+K231+Tableau15356789101112131625236924[[#This Row],[RECETTE]]-Tableau15356789101112131625236924[[#This Row],[DÉPENSE]]</f>
        <v>5890144</v>
      </c>
      <c r="L232" s="403">
        <f ca="1">+IF($B232="","",SUMIFS(INDIRECT("$K$7:K"&amp;ROW()),INDIRECT("$B$7:B"&amp;ROW()),Tableau15356789101112131625236924[[#This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-292140301</v>
      </c>
      <c r="M232" s="490"/>
      <c r="P232" s="368"/>
      <c r="Q232" s="368"/>
      <c r="R232" s="368"/>
    </row>
    <row r="233" spans="1:18" ht="15" x14ac:dyDescent="0.3">
      <c r="A233" s="434" t="s">
        <v>2660</v>
      </c>
      <c r="B233" s="392" t="s">
        <v>2678</v>
      </c>
      <c r="C233" s="487">
        <v>46006</v>
      </c>
      <c r="D23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3" s="489" t="s">
        <v>2813</v>
      </c>
      <c r="F233" s="494" t="s">
        <v>3592</v>
      </c>
      <c r="G233" s="454"/>
      <c r="H233" s="494"/>
      <c r="I233" s="492"/>
      <c r="J233" s="492">
        <v>121200</v>
      </c>
      <c r="K233" s="491">
        <f>+K232+Tableau15356789101112131625236924[[#This Row],[RECETTE]]-Tableau15356789101112131625236924[[#This Row],[DÉPENSE]]</f>
        <v>5768944</v>
      </c>
      <c r="L233" s="403">
        <f ca="1">+IF($B233="","",SUMIFS(INDIRECT("$K$7:K"&amp;ROW()),INDIRECT("$B$7:B"&amp;ROW()),Tableau15356789101112131625236924[[#This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-295923524</v>
      </c>
      <c r="M233" s="490"/>
      <c r="P233" s="368"/>
      <c r="Q233" s="368"/>
      <c r="R233" s="368"/>
    </row>
    <row r="234" spans="1:18" ht="15" x14ac:dyDescent="0.3">
      <c r="A234" s="434" t="s">
        <v>2660</v>
      </c>
      <c r="B234" s="392" t="s">
        <v>2678</v>
      </c>
      <c r="C234" s="487">
        <v>46006</v>
      </c>
      <c r="D23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4" s="489" t="s">
        <v>2710</v>
      </c>
      <c r="F234" s="494" t="s">
        <v>3592</v>
      </c>
      <c r="G234" s="454"/>
      <c r="H234" s="494"/>
      <c r="I234" s="492"/>
      <c r="J234" s="492">
        <v>151500</v>
      </c>
      <c r="K234" s="491">
        <f>+K233+Tableau15356789101112131625236924[[#This Row],[RECETTE]]-Tableau15356789101112131625236924[[#This Row],[DÉPENSE]]</f>
        <v>5617444</v>
      </c>
      <c r="L234" s="403">
        <f ca="1">+IF($B234="","",SUMIFS(INDIRECT("$K$7:K"&amp;ROW()),INDIRECT("$B$7:B"&amp;ROW()),Tableau15356789101112131625236924[[#This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-299555247</v>
      </c>
      <c r="M234" s="490"/>
      <c r="P234" s="368"/>
      <c r="Q234" s="368"/>
      <c r="R234" s="368"/>
    </row>
    <row r="235" spans="1:18" ht="15" x14ac:dyDescent="0.3">
      <c r="A235" s="434" t="s">
        <v>2660</v>
      </c>
      <c r="B235" s="392" t="s">
        <v>2678</v>
      </c>
      <c r="C235" s="487">
        <v>46006</v>
      </c>
      <c r="D23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5" s="489" t="s">
        <v>3176</v>
      </c>
      <c r="F235" s="494" t="s">
        <v>3592</v>
      </c>
      <c r="G235" s="454"/>
      <c r="H235" s="494"/>
      <c r="I235" s="492"/>
      <c r="J235" s="492">
        <v>121200</v>
      </c>
      <c r="K235" s="491">
        <f>+K234+Tableau15356789101112131625236924[[#This Row],[RECETTE]]-Tableau15356789101112131625236924[[#This Row],[DÉPENSE]]</f>
        <v>5496244</v>
      </c>
      <c r="L235" s="403">
        <f ca="1">+IF($B235="","",SUMIFS(INDIRECT("$K$7:K"&amp;ROW()),INDIRECT("$B$7:B"&amp;ROW()),Tableau15356789101112131625236924[[#This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-303065770</v>
      </c>
      <c r="M235" s="490"/>
      <c r="P235" s="368"/>
      <c r="Q235" s="368"/>
      <c r="R235" s="368"/>
    </row>
    <row r="236" spans="1:18" ht="15" x14ac:dyDescent="0.3">
      <c r="A236" s="434" t="s">
        <v>2660</v>
      </c>
      <c r="B236" s="392" t="s">
        <v>2678</v>
      </c>
      <c r="C236" s="487">
        <v>46006</v>
      </c>
      <c r="D23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6" s="489" t="s">
        <v>3175</v>
      </c>
      <c r="F236" s="494" t="s">
        <v>3592</v>
      </c>
      <c r="G236" s="454"/>
      <c r="H236" s="494"/>
      <c r="I236" s="492"/>
      <c r="J236" s="492">
        <v>126250</v>
      </c>
      <c r="K236" s="491">
        <f>+K235+Tableau15356789101112131625236924[[#This Row],[RECETTE]]-Tableau15356789101112131625236924[[#This Row],[DÉPENSE]]</f>
        <v>5369994</v>
      </c>
      <c r="L236" s="403">
        <f ca="1">+IF($B236="","",SUMIFS(INDIRECT("$K$7:K"&amp;ROW()),INDIRECT("$B$7:B"&amp;ROW()),Tableau15356789101112131625236924[[#This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-306450043</v>
      </c>
      <c r="M236" s="490"/>
      <c r="P236" s="368"/>
      <c r="Q236" s="368"/>
      <c r="R236" s="368"/>
    </row>
    <row r="237" spans="1:18" ht="15" x14ac:dyDescent="0.3">
      <c r="A237" s="434" t="s">
        <v>2660</v>
      </c>
      <c r="B237" s="392" t="s">
        <v>2678</v>
      </c>
      <c r="C237" s="487">
        <v>46006</v>
      </c>
      <c r="D23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7" s="489" t="s">
        <v>3671</v>
      </c>
      <c r="F237" s="494" t="s">
        <v>3592</v>
      </c>
      <c r="G237" s="454"/>
      <c r="H237" s="494"/>
      <c r="I237" s="492"/>
      <c r="J237" s="492">
        <v>121200</v>
      </c>
      <c r="K237" s="491">
        <f>+K236+Tableau15356789101112131625236924[[#This Row],[RECETTE]]-Tableau15356789101112131625236924[[#This Row],[DÉPENSE]]</f>
        <v>5248794</v>
      </c>
      <c r="L237" s="403">
        <f ca="1">+IF($B237="","",SUMIFS(INDIRECT("$K$7:K"&amp;ROW()),INDIRECT("$B$7:B"&amp;ROW()),Tableau15356789101112131625236924[[#This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-309713116</v>
      </c>
      <c r="M237" s="490"/>
    </row>
    <row r="238" spans="1:18" ht="15" x14ac:dyDescent="0.3">
      <c r="A238" s="434" t="s">
        <v>2660</v>
      </c>
      <c r="B238" s="392" t="s">
        <v>2678</v>
      </c>
      <c r="C238" s="487">
        <v>46006</v>
      </c>
      <c r="D23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8" s="489" t="s">
        <v>2887</v>
      </c>
      <c r="F238" s="494" t="s">
        <v>3592</v>
      </c>
      <c r="G238" s="454"/>
      <c r="H238" s="494"/>
      <c r="I238" s="492"/>
      <c r="J238" s="492">
        <v>121200</v>
      </c>
      <c r="K238" s="491">
        <f>+K237+Tableau15356789101112131625236924[[#This Row],[RECETTE]]-Tableau15356789101112131625236924[[#This Row],[DÉPENSE]]</f>
        <v>5127594</v>
      </c>
      <c r="L238" s="403">
        <f ca="1">+IF($B238="","",SUMIFS(INDIRECT("$K$7:K"&amp;ROW()),INDIRECT("$B$7:B"&amp;ROW()),Tableau15356789101112131625236924[[#This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-312854989</v>
      </c>
      <c r="M238" s="490"/>
    </row>
    <row r="239" spans="1:18" ht="15" x14ac:dyDescent="0.3">
      <c r="A239" s="434" t="s">
        <v>2660</v>
      </c>
      <c r="B239" s="392" t="s">
        <v>2678</v>
      </c>
      <c r="C239" s="487">
        <v>46006</v>
      </c>
      <c r="D23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39" s="489" t="s">
        <v>2696</v>
      </c>
      <c r="F239" s="494" t="s">
        <v>3592</v>
      </c>
      <c r="G239" s="454"/>
      <c r="H239" s="494"/>
      <c r="I239" s="492"/>
      <c r="J239" s="492">
        <v>121200</v>
      </c>
      <c r="K239" s="491">
        <f>+K238+Tableau15356789101112131625236924[[#This Row],[RECETTE]]-Tableau15356789101112131625236924[[#This Row],[DÉPENSE]]</f>
        <v>5006394</v>
      </c>
      <c r="L239" s="403">
        <f ca="1">+IF($B239="","",SUMIFS(INDIRECT("$K$7:K"&amp;ROW()),INDIRECT("$B$7:B"&amp;ROW()),Tableau15356789101112131625236924[[#This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-315875662</v>
      </c>
      <c r="M239" s="490"/>
    </row>
    <row r="240" spans="1:18" ht="15" x14ac:dyDescent="0.3">
      <c r="A240" s="434" t="s">
        <v>2660</v>
      </c>
      <c r="B240" s="392" t="s">
        <v>2678</v>
      </c>
      <c r="C240" s="487">
        <v>46006</v>
      </c>
      <c r="D24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0" s="489" t="s">
        <v>3667</v>
      </c>
      <c r="F240" s="494" t="s">
        <v>3592</v>
      </c>
      <c r="G240" s="454"/>
      <c r="H240" s="494"/>
      <c r="I240" s="492"/>
      <c r="J240" s="492">
        <v>353500</v>
      </c>
      <c r="K240" s="491">
        <f>+K239+Tableau15356789101112131625236924[[#This Row],[RECETTE]]-Tableau15356789101112131625236924[[#This Row],[DÉPENSE]]</f>
        <v>4652894</v>
      </c>
      <c r="L240" s="403">
        <f ca="1">+IF($B240="","",SUMIFS(INDIRECT("$K$7:K"&amp;ROW()),INDIRECT("$B$7:B"&amp;ROW()),Tableau15356789101112131625236924[[#This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-318542835</v>
      </c>
      <c r="M240" s="490"/>
    </row>
    <row r="241" spans="1:18" ht="15" x14ac:dyDescent="0.3">
      <c r="A241" s="434" t="s">
        <v>2660</v>
      </c>
      <c r="B241" s="392" t="s">
        <v>2678</v>
      </c>
      <c r="C241" s="487">
        <v>46006</v>
      </c>
      <c r="D24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1" s="489" t="s">
        <v>3667</v>
      </c>
      <c r="F241" s="408" t="s">
        <v>3672</v>
      </c>
      <c r="G241" s="418"/>
      <c r="H241" s="522" t="s">
        <v>2876</v>
      </c>
      <c r="I241" s="492"/>
      <c r="J241" s="492">
        <v>226240</v>
      </c>
      <c r="K241" s="491">
        <f>+K240+Tableau15356789101112131625236924[[#This Row],[RECETTE]]-Tableau15356789101112131625236924[[#This Row],[DÉPENSE]]</f>
        <v>4426654</v>
      </c>
      <c r="L241" s="403">
        <f ca="1">+IF($B241="","",SUMIFS(INDIRECT("$K$7:K"&amp;ROW()),INDIRECT("$B$7:B"&amp;ROW()),Tableau15356789101112131625236924[[#This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-320983768</v>
      </c>
      <c r="M241" s="490"/>
    </row>
    <row r="242" spans="1:18" ht="15" x14ac:dyDescent="0.3">
      <c r="A242" s="434" t="s">
        <v>2660</v>
      </c>
      <c r="B242" s="392" t="s">
        <v>2678</v>
      </c>
      <c r="C242" s="487">
        <v>46006</v>
      </c>
      <c r="D24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2" s="489" t="s">
        <v>2694</v>
      </c>
      <c r="F242" s="494" t="s">
        <v>3592</v>
      </c>
      <c r="G242" s="454"/>
      <c r="H242" s="494"/>
      <c r="I242" s="492"/>
      <c r="J242" s="492">
        <v>250000</v>
      </c>
      <c r="K242" s="491">
        <f>+K241+Tableau15356789101112131625236924[[#This Row],[RECETTE]]-Tableau15356789101112131625236924[[#This Row],[DÉPENSE]]</f>
        <v>4176654</v>
      </c>
      <c r="L242" s="403">
        <f ca="1">+IF($B242="","",SUMIFS(INDIRECT("$K$7:K"&amp;ROW()),INDIRECT("$B$7:B"&amp;ROW()),Tableau15356789101112131625236924[[#This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-323174701</v>
      </c>
      <c r="M242" s="490"/>
    </row>
    <row r="243" spans="1:18" ht="15" x14ac:dyDescent="0.3">
      <c r="A243" s="434" t="s">
        <v>2660</v>
      </c>
      <c r="B243" s="392" t="s">
        <v>2678</v>
      </c>
      <c r="C243" s="487">
        <v>46006</v>
      </c>
      <c r="D24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3" s="489" t="s">
        <v>3296</v>
      </c>
      <c r="F243" s="494" t="s">
        <v>3673</v>
      </c>
      <c r="G243" s="454"/>
      <c r="H243" s="494"/>
      <c r="I243" s="492"/>
      <c r="J243" s="492">
        <v>20000</v>
      </c>
      <c r="K243" s="491">
        <f>+K242+Tableau15356789101112131625236924[[#This Row],[RECETTE]]-Tableau15356789101112131625236924[[#This Row],[DÉPENSE]]</f>
        <v>4156654</v>
      </c>
      <c r="L243" s="403">
        <f ca="1">+IF($B243="","",SUMIFS(INDIRECT("$K$7:K"&amp;ROW()),INDIRECT("$B$7:B"&amp;ROW()),Tableau15356789101112131625236924[[#This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-325345634</v>
      </c>
      <c r="M243" s="490"/>
    </row>
    <row r="244" spans="1:18" ht="15" x14ac:dyDescent="0.3">
      <c r="A244" s="434" t="s">
        <v>2660</v>
      </c>
      <c r="B244" s="392" t="s">
        <v>2678</v>
      </c>
      <c r="C244" s="487">
        <v>46006</v>
      </c>
      <c r="D24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4" s="489" t="s">
        <v>3674</v>
      </c>
      <c r="F244" s="494" t="s">
        <v>3675</v>
      </c>
      <c r="G244" s="454" t="s">
        <v>2702</v>
      </c>
      <c r="H244" s="494"/>
      <c r="I244" s="492"/>
      <c r="J244" s="492">
        <v>300000</v>
      </c>
      <c r="K244" s="491">
        <f>+K243+Tableau15356789101112131625236924[[#This Row],[RECETTE]]-Tableau15356789101112131625236924[[#This Row],[DÉPENSE]]</f>
        <v>3856654</v>
      </c>
      <c r="L244" s="403">
        <f ca="1">+IF($B244="","",SUMIFS(INDIRECT("$K$7:K"&amp;ROW()),INDIRECT("$B$7:B"&amp;ROW()),Tableau15356789101112131625236924[[#This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-327216567</v>
      </c>
      <c r="M244" s="490"/>
    </row>
    <row r="245" spans="1:18" ht="15" x14ac:dyDescent="0.3">
      <c r="A245" s="434" t="s">
        <v>2660</v>
      </c>
      <c r="B245" s="392" t="s">
        <v>2678</v>
      </c>
      <c r="C245" s="487">
        <v>46006</v>
      </c>
      <c r="D24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5" s="489" t="s">
        <v>3676</v>
      </c>
      <c r="F245" s="494" t="s">
        <v>3592</v>
      </c>
      <c r="G245" s="454"/>
      <c r="H245" s="494"/>
      <c r="I245" s="492"/>
      <c r="J245" s="492">
        <v>130000</v>
      </c>
      <c r="K245" s="491">
        <f>+K244+Tableau15356789101112131625236924[[#This Row],[RECETTE]]-Tableau15356789101112131625236924[[#This Row],[DÉPENSE]]</f>
        <v>3726654</v>
      </c>
      <c r="L245" s="403">
        <f ca="1">+IF($B245="","",SUMIFS(INDIRECT("$K$7:K"&amp;ROW()),INDIRECT("$B$7:B"&amp;ROW()),Tableau15356789101112131625236924[[#This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-328957500</v>
      </c>
      <c r="M245" s="490"/>
    </row>
    <row r="246" spans="1:18" ht="15" x14ac:dyDescent="0.3">
      <c r="A246" s="434" t="s">
        <v>2660</v>
      </c>
      <c r="B246" s="392" t="s">
        <v>2678</v>
      </c>
      <c r="C246" s="487">
        <v>46006</v>
      </c>
      <c r="D24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6" s="489" t="s">
        <v>2700</v>
      </c>
      <c r="F246" s="494" t="s">
        <v>3677</v>
      </c>
      <c r="G246" s="454"/>
      <c r="H246" s="494"/>
      <c r="I246" s="492"/>
      <c r="J246" s="492">
        <v>177255</v>
      </c>
      <c r="K246" s="491">
        <f>+K245+Tableau15356789101112131625236924[[#This Row],[RECETTE]]-Tableau15356789101112131625236924[[#This Row],[DÉPENSE]]</f>
        <v>3549399</v>
      </c>
      <c r="L246" s="403">
        <f ca="1">+IF($B246="","",SUMIFS(INDIRECT("$K$7:K"&amp;ROW()),INDIRECT("$B$7:B"&amp;ROW()),Tableau15356789101112131625236924[[#This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-330521178</v>
      </c>
      <c r="M246" s="490"/>
    </row>
    <row r="247" spans="1:18" s="412" customFormat="1" ht="15" x14ac:dyDescent="0.3">
      <c r="A247" s="536" t="s">
        <v>2660</v>
      </c>
      <c r="B247" s="515" t="s">
        <v>2678</v>
      </c>
      <c r="C247" s="507">
        <v>46006</v>
      </c>
      <c r="D24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7" s="417" t="s">
        <v>3143</v>
      </c>
      <c r="F247" s="419" t="s">
        <v>3678</v>
      </c>
      <c r="G247" s="418"/>
      <c r="H247" s="419" t="s">
        <v>2781</v>
      </c>
      <c r="I247" s="510"/>
      <c r="J247" s="510">
        <v>3030</v>
      </c>
      <c r="K247" s="421">
        <f>+K246+Tableau15356789101112131625236924[[#This Row],[RECETTE]]-Tableau15356789101112131625236924[[#This Row],[DÉPENSE]]</f>
        <v>3546369</v>
      </c>
      <c r="L247" s="414">
        <f ca="1">+IF($B247="","",SUMIFS(INDIRECT("$K$7:K"&amp;ROW()),INDIRECT("$B$7:B"&amp;ROW()),Tableau15356789101112131625236924[[#This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-332081826</v>
      </c>
      <c r="M247" s="551"/>
      <c r="P247" s="314"/>
      <c r="Q247" s="314"/>
      <c r="R247" s="314"/>
    </row>
    <row r="248" spans="1:18" s="412" customFormat="1" ht="15" x14ac:dyDescent="0.3">
      <c r="A248" s="536" t="s">
        <v>2660</v>
      </c>
      <c r="B248" s="515" t="s">
        <v>2678</v>
      </c>
      <c r="C248" s="507">
        <v>46006</v>
      </c>
      <c r="D24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8" s="417" t="s">
        <v>2951</v>
      </c>
      <c r="F248" s="419" t="s">
        <v>3679</v>
      </c>
      <c r="G248" s="418"/>
      <c r="H248" s="419"/>
      <c r="I248" s="510"/>
      <c r="J248" s="510">
        <v>353500</v>
      </c>
      <c r="K248" s="421">
        <f>+K247+Tableau15356789101112131625236924[[#This Row],[RECETTE]]-Tableau15356789101112131625236924[[#This Row],[DÉPENSE]]</f>
        <v>3192869</v>
      </c>
      <c r="L248" s="414">
        <f ca="1">+IF($B248="","",SUMIFS(INDIRECT("$K$7:K"&amp;ROW()),INDIRECT("$B$7:B"&amp;ROW()),Tableau15356789101112131625236924[[#This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-333288974</v>
      </c>
      <c r="M248" s="551"/>
      <c r="P248" s="314"/>
      <c r="Q248" s="314"/>
      <c r="R248" s="314"/>
    </row>
    <row r="249" spans="1:18" ht="15" x14ac:dyDescent="0.3">
      <c r="A249" s="434" t="s">
        <v>2660</v>
      </c>
      <c r="B249" s="392" t="s">
        <v>2678</v>
      </c>
      <c r="C249" s="487">
        <v>46006</v>
      </c>
      <c r="D24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49" s="489" t="s">
        <v>2764</v>
      </c>
      <c r="F249" s="494" t="s">
        <v>3680</v>
      </c>
      <c r="G249" s="454"/>
      <c r="H249" s="494"/>
      <c r="I249" s="492"/>
      <c r="J249" s="492">
        <v>1200</v>
      </c>
      <c r="K249" s="491">
        <f>+K248+Tableau15356789101112131625236924[[#This Row],[RECETTE]]-Tableau15356789101112131625236924[[#This Row],[DÉPENSE]]</f>
        <v>3191669</v>
      </c>
      <c r="L249" s="403">
        <f ca="1">+IF($B249="","",SUMIFS(INDIRECT("$K$7:K"&amp;ROW()),INDIRECT("$B$7:B"&amp;ROW()),Tableau15356789101112131625236924[[#This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-334494922</v>
      </c>
      <c r="M249" s="490"/>
    </row>
    <row r="250" spans="1:18" ht="15" x14ac:dyDescent="0.3">
      <c r="A250" s="434" t="s">
        <v>2660</v>
      </c>
      <c r="B250" s="515" t="s">
        <v>2678</v>
      </c>
      <c r="C250" s="487">
        <v>46006</v>
      </c>
      <c r="D25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0" s="489" t="s">
        <v>3681</v>
      </c>
      <c r="F250" s="494" t="s">
        <v>3592</v>
      </c>
      <c r="G250" s="454"/>
      <c r="H250" s="494"/>
      <c r="I250" s="492"/>
      <c r="J250" s="492">
        <v>40000</v>
      </c>
      <c r="K250" s="491">
        <f>+K249+Tableau15356789101112131625236924[[#This Row],[RECETTE]]-Tableau15356789101112131625236924[[#This Row],[DÉPENSE]]</f>
        <v>3151669</v>
      </c>
      <c r="L250" s="403">
        <f ca="1">+IF($B250="","",SUMIFS(INDIRECT("$K$7:K"&amp;ROW()),INDIRECT("$B$7:B"&amp;ROW()),Tableau15356789101112131625236924[[#This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-335660870</v>
      </c>
      <c r="M250" s="490"/>
    </row>
    <row r="251" spans="1:18" ht="15" x14ac:dyDescent="0.3">
      <c r="A251" s="434" t="s">
        <v>2660</v>
      </c>
      <c r="B251" s="392" t="s">
        <v>2678</v>
      </c>
      <c r="C251" s="487">
        <v>46006</v>
      </c>
      <c r="D25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1" s="489" t="s">
        <v>2810</v>
      </c>
      <c r="F251" s="494" t="s">
        <v>3592</v>
      </c>
      <c r="G251" s="454"/>
      <c r="H251" s="494"/>
      <c r="I251" s="492"/>
      <c r="J251" s="492">
        <v>212100</v>
      </c>
      <c r="K251" s="491">
        <f>+K250+Tableau15356789101112131625236924[[#This Row],[RECETTE]]-Tableau15356789101112131625236924[[#This Row],[DÉPENSE]]</f>
        <v>2939569</v>
      </c>
      <c r="L251" s="403">
        <f ca="1">+IF($B251="","",SUMIFS(INDIRECT("$K$7:K"&amp;ROW()),INDIRECT("$B$7:B"&amp;ROW()),Tableau15356789101112131625236924[[#This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-336614718</v>
      </c>
      <c r="M251" s="490"/>
    </row>
    <row r="252" spans="1:18" ht="15" x14ac:dyDescent="0.3">
      <c r="A252" s="434" t="s">
        <v>2660</v>
      </c>
      <c r="B252" s="392" t="s">
        <v>2678</v>
      </c>
      <c r="C252" s="487">
        <v>46006</v>
      </c>
      <c r="D25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2" s="489" t="s">
        <v>2813</v>
      </c>
      <c r="F252" s="494" t="s">
        <v>3682</v>
      </c>
      <c r="G252" s="454"/>
      <c r="H252" s="494"/>
      <c r="I252" s="492"/>
      <c r="J252" s="492">
        <v>69690</v>
      </c>
      <c r="K252" s="491">
        <f>+K251+Tableau15356789101112131625236924[[#This Row],[RECETTE]]-Tableau15356789101112131625236924[[#This Row],[DÉPENSE]]</f>
        <v>2869879</v>
      </c>
      <c r="L252" s="403">
        <f ca="1">+IF($B252="","",SUMIFS(INDIRECT("$K$7:K"&amp;ROW()),INDIRECT("$B$7:B"&amp;ROW()),Tableau15356789101112131625236924[[#This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-337498876</v>
      </c>
      <c r="M252" s="490"/>
    </row>
    <row r="253" spans="1:18" ht="15" x14ac:dyDescent="0.3">
      <c r="A253" s="434" t="s">
        <v>2660</v>
      </c>
      <c r="B253" s="392" t="s">
        <v>2678</v>
      </c>
      <c r="C253" s="487">
        <v>46006</v>
      </c>
      <c r="D25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3" s="489" t="s">
        <v>2813</v>
      </c>
      <c r="F253" s="494" t="s">
        <v>3683</v>
      </c>
      <c r="G253" s="454"/>
      <c r="H253" s="494"/>
      <c r="I253" s="492"/>
      <c r="J253" s="492">
        <v>3030</v>
      </c>
      <c r="K253" s="491">
        <f>+K252+Tableau15356789101112131625236924[[#This Row],[RECETTE]]-Tableau15356789101112131625236924[[#This Row],[DÉPENSE]]</f>
        <v>2866849</v>
      </c>
      <c r="L253" s="403">
        <f ca="1">+IF($B253="","",SUMIFS(INDIRECT("$K$7:K"&amp;ROW()),INDIRECT("$B$7:B"&amp;ROW()),Tableau15356789101112131625236924[[#This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-338380004</v>
      </c>
      <c r="M253" s="490"/>
    </row>
    <row r="254" spans="1:18" ht="15" x14ac:dyDescent="0.3">
      <c r="A254" s="434" t="s">
        <v>2660</v>
      </c>
      <c r="B254" s="392" t="s">
        <v>2678</v>
      </c>
      <c r="C254" s="487">
        <v>46006</v>
      </c>
      <c r="D25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4" s="489" t="s">
        <v>2764</v>
      </c>
      <c r="F254" s="494" t="s">
        <v>3684</v>
      </c>
      <c r="G254" s="454"/>
      <c r="H254" s="494"/>
      <c r="I254" s="492"/>
      <c r="J254" s="492">
        <v>25000</v>
      </c>
      <c r="K254" s="491">
        <f>+K253+Tableau15356789101112131625236924[[#This Row],[RECETTE]]-Tableau15356789101112131625236924[[#This Row],[DÉPENSE]]</f>
        <v>2841849</v>
      </c>
      <c r="L254" s="403">
        <f ca="1">+IF($B254="","",SUMIFS(INDIRECT("$K$7:K"&amp;ROW()),INDIRECT("$B$7:B"&amp;ROW()),Tableau15356789101112131625236924[[#This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-339236132</v>
      </c>
      <c r="M254" s="490"/>
    </row>
    <row r="255" spans="1:18" ht="15" x14ac:dyDescent="0.3">
      <c r="A255" s="434" t="s">
        <v>2660</v>
      </c>
      <c r="B255" s="392" t="s">
        <v>2678</v>
      </c>
      <c r="C255" s="487">
        <v>46006</v>
      </c>
      <c r="D25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5" s="489" t="s">
        <v>2813</v>
      </c>
      <c r="F255" s="494" t="s">
        <v>3685</v>
      </c>
      <c r="G255" s="454"/>
      <c r="H255" s="494"/>
      <c r="I255" s="492"/>
      <c r="J255" s="492">
        <v>75750</v>
      </c>
      <c r="K255" s="491">
        <f>+K254+Tableau15356789101112131625236924[[#This Row],[RECETTE]]-Tableau15356789101112131625236924[[#This Row],[DÉPENSE]]</f>
        <v>2766099</v>
      </c>
      <c r="L255" s="403">
        <f ca="1">+IF($B255="","",SUMIFS(INDIRECT("$K$7:K"&amp;ROW()),INDIRECT("$B$7:B"&amp;ROW()),Tableau15356789101112131625236924[[#This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-340016510</v>
      </c>
      <c r="M255" s="490"/>
    </row>
    <row r="256" spans="1:18" ht="15" x14ac:dyDescent="0.3">
      <c r="A256" s="434" t="s">
        <v>2660</v>
      </c>
      <c r="B256" s="392" t="s">
        <v>2678</v>
      </c>
      <c r="C256" s="487">
        <v>46007</v>
      </c>
      <c r="D25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6" s="489" t="s">
        <v>3686</v>
      </c>
      <c r="F256" s="494" t="s">
        <v>3592</v>
      </c>
      <c r="G256" s="454"/>
      <c r="H256" s="494"/>
      <c r="I256" s="492"/>
      <c r="J256" s="492">
        <v>100000</v>
      </c>
      <c r="K256" s="491">
        <f>+K255+Tableau15356789101112131625236924[[#This Row],[RECETTE]]-Tableau15356789101112131625236924[[#This Row],[DÉPENSE]]</f>
        <v>2666099</v>
      </c>
      <c r="L256" s="403">
        <f ca="1">+IF($B256="","",SUMIFS(INDIRECT("$K$7:K"&amp;ROW()),INDIRECT("$B$7:B"&amp;ROW()),Tableau15356789101112131625236924[[#This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-340696888</v>
      </c>
      <c r="M256" s="490"/>
    </row>
    <row r="257" spans="1:18" ht="15" x14ac:dyDescent="0.3">
      <c r="A257" s="434" t="s">
        <v>2660</v>
      </c>
      <c r="B257" s="392" t="s">
        <v>2678</v>
      </c>
      <c r="C257" s="487">
        <v>46007</v>
      </c>
      <c r="D25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7" s="489" t="s">
        <v>2813</v>
      </c>
      <c r="F257" s="494" t="s">
        <v>3687</v>
      </c>
      <c r="G257" s="454"/>
      <c r="H257" s="494" t="s">
        <v>3621</v>
      </c>
      <c r="I257" s="492"/>
      <c r="J257" s="492">
        <v>13635</v>
      </c>
      <c r="K257" s="491">
        <f>+K256+Tableau15356789101112131625236924[[#This Row],[RECETTE]]-Tableau15356789101112131625236924[[#This Row],[DÉPENSE]]</f>
        <v>2652464</v>
      </c>
      <c r="L257" s="403">
        <f ca="1">+IF($B257="","",SUMIFS(INDIRECT("$K$7:K"&amp;ROW()),INDIRECT("$B$7:B"&amp;ROW()),Tableau15356789101112131625236924[[#This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-341363631</v>
      </c>
      <c r="M257" s="490"/>
    </row>
    <row r="258" spans="1:18" s="534" customFormat="1" ht="15" x14ac:dyDescent="0.2">
      <c r="A258" s="434" t="s">
        <v>2660</v>
      </c>
      <c r="B258" s="392" t="s">
        <v>2678</v>
      </c>
      <c r="C258" s="487">
        <v>46007</v>
      </c>
      <c r="D25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58" s="489" t="s">
        <v>2758</v>
      </c>
      <c r="F258" s="494" t="s">
        <v>3688</v>
      </c>
      <c r="G258" s="454"/>
      <c r="H258" s="494" t="s">
        <v>2729</v>
      </c>
      <c r="I258" s="492"/>
      <c r="J258" s="492">
        <v>101000</v>
      </c>
      <c r="K258" s="491">
        <f>+K257+Tableau15356789101112131625236924[[#This Row],[RECETTE]]-Tableau15356789101112131625236924[[#This Row],[DÉPENSE]]</f>
        <v>2551464</v>
      </c>
      <c r="L258" s="403">
        <f ca="1">+IF($B258="","",SUMIFS(INDIRECT("$K$7:K"&amp;ROW()),INDIRECT("$B$7:B"&amp;ROW()),Tableau15356789101112131625236924[[#This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-341929374</v>
      </c>
      <c r="M258" s="490"/>
      <c r="P258" s="535"/>
      <c r="Q258" s="535"/>
      <c r="R258" s="535"/>
    </row>
    <row r="259" spans="1:18" s="520" customFormat="1" ht="15" x14ac:dyDescent="0.3">
      <c r="A259" s="533" t="s">
        <v>2660</v>
      </c>
      <c r="B259" s="527" t="s">
        <v>2678</v>
      </c>
      <c r="C259" s="487">
        <v>46007</v>
      </c>
      <c r="D25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59" s="489" t="s">
        <v>2679</v>
      </c>
      <c r="F259" s="489" t="s">
        <v>3689</v>
      </c>
      <c r="G259" s="454"/>
      <c r="H259" s="494"/>
      <c r="I259" s="492">
        <v>4000000</v>
      </c>
      <c r="J259" s="492"/>
      <c r="K259" s="491">
        <f>+K258+Tableau15356789101112131625236924[[#This Row],[RECETTE]]-Tableau15356789101112131625236924[[#This Row],[DÉPENSE]]</f>
        <v>6551464</v>
      </c>
      <c r="L259" s="447">
        <f ca="1">+IF($B259="","",SUMIFS(INDIRECT("$K$7:K"&amp;ROW()),INDIRECT("$B$7:B"&amp;ROW()),Tableau15356789101112131625236924[[#This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-341929374</v>
      </c>
      <c r="M259" s="490"/>
      <c r="P259" s="482"/>
      <c r="Q259" s="482"/>
      <c r="R259" s="482"/>
    </row>
    <row r="260" spans="1:18" s="412" customFormat="1" ht="15" x14ac:dyDescent="0.3">
      <c r="A260" s="536" t="s">
        <v>2660</v>
      </c>
      <c r="B260" s="515" t="s">
        <v>2678</v>
      </c>
      <c r="C260" s="487">
        <v>46007</v>
      </c>
      <c r="D26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60" s="489" t="s">
        <v>2679</v>
      </c>
      <c r="F260" s="494" t="s">
        <v>3690</v>
      </c>
      <c r="G260" s="454"/>
      <c r="H260" s="494"/>
      <c r="I260" s="492">
        <v>200000</v>
      </c>
      <c r="J260" s="492"/>
      <c r="K260" s="491">
        <f>+K259+Tableau15356789101112131625236924[[#This Row],[RECETTE]]-Tableau15356789101112131625236924[[#This Row],[DÉPENSE]]</f>
        <v>6751464</v>
      </c>
      <c r="L260" s="414">
        <f ca="1">+IF($B260="","",SUMIFS(INDIRECT("$K$7:K"&amp;ROW()),INDIRECT("$B$7:B"&amp;ROW()),Tableau15356789101112131625236924[[#This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-341929374</v>
      </c>
      <c r="M260" s="490"/>
      <c r="P260" s="314"/>
      <c r="Q260" s="314"/>
      <c r="R260" s="314"/>
    </row>
    <row r="261" spans="1:18" s="412" customFormat="1" ht="15" x14ac:dyDescent="0.3">
      <c r="A261" s="434" t="s">
        <v>2660</v>
      </c>
      <c r="B261" s="392" t="s">
        <v>2678</v>
      </c>
      <c r="C261" s="487">
        <v>46007</v>
      </c>
      <c r="D26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1" s="489" t="s">
        <v>2813</v>
      </c>
      <c r="F261" s="494" t="s">
        <v>3691</v>
      </c>
      <c r="G261" s="454"/>
      <c r="H261" s="494" t="s">
        <v>3621</v>
      </c>
      <c r="I261" s="492"/>
      <c r="J261" s="492">
        <v>13635</v>
      </c>
      <c r="K261" s="491">
        <f>+K260+Tableau15356789101112131625236924[[#This Row],[RECETTE]]-Tableau15356789101112131625236924[[#This Row],[DÉPENSE]]</f>
        <v>6737829</v>
      </c>
      <c r="L261" s="414">
        <f ca="1">+IF($B261="","",SUMIFS(INDIRECT("$K$7:K"&amp;ROW()),INDIRECT("$B$7:B"&amp;ROW()),Tableau15356789101112131625236924[[#This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-346681482</v>
      </c>
      <c r="M261" s="490"/>
      <c r="P261" s="314"/>
      <c r="Q261" s="314"/>
      <c r="R261" s="314"/>
    </row>
    <row r="262" spans="1:18" s="412" customFormat="1" ht="15" x14ac:dyDescent="0.3">
      <c r="A262" s="536" t="s">
        <v>2660</v>
      </c>
      <c r="B262" s="515" t="s">
        <v>2678</v>
      </c>
      <c r="C262" s="487">
        <v>46007</v>
      </c>
      <c r="D26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2" s="489" t="s">
        <v>2764</v>
      </c>
      <c r="F262" s="489" t="s">
        <v>3692</v>
      </c>
      <c r="G262" s="454"/>
      <c r="H262" s="494"/>
      <c r="I262" s="492"/>
      <c r="J262" s="492">
        <v>1400</v>
      </c>
      <c r="K262" s="491">
        <f>+K261+Tableau15356789101112131625236924[[#This Row],[RECETTE]]-Tableau15356789101112131625236924[[#This Row],[DÉPENSE]]</f>
        <v>6736429</v>
      </c>
      <c r="L262" s="414">
        <f ca="1">+IF($B262="","",SUMIFS(INDIRECT("$K$7:K"&amp;ROW()),INDIRECT("$B$7:B"&amp;ROW()),Tableau15356789101112131625236924[[#This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-351432190</v>
      </c>
      <c r="M262" s="490"/>
      <c r="P262" s="314"/>
      <c r="Q262" s="314"/>
      <c r="R262" s="314"/>
    </row>
    <row r="263" spans="1:18" ht="15" x14ac:dyDescent="0.3">
      <c r="A263" s="434" t="s">
        <v>2660</v>
      </c>
      <c r="B263" s="392" t="s">
        <v>2678</v>
      </c>
      <c r="C263" s="487">
        <v>46007</v>
      </c>
      <c r="D26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3" s="489" t="s">
        <v>2764</v>
      </c>
      <c r="F263" s="489" t="s">
        <v>3693</v>
      </c>
      <c r="G263" s="454"/>
      <c r="H263" s="494"/>
      <c r="I263" s="492"/>
      <c r="J263" s="492">
        <v>6365</v>
      </c>
      <c r="K263" s="491">
        <f>+K262+Tableau15356789101112131625236924[[#This Row],[RECETTE]]-Tableau15356789101112131625236924[[#This Row],[DÉPENSE]]</f>
        <v>6730064</v>
      </c>
      <c r="L263" s="403">
        <f ca="1">+IF($B263="","",SUMIFS(INDIRECT("$K$7:K"&amp;ROW()),INDIRECT("$B$7:B"&amp;ROW()),Tableau15356789101112131625236924[[#This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-356176533</v>
      </c>
      <c r="M263" s="490"/>
    </row>
    <row r="264" spans="1:18" ht="15" x14ac:dyDescent="0.3">
      <c r="A264" s="434" t="s">
        <v>2660</v>
      </c>
      <c r="B264" s="392" t="s">
        <v>2678</v>
      </c>
      <c r="C264" s="487">
        <v>46007</v>
      </c>
      <c r="D26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4" s="489" t="s">
        <v>2764</v>
      </c>
      <c r="F264" s="489" t="s">
        <v>3694</v>
      </c>
      <c r="G264" s="454"/>
      <c r="H264" s="494"/>
      <c r="I264" s="492"/>
      <c r="J264" s="492">
        <v>2830</v>
      </c>
      <c r="K264" s="491">
        <f>+K263+Tableau15356789101112131625236924[[#This Row],[RECETTE]]-Tableau15356789101112131625236924[[#This Row],[DÉPENSE]]</f>
        <v>6727234</v>
      </c>
      <c r="L264" s="403">
        <f ca="1">+IF($B264="","",SUMIFS(INDIRECT("$K$7:K"&amp;ROW()),INDIRECT("$B$7:B"&amp;ROW()),Tableau15356789101112131625236924[[#This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-360918046</v>
      </c>
      <c r="M264" s="490"/>
    </row>
    <row r="265" spans="1:18" ht="15" x14ac:dyDescent="0.3">
      <c r="A265" s="434" t="s">
        <v>2660</v>
      </c>
      <c r="B265" s="392" t="s">
        <v>2678</v>
      </c>
      <c r="C265" s="487">
        <v>46007</v>
      </c>
      <c r="D26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5" s="489" t="s">
        <v>3577</v>
      </c>
      <c r="F265" s="489" t="s">
        <v>3592</v>
      </c>
      <c r="G265" s="454"/>
      <c r="H265" s="494"/>
      <c r="I265" s="492"/>
      <c r="J265" s="492">
        <v>29290</v>
      </c>
      <c r="K265" s="491">
        <f>+K264+Tableau15356789101112131625236924[[#This Row],[RECETTE]]-Tableau15356789101112131625236924[[#This Row],[DÉPENSE]]</f>
        <v>6697944</v>
      </c>
      <c r="L265" s="403">
        <f ca="1">+IF($B265="","",SUMIFS(INDIRECT("$K$7:K"&amp;ROW()),INDIRECT("$B$7:B"&amp;ROW()),Tableau15356789101112131625236924[[#This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-365630269</v>
      </c>
      <c r="M265" s="490"/>
    </row>
    <row r="266" spans="1:18" s="534" customFormat="1" ht="15" x14ac:dyDescent="0.2">
      <c r="A266" s="434" t="s">
        <v>2660</v>
      </c>
      <c r="B266" s="392" t="s">
        <v>2678</v>
      </c>
      <c r="C266" s="487">
        <v>46007</v>
      </c>
      <c r="D26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6" s="489" t="s">
        <v>2727</v>
      </c>
      <c r="F266" s="489" t="s">
        <v>2879</v>
      </c>
      <c r="G266" s="454"/>
      <c r="H266" s="494" t="s">
        <v>2729</v>
      </c>
      <c r="I266" s="492"/>
      <c r="J266" s="492">
        <v>20000</v>
      </c>
      <c r="K266" s="491">
        <f>+K265+Tableau15356789101112131625236924[[#This Row],[RECETTE]]-Tableau15356789101112131625236924[[#This Row],[DÉPENSE]]</f>
        <v>6677944</v>
      </c>
      <c r="L266" s="403">
        <f ca="1">+IF($B266="","",SUMIFS(INDIRECT("$K$7:K"&amp;ROW()),INDIRECT("$B$7:B"&amp;ROW()),Tableau15356789101112131625236924[[#This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-370322492</v>
      </c>
      <c r="M266" s="490"/>
      <c r="P266" s="535"/>
      <c r="Q266" s="535"/>
      <c r="R266" s="535"/>
    </row>
    <row r="267" spans="1:18" ht="15" x14ac:dyDescent="0.3">
      <c r="A267" s="434" t="s">
        <v>2660</v>
      </c>
      <c r="B267" s="392" t="s">
        <v>2678</v>
      </c>
      <c r="C267" s="487">
        <v>46007</v>
      </c>
      <c r="D26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7" s="489" t="s">
        <v>3349</v>
      </c>
      <c r="F267" s="489" t="s">
        <v>39</v>
      </c>
      <c r="G267" s="454"/>
      <c r="H267" s="494"/>
      <c r="I267" s="492"/>
      <c r="J267" s="492">
        <v>3000</v>
      </c>
      <c r="K267" s="491">
        <f>+K266+Tableau15356789101112131625236924[[#This Row],[RECETTE]]-Tableau15356789101112131625236924[[#This Row],[DÉPENSE]]</f>
        <v>6674944</v>
      </c>
      <c r="L267" s="403">
        <f ca="1">+IF($B267="","",SUMIFS(INDIRECT("$K$7:K"&amp;ROW()),INDIRECT("$B$7:B"&amp;ROW()),Tableau15356789101112131625236924[[#This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-375011715</v>
      </c>
      <c r="M267" s="490"/>
    </row>
    <row r="268" spans="1:18" ht="15" x14ac:dyDescent="0.3">
      <c r="A268" s="434" t="s">
        <v>2660</v>
      </c>
      <c r="B268" s="392" t="s">
        <v>2678</v>
      </c>
      <c r="C268" s="487">
        <v>46008</v>
      </c>
      <c r="D26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8" s="489" t="s">
        <v>2764</v>
      </c>
      <c r="F268" s="489" t="s">
        <v>3695</v>
      </c>
      <c r="G268" s="454"/>
      <c r="H268" s="494"/>
      <c r="I268" s="492"/>
      <c r="J268" s="492">
        <v>20200</v>
      </c>
      <c r="K268" s="491">
        <f>+K267+Tableau15356789101112131625236924[[#This Row],[RECETTE]]-Tableau15356789101112131625236924[[#This Row],[DÉPENSE]]</f>
        <v>6654744</v>
      </c>
      <c r="L268" s="403">
        <f ca="1">+IF($B268="","",SUMIFS(INDIRECT("$K$7:K"&amp;ROW()),INDIRECT("$B$7:B"&amp;ROW()),Tableau15356789101112131625236924[[#This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-379680738</v>
      </c>
      <c r="M268" s="490"/>
    </row>
    <row r="269" spans="1:18" s="412" customFormat="1" ht="15" x14ac:dyDescent="0.3">
      <c r="A269" s="536" t="s">
        <v>2660</v>
      </c>
      <c r="B269" s="515" t="s">
        <v>2678</v>
      </c>
      <c r="C269" s="507">
        <v>46008</v>
      </c>
      <c r="D26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69" s="417" t="s">
        <v>3655</v>
      </c>
      <c r="F269" s="417" t="s">
        <v>3072</v>
      </c>
      <c r="G269" s="418"/>
      <c r="H269" s="419"/>
      <c r="I269" s="510"/>
      <c r="J269" s="510">
        <v>211000</v>
      </c>
      <c r="K269" s="491">
        <f>+K268+Tableau15356789101112131625236924[[#This Row],[RECETTE]]-Tableau15356789101112131625236924[[#This Row],[DÉPENSE]]</f>
        <v>6443744</v>
      </c>
      <c r="L269" s="414">
        <f ca="1">+IF($B269="","",SUMIFS(INDIRECT("$K$7:K"&amp;ROW()),INDIRECT("$B$7:B"&amp;ROW()),Tableau15356789101112131625236924[[#This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-384138761</v>
      </c>
      <c r="M269" s="551"/>
      <c r="P269" s="314"/>
      <c r="Q269" s="314"/>
      <c r="R269" s="314"/>
    </row>
    <row r="270" spans="1:18" s="423" customFormat="1" ht="15" x14ac:dyDescent="0.2">
      <c r="A270" s="532" t="s">
        <v>2660</v>
      </c>
      <c r="B270" s="486" t="s">
        <v>2678</v>
      </c>
      <c r="C270" s="487">
        <v>46008</v>
      </c>
      <c r="D27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0" s="489" t="s">
        <v>3515</v>
      </c>
      <c r="F270" s="489" t="s">
        <v>3696</v>
      </c>
      <c r="G270" s="454"/>
      <c r="H270" s="494"/>
      <c r="I270" s="492"/>
      <c r="J270" s="492">
        <v>1000</v>
      </c>
      <c r="K270" s="491">
        <f>+K269+Tableau15356789101112131625236924[[#This Row],[RECETTE]]-Tableau15356789101112131625236924[[#This Row],[DÉPENSE]]</f>
        <v>6442744</v>
      </c>
      <c r="L270" s="456">
        <f ca="1">+IF($B270="","",SUMIFS(INDIRECT("$K$7:K"&amp;ROW()),INDIRECT("$B$7:B"&amp;ROW()),Tableau15356789101112131625236924[[#This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-388595784</v>
      </c>
      <c r="M270" s="490"/>
      <c r="P270" s="458"/>
      <c r="Q270" s="458"/>
      <c r="R270" s="458"/>
    </row>
    <row r="271" spans="1:18" ht="15" x14ac:dyDescent="0.3">
      <c r="A271" s="434" t="s">
        <v>2660</v>
      </c>
      <c r="B271" s="392" t="s">
        <v>2678</v>
      </c>
      <c r="C271" s="487">
        <v>46008</v>
      </c>
      <c r="D27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1" s="489" t="s">
        <v>2710</v>
      </c>
      <c r="F271" s="489" t="s">
        <v>3697</v>
      </c>
      <c r="G271" s="454"/>
      <c r="H271" s="494" t="s">
        <v>2959</v>
      </c>
      <c r="I271" s="492"/>
      <c r="J271" s="492">
        <v>5050</v>
      </c>
      <c r="K271" s="491">
        <f>+K270+Tableau15356789101112131625236924[[#This Row],[RECETTE]]-Tableau15356789101112131625236924[[#This Row],[DÉPENSE]]</f>
        <v>6437694</v>
      </c>
      <c r="L271" s="403">
        <f ca="1">+IF($B271="","",SUMIFS(INDIRECT("$K$7:K"&amp;ROW()),INDIRECT("$B$7:B"&amp;ROW()),Tableau15356789101112131625236924[[#This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-393047757</v>
      </c>
      <c r="M271" s="490"/>
    </row>
    <row r="272" spans="1:18" ht="15" x14ac:dyDescent="0.3">
      <c r="A272" s="434" t="s">
        <v>2660</v>
      </c>
      <c r="B272" s="392" t="s">
        <v>2678</v>
      </c>
      <c r="C272" s="487">
        <v>46008</v>
      </c>
      <c r="D27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2" s="489" t="s">
        <v>2813</v>
      </c>
      <c r="F272" s="489" t="s">
        <v>3698</v>
      </c>
      <c r="G272" s="454"/>
      <c r="H272" s="494"/>
      <c r="I272" s="492"/>
      <c r="J272" s="492">
        <v>101505</v>
      </c>
      <c r="K272" s="491">
        <f>+K271+Tableau15356789101112131625236924[[#This Row],[RECETTE]]-Tableau15356789101112131625236924[[#This Row],[DÉPENSE]]</f>
        <v>6336189</v>
      </c>
      <c r="L272" s="403">
        <f ca="1">+IF($B272="","",SUMIFS(INDIRECT("$K$7:K"&amp;ROW()),INDIRECT("$B$7:B"&amp;ROW()),Tableau15356789101112131625236924[[#This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-397398225</v>
      </c>
      <c r="M272" s="490"/>
    </row>
    <row r="273" spans="1:18" ht="15" x14ac:dyDescent="0.3">
      <c r="A273" s="434" t="s">
        <v>2660</v>
      </c>
      <c r="B273" s="392" t="s">
        <v>2678</v>
      </c>
      <c r="C273" s="487">
        <v>46008</v>
      </c>
      <c r="D27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3" s="489" t="s">
        <v>2694</v>
      </c>
      <c r="F273" s="489" t="s">
        <v>3699</v>
      </c>
      <c r="G273" s="454"/>
      <c r="H273" s="494"/>
      <c r="I273" s="492"/>
      <c r="J273" s="492">
        <v>230000</v>
      </c>
      <c r="K273" s="491">
        <f>+K272+Tableau15356789101112131625236924[[#This Row],[RECETTE]]-Tableau15356789101112131625236924[[#This Row],[DÉPENSE]]</f>
        <v>6106189</v>
      </c>
      <c r="L273" s="403">
        <f ca="1">+IF($B273="","",SUMIFS(INDIRECT("$K$7:K"&amp;ROW()),INDIRECT("$B$7:B"&amp;ROW()),Tableau15356789101112131625236924[[#This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-401518693</v>
      </c>
      <c r="M273" s="490"/>
    </row>
    <row r="274" spans="1:18" ht="15" x14ac:dyDescent="0.3">
      <c r="A274" s="434" t="s">
        <v>2660</v>
      </c>
      <c r="B274" s="392" t="s">
        <v>2678</v>
      </c>
      <c r="C274" s="487">
        <v>46008</v>
      </c>
      <c r="D27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4" s="489" t="s">
        <v>3700</v>
      </c>
      <c r="F274" s="489" t="s">
        <v>3701</v>
      </c>
      <c r="G274" s="454"/>
      <c r="H274" s="494"/>
      <c r="I274" s="492"/>
      <c r="J274" s="492">
        <v>25250</v>
      </c>
      <c r="K274" s="491">
        <f>+K273+Tableau15356789101112131625236924[[#This Row],[RECETTE]]-Tableau15356789101112131625236924[[#This Row],[DÉPENSE]]</f>
        <v>6080939</v>
      </c>
      <c r="L274" s="403">
        <f ca="1">+IF($B274="","",SUMIFS(INDIRECT("$K$7:K"&amp;ROW()),INDIRECT("$B$7:B"&amp;ROW()),Tableau15356789101112131625236924[[#This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-405613911</v>
      </c>
      <c r="M274" s="490"/>
    </row>
    <row r="275" spans="1:18" s="412" customFormat="1" ht="15" x14ac:dyDescent="0.3">
      <c r="A275" s="536" t="s">
        <v>2660</v>
      </c>
      <c r="B275" s="515" t="s">
        <v>2678</v>
      </c>
      <c r="C275" s="507">
        <v>46009</v>
      </c>
      <c r="D275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5" s="417" t="s">
        <v>3655</v>
      </c>
      <c r="F275" s="417" t="s">
        <v>3702</v>
      </c>
      <c r="G275" s="418"/>
      <c r="H275" s="419"/>
      <c r="I275" s="510"/>
      <c r="J275" s="510">
        <v>10100</v>
      </c>
      <c r="K275" s="421">
        <f>+K274+Tableau15356789101112131625236924[[#This Row],[RECETTE]]-Tableau15356789101112131625236924[[#This Row],[DÉPENSE]]</f>
        <v>6070839</v>
      </c>
      <c r="L275" s="414">
        <f ca="1">+IF($B275="","",SUMIFS(INDIRECT("$K$7:K"&amp;ROW()),INDIRECT("$B$7:B"&amp;ROW()),Tableau15356789101112131625236924[[#This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-409699029</v>
      </c>
      <c r="M275" s="551"/>
      <c r="P275" s="314"/>
      <c r="Q275" s="314"/>
      <c r="R275" s="314"/>
    </row>
    <row r="276" spans="1:18" ht="15" x14ac:dyDescent="0.3">
      <c r="A276" s="434" t="s">
        <v>2660</v>
      </c>
      <c r="B276" s="392" t="s">
        <v>2678</v>
      </c>
      <c r="C276" s="487">
        <v>46009</v>
      </c>
      <c r="D27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6" s="489" t="s">
        <v>2686</v>
      </c>
      <c r="F276" s="489" t="s">
        <v>2706</v>
      </c>
      <c r="G276" s="454"/>
      <c r="H276" s="494" t="s">
        <v>2707</v>
      </c>
      <c r="I276" s="492"/>
      <c r="J276" s="492">
        <v>10100</v>
      </c>
      <c r="K276" s="491">
        <f>+K275+Tableau15356789101112131625236924[[#This Row],[RECETTE]]-Tableau15356789101112131625236924[[#This Row],[DÉPENSE]]</f>
        <v>6060739</v>
      </c>
      <c r="L276" s="403">
        <f ca="1">+IF($B276="","",SUMIFS(INDIRECT("$K$7:K"&amp;ROW()),INDIRECT("$B$7:B"&amp;ROW()),Tableau15356789101112131625236924[[#This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-413774047</v>
      </c>
      <c r="M276" s="490"/>
    </row>
    <row r="277" spans="1:18" ht="15" x14ac:dyDescent="0.3">
      <c r="A277" s="434" t="s">
        <v>2660</v>
      </c>
      <c r="B277" s="392" t="s">
        <v>2678</v>
      </c>
      <c r="C277" s="487">
        <v>46009</v>
      </c>
      <c r="D27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7" s="489" t="s">
        <v>3133</v>
      </c>
      <c r="F277" s="489" t="s">
        <v>3592</v>
      </c>
      <c r="G277" s="454"/>
      <c r="H277" s="494"/>
      <c r="I277" s="492"/>
      <c r="J277" s="492">
        <v>121200</v>
      </c>
      <c r="K277" s="491">
        <f>+K276+Tableau15356789101112131625236924[[#This Row],[RECETTE]]-Tableau15356789101112131625236924[[#This Row],[DÉPENSE]]</f>
        <v>5939539</v>
      </c>
      <c r="L277" s="403">
        <f ca="1">+IF($B277="","",SUMIFS(INDIRECT("$K$7:K"&amp;ROW()),INDIRECT("$B$7:B"&amp;ROW()),Tableau15356789101112131625236924[[#This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-417727865</v>
      </c>
      <c r="M277" s="490"/>
    </row>
    <row r="278" spans="1:18" ht="15" x14ac:dyDescent="0.3">
      <c r="A278" s="434" t="s">
        <v>2660</v>
      </c>
      <c r="B278" s="392" t="s">
        <v>2678</v>
      </c>
      <c r="C278" s="487">
        <v>46009</v>
      </c>
      <c r="D27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78" s="489" t="s">
        <v>2764</v>
      </c>
      <c r="F278" s="489" t="s">
        <v>3703</v>
      </c>
      <c r="G278" s="454"/>
      <c r="H278" s="494"/>
      <c r="I278" s="492"/>
      <c r="J278" s="492">
        <v>1315</v>
      </c>
      <c r="K278" s="491">
        <f>+K277+Tableau15356789101112131625236924[[#This Row],[RECETTE]]-Tableau15356789101112131625236924[[#This Row],[DÉPENSE]]</f>
        <v>5938224</v>
      </c>
      <c r="L278" s="403">
        <f ca="1">+IF($B278="","",SUMIFS(INDIRECT("$K$7:K"&amp;ROW()),INDIRECT("$B$7:B"&amp;ROW()),Tableau15356789101112131625236924[[#This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-421680368</v>
      </c>
      <c r="M278" s="490"/>
    </row>
    <row r="279" spans="1:18" ht="15" x14ac:dyDescent="0.3">
      <c r="A279" s="434" t="s">
        <v>2660</v>
      </c>
      <c r="B279" s="392" t="s">
        <v>2678</v>
      </c>
      <c r="C279" s="487">
        <v>46009</v>
      </c>
      <c r="D27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279" s="489" t="s">
        <v>2679</v>
      </c>
      <c r="F279" s="489" t="s">
        <v>3704</v>
      </c>
      <c r="G279" s="454"/>
      <c r="H279" s="494"/>
      <c r="I279" s="492">
        <v>3000000</v>
      </c>
      <c r="J279" s="492"/>
      <c r="K279" s="491">
        <f>+K278+Tableau15356789101112131625236924[[#This Row],[RECETTE]]-Tableau15356789101112131625236924[[#This Row],[DÉPENSE]]</f>
        <v>8938224</v>
      </c>
      <c r="L279" s="403">
        <f ca="1">+IF($B279="","",SUMIFS(INDIRECT("$K$7:K"&amp;ROW()),INDIRECT("$B$7:B"&amp;ROW()),Tableau15356789101112131625236924[[#This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-421680368</v>
      </c>
      <c r="M279" s="490"/>
    </row>
    <row r="280" spans="1:18" ht="15" x14ac:dyDescent="0.3">
      <c r="A280" s="434" t="s">
        <v>2660</v>
      </c>
      <c r="B280" s="392" t="s">
        <v>2678</v>
      </c>
      <c r="C280" s="487">
        <v>46009</v>
      </c>
      <c r="D28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0" s="489" t="s">
        <v>2683</v>
      </c>
      <c r="F280" s="489" t="s">
        <v>3705</v>
      </c>
      <c r="G280" s="454"/>
      <c r="H280" s="494" t="s">
        <v>2685</v>
      </c>
      <c r="I280" s="492"/>
      <c r="J280" s="492">
        <v>236845</v>
      </c>
      <c r="K280" s="491">
        <f>+K279+Tableau15356789101112131625236924[[#This Row],[RECETTE]]-Tableau15356789101112131625236924[[#This Row],[DÉPENSE]]</f>
        <v>8701379</v>
      </c>
      <c r="L280" s="403">
        <f ca="1">+IF($B280="","",SUMIFS(INDIRECT("$K$7:K"&amp;ROW()),INDIRECT("$B$7:B"&amp;ROW()),Tableau15356789101112131625236924[[#This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-428396026</v>
      </c>
      <c r="M280" s="490"/>
    </row>
    <row r="281" spans="1:18" ht="15" x14ac:dyDescent="0.3">
      <c r="A281" s="434" t="s">
        <v>2660</v>
      </c>
      <c r="B281" s="392" t="s">
        <v>2678</v>
      </c>
      <c r="C281" s="487">
        <v>46009</v>
      </c>
      <c r="D28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1" s="489" t="s">
        <v>2764</v>
      </c>
      <c r="F281" s="489" t="s">
        <v>3706</v>
      </c>
      <c r="G281" s="454"/>
      <c r="H281" s="494"/>
      <c r="I281" s="492"/>
      <c r="J281" s="492">
        <v>1700</v>
      </c>
      <c r="K281" s="491">
        <f>+K280+Tableau15356789101112131625236924[[#This Row],[RECETTE]]-Tableau15356789101112131625236924[[#This Row],[DÉPENSE]]</f>
        <v>8699679</v>
      </c>
      <c r="L281" s="403">
        <f ca="1">+IF($B281="","",SUMIFS(INDIRECT("$K$7:K"&amp;ROW()),INDIRECT("$B$7:B"&amp;ROW()),Tableau15356789101112131625236924[[#This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-435109984</v>
      </c>
      <c r="M281" s="490"/>
    </row>
    <row r="282" spans="1:18" ht="15" x14ac:dyDescent="0.3">
      <c r="A282" s="434" t="s">
        <v>2660</v>
      </c>
      <c r="B282" s="392" t="s">
        <v>2678</v>
      </c>
      <c r="C282" s="487">
        <v>46009</v>
      </c>
      <c r="D28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2" s="489" t="s">
        <v>2764</v>
      </c>
      <c r="F282" s="489" t="s">
        <v>3707</v>
      </c>
      <c r="G282" s="454"/>
      <c r="H282" s="494"/>
      <c r="I282" s="492"/>
      <c r="J282" s="492">
        <v>1210</v>
      </c>
      <c r="K282" s="491">
        <f>+K281+Tableau15356789101112131625236924[[#This Row],[RECETTE]]-Tableau15356789101112131625236924[[#This Row],[DÉPENSE]]</f>
        <v>8698469</v>
      </c>
      <c r="L282" s="403">
        <f ca="1">+IF($B282="","",SUMIFS(INDIRECT("$K$7:K"&amp;ROW()),INDIRECT("$B$7:B"&amp;ROW()),Tableau15356789101112131625236924[[#This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-441822732</v>
      </c>
      <c r="M282" s="490"/>
    </row>
    <row r="283" spans="1:18" ht="15" x14ac:dyDescent="0.3">
      <c r="A283" s="434" t="s">
        <v>2660</v>
      </c>
      <c r="B283" s="392" t="s">
        <v>2678</v>
      </c>
      <c r="C283" s="487">
        <v>46009</v>
      </c>
      <c r="D28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3" s="489" t="s">
        <v>3015</v>
      </c>
      <c r="F283" s="489" t="s">
        <v>3708</v>
      </c>
      <c r="G283" s="454"/>
      <c r="H283" s="494"/>
      <c r="I283" s="492"/>
      <c r="J283" s="492">
        <v>190000</v>
      </c>
      <c r="K283" s="491">
        <f>+K282+Tableau15356789101112131625236924[[#This Row],[RECETTE]]-Tableau15356789101112131625236924[[#This Row],[DÉPENSE]]</f>
        <v>8508469</v>
      </c>
      <c r="L283" s="403">
        <f ca="1">+IF($B283="","",SUMIFS(INDIRECT("$K$7:K"&amp;ROW()),INDIRECT("$B$7:B"&amp;ROW()),Tableau15356789101112131625236924[[#This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-448345480</v>
      </c>
      <c r="M283" s="490"/>
    </row>
    <row r="284" spans="1:18" s="412" customFormat="1" ht="15" x14ac:dyDescent="0.3">
      <c r="A284" s="536" t="s">
        <v>2660</v>
      </c>
      <c r="B284" s="515" t="s">
        <v>2678</v>
      </c>
      <c r="C284" s="507">
        <v>46009</v>
      </c>
      <c r="D284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4" s="417" t="s">
        <v>2756</v>
      </c>
      <c r="F284" s="417" t="s">
        <v>3709</v>
      </c>
      <c r="G284" s="418"/>
      <c r="H284" s="419"/>
      <c r="I284" s="510"/>
      <c r="J284" s="510">
        <v>15150</v>
      </c>
      <c r="K284" s="421">
        <f>+K283+Tableau15356789101112131625236924[[#This Row],[RECETTE]]-Tableau15356789101112131625236924[[#This Row],[DÉPENSE]]</f>
        <v>8493319</v>
      </c>
      <c r="L284" s="414">
        <f ca="1">+IF($B284="","",SUMIFS(INDIRECT("$K$7:K"&amp;ROW()),INDIRECT("$B$7:B"&amp;ROW()),Tableau15356789101112131625236924[[#This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-454853078</v>
      </c>
      <c r="M284" s="551"/>
      <c r="P284" s="314"/>
      <c r="Q284" s="314"/>
      <c r="R284" s="314"/>
    </row>
    <row r="285" spans="1:18" ht="15" x14ac:dyDescent="0.3">
      <c r="A285" s="434" t="s">
        <v>2660</v>
      </c>
      <c r="B285" s="392" t="s">
        <v>2678</v>
      </c>
      <c r="C285" s="487">
        <v>46009</v>
      </c>
      <c r="D28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5" s="489" t="s">
        <v>2683</v>
      </c>
      <c r="F285" s="489" t="s">
        <v>3710</v>
      </c>
      <c r="G285" s="454"/>
      <c r="H285" s="494" t="s">
        <v>2685</v>
      </c>
      <c r="I285" s="492"/>
      <c r="J285" s="492">
        <v>6060</v>
      </c>
      <c r="K285" s="491">
        <f>+K284+Tableau15356789101112131625236924[[#This Row],[RECETTE]]-Tableau15356789101112131625236924[[#This Row],[DÉPENSE]]</f>
        <v>8487259</v>
      </c>
      <c r="L285" s="403">
        <f ca="1">+IF($B285="","",SUMIFS(INDIRECT("$K$7:K"&amp;ROW()),INDIRECT("$B$7:B"&amp;ROW()),Tableau15356789101112131625236924[[#This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-461354616</v>
      </c>
      <c r="M285" s="490"/>
    </row>
    <row r="286" spans="1:18" ht="15" x14ac:dyDescent="0.3">
      <c r="A286" s="434" t="s">
        <v>2660</v>
      </c>
      <c r="B286" s="392" t="s">
        <v>2678</v>
      </c>
      <c r="C286" s="487">
        <v>46009</v>
      </c>
      <c r="D28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6" s="489" t="s">
        <v>3558</v>
      </c>
      <c r="F286" s="489" t="s">
        <v>3711</v>
      </c>
      <c r="G286" s="454"/>
      <c r="H286" s="494"/>
      <c r="I286" s="492"/>
      <c r="J286" s="492">
        <v>2000</v>
      </c>
      <c r="K286" s="491">
        <f>+K285+Tableau15356789101112131625236924[[#This Row],[RECETTE]]-Tableau15356789101112131625236924[[#This Row],[DÉPENSE]]</f>
        <v>8485259</v>
      </c>
      <c r="L286" s="403">
        <f ca="1">+IF($B286="","",SUMIFS(INDIRECT("$K$7:K"&amp;ROW()),INDIRECT("$B$7:B"&amp;ROW()),Tableau15356789101112131625236924[[#This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-467854154</v>
      </c>
      <c r="M286" s="490"/>
    </row>
    <row r="287" spans="1:18" ht="15" x14ac:dyDescent="0.3">
      <c r="A287" s="434" t="s">
        <v>2660</v>
      </c>
      <c r="B287" s="392" t="s">
        <v>2678</v>
      </c>
      <c r="C287" s="487">
        <v>46009</v>
      </c>
      <c r="D28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7" s="489" t="s">
        <v>2813</v>
      </c>
      <c r="F287" s="489" t="s">
        <v>3712</v>
      </c>
      <c r="G287" s="454"/>
      <c r="H287" s="494"/>
      <c r="I287" s="492"/>
      <c r="J287" s="492">
        <v>13130</v>
      </c>
      <c r="K287" s="491">
        <f>+K286+Tableau15356789101112131625236924[[#This Row],[RECETTE]]-Tableau15356789101112131625236924[[#This Row],[DÉPENSE]]</f>
        <v>8472129</v>
      </c>
      <c r="L287" s="403">
        <f ca="1">+IF($B287="","",SUMIFS(INDIRECT("$K$7:K"&amp;ROW()),INDIRECT("$B$7:B"&amp;ROW()),Tableau15356789101112131625236924[[#This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-474340562</v>
      </c>
      <c r="M287" s="490"/>
    </row>
    <row r="288" spans="1:18" ht="15" x14ac:dyDescent="0.3">
      <c r="A288" s="434" t="s">
        <v>2660</v>
      </c>
      <c r="B288" s="392" t="s">
        <v>2678</v>
      </c>
      <c r="C288" s="487">
        <v>46009</v>
      </c>
      <c r="D28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8" s="489" t="s">
        <v>2764</v>
      </c>
      <c r="F288" s="489" t="s">
        <v>3713</v>
      </c>
      <c r="G288" s="454"/>
      <c r="H288" s="494"/>
      <c r="I288" s="492"/>
      <c r="J288" s="492">
        <v>2500</v>
      </c>
      <c r="K288" s="491">
        <f>+K287+Tableau15356789101112131625236924[[#This Row],[RECETTE]]-Tableau15356789101112131625236924[[#This Row],[DÉPENSE]]</f>
        <v>8469629</v>
      </c>
      <c r="L288" s="403">
        <f ca="1">+IF($B288="","",SUMIFS(INDIRECT("$K$7:K"&amp;ROW()),INDIRECT("$B$7:B"&amp;ROW()),Tableau15356789101112131625236924[[#This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-480824470</v>
      </c>
      <c r="M288" s="490"/>
    </row>
    <row r="289" spans="1:18" s="423" customFormat="1" ht="15" x14ac:dyDescent="0.2">
      <c r="A289" s="532" t="s">
        <v>2660</v>
      </c>
      <c r="B289" s="486" t="s">
        <v>2678</v>
      </c>
      <c r="C289" s="487">
        <v>46009</v>
      </c>
      <c r="D28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89" s="489" t="s">
        <v>2694</v>
      </c>
      <c r="F289" s="489" t="s">
        <v>3714</v>
      </c>
      <c r="G289" s="454"/>
      <c r="H289" s="494"/>
      <c r="I289" s="492"/>
      <c r="J289" s="492">
        <v>70000</v>
      </c>
      <c r="K289" s="491">
        <f>+K288+Tableau15356789101112131625236924[[#This Row],[RECETTE]]-Tableau15356789101112131625236924[[#This Row],[DÉPENSE]]</f>
        <v>8399629</v>
      </c>
      <c r="L289" s="456">
        <f ca="1">+IF($B289="","",SUMIFS(INDIRECT("$K$7:K"&amp;ROW()),INDIRECT("$B$7:B"&amp;ROW()),Tableau15356789101112131625236924[[#This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-487238378</v>
      </c>
      <c r="M289" s="490"/>
      <c r="P289" s="458"/>
      <c r="Q289" s="458"/>
      <c r="R289" s="458"/>
    </row>
    <row r="290" spans="1:18" ht="15" x14ac:dyDescent="0.3">
      <c r="A290" s="434" t="s">
        <v>2660</v>
      </c>
      <c r="B290" s="392" t="s">
        <v>2678</v>
      </c>
      <c r="C290" s="487">
        <v>46010</v>
      </c>
      <c r="D29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0" s="489" t="s">
        <v>3715</v>
      </c>
      <c r="F290" s="489" t="s">
        <v>3716</v>
      </c>
      <c r="G290" s="454"/>
      <c r="H290" s="494"/>
      <c r="I290" s="492"/>
      <c r="J290" s="492">
        <v>10000</v>
      </c>
      <c r="K290" s="491">
        <f>+K289+Tableau15356789101112131625236924[[#This Row],[RECETTE]]-Tableau15356789101112131625236924[[#This Row],[DÉPENSE]]</f>
        <v>8389629</v>
      </c>
      <c r="L290" s="403">
        <f ca="1">+IF($B290="","",SUMIFS(INDIRECT("$K$7:K"&amp;ROW()),INDIRECT("$B$7:B"&amp;ROW()),Tableau15356789101112131625236924[[#This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-493642286</v>
      </c>
      <c r="M290" s="490"/>
    </row>
    <row r="291" spans="1:18" ht="15" x14ac:dyDescent="0.3">
      <c r="A291" s="434" t="s">
        <v>2660</v>
      </c>
      <c r="B291" s="392" t="s">
        <v>2678</v>
      </c>
      <c r="C291" s="487">
        <v>46010</v>
      </c>
      <c r="D29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1" s="489" t="s">
        <v>3717</v>
      </c>
      <c r="F291" s="489" t="s">
        <v>3718</v>
      </c>
      <c r="G291" s="454"/>
      <c r="H291" s="494"/>
      <c r="I291" s="492"/>
      <c r="J291" s="492">
        <f>262100+17100</f>
        <v>279200</v>
      </c>
      <c r="K291" s="491">
        <f>+K290+Tableau15356789101112131625236924[[#This Row],[RECETTE]]-Tableau15356789101112131625236924[[#This Row],[DÉPENSE]]</f>
        <v>8110429</v>
      </c>
      <c r="L291" s="403">
        <f ca="1">+IF($B291="","",SUMIFS(INDIRECT("$K$7:K"&amp;ROW()),INDIRECT("$B$7:B"&amp;ROW()),Tableau15356789101112131625236924[[#This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-499766994</v>
      </c>
      <c r="M291" s="490"/>
    </row>
    <row r="292" spans="1:18" ht="15" x14ac:dyDescent="0.3">
      <c r="A292" s="434" t="s">
        <v>2660</v>
      </c>
      <c r="B292" s="392" t="s">
        <v>2678</v>
      </c>
      <c r="C292" s="487">
        <v>46010</v>
      </c>
      <c r="D29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2" s="489" t="s">
        <v>2852</v>
      </c>
      <c r="F292" s="489" t="s">
        <v>3647</v>
      </c>
      <c r="G292" s="454"/>
      <c r="H292" s="494"/>
      <c r="I292" s="492"/>
      <c r="J292" s="492">
        <v>20000</v>
      </c>
      <c r="K292" s="491">
        <f>+K291+Tableau15356789101112131625236924[[#This Row],[RECETTE]]-Tableau15356789101112131625236924[[#This Row],[DÉPENSE]]</f>
        <v>8090429</v>
      </c>
      <c r="L292" s="403">
        <f ca="1">+IF($B292="","",SUMIFS(INDIRECT("$K$7:K"&amp;ROW()),INDIRECT("$B$7:B"&amp;ROW()),Tableau15356789101112131625236924[[#This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-505871702</v>
      </c>
      <c r="M292" s="490"/>
    </row>
    <row r="293" spans="1:18" ht="15" x14ac:dyDescent="0.3">
      <c r="A293" s="434" t="s">
        <v>2660</v>
      </c>
      <c r="B293" s="392" t="s">
        <v>2678</v>
      </c>
      <c r="C293" s="487">
        <v>46010</v>
      </c>
      <c r="D29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3" s="489" t="s">
        <v>2686</v>
      </c>
      <c r="F293" s="489" t="s">
        <v>3430</v>
      </c>
      <c r="G293" s="454"/>
      <c r="H293" s="494" t="s">
        <v>2707</v>
      </c>
      <c r="I293" s="492"/>
      <c r="J293" s="492">
        <v>10100</v>
      </c>
      <c r="K293" s="491">
        <f>+K292+Tableau15356789101112131625236924[[#This Row],[RECETTE]]-Tableau15356789101112131625236924[[#This Row],[DÉPENSE]]</f>
        <v>8080329</v>
      </c>
      <c r="L293" s="403">
        <f ca="1">+IF($B293="","",SUMIFS(INDIRECT("$K$7:K"&amp;ROW()),INDIRECT("$B$7:B"&amp;ROW()),Tableau15356789101112131625236924[[#This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-511966310</v>
      </c>
      <c r="M293" s="490"/>
    </row>
    <row r="294" spans="1:18" ht="15" x14ac:dyDescent="0.3">
      <c r="A294" s="434" t="s">
        <v>2660</v>
      </c>
      <c r="B294" s="392" t="s">
        <v>2678</v>
      </c>
      <c r="C294" s="487">
        <v>46010</v>
      </c>
      <c r="D29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4" s="489" t="s">
        <v>3719</v>
      </c>
      <c r="F294" s="489" t="s">
        <v>3592</v>
      </c>
      <c r="G294" s="454"/>
      <c r="H294" s="494"/>
      <c r="I294" s="492"/>
      <c r="J294" s="492">
        <v>159075</v>
      </c>
      <c r="K294" s="491">
        <f>+K293+Tableau15356789101112131625236924[[#This Row],[RECETTE]]-Tableau15356789101112131625236924[[#This Row],[DÉPENSE]]</f>
        <v>7921254</v>
      </c>
      <c r="L294" s="403">
        <f ca="1">+IF($B294="","",SUMIFS(INDIRECT("$K$7:K"&amp;ROW()),INDIRECT("$B$7:B"&amp;ROW()),Tableau15356789101112131625236924[[#This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-517901843</v>
      </c>
      <c r="M294" s="490"/>
    </row>
    <row r="295" spans="1:18" ht="15" x14ac:dyDescent="0.3">
      <c r="A295" s="434" t="s">
        <v>2660</v>
      </c>
      <c r="B295" s="392" t="s">
        <v>2678</v>
      </c>
      <c r="C295" s="487">
        <v>46010</v>
      </c>
      <c r="D29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5" s="489" t="s">
        <v>2694</v>
      </c>
      <c r="F295" s="489" t="s">
        <v>3720</v>
      </c>
      <c r="G295" s="454"/>
      <c r="H295" s="494"/>
      <c r="I295" s="492"/>
      <c r="J295" s="492">
        <v>250000</v>
      </c>
      <c r="K295" s="491">
        <f>+K294+Tableau15356789101112131625236924[[#This Row],[RECETTE]]-Tableau15356789101112131625236924[[#This Row],[DÉPENSE]]</f>
        <v>7671254</v>
      </c>
      <c r="L295" s="403">
        <f ca="1">+IF($B295="","",SUMIFS(INDIRECT("$K$7:K"&amp;ROW()),INDIRECT("$B$7:B"&amp;ROW()),Tableau15356789101112131625236924[[#This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-523587376</v>
      </c>
      <c r="M295" s="490"/>
    </row>
    <row r="296" spans="1:18" ht="15" x14ac:dyDescent="0.3">
      <c r="A296" s="434" t="s">
        <v>2660</v>
      </c>
      <c r="B296" s="392" t="s">
        <v>2678</v>
      </c>
      <c r="C296" s="487">
        <v>46010</v>
      </c>
      <c r="D29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6" s="489" t="s">
        <v>2696</v>
      </c>
      <c r="F296" s="489" t="s">
        <v>3721</v>
      </c>
      <c r="G296" s="454"/>
      <c r="H296" s="494" t="s">
        <v>2698</v>
      </c>
      <c r="I296" s="492"/>
      <c r="J296" s="492">
        <v>5050</v>
      </c>
      <c r="K296" s="491">
        <f>+K295+Tableau15356789101112131625236924[[#This Row],[RECETTE]]-Tableau15356789101112131625236924[[#This Row],[DÉPENSE]]</f>
        <v>7666204</v>
      </c>
      <c r="L296" s="403">
        <f ca="1">+IF($B296="","",SUMIFS(INDIRECT("$K$7:K"&amp;ROW()),INDIRECT("$B$7:B"&amp;ROW()),Tableau15356789101112131625236924[[#This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-529267859</v>
      </c>
      <c r="M296" s="490"/>
    </row>
    <row r="297" spans="1:18" ht="15" x14ac:dyDescent="0.3">
      <c r="A297" s="434" t="s">
        <v>2660</v>
      </c>
      <c r="B297" s="392" t="s">
        <v>2678</v>
      </c>
      <c r="C297" s="487">
        <v>46010</v>
      </c>
      <c r="D29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7" s="489" t="s">
        <v>2683</v>
      </c>
      <c r="F297" s="489" t="s">
        <v>3722</v>
      </c>
      <c r="G297" s="454"/>
      <c r="H297" s="494" t="s">
        <v>2685</v>
      </c>
      <c r="I297" s="492"/>
      <c r="J297" s="492">
        <v>40400</v>
      </c>
      <c r="K297" s="491">
        <f>+K296+Tableau15356789101112131625236924[[#This Row],[RECETTE]]-Tableau15356789101112131625236924[[#This Row],[DÉPENSE]]</f>
        <v>7625804</v>
      </c>
      <c r="L297" s="403">
        <f ca="1">+IF($B297="","",SUMIFS(INDIRECT("$K$7:K"&amp;ROW()),INDIRECT("$B$7:B"&amp;ROW()),Tableau15356789101112131625236924[[#This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-534907942</v>
      </c>
      <c r="M297" s="490"/>
    </row>
    <row r="298" spans="1:18" ht="15" x14ac:dyDescent="0.3">
      <c r="A298" s="434" t="s">
        <v>2660</v>
      </c>
      <c r="B298" s="392" t="s">
        <v>2678</v>
      </c>
      <c r="C298" s="487">
        <v>46010</v>
      </c>
      <c r="D29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8" s="489" t="s">
        <v>2683</v>
      </c>
      <c r="F298" s="489" t="s">
        <v>3723</v>
      </c>
      <c r="G298" s="454"/>
      <c r="H298" s="494" t="s">
        <v>2685</v>
      </c>
      <c r="I298" s="492"/>
      <c r="J298" s="492">
        <v>58580</v>
      </c>
      <c r="K298" s="491">
        <f>+K297+Tableau15356789101112131625236924[[#This Row],[RECETTE]]-Tableau15356789101112131625236924[[#This Row],[DÉPENSE]]</f>
        <v>7567224</v>
      </c>
      <c r="L298" s="403">
        <f ca="1">+IF($B298="","",SUMIFS(INDIRECT("$K$7:K"&amp;ROW()),INDIRECT("$B$7:B"&amp;ROW()),Tableau15356789101112131625236924[[#This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-540489445</v>
      </c>
      <c r="M298" s="490"/>
    </row>
    <row r="299" spans="1:18" ht="15" x14ac:dyDescent="0.3">
      <c r="A299" s="434" t="s">
        <v>2660</v>
      </c>
      <c r="B299" s="392" t="s">
        <v>2678</v>
      </c>
      <c r="C299" s="487">
        <v>46010</v>
      </c>
      <c r="D29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299" s="489" t="s">
        <v>2694</v>
      </c>
      <c r="F299" s="489" t="s">
        <v>3724</v>
      </c>
      <c r="G299" s="454"/>
      <c r="H299" s="494"/>
      <c r="I299" s="492"/>
      <c r="J299" s="492">
        <v>120000</v>
      </c>
      <c r="K299" s="491">
        <f>+K298+Tableau15356789101112131625236924[[#This Row],[RECETTE]]-Tableau15356789101112131625236924[[#This Row],[DÉPENSE]]</f>
        <v>7447224</v>
      </c>
      <c r="L299" s="403">
        <f ca="1">+IF($B299="","",SUMIFS(INDIRECT("$K$7:K"&amp;ROW()),INDIRECT("$B$7:B"&amp;ROW()),Tableau15356789101112131625236924[[#This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-545950948</v>
      </c>
      <c r="M299" s="490"/>
    </row>
    <row r="300" spans="1:18" ht="15" x14ac:dyDescent="0.3">
      <c r="A300" s="434" t="s">
        <v>2660</v>
      </c>
      <c r="B300" s="392" t="s">
        <v>2678</v>
      </c>
      <c r="C300" s="487">
        <v>46010</v>
      </c>
      <c r="D30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0" s="489" t="s">
        <v>2694</v>
      </c>
      <c r="F300" s="489" t="s">
        <v>3725</v>
      </c>
      <c r="G300" s="454"/>
      <c r="H300" s="494"/>
      <c r="I300" s="492"/>
      <c r="J300" s="492">
        <v>130000</v>
      </c>
      <c r="K300" s="491">
        <f>+K299+Tableau15356789101112131625236924[[#This Row],[RECETTE]]-Tableau15356789101112131625236924[[#This Row],[DÉPENSE]]</f>
        <v>7317224</v>
      </c>
      <c r="L300" s="403">
        <f ca="1">+IF($B300="","",SUMIFS(INDIRECT("$K$7:K"&amp;ROW()),INDIRECT("$B$7:B"&amp;ROW()),Tableau15356789101112131625236924[[#This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-551282451</v>
      </c>
      <c r="M300" s="490"/>
    </row>
    <row r="301" spans="1:18" ht="15" x14ac:dyDescent="0.3">
      <c r="A301" s="434" t="s">
        <v>2660</v>
      </c>
      <c r="B301" s="392" t="s">
        <v>2678</v>
      </c>
      <c r="C301" s="487">
        <v>46010</v>
      </c>
      <c r="D30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1" s="489" t="s">
        <v>2694</v>
      </c>
      <c r="F301" s="489" t="s">
        <v>3726</v>
      </c>
      <c r="G301" s="454"/>
      <c r="H301" s="494"/>
      <c r="I301" s="492"/>
      <c r="J301" s="492">
        <v>10000</v>
      </c>
      <c r="K301" s="491">
        <f>+K300+Tableau15356789101112131625236924[[#This Row],[RECETTE]]-Tableau15356789101112131625236924[[#This Row],[DÉPENSE]]</f>
        <v>7307224</v>
      </c>
      <c r="L301" s="403">
        <f ca="1">+IF($B301="","",SUMIFS(INDIRECT("$K$7:K"&amp;ROW()),INDIRECT("$B$7:B"&amp;ROW()),Tableau15356789101112131625236924[[#This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-556603954</v>
      </c>
      <c r="M301" s="490"/>
    </row>
    <row r="302" spans="1:18" ht="15" x14ac:dyDescent="0.3">
      <c r="A302" s="434" t="s">
        <v>2660</v>
      </c>
      <c r="B302" s="392" t="s">
        <v>2678</v>
      </c>
      <c r="C302" s="487">
        <v>46010</v>
      </c>
      <c r="D30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2" s="489" t="s">
        <v>3342</v>
      </c>
      <c r="F302" s="489" t="s">
        <v>3727</v>
      </c>
      <c r="G302" s="454"/>
      <c r="H302" s="494"/>
      <c r="I302" s="492"/>
      <c r="J302" s="492">
        <f>650000+6500</f>
        <v>656500</v>
      </c>
      <c r="K302" s="491">
        <f>+K301+Tableau15356789101112131625236924[[#This Row],[RECETTE]]-Tableau15356789101112131625236924[[#This Row],[DÉPENSE]]</f>
        <v>6650724</v>
      </c>
      <c r="L302" s="403">
        <f ca="1">+IF($B302="","",SUMIFS(INDIRECT("$K$7:K"&amp;ROW()),INDIRECT("$B$7:B"&amp;ROW()),Tableau15356789101112131625236924[[#This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-561268957</v>
      </c>
      <c r="M302" s="490"/>
    </row>
    <row r="303" spans="1:18" ht="15" x14ac:dyDescent="0.3">
      <c r="A303" s="434" t="s">
        <v>2660</v>
      </c>
      <c r="B303" s="392" t="s">
        <v>2678</v>
      </c>
      <c r="C303" s="487">
        <v>46010</v>
      </c>
      <c r="D30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3" s="489" t="s">
        <v>3717</v>
      </c>
      <c r="F303" s="489" t="s">
        <v>3728</v>
      </c>
      <c r="G303" s="454"/>
      <c r="H303" s="494"/>
      <c r="I303" s="492"/>
      <c r="J303" s="492">
        <v>34340</v>
      </c>
      <c r="K303" s="491">
        <f>+K302+Tableau15356789101112131625236924[[#This Row],[RECETTE]]-Tableau15356789101112131625236924[[#This Row],[DÉPENSE]]</f>
        <v>6616384</v>
      </c>
      <c r="L303" s="403">
        <f ca="1">+IF($B303="","",SUMIFS(INDIRECT("$K$7:K"&amp;ROW()),INDIRECT("$B$7:B"&amp;ROW()),Tableau15356789101112131625236924[[#This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-565899620</v>
      </c>
      <c r="M303" s="490"/>
    </row>
    <row r="304" spans="1:18" ht="15" x14ac:dyDescent="0.3">
      <c r="A304" s="434" t="s">
        <v>2660</v>
      </c>
      <c r="B304" s="392" t="s">
        <v>2678</v>
      </c>
      <c r="C304" s="487">
        <v>46011</v>
      </c>
      <c r="D30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4" s="489" t="s">
        <v>2686</v>
      </c>
      <c r="F304" s="489" t="s">
        <v>3430</v>
      </c>
      <c r="G304" s="454"/>
      <c r="H304" s="494" t="s">
        <v>2707</v>
      </c>
      <c r="I304" s="492"/>
      <c r="J304" s="492">
        <v>10100</v>
      </c>
      <c r="K304" s="491">
        <f>+K303+Tableau15356789101112131625236924[[#This Row],[RECETTE]]-Tableau15356789101112131625236924[[#This Row],[DÉPENSE]]</f>
        <v>6606284</v>
      </c>
      <c r="L304" s="403">
        <f ca="1">+IF($B304="","",SUMIFS(INDIRECT("$K$7:K"&amp;ROW()),INDIRECT("$B$7:B"&amp;ROW()),Tableau15356789101112131625236924[[#This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-570520183</v>
      </c>
      <c r="M304" s="490"/>
    </row>
    <row r="305" spans="1:18" ht="15" x14ac:dyDescent="0.3">
      <c r="A305" s="434" t="s">
        <v>2660</v>
      </c>
      <c r="B305" s="392" t="s">
        <v>2678</v>
      </c>
      <c r="C305" s="487">
        <v>46011</v>
      </c>
      <c r="D30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5" s="489" t="s">
        <v>3715</v>
      </c>
      <c r="F305" s="489" t="s">
        <v>3711</v>
      </c>
      <c r="G305" s="454"/>
      <c r="H305" s="494"/>
      <c r="I305" s="492"/>
      <c r="J305" s="492">
        <v>3000</v>
      </c>
      <c r="K305" s="491">
        <f>+K304+Tableau15356789101112131625236924[[#This Row],[RECETTE]]-Tableau15356789101112131625236924[[#This Row],[DÉPENSE]]</f>
        <v>6603284</v>
      </c>
      <c r="L305" s="403">
        <f ca="1">+IF($B305="","",SUMIFS(INDIRECT("$K$7:K"&amp;ROW()),INDIRECT("$B$7:B"&amp;ROW()),Tableau15356789101112131625236924[[#This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-575137746</v>
      </c>
      <c r="M305" s="490"/>
    </row>
    <row r="306" spans="1:18" s="412" customFormat="1" ht="15" x14ac:dyDescent="0.3">
      <c r="A306" s="536" t="s">
        <v>2660</v>
      </c>
      <c r="B306" s="515" t="s">
        <v>2678</v>
      </c>
      <c r="C306" s="507">
        <v>46011</v>
      </c>
      <c r="D306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6" s="417" t="s">
        <v>2714</v>
      </c>
      <c r="F306" s="417" t="s">
        <v>3729</v>
      </c>
      <c r="G306" s="418"/>
      <c r="H306" s="419"/>
      <c r="I306" s="510"/>
      <c r="J306" s="510">
        <v>5000</v>
      </c>
      <c r="K306" s="421">
        <f>+K305+Tableau15356789101112131625236924[[#This Row],[RECETTE]]-Tableau15356789101112131625236924[[#This Row],[DÉPENSE]]</f>
        <v>6598284</v>
      </c>
      <c r="L306" s="414">
        <f ca="1">+IF($B306="","",SUMIFS(INDIRECT("$K$7:K"&amp;ROW()),INDIRECT("$B$7:B"&amp;ROW()),Tableau15356789101112131625236924[[#This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-579750309</v>
      </c>
      <c r="M306" s="551"/>
      <c r="P306" s="314"/>
      <c r="Q306" s="314"/>
      <c r="R306" s="314"/>
    </row>
    <row r="307" spans="1:18" ht="15" x14ac:dyDescent="0.3">
      <c r="A307" s="434" t="s">
        <v>2660</v>
      </c>
      <c r="B307" s="392" t="s">
        <v>2678</v>
      </c>
      <c r="C307" s="487">
        <v>46011</v>
      </c>
      <c r="D30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7" s="489" t="s">
        <v>2764</v>
      </c>
      <c r="F307" s="489" t="s">
        <v>3730</v>
      </c>
      <c r="G307" s="454"/>
      <c r="H307" s="494"/>
      <c r="I307" s="492"/>
      <c r="J307" s="492">
        <f>20000-9400</f>
        <v>10600</v>
      </c>
      <c r="K307" s="491">
        <f>+K306+Tableau15356789101112131625236924[[#This Row],[RECETTE]]-Tableau15356789101112131625236924[[#This Row],[DÉPENSE]]</f>
        <v>6587684</v>
      </c>
      <c r="L307" s="403">
        <f ca="1">+IF($B307="","",SUMIFS(INDIRECT("$K$7:K"&amp;ROW()),INDIRECT("$B$7:B"&amp;ROW()),Tableau15356789101112131625236924[[#This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-584352272</v>
      </c>
      <c r="M307" s="490"/>
    </row>
    <row r="308" spans="1:18" ht="15" x14ac:dyDescent="0.3">
      <c r="A308" s="434" t="s">
        <v>2660</v>
      </c>
      <c r="B308" s="392" t="s">
        <v>2678</v>
      </c>
      <c r="C308" s="487">
        <v>46011</v>
      </c>
      <c r="D30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8" s="489" t="s">
        <v>2839</v>
      </c>
      <c r="F308" s="489" t="s">
        <v>3731</v>
      </c>
      <c r="G308" s="454"/>
      <c r="H308" s="494"/>
      <c r="I308" s="492"/>
      <c r="J308" s="492">
        <v>60600</v>
      </c>
      <c r="K308" s="491">
        <f>+K307+Tableau15356789101112131625236924[[#This Row],[RECETTE]]-Tableau15356789101112131625236924[[#This Row],[DÉPENSE]]</f>
        <v>6527084</v>
      </c>
      <c r="L308" s="403">
        <f ca="1">+IF($B308="","",SUMIFS(INDIRECT("$K$7:K"&amp;ROW()),INDIRECT("$B$7:B"&amp;ROW()),Tableau15356789101112131625236924[[#This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-588893635</v>
      </c>
      <c r="M308" s="490"/>
    </row>
    <row r="309" spans="1:18" ht="15" x14ac:dyDescent="0.3">
      <c r="A309" s="434" t="s">
        <v>2660</v>
      </c>
      <c r="B309" s="392" t="s">
        <v>2678</v>
      </c>
      <c r="C309" s="487">
        <v>46011</v>
      </c>
      <c r="D30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09" s="489" t="s">
        <v>2764</v>
      </c>
      <c r="F309" s="489" t="s">
        <v>3732</v>
      </c>
      <c r="G309" s="454"/>
      <c r="H309" s="494"/>
      <c r="I309" s="492"/>
      <c r="J309" s="492">
        <v>4040</v>
      </c>
      <c r="K309" s="491">
        <f>+K308+Tableau15356789101112131625236924[[#This Row],[RECETTE]]-Tableau15356789101112131625236924[[#This Row],[DÉPENSE]]</f>
        <v>6523044</v>
      </c>
      <c r="L309" s="403">
        <f ca="1">+IF($B309="","",SUMIFS(INDIRECT("$K$7:K"&amp;ROW()),INDIRECT("$B$7:B"&amp;ROW()),Tableau15356789101112131625236924[[#This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-593430958</v>
      </c>
      <c r="M309" s="490"/>
    </row>
    <row r="310" spans="1:18" ht="15" x14ac:dyDescent="0.3">
      <c r="A310" s="434" t="s">
        <v>2660</v>
      </c>
      <c r="B310" s="392" t="s">
        <v>2678</v>
      </c>
      <c r="C310" s="487">
        <v>46011</v>
      </c>
      <c r="D31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0" s="489" t="s">
        <v>2683</v>
      </c>
      <c r="F310" s="489" t="s">
        <v>3733</v>
      </c>
      <c r="G310" s="454"/>
      <c r="H310" s="494" t="s">
        <v>2685</v>
      </c>
      <c r="I310" s="492"/>
      <c r="J310" s="492">
        <v>234320</v>
      </c>
      <c r="K310" s="491">
        <f>+K309+Tableau15356789101112131625236924[[#This Row],[RECETTE]]-Tableau15356789101112131625236924[[#This Row],[DÉPENSE]]</f>
        <v>6288724</v>
      </c>
      <c r="L310" s="403">
        <f ca="1">+IF($B310="","",SUMIFS(INDIRECT("$K$7:K"&amp;ROW()),INDIRECT("$B$7:B"&amp;ROW()),Tableau15356789101112131625236924[[#This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-597733961</v>
      </c>
      <c r="M310" s="490"/>
    </row>
    <row r="311" spans="1:18" ht="15" x14ac:dyDescent="0.3">
      <c r="A311" s="434" t="s">
        <v>2660</v>
      </c>
      <c r="B311" s="392" t="s">
        <v>2678</v>
      </c>
      <c r="C311" s="487">
        <v>46011</v>
      </c>
      <c r="D31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1" s="489" t="s">
        <v>2868</v>
      </c>
      <c r="F311" s="489" t="s">
        <v>3734</v>
      </c>
      <c r="G311" s="454"/>
      <c r="H311" s="494" t="s">
        <v>3392</v>
      </c>
      <c r="I311" s="492"/>
      <c r="J311" s="492">
        <v>121200</v>
      </c>
      <c r="K311" s="491">
        <f>+K310+Tableau15356789101112131625236924[[#This Row],[RECETTE]]-Tableau15356789101112131625236924[[#This Row],[DÉPENSE]]</f>
        <v>6167524</v>
      </c>
      <c r="L311" s="403">
        <f ca="1">+IF($B311="","",SUMIFS(INDIRECT("$K$7:K"&amp;ROW()),INDIRECT("$B$7:B"&amp;ROW()),Tableau15356789101112131625236924[[#This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-601915764</v>
      </c>
      <c r="M311" s="490"/>
    </row>
    <row r="312" spans="1:18" s="412" customFormat="1" ht="15" x14ac:dyDescent="0.3">
      <c r="A312" s="536" t="s">
        <v>2660</v>
      </c>
      <c r="B312" s="515" t="s">
        <v>2678</v>
      </c>
      <c r="C312" s="487">
        <v>46011</v>
      </c>
      <c r="D31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2" s="489" t="s">
        <v>2727</v>
      </c>
      <c r="F312" s="489" t="s">
        <v>2879</v>
      </c>
      <c r="G312" s="454"/>
      <c r="H312" s="494" t="s">
        <v>2729</v>
      </c>
      <c r="I312" s="492"/>
      <c r="J312" s="492">
        <v>20200</v>
      </c>
      <c r="K312" s="491">
        <f>+K311+Tableau15356789101112131625236924[[#This Row],[RECETTE]]-Tableau15356789101112131625236924[[#This Row],[DÉPENSE]]</f>
        <v>6147324</v>
      </c>
      <c r="L312" s="414">
        <f ca="1">+IF($B312="","",SUMIFS(INDIRECT("$K$7:K"&amp;ROW()),INDIRECT("$B$7:B"&amp;ROW()),Tableau15356789101112131625236924[[#This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-606077367</v>
      </c>
      <c r="M312" s="490"/>
      <c r="P312" s="314"/>
      <c r="Q312" s="314"/>
      <c r="R312" s="314"/>
    </row>
    <row r="313" spans="1:18" s="412" customFormat="1" ht="15" x14ac:dyDescent="0.3">
      <c r="A313" s="536" t="s">
        <v>2660</v>
      </c>
      <c r="B313" s="515" t="s">
        <v>2678</v>
      </c>
      <c r="C313" s="487">
        <v>46011</v>
      </c>
      <c r="D31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3" s="489" t="s">
        <v>3173</v>
      </c>
      <c r="F313" s="489" t="s">
        <v>3735</v>
      </c>
      <c r="G313" s="454"/>
      <c r="H313" s="494"/>
      <c r="I313" s="492"/>
      <c r="J313" s="492">
        <v>5250</v>
      </c>
      <c r="K313" s="491">
        <f>+K312+Tableau15356789101112131625236924[[#This Row],[RECETTE]]-Tableau15356789101112131625236924[[#This Row],[DÉPENSE]]</f>
        <v>6142074</v>
      </c>
      <c r="L313" s="414">
        <f ca="1">+IF($B313="","",SUMIFS(INDIRECT("$K$7:K"&amp;ROW()),INDIRECT("$B$7:B"&amp;ROW()),Tableau15356789101112131625236924[[#This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>-610233720</v>
      </c>
      <c r="M313" s="490"/>
      <c r="P313" s="314"/>
      <c r="Q313" s="314"/>
      <c r="R313" s="314"/>
    </row>
    <row r="314" spans="1:18" s="412" customFormat="1" ht="15" x14ac:dyDescent="0.3">
      <c r="A314" s="536"/>
      <c r="B314" s="515"/>
      <c r="C314" s="487">
        <v>46011</v>
      </c>
      <c r="D31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4" s="489" t="s">
        <v>2714</v>
      </c>
      <c r="F314" s="489" t="s">
        <v>3736</v>
      </c>
      <c r="G314" s="454"/>
      <c r="H314" s="494"/>
      <c r="I314" s="492"/>
      <c r="J314" s="492">
        <v>5000</v>
      </c>
      <c r="K314" s="491">
        <f>+K313+Tableau15356789101112131625236924[[#This Row],[RECETTE]]-Tableau15356789101112131625236924[[#This Row],[DÉPENSE]]</f>
        <v>6137074</v>
      </c>
      <c r="L314" s="414" t="str">
        <f ca="1">+IF($B314="","",SUMIFS(INDIRECT("$K$7:K"&amp;ROW()),INDIRECT("$B$7:B"&amp;ROW()),Tableau15356789101112131625236924[[#This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4" s="490"/>
      <c r="P314" s="314"/>
      <c r="Q314" s="314"/>
      <c r="R314" s="314"/>
    </row>
    <row r="315" spans="1:18" ht="15" x14ac:dyDescent="0.3">
      <c r="A315" s="434"/>
      <c r="B315" s="392"/>
      <c r="C315" s="487">
        <v>46011</v>
      </c>
      <c r="D31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5" s="489" t="s">
        <v>2714</v>
      </c>
      <c r="F315" s="489" t="s">
        <v>3737</v>
      </c>
      <c r="G315" s="454"/>
      <c r="H315" s="494"/>
      <c r="I315" s="492"/>
      <c r="J315" s="492">
        <v>12600</v>
      </c>
      <c r="K315" s="491">
        <f>+K314+Tableau15356789101112131625236924[[#This Row],[RECETTE]]-Tableau15356789101112131625236924[[#This Row],[DÉPENSE]]</f>
        <v>6124474</v>
      </c>
      <c r="L315" s="403" t="str">
        <f ca="1">+IF($B315="","",SUMIFS(INDIRECT("$K$7:K"&amp;ROW()),INDIRECT("$B$7:B"&amp;ROW()),Tableau15356789101112131625236924[[#This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5" s="490"/>
    </row>
    <row r="316" spans="1:18" ht="15" x14ac:dyDescent="0.3">
      <c r="A316" s="434"/>
      <c r="B316" s="392"/>
      <c r="C316" s="487">
        <v>46011</v>
      </c>
      <c r="D31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316" s="489" t="s">
        <v>2679</v>
      </c>
      <c r="F316" s="489" t="s">
        <v>3197</v>
      </c>
      <c r="G316" s="454"/>
      <c r="H316" s="494"/>
      <c r="I316" s="492">
        <v>2000000</v>
      </c>
      <c r="J316" s="492"/>
      <c r="K316" s="491">
        <f>+K315+Tableau15356789101112131625236924[[#This Row],[RECETTE]]-Tableau15356789101112131625236924[[#This Row],[DÉPENSE]]</f>
        <v>8124474</v>
      </c>
      <c r="L316" s="403" t="str">
        <f ca="1">+IF($B316="","",SUMIFS(INDIRECT("$K$7:K"&amp;ROW()),INDIRECT("$B$7:B"&amp;ROW()),Tableau15356789101112131625236924[[#This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6" s="490"/>
    </row>
    <row r="317" spans="1:18" s="539" customFormat="1" ht="15" x14ac:dyDescent="0.2">
      <c r="A317" s="434"/>
      <c r="B317" s="392"/>
      <c r="C317" s="487">
        <v>46012</v>
      </c>
      <c r="D31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7" s="489" t="s">
        <v>2820</v>
      </c>
      <c r="F317" s="489" t="s">
        <v>2706</v>
      </c>
      <c r="G317" s="454"/>
      <c r="H317" s="494" t="s">
        <v>2687</v>
      </c>
      <c r="I317" s="492"/>
      <c r="J317" s="492">
        <v>10100</v>
      </c>
      <c r="K317" s="491">
        <f>+K316+Tableau15356789101112131625236924[[#This Row],[RECETTE]]-Tableau15356789101112131625236924[[#This Row],[DÉPENSE]]</f>
        <v>8114374</v>
      </c>
      <c r="L317" s="403" t="str">
        <f ca="1">+IF($B317="","",SUMIFS(INDIRECT("$K$7:K"&amp;ROW()),INDIRECT("$B$7:B"&amp;ROW()),Tableau15356789101112131625236924[[#This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7" s="490"/>
      <c r="P317" s="540"/>
      <c r="Q317" s="540"/>
      <c r="R317" s="540"/>
    </row>
    <row r="318" spans="1:18" ht="15" x14ac:dyDescent="0.3">
      <c r="A318" s="434"/>
      <c r="B318" s="392"/>
      <c r="C318" s="487">
        <v>46012</v>
      </c>
      <c r="D31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8" s="489" t="s">
        <v>2727</v>
      </c>
      <c r="F318" s="489" t="s">
        <v>3697</v>
      </c>
      <c r="G318" s="454"/>
      <c r="H318" s="494" t="s">
        <v>3392</v>
      </c>
      <c r="I318" s="492"/>
      <c r="J318" s="492">
        <v>4040</v>
      </c>
      <c r="K318" s="491">
        <f>+K317+Tableau15356789101112131625236924[[#This Row],[RECETTE]]-Tableau15356789101112131625236924[[#This Row],[DÉPENSE]]</f>
        <v>8110334</v>
      </c>
      <c r="L318" s="403" t="str">
        <f ca="1">+IF($B318="","",SUMIFS(INDIRECT("$K$7:K"&amp;ROW()),INDIRECT("$B$7:B"&amp;ROW()),Tableau15356789101112131625236924[[#This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8" s="490"/>
    </row>
    <row r="319" spans="1:18" ht="15" x14ac:dyDescent="0.3">
      <c r="A319" s="434"/>
      <c r="B319" s="392"/>
      <c r="C319" s="487">
        <v>46012</v>
      </c>
      <c r="D31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19" s="489" t="s">
        <v>2868</v>
      </c>
      <c r="F319" s="489" t="s">
        <v>3738</v>
      </c>
      <c r="G319" s="454"/>
      <c r="H319" s="494"/>
      <c r="I319" s="492"/>
      <c r="J319" s="492">
        <v>5000</v>
      </c>
      <c r="K319" s="491">
        <f>+K318+Tableau15356789101112131625236924[[#This Row],[RECETTE]]-Tableau15356789101112131625236924[[#This Row],[DÉPENSE]]</f>
        <v>8105334</v>
      </c>
      <c r="L319" s="403" t="str">
        <f ca="1">+IF($B319="","",SUMIFS(INDIRECT("$K$7:K"&amp;ROW()),INDIRECT("$B$7:B"&amp;ROW()),Tableau15356789101112131625236924[[#This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19" s="490"/>
    </row>
    <row r="320" spans="1:18" s="412" customFormat="1" ht="15" x14ac:dyDescent="0.3">
      <c r="A320" s="536"/>
      <c r="B320" s="515"/>
      <c r="C320" s="507">
        <v>46012</v>
      </c>
      <c r="D320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0" s="417" t="s">
        <v>2714</v>
      </c>
      <c r="F320" s="417" t="s">
        <v>3739</v>
      </c>
      <c r="G320" s="418"/>
      <c r="H320" s="419" t="s">
        <v>3392</v>
      </c>
      <c r="I320" s="510"/>
      <c r="J320" s="510">
        <v>62000</v>
      </c>
      <c r="K320" s="421">
        <f>+K319+Tableau15356789101112131625236924[[#This Row],[RECETTE]]-Tableau15356789101112131625236924[[#This Row],[DÉPENSE]]</f>
        <v>8043334</v>
      </c>
      <c r="L320" s="414" t="str">
        <f ca="1">+IF($B320="","",SUMIFS(INDIRECT("$K$7:K"&amp;ROW()),INDIRECT("$B$7:B"&amp;ROW()),Tableau15356789101112131625236924[[#This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0" s="551"/>
      <c r="P320" s="314"/>
      <c r="Q320" s="314"/>
      <c r="R320" s="314"/>
    </row>
    <row r="321" spans="1:18" s="539" customFormat="1" ht="15" x14ac:dyDescent="0.2">
      <c r="A321" s="434"/>
      <c r="B321" s="392"/>
      <c r="C321" s="487">
        <v>46013</v>
      </c>
      <c r="D32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1" s="489" t="s">
        <v>2694</v>
      </c>
      <c r="F321" s="489" t="s">
        <v>3557</v>
      </c>
      <c r="G321" s="454"/>
      <c r="H321" s="494"/>
      <c r="I321" s="492"/>
      <c r="J321" s="492">
        <v>5000</v>
      </c>
      <c r="K321" s="491">
        <f>+K320+Tableau15356789101112131625236924[[#This Row],[RECETTE]]-Tableau15356789101112131625236924[[#This Row],[DÉPENSE]]</f>
        <v>8038334</v>
      </c>
      <c r="L321" s="403" t="str">
        <f ca="1">+IF($B321="","",SUMIFS(INDIRECT("$K$7:K"&amp;ROW()),INDIRECT("$B$7:B"&amp;ROW()),Tableau15356789101112131625236924[[#This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1" s="490"/>
      <c r="P321" s="540"/>
      <c r="Q321" s="540"/>
      <c r="R321" s="540"/>
    </row>
    <row r="322" spans="1:18" s="539" customFormat="1" ht="15" x14ac:dyDescent="0.2">
      <c r="A322" s="434"/>
      <c r="B322" s="392"/>
      <c r="C322" s="487">
        <v>46013</v>
      </c>
      <c r="D32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2" s="489" t="s">
        <v>2881</v>
      </c>
      <c r="F322" s="489" t="s">
        <v>3740</v>
      </c>
      <c r="G322" s="454"/>
      <c r="H322" s="494"/>
      <c r="I322" s="492"/>
      <c r="J322" s="492">
        <v>2000</v>
      </c>
      <c r="K322" s="491">
        <f>+K321+Tableau15356789101112131625236924[[#This Row],[RECETTE]]-Tableau15356789101112131625236924[[#This Row],[DÉPENSE]]</f>
        <v>8036334</v>
      </c>
      <c r="L322" s="403" t="str">
        <f ca="1">+IF($B322="","",SUMIFS(INDIRECT("$K$7:K"&amp;ROW()),INDIRECT("$B$7:B"&amp;ROW()),Tableau15356789101112131625236924[[#This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2" s="490"/>
      <c r="P322" s="540"/>
      <c r="Q322" s="540"/>
      <c r="R322" s="540"/>
    </row>
    <row r="323" spans="1:18" ht="15" x14ac:dyDescent="0.3">
      <c r="A323" s="434"/>
      <c r="B323" s="392"/>
      <c r="C323" s="487">
        <v>46013</v>
      </c>
      <c r="D32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3" s="489" t="s">
        <v>2764</v>
      </c>
      <c r="F323" s="489" t="s">
        <v>3741</v>
      </c>
      <c r="G323" s="454"/>
      <c r="H323" s="494"/>
      <c r="I323" s="492"/>
      <c r="J323" s="492">
        <v>5500</v>
      </c>
      <c r="K323" s="491">
        <f>+K322+Tableau15356789101112131625236924[[#This Row],[RECETTE]]-Tableau15356789101112131625236924[[#This Row],[DÉPENSE]]</f>
        <v>8030834</v>
      </c>
      <c r="L323" s="403" t="str">
        <f ca="1">+IF($B323="","",SUMIFS(INDIRECT("$K$7:K"&amp;ROW()),INDIRECT("$B$7:B"&amp;ROW()),Tableau15356789101112131625236924[[#This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3" s="490"/>
    </row>
    <row r="324" spans="1:18" ht="15" x14ac:dyDescent="0.3">
      <c r="A324" s="434"/>
      <c r="B324" s="392"/>
      <c r="C324" s="487">
        <v>46013</v>
      </c>
      <c r="D32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4" s="489" t="s">
        <v>2694</v>
      </c>
      <c r="F324" s="489" t="s">
        <v>3742</v>
      </c>
      <c r="G324" s="454"/>
      <c r="H324" s="494"/>
      <c r="I324" s="492"/>
      <c r="J324" s="492">
        <v>15000</v>
      </c>
      <c r="K324" s="491">
        <f>+K323+Tableau15356789101112131625236924[[#This Row],[RECETTE]]-Tableau15356789101112131625236924[[#This Row],[DÉPENSE]]</f>
        <v>8015834</v>
      </c>
      <c r="L324" s="403" t="str">
        <f ca="1">+IF($B324="","",SUMIFS(INDIRECT("$K$7:K"&amp;ROW()),INDIRECT("$B$7:B"&amp;ROW()),Tableau15356789101112131625236924[[#This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4" s="490"/>
    </row>
    <row r="325" spans="1:18" ht="15" x14ac:dyDescent="0.3">
      <c r="A325" s="434"/>
      <c r="B325" s="392"/>
      <c r="C325" s="487">
        <v>46013</v>
      </c>
      <c r="D32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5" s="489" t="s">
        <v>2886</v>
      </c>
      <c r="F325" s="489" t="s">
        <v>3650</v>
      </c>
      <c r="G325" s="454"/>
      <c r="H325" s="494"/>
      <c r="I325" s="492"/>
      <c r="J325" s="492">
        <v>2000</v>
      </c>
      <c r="K325" s="491">
        <f>+K324+Tableau15356789101112131625236924[[#This Row],[RECETTE]]-Tableau15356789101112131625236924[[#This Row],[DÉPENSE]]</f>
        <v>8013834</v>
      </c>
      <c r="L325" s="403" t="str">
        <f ca="1">+IF($B325="","",SUMIFS(INDIRECT("$K$7:K"&amp;ROW()),INDIRECT("$B$7:B"&amp;ROW()),Tableau15356789101112131625236924[[#This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5" s="490"/>
    </row>
    <row r="326" spans="1:18" s="412" customFormat="1" ht="15" x14ac:dyDescent="0.3">
      <c r="A326" s="536"/>
      <c r="B326" s="515"/>
      <c r="C326" s="507">
        <v>46013</v>
      </c>
      <c r="D326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6" s="417" t="s">
        <v>2764</v>
      </c>
      <c r="F326" s="417" t="s">
        <v>3743</v>
      </c>
      <c r="G326" s="418"/>
      <c r="H326" s="419"/>
      <c r="I326" s="510"/>
      <c r="J326" s="510">
        <v>3600</v>
      </c>
      <c r="K326" s="421">
        <f>+K325+Tableau15356789101112131625236924[[#This Row],[RECETTE]]-Tableau15356789101112131625236924[[#This Row],[DÉPENSE]]</f>
        <v>8010234</v>
      </c>
      <c r="L326" s="414" t="str">
        <f ca="1">+IF($B326="","",SUMIFS(INDIRECT("$K$7:K"&amp;ROW()),INDIRECT("$B$7:B"&amp;ROW()),Tableau15356789101112131625236924[[#This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6" s="551"/>
      <c r="P326" s="314"/>
      <c r="Q326" s="314"/>
      <c r="R326" s="314"/>
    </row>
    <row r="327" spans="1:18" s="412" customFormat="1" ht="15" x14ac:dyDescent="0.3">
      <c r="A327" s="536"/>
      <c r="B327" s="515"/>
      <c r="C327" s="507">
        <v>46013</v>
      </c>
      <c r="D32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7" s="417" t="s">
        <v>2714</v>
      </c>
      <c r="F327" s="417" t="s">
        <v>3744</v>
      </c>
      <c r="G327" s="418"/>
      <c r="H327" s="419"/>
      <c r="I327" s="510"/>
      <c r="J327" s="510">
        <v>2000</v>
      </c>
      <c r="K327" s="421">
        <f>+K326+Tableau15356789101112131625236924[[#This Row],[RECETTE]]-Tableau15356789101112131625236924[[#This Row],[DÉPENSE]]</f>
        <v>8008234</v>
      </c>
      <c r="L327" s="414" t="str">
        <f ca="1">+IF($B327="","",SUMIFS(INDIRECT("$K$7:K"&amp;ROW()),INDIRECT("$B$7:B"&amp;ROW()),Tableau15356789101112131625236924[[#This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7" s="551"/>
      <c r="P327" s="314"/>
      <c r="Q327" s="314"/>
      <c r="R327" s="314"/>
    </row>
    <row r="328" spans="1:18" s="412" customFormat="1" ht="15" x14ac:dyDescent="0.3">
      <c r="A328" s="536"/>
      <c r="B328" s="515"/>
      <c r="C328" s="507">
        <v>46013</v>
      </c>
      <c r="D32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8" s="417" t="s">
        <v>2727</v>
      </c>
      <c r="F328" s="417" t="s">
        <v>3745</v>
      </c>
      <c r="G328" s="418"/>
      <c r="H328" s="419" t="s">
        <v>3392</v>
      </c>
      <c r="I328" s="510"/>
      <c r="J328" s="510">
        <v>2000</v>
      </c>
      <c r="K328" s="421">
        <f>+K327+Tableau15356789101112131625236924[[#This Row],[RECETTE]]-Tableau15356789101112131625236924[[#This Row],[DÉPENSE]]</f>
        <v>8006234</v>
      </c>
      <c r="L328" s="414" t="str">
        <f ca="1">+IF($B328="","",SUMIFS(INDIRECT("$K$7:K"&amp;ROW()),INDIRECT("$B$7:B"&amp;ROW()),Tableau15356789101112131625236924[[#This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8" s="551"/>
      <c r="P328" s="314"/>
      <c r="Q328" s="314"/>
      <c r="R328" s="314"/>
    </row>
    <row r="329" spans="1:18" s="412" customFormat="1" ht="15" x14ac:dyDescent="0.3">
      <c r="A329" s="536"/>
      <c r="B329" s="515"/>
      <c r="C329" s="507">
        <v>46013</v>
      </c>
      <c r="D32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29" s="417" t="s">
        <v>2696</v>
      </c>
      <c r="F329" s="417" t="s">
        <v>3746</v>
      </c>
      <c r="G329" s="418"/>
      <c r="H329" s="419" t="s">
        <v>2698</v>
      </c>
      <c r="I329" s="510"/>
      <c r="J329" s="510">
        <v>37370</v>
      </c>
      <c r="K329" s="421">
        <f>+K328+Tableau15356789101112131625236924[[#This Row],[RECETTE]]-Tableau15356789101112131625236924[[#This Row],[DÉPENSE]]</f>
        <v>7968864</v>
      </c>
      <c r="L329" s="414" t="str">
        <f ca="1">+IF($B329="","",SUMIFS(INDIRECT("$K$7:K"&amp;ROW()),INDIRECT("$B$7:B"&amp;ROW()),Tableau15356789101112131625236924[[#This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29" s="551"/>
      <c r="P329" s="314"/>
      <c r="Q329" s="314"/>
      <c r="R329" s="314"/>
    </row>
    <row r="330" spans="1:18" s="412" customFormat="1" ht="15" x14ac:dyDescent="0.3">
      <c r="A330" s="536"/>
      <c r="B330" s="515"/>
      <c r="C330" s="507">
        <v>46013</v>
      </c>
      <c r="D330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0" s="417" t="s">
        <v>2764</v>
      </c>
      <c r="F330" s="417" t="s">
        <v>3747</v>
      </c>
      <c r="G330" s="418"/>
      <c r="H330" s="419"/>
      <c r="I330" s="510"/>
      <c r="J330" s="510">
        <v>14600</v>
      </c>
      <c r="K330" s="421">
        <f>+K329+Tableau15356789101112131625236924[[#This Row],[RECETTE]]-Tableau15356789101112131625236924[[#This Row],[DÉPENSE]]</f>
        <v>7954264</v>
      </c>
      <c r="L330" s="414" t="str">
        <f ca="1">+IF($B330="","",SUMIFS(INDIRECT("$K$7:K"&amp;ROW()),INDIRECT("$B$7:B"&amp;ROW()),Tableau15356789101112131625236924[[#This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0" s="551"/>
      <c r="P330" s="314"/>
      <c r="Q330" s="314"/>
      <c r="R330" s="314"/>
    </row>
    <row r="331" spans="1:18" s="412" customFormat="1" ht="15" x14ac:dyDescent="0.3">
      <c r="A331" s="536"/>
      <c r="B331" s="515"/>
      <c r="C331" s="507">
        <v>46013</v>
      </c>
      <c r="D331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1" s="417" t="s">
        <v>2863</v>
      </c>
      <c r="F331" s="417" t="s">
        <v>2706</v>
      </c>
      <c r="G331" s="418"/>
      <c r="H331" s="419" t="s">
        <v>2698</v>
      </c>
      <c r="I331" s="510"/>
      <c r="J331" s="510">
        <v>10100</v>
      </c>
      <c r="K331" s="421">
        <f>+K330+Tableau15356789101112131625236924[[#This Row],[RECETTE]]-Tableau15356789101112131625236924[[#This Row],[DÉPENSE]]</f>
        <v>7944164</v>
      </c>
      <c r="L331" s="414" t="str">
        <f ca="1">+IF($B331="","",SUMIFS(INDIRECT("$K$7:K"&amp;ROW()),INDIRECT("$B$7:B"&amp;ROW()),Tableau15356789101112131625236924[[#This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1" s="551"/>
      <c r="P331" s="314"/>
      <c r="Q331" s="314"/>
      <c r="R331" s="314"/>
    </row>
    <row r="332" spans="1:18" ht="15" x14ac:dyDescent="0.3">
      <c r="A332" s="434"/>
      <c r="B332" s="392"/>
      <c r="C332" s="487">
        <v>46013</v>
      </c>
      <c r="D33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2" s="489" t="s">
        <v>2869</v>
      </c>
      <c r="F332" s="489" t="s">
        <v>3748</v>
      </c>
      <c r="G332" s="454"/>
      <c r="H332" s="494" t="s">
        <v>2746</v>
      </c>
      <c r="I332" s="492"/>
      <c r="J332" s="492">
        <v>121200</v>
      </c>
      <c r="K332" s="491">
        <f>+K331+Tableau15356789101112131625236924[[#This Row],[RECETTE]]-Tableau15356789101112131625236924[[#This Row],[DÉPENSE]]</f>
        <v>7822964</v>
      </c>
      <c r="L332" s="403" t="str">
        <f ca="1">+IF($B332="","",SUMIFS(INDIRECT("$K$7:K"&amp;ROW()),INDIRECT("$B$7:B"&amp;ROW()),Tableau15356789101112131625236924[[#This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2" s="490"/>
    </row>
    <row r="333" spans="1:18" ht="15" x14ac:dyDescent="0.3">
      <c r="A333" s="434"/>
      <c r="B333" s="392"/>
      <c r="C333" s="487">
        <v>46013</v>
      </c>
      <c r="D33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Entrée</v>
      </c>
      <c r="E333" s="489" t="s">
        <v>2679</v>
      </c>
      <c r="F333" s="489" t="s">
        <v>3749</v>
      </c>
      <c r="G333" s="454"/>
      <c r="H333" s="494"/>
      <c r="I333" s="492">
        <v>240000</v>
      </c>
      <c r="J333" s="492"/>
      <c r="K333" s="491">
        <f>+K332+Tableau15356789101112131625236924[[#This Row],[RECETTE]]-Tableau15356789101112131625236924[[#This Row],[DÉPENSE]]</f>
        <v>8062964</v>
      </c>
      <c r="L333" s="403" t="str">
        <f ca="1">+IF($B333="","",SUMIFS(INDIRECT("$K$7:K"&amp;ROW()),INDIRECT("$B$7:B"&amp;ROW()),Tableau15356789101112131625236924[[#This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3" s="490"/>
    </row>
    <row r="334" spans="1:18" s="412" customFormat="1" ht="15" x14ac:dyDescent="0.3">
      <c r="A334" s="536"/>
      <c r="B334" s="515"/>
      <c r="C334" s="507">
        <v>46014</v>
      </c>
      <c r="D334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4" s="417" t="s">
        <v>2951</v>
      </c>
      <c r="F334" s="417" t="s">
        <v>3750</v>
      </c>
      <c r="G334" s="418"/>
      <c r="H334" s="419" t="s">
        <v>3579</v>
      </c>
      <c r="I334" s="510"/>
      <c r="J334" s="510">
        <v>20000</v>
      </c>
      <c r="K334" s="491">
        <f>+K333+Tableau15356789101112131625236924[[#This Row],[RECETTE]]-Tableau15356789101112131625236924[[#This Row],[DÉPENSE]]</f>
        <v>8042964</v>
      </c>
      <c r="L334" s="414" t="str">
        <f ca="1">+IF($B334="","",SUMIFS(INDIRECT("$K$7:K"&amp;ROW()),INDIRECT("$B$7:B"&amp;ROW()),Tableau15356789101112131625236924[[#This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4" s="551"/>
      <c r="P334" s="314"/>
      <c r="Q334" s="314"/>
      <c r="R334" s="314"/>
    </row>
    <row r="335" spans="1:18" ht="15" x14ac:dyDescent="0.3">
      <c r="A335" s="434"/>
      <c r="B335" s="392"/>
      <c r="C335" s="487">
        <v>46014</v>
      </c>
      <c r="D33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5" s="489" t="s">
        <v>2773</v>
      </c>
      <c r="F335" s="489" t="s">
        <v>2748</v>
      </c>
      <c r="G335" s="454"/>
      <c r="H335" s="494"/>
      <c r="I335" s="492"/>
      <c r="J335" s="492">
        <v>10100</v>
      </c>
      <c r="K335" s="491">
        <f>+K334+Tableau15356789101112131625236924[[#This Row],[RECETTE]]-Tableau15356789101112131625236924[[#This Row],[DÉPENSE]]</f>
        <v>8032864</v>
      </c>
      <c r="L335" s="403" t="str">
        <f ca="1">+IF($B335="","",SUMIFS(INDIRECT("$K$7:K"&amp;ROW()),INDIRECT("$B$7:B"&amp;ROW()),Tableau15356789101112131625236924[[#This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5" s="490"/>
    </row>
    <row r="336" spans="1:18" ht="15" x14ac:dyDescent="0.3">
      <c r="A336" s="434"/>
      <c r="B336" s="392"/>
      <c r="C336" s="487">
        <v>46014</v>
      </c>
      <c r="D33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6" s="489" t="s">
        <v>3183</v>
      </c>
      <c r="F336" s="489" t="s">
        <v>3751</v>
      </c>
      <c r="G336" s="454"/>
      <c r="H336" s="494"/>
      <c r="I336" s="492"/>
      <c r="J336" s="492">
        <v>5000</v>
      </c>
      <c r="K336" s="491">
        <f>+K335+Tableau15356789101112131625236924[[#This Row],[RECETTE]]-Tableau15356789101112131625236924[[#This Row],[DÉPENSE]]</f>
        <v>8027864</v>
      </c>
      <c r="L336" s="403" t="str">
        <f ca="1">+IF($B336="","",SUMIFS(INDIRECT("$K$7:K"&amp;ROW()),INDIRECT("$B$7:B"&amp;ROW()),Tableau15356789101112131625236924[[#This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6" s="490"/>
    </row>
    <row r="337" spans="1:18" ht="15" x14ac:dyDescent="0.3">
      <c r="A337" s="434"/>
      <c r="B337" s="392"/>
      <c r="C337" s="487">
        <v>46014</v>
      </c>
      <c r="D33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7" s="489" t="s">
        <v>3700</v>
      </c>
      <c r="F337" s="489" t="s">
        <v>3752</v>
      </c>
      <c r="G337" s="454"/>
      <c r="H337" s="494"/>
      <c r="I337" s="492"/>
      <c r="J337" s="492">
        <v>34000</v>
      </c>
      <c r="K337" s="491">
        <f>+K336+Tableau15356789101112131625236924[[#This Row],[RECETTE]]-Tableau15356789101112131625236924[[#This Row],[DÉPENSE]]</f>
        <v>7993864</v>
      </c>
      <c r="L337" s="403" t="str">
        <f ca="1">+IF($B337="","",SUMIFS(INDIRECT("$K$7:K"&amp;ROW()),INDIRECT("$B$7:B"&amp;ROW()),Tableau15356789101112131625236924[[#This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7" s="490"/>
    </row>
    <row r="338" spans="1:18" s="412" customFormat="1" ht="15" x14ac:dyDescent="0.3">
      <c r="A338" s="536"/>
      <c r="B338" s="515"/>
      <c r="C338" s="487">
        <v>46014</v>
      </c>
      <c r="D33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8" s="489" t="s">
        <v>3015</v>
      </c>
      <c r="F338" s="489" t="s">
        <v>3753</v>
      </c>
      <c r="G338" s="454"/>
      <c r="H338" s="494"/>
      <c r="I338" s="492"/>
      <c r="J338" s="492">
        <v>125000</v>
      </c>
      <c r="K338" s="491">
        <f>+K337+Tableau15356789101112131625236924[[#This Row],[RECETTE]]-Tableau15356789101112131625236924[[#This Row],[DÉPENSE]]</f>
        <v>7868864</v>
      </c>
      <c r="L338" s="414" t="str">
        <f ca="1">+IF($B338="","",SUMIFS(INDIRECT("$K$7:K"&amp;ROW()),INDIRECT("$B$7:B"&amp;ROW()),Tableau15356789101112131625236924[[#This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8" s="490"/>
      <c r="P338" s="314"/>
      <c r="Q338" s="314"/>
      <c r="R338" s="314"/>
    </row>
    <row r="339" spans="1:18" s="412" customFormat="1" ht="15" x14ac:dyDescent="0.3">
      <c r="A339" s="536"/>
      <c r="B339" s="515"/>
      <c r="C339" s="487">
        <v>46014</v>
      </c>
      <c r="D33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39" s="489" t="s">
        <v>2863</v>
      </c>
      <c r="F339" s="489" t="s">
        <v>3754</v>
      </c>
      <c r="G339" s="454"/>
      <c r="H339" s="494" t="s">
        <v>2698</v>
      </c>
      <c r="I339" s="492"/>
      <c r="J339" s="492">
        <v>19695</v>
      </c>
      <c r="K339" s="491">
        <f>+K338+Tableau15356789101112131625236924[[#This Row],[RECETTE]]-Tableau15356789101112131625236924[[#This Row],[DÉPENSE]]</f>
        <v>7849169</v>
      </c>
      <c r="L339" s="414" t="str">
        <f ca="1">+IF($B339="","",SUMIFS(INDIRECT("$K$7:K"&amp;ROW()),INDIRECT("$B$7:B"&amp;ROW()),Tableau15356789101112131625236924[[#This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39" s="490"/>
      <c r="P339" s="314"/>
      <c r="Q339" s="314"/>
      <c r="R339" s="314"/>
    </row>
    <row r="340" spans="1:18" ht="15" x14ac:dyDescent="0.3">
      <c r="A340" s="434"/>
      <c r="B340" s="392"/>
      <c r="C340" s="487">
        <v>46014</v>
      </c>
      <c r="D34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0" s="489" t="s">
        <v>3515</v>
      </c>
      <c r="F340" s="489" t="s">
        <v>3755</v>
      </c>
      <c r="G340" s="454"/>
      <c r="H340" s="494" t="s">
        <v>2729</v>
      </c>
      <c r="I340" s="492"/>
      <c r="J340" s="492">
        <v>22000</v>
      </c>
      <c r="K340" s="491">
        <f>+K339+Tableau15356789101112131625236924[[#This Row],[RECETTE]]-Tableau15356789101112131625236924[[#This Row],[DÉPENSE]]</f>
        <v>7827169</v>
      </c>
      <c r="L340" s="403" t="str">
        <f ca="1">+IF($B340="","",SUMIFS(INDIRECT("$K$7:K"&amp;ROW()),INDIRECT("$B$7:B"&amp;ROW()),Tableau15356789101112131625236924[[#This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0" s="490"/>
    </row>
    <row r="341" spans="1:18" ht="15" x14ac:dyDescent="0.3">
      <c r="A341" s="434"/>
      <c r="B341" s="392"/>
      <c r="C341" s="487">
        <v>46014</v>
      </c>
      <c r="D34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1" s="489" t="s">
        <v>3756</v>
      </c>
      <c r="F341" s="489" t="s">
        <v>3592</v>
      </c>
      <c r="G341" s="454"/>
      <c r="H341" s="494"/>
      <c r="I341" s="492"/>
      <c r="J341" s="492">
        <v>121200</v>
      </c>
      <c r="K341" s="491">
        <f>+K340+Tableau15356789101112131625236924[[#This Row],[RECETTE]]-Tableau15356789101112131625236924[[#This Row],[DÉPENSE]]</f>
        <v>7705969</v>
      </c>
      <c r="L341" s="403" t="str">
        <f ca="1">+IF($B341="","",SUMIFS(INDIRECT("$K$7:K"&amp;ROW()),INDIRECT("$B$7:B"&amp;ROW()),Tableau15356789101112131625236924[[#This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1" s="490"/>
    </row>
    <row r="342" spans="1:18" s="423" customFormat="1" ht="15" x14ac:dyDescent="0.2">
      <c r="A342" s="434"/>
      <c r="B342" s="392"/>
      <c r="C342" s="487">
        <v>46014</v>
      </c>
      <c r="D34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2" s="489" t="s">
        <v>3717</v>
      </c>
      <c r="F342" s="489" t="s">
        <v>3541</v>
      </c>
      <c r="G342" s="454"/>
      <c r="H342" s="494"/>
      <c r="I342" s="492"/>
      <c r="J342" s="492">
        <v>186300</v>
      </c>
      <c r="K342" s="491">
        <f>+K341+Tableau15356789101112131625236924[[#This Row],[RECETTE]]-Tableau15356789101112131625236924[[#This Row],[DÉPENSE]]</f>
        <v>7519669</v>
      </c>
      <c r="L342" s="403" t="str">
        <f ca="1">+IF($B342="","",SUMIFS(INDIRECT("$K$7:K"&amp;ROW()),INDIRECT("$B$7:B"&amp;ROW()),Tableau15356789101112131625236924[[#This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2" s="490"/>
      <c r="P342" s="458"/>
      <c r="Q342" s="458"/>
      <c r="R342" s="458"/>
    </row>
    <row r="343" spans="1:18" s="542" customFormat="1" ht="15" x14ac:dyDescent="0.2">
      <c r="A343" s="434"/>
      <c r="B343" s="392"/>
      <c r="C343" s="487">
        <v>46014</v>
      </c>
      <c r="D34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3" s="489" t="s">
        <v>3757</v>
      </c>
      <c r="F343" s="489" t="s">
        <v>3758</v>
      </c>
      <c r="G343" s="454"/>
      <c r="H343" s="494"/>
      <c r="I343" s="492"/>
      <c r="J343" s="492">
        <v>440000</v>
      </c>
      <c r="K343" s="491">
        <f>+K342+Tableau15356789101112131625236924[[#This Row],[RECETTE]]-Tableau15356789101112131625236924[[#This Row],[DÉPENSE]]</f>
        <v>7079669</v>
      </c>
      <c r="L343" s="403" t="str">
        <f ca="1">+IF($B343="","",SUMIFS(INDIRECT("$K$7:K"&amp;ROW()),INDIRECT("$B$7:B"&amp;ROW()),Tableau15356789101112131625236924[[#This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3" s="490"/>
      <c r="P343" s="543"/>
      <c r="Q343" s="543"/>
      <c r="R343" s="543"/>
    </row>
    <row r="344" spans="1:18" s="423" customFormat="1" ht="15" x14ac:dyDescent="0.2">
      <c r="A344" s="532"/>
      <c r="B344" s="486"/>
      <c r="C344" s="487">
        <v>46014</v>
      </c>
      <c r="D34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4" s="489" t="s">
        <v>3759</v>
      </c>
      <c r="F344" s="489" t="s">
        <v>3760</v>
      </c>
      <c r="G344" s="454"/>
      <c r="H344" s="494"/>
      <c r="I344" s="492"/>
      <c r="J344" s="492">
        <v>10000</v>
      </c>
      <c r="K344" s="491">
        <f>+K343+Tableau15356789101112131625236924[[#This Row],[RECETTE]]-Tableau15356789101112131625236924[[#This Row],[DÉPENSE]]</f>
        <v>7069669</v>
      </c>
      <c r="L344" s="456" t="str">
        <f ca="1">+IF($B344="","",SUMIFS(INDIRECT("$K$7:K"&amp;ROW()),INDIRECT("$B$7:B"&amp;ROW()),Tableau15356789101112131625236924[[#This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4" s="490"/>
      <c r="P344" s="458"/>
      <c r="Q344" s="458"/>
      <c r="R344" s="458"/>
    </row>
    <row r="345" spans="1:18" s="542" customFormat="1" ht="15" x14ac:dyDescent="0.2">
      <c r="A345" s="434"/>
      <c r="B345" s="392"/>
      <c r="C345" s="487">
        <v>46015</v>
      </c>
      <c r="D34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5" s="489" t="s">
        <v>2882</v>
      </c>
      <c r="F345" s="489" t="s">
        <v>2893</v>
      </c>
      <c r="G345" s="454"/>
      <c r="H345" s="494"/>
      <c r="I345" s="492"/>
      <c r="J345" s="492">
        <v>3000</v>
      </c>
      <c r="K345" s="491">
        <f>+K344+Tableau15356789101112131625236924[[#This Row],[RECETTE]]-Tableau15356789101112131625236924[[#This Row],[DÉPENSE]]</f>
        <v>7066669</v>
      </c>
      <c r="L345" s="403" t="str">
        <f ca="1">+IF($B345="","",SUMIFS(INDIRECT("$K$7:K"&amp;ROW()),INDIRECT("$B$7:B"&amp;ROW()),Tableau15356789101112131625236924[[#This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5" s="490"/>
      <c r="P345" s="543"/>
      <c r="Q345" s="543"/>
      <c r="R345" s="543"/>
    </row>
    <row r="346" spans="1:18" ht="15" x14ac:dyDescent="0.3">
      <c r="A346" s="434"/>
      <c r="B346" s="392"/>
      <c r="C346" s="487">
        <v>46015</v>
      </c>
      <c r="D34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6" s="489" t="s">
        <v>2714</v>
      </c>
      <c r="F346" s="489" t="s">
        <v>3761</v>
      </c>
      <c r="G346" s="454"/>
      <c r="H346" s="494"/>
      <c r="I346" s="492"/>
      <c r="J346" s="492">
        <v>5000</v>
      </c>
      <c r="K346" s="491">
        <f>+K345+Tableau15356789101112131625236924[[#This Row],[RECETTE]]-Tableau15356789101112131625236924[[#This Row],[DÉPENSE]]</f>
        <v>7061669</v>
      </c>
      <c r="L346" s="403" t="str">
        <f ca="1">+IF($B346="","",SUMIFS(INDIRECT("$K$7:K"&amp;ROW()),INDIRECT("$B$7:B"&amp;ROW()),Tableau15356789101112131625236924[[#This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6" s="490"/>
    </row>
    <row r="347" spans="1:18" ht="15" x14ac:dyDescent="0.3">
      <c r="A347" s="434"/>
      <c r="B347" s="392"/>
      <c r="C347" s="487">
        <v>46015</v>
      </c>
      <c r="D34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7" s="489" t="s">
        <v>3762</v>
      </c>
      <c r="F347" s="489" t="s">
        <v>3763</v>
      </c>
      <c r="G347" s="454" t="s">
        <v>2702</v>
      </c>
      <c r="H347" s="494"/>
      <c r="I347" s="492"/>
      <c r="J347" s="492">
        <v>500000</v>
      </c>
      <c r="K347" s="491">
        <f>+K346+Tableau15356789101112131625236924[[#This Row],[RECETTE]]-Tableau15356789101112131625236924[[#This Row],[DÉPENSE]]</f>
        <v>6561669</v>
      </c>
      <c r="L347" s="403" t="str">
        <f ca="1">+IF($B347="","",SUMIFS(INDIRECT("$K$7:K"&amp;ROW()),INDIRECT("$B$7:B"&amp;ROW()),Tableau15356789101112131625236924[[#This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7" s="490"/>
    </row>
    <row r="348" spans="1:18" s="412" customFormat="1" ht="15" x14ac:dyDescent="0.3">
      <c r="A348" s="536"/>
      <c r="B348" s="515"/>
      <c r="C348" s="507">
        <v>46015</v>
      </c>
      <c r="D34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8" s="417" t="s">
        <v>3764</v>
      </c>
      <c r="F348" s="417" t="s">
        <v>3765</v>
      </c>
      <c r="G348" s="418"/>
      <c r="H348" s="419"/>
      <c r="I348" s="510"/>
      <c r="J348" s="510">
        <v>10000</v>
      </c>
      <c r="K348" s="421">
        <f>+K347+Tableau15356789101112131625236924[[#This Row],[RECETTE]]-Tableau15356789101112131625236924[[#This Row],[DÉPENSE]]</f>
        <v>6551669</v>
      </c>
      <c r="L348" s="414" t="str">
        <f ca="1">+IF($B348="","",SUMIFS(INDIRECT("$K$7:K"&amp;ROW()),INDIRECT("$B$7:B"&amp;ROW()),Tableau15356789101112131625236924[[#This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8" s="551"/>
      <c r="P348" s="314"/>
      <c r="Q348" s="314"/>
      <c r="R348" s="314"/>
    </row>
    <row r="349" spans="1:18" ht="15" x14ac:dyDescent="0.3">
      <c r="A349" s="434"/>
      <c r="B349" s="392"/>
      <c r="C349" s="487">
        <v>46015</v>
      </c>
      <c r="D34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49" s="489" t="s">
        <v>3541</v>
      </c>
      <c r="F349" s="489" t="s">
        <v>3766</v>
      </c>
      <c r="G349" s="454"/>
      <c r="H349" s="494"/>
      <c r="I349" s="492"/>
      <c r="J349" s="492">
        <v>48630</v>
      </c>
      <c r="K349" s="491">
        <f>+K348+Tableau15356789101112131625236924[[#This Row],[RECETTE]]-Tableau15356789101112131625236924[[#This Row],[DÉPENSE]]</f>
        <v>6503039</v>
      </c>
      <c r="L349" s="403" t="str">
        <f ca="1">+IF($B349="","",SUMIFS(INDIRECT("$K$7:K"&amp;ROW()),INDIRECT("$B$7:B"&amp;ROW()),Tableau15356789101112131625236924[[#This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49" s="490"/>
    </row>
    <row r="350" spans="1:18" ht="15" x14ac:dyDescent="0.3">
      <c r="A350" s="434"/>
      <c r="B350" s="392"/>
      <c r="C350" s="487">
        <v>46015</v>
      </c>
      <c r="D35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0" s="489" t="s">
        <v>2708</v>
      </c>
      <c r="F350" s="489" t="s">
        <v>3744</v>
      </c>
      <c r="G350" s="454"/>
      <c r="H350" s="494"/>
      <c r="I350" s="492"/>
      <c r="J350" s="492">
        <v>1010</v>
      </c>
      <c r="K350" s="491">
        <f>+K349+Tableau15356789101112131625236924[[#This Row],[RECETTE]]-Tableau15356789101112131625236924[[#This Row],[DÉPENSE]]</f>
        <v>6502029</v>
      </c>
      <c r="L350" s="403" t="str">
        <f ca="1">+IF($B350="","",SUMIFS(INDIRECT("$K$7:K"&amp;ROW()),INDIRECT("$B$7:B"&amp;ROW()),Tableau15356789101112131625236924[[#This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0" s="490"/>
    </row>
    <row r="351" spans="1:18" s="412" customFormat="1" ht="15" x14ac:dyDescent="0.3">
      <c r="A351" s="536"/>
      <c r="B351" s="515"/>
      <c r="C351" s="487">
        <v>46015</v>
      </c>
      <c r="D35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1" s="489" t="s">
        <v>3767</v>
      </c>
      <c r="F351" s="489" t="s">
        <v>2793</v>
      </c>
      <c r="G351" s="454"/>
      <c r="H351" s="494" t="s">
        <v>3579</v>
      </c>
      <c r="I351" s="492"/>
      <c r="J351" s="492">
        <v>224725</v>
      </c>
      <c r="K351" s="491">
        <f>+K350+Tableau15356789101112131625236924[[#This Row],[RECETTE]]-Tableau15356789101112131625236924[[#This Row],[DÉPENSE]]</f>
        <v>6277304</v>
      </c>
      <c r="L351" s="414" t="str">
        <f ca="1">+IF($B351="","",SUMIFS(INDIRECT("$K$7:K"&amp;ROW()),INDIRECT("$B$7:B"&amp;ROW()),Tableau15356789101112131625236924[[#This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1" s="490"/>
      <c r="P351" s="314"/>
      <c r="Q351" s="314"/>
      <c r="R351" s="314"/>
    </row>
    <row r="352" spans="1:18" ht="15" x14ac:dyDescent="0.3">
      <c r="A352" s="434"/>
      <c r="B352" s="392"/>
      <c r="C352" s="487">
        <v>46015</v>
      </c>
      <c r="D35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2" s="489" t="s">
        <v>3122</v>
      </c>
      <c r="F352" s="489" t="s">
        <v>3768</v>
      </c>
      <c r="G352" s="454"/>
      <c r="H352" s="494"/>
      <c r="I352" s="492"/>
      <c r="J352" s="492">
        <v>303000</v>
      </c>
      <c r="K352" s="491">
        <f>+K351+Tableau15356789101112131625236924[[#This Row],[RECETTE]]-Tableau15356789101112131625236924[[#This Row],[DÉPENSE]]</f>
        <v>5974304</v>
      </c>
      <c r="L352" s="403" t="str">
        <f ca="1">+IF($B352="","",SUMIFS(INDIRECT("$K$7:K"&amp;ROW()),INDIRECT("$B$7:B"&amp;ROW()),Tableau15356789101112131625236924[[#This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2" s="490"/>
    </row>
    <row r="353" spans="1:18" s="412" customFormat="1" ht="15" x14ac:dyDescent="0.3">
      <c r="A353" s="536"/>
      <c r="B353" s="515"/>
      <c r="C353" s="507">
        <v>46016</v>
      </c>
      <c r="D353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3" s="417" t="s">
        <v>2820</v>
      </c>
      <c r="F353" s="417" t="s">
        <v>2706</v>
      </c>
      <c r="G353" s="418"/>
      <c r="H353" s="419" t="s">
        <v>2687</v>
      </c>
      <c r="I353" s="510"/>
      <c r="J353" s="510">
        <v>10100</v>
      </c>
      <c r="K353" s="421">
        <f>+K352+Tableau15356789101112131625236924[[#This Row],[RECETTE]]-Tableau15356789101112131625236924[[#This Row],[DÉPENSE]]</f>
        <v>5964204</v>
      </c>
      <c r="L353" s="414" t="str">
        <f ca="1">+IF($B353="","",SUMIFS(INDIRECT("$K$7:K"&amp;ROW()),INDIRECT("$B$7:B"&amp;ROW()),Tableau15356789101112131625236924[[#This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3" s="551"/>
      <c r="P353" s="314"/>
      <c r="Q353" s="314"/>
      <c r="R353" s="314"/>
    </row>
    <row r="354" spans="1:18" s="412" customFormat="1" ht="15" x14ac:dyDescent="0.3">
      <c r="A354" s="536"/>
      <c r="B354" s="515"/>
      <c r="C354" s="507">
        <v>46016</v>
      </c>
      <c r="D354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4" s="417" t="s">
        <v>3769</v>
      </c>
      <c r="F354" s="417" t="s">
        <v>3770</v>
      </c>
      <c r="G354" s="418"/>
      <c r="H354" s="419"/>
      <c r="I354" s="510"/>
      <c r="J354" s="510">
        <v>40400</v>
      </c>
      <c r="K354" s="421">
        <f>+K353+Tableau15356789101112131625236924[[#This Row],[RECETTE]]-Tableau15356789101112131625236924[[#This Row],[DÉPENSE]]</f>
        <v>5923804</v>
      </c>
      <c r="L354" s="414" t="str">
        <f ca="1">+IF($B354="","",SUMIFS(INDIRECT("$K$7:K"&amp;ROW()),INDIRECT("$B$7:B"&amp;ROW()),Tableau15356789101112131625236924[[#This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4" s="551"/>
      <c r="P354" s="314"/>
      <c r="Q354" s="314"/>
      <c r="R354" s="314"/>
    </row>
    <row r="355" spans="1:18" s="412" customFormat="1" ht="15" x14ac:dyDescent="0.3">
      <c r="A355" s="536"/>
      <c r="B355" s="515"/>
      <c r="C355" s="507">
        <v>46016</v>
      </c>
      <c r="D355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5" s="417" t="s">
        <v>2813</v>
      </c>
      <c r="F355" s="417" t="s">
        <v>2748</v>
      </c>
      <c r="G355" s="418"/>
      <c r="H355" s="419"/>
      <c r="I355" s="510"/>
      <c r="J355" s="510">
        <v>60600</v>
      </c>
      <c r="K355" s="421">
        <f>+K354+Tableau15356789101112131625236924[[#This Row],[RECETTE]]-Tableau15356789101112131625236924[[#This Row],[DÉPENSE]]</f>
        <v>5863204</v>
      </c>
      <c r="L355" s="414" t="str">
        <f ca="1">+IF($B355="","",SUMIFS(INDIRECT("$K$7:K"&amp;ROW()),INDIRECT("$B$7:B"&amp;ROW()),Tableau15356789101112131625236924[[#This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5" s="551"/>
      <c r="P355" s="314"/>
      <c r="Q355" s="314"/>
      <c r="R355" s="314"/>
    </row>
    <row r="356" spans="1:18" s="412" customFormat="1" ht="15" x14ac:dyDescent="0.3">
      <c r="A356" s="536"/>
      <c r="B356" s="515"/>
      <c r="C356" s="507">
        <v>46016</v>
      </c>
      <c r="D356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6" s="417" t="s">
        <v>3767</v>
      </c>
      <c r="F356" s="417" t="s">
        <v>3697</v>
      </c>
      <c r="G356" s="418"/>
      <c r="H356" s="419" t="s">
        <v>3579</v>
      </c>
      <c r="I356" s="510"/>
      <c r="J356" s="510">
        <v>8080</v>
      </c>
      <c r="K356" s="421">
        <f>+K355+Tableau15356789101112131625236924[[#This Row],[RECETTE]]-Tableau15356789101112131625236924[[#This Row],[DÉPENSE]]</f>
        <v>5855124</v>
      </c>
      <c r="L356" s="414" t="str">
        <f ca="1">+IF($B356="","",SUMIFS(INDIRECT("$K$7:K"&amp;ROW()),INDIRECT("$B$7:B"&amp;ROW()),Tableau15356789101112131625236924[[#This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6" s="551"/>
      <c r="P356" s="314"/>
      <c r="Q356" s="314"/>
      <c r="R356" s="314"/>
    </row>
    <row r="357" spans="1:18" s="412" customFormat="1" ht="15" x14ac:dyDescent="0.3">
      <c r="A357" s="536"/>
      <c r="B357" s="515"/>
      <c r="C357" s="507">
        <v>46017</v>
      </c>
      <c r="D35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7" s="417" t="s">
        <v>2727</v>
      </c>
      <c r="F357" s="417" t="s">
        <v>3441</v>
      </c>
      <c r="G357" s="418"/>
      <c r="H357" s="419"/>
      <c r="I357" s="510"/>
      <c r="J357" s="510">
        <v>230000</v>
      </c>
      <c r="K357" s="421">
        <f>+K356+Tableau15356789101112131625236924[[#This Row],[RECETTE]]-Tableau15356789101112131625236924[[#This Row],[DÉPENSE]]</f>
        <v>5625124</v>
      </c>
      <c r="L357" s="414" t="str">
        <f ca="1">+IF($B357="","",SUMIFS(INDIRECT("$K$7:K"&amp;ROW()),INDIRECT("$B$7:B"&amp;ROW()),Tableau15356789101112131625236924[[#This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7" s="551"/>
      <c r="P357" s="314"/>
      <c r="Q357" s="314"/>
      <c r="R357" s="314"/>
    </row>
    <row r="358" spans="1:18" s="412" customFormat="1" ht="15" x14ac:dyDescent="0.3">
      <c r="A358" s="536"/>
      <c r="B358" s="515"/>
      <c r="C358" s="507">
        <v>46017</v>
      </c>
      <c r="D35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8" s="417" t="s">
        <v>3541</v>
      </c>
      <c r="F358" s="417" t="s">
        <v>3771</v>
      </c>
      <c r="G358" s="418"/>
      <c r="H358" s="419"/>
      <c r="I358" s="510"/>
      <c r="J358" s="510">
        <v>9000</v>
      </c>
      <c r="K358" s="421">
        <f>+K357+Tableau15356789101112131625236924[[#This Row],[RECETTE]]-Tableau15356789101112131625236924[[#This Row],[DÉPENSE]]</f>
        <v>5616124</v>
      </c>
      <c r="L358" s="414" t="str">
        <f ca="1">+IF($B358="","",SUMIFS(INDIRECT("$K$7:K"&amp;ROW()),INDIRECT("$B$7:B"&amp;ROW()),Tableau15356789101112131625236924[[#This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8" s="551"/>
      <c r="P358" s="314"/>
      <c r="Q358" s="314"/>
      <c r="R358" s="314"/>
    </row>
    <row r="359" spans="1:18" s="552" customFormat="1" ht="15" x14ac:dyDescent="0.2">
      <c r="A359" s="536"/>
      <c r="B359" s="515"/>
      <c r="C359" s="507">
        <v>46017</v>
      </c>
      <c r="D35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59" s="417" t="s">
        <v>2694</v>
      </c>
      <c r="F359" s="417" t="s">
        <v>3772</v>
      </c>
      <c r="G359" s="418"/>
      <c r="H359" s="419"/>
      <c r="I359" s="510"/>
      <c r="J359" s="510">
        <f>1000000+500000-150000</f>
        <v>1350000</v>
      </c>
      <c r="K359" s="421">
        <f>+K358+Tableau15356789101112131625236924[[#This Row],[RECETTE]]-Tableau15356789101112131625236924[[#This Row],[DÉPENSE]]</f>
        <v>4266124</v>
      </c>
      <c r="L359" s="414" t="str">
        <f ca="1">+IF($B359="","",SUMIFS(INDIRECT("$K$7:K"&amp;ROW()),INDIRECT("$B$7:B"&amp;ROW()),Tableau15356789101112131625236924[[#This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59" s="551"/>
      <c r="P359" s="553"/>
      <c r="Q359" s="553"/>
      <c r="R359" s="553"/>
    </row>
    <row r="360" spans="1:18" s="412" customFormat="1" ht="15" x14ac:dyDescent="0.3">
      <c r="A360" s="536"/>
      <c r="B360" s="515"/>
      <c r="C360" s="507">
        <v>46017</v>
      </c>
      <c r="D360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0" s="417" t="s">
        <v>3773</v>
      </c>
      <c r="F360" s="417" t="s">
        <v>3774</v>
      </c>
      <c r="G360" s="418"/>
      <c r="H360" s="419" t="s">
        <v>2685</v>
      </c>
      <c r="I360" s="510"/>
      <c r="J360" s="510">
        <v>25250</v>
      </c>
      <c r="K360" s="421">
        <f>+K359+Tableau15356789101112131625236924[[#This Row],[RECETTE]]-Tableau15356789101112131625236924[[#This Row],[DÉPENSE]]</f>
        <v>4240874</v>
      </c>
      <c r="L360" s="414" t="str">
        <f ca="1">+IF($B360="","",SUMIFS(INDIRECT("$K$7:K"&amp;ROW()),INDIRECT("$B$7:B"&amp;ROW()),Tableau15356789101112131625236924[[#This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0" s="551"/>
      <c r="P360" s="314"/>
      <c r="Q360" s="314"/>
      <c r="R360" s="314"/>
    </row>
    <row r="361" spans="1:18" s="412" customFormat="1" ht="15" x14ac:dyDescent="0.3">
      <c r="A361" s="536"/>
      <c r="B361" s="515"/>
      <c r="C361" s="507">
        <v>46017</v>
      </c>
      <c r="D361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1" s="417" t="s">
        <v>3775</v>
      </c>
      <c r="F361" s="417" t="s">
        <v>3776</v>
      </c>
      <c r="G361" s="418"/>
      <c r="H361" s="419"/>
      <c r="I361" s="510"/>
      <c r="J361" s="510">
        <v>5000</v>
      </c>
      <c r="K361" s="421">
        <f>+K360+Tableau15356789101112131625236924[[#This Row],[RECETTE]]-Tableau15356789101112131625236924[[#This Row],[DÉPENSE]]</f>
        <v>4235874</v>
      </c>
      <c r="L361" s="414" t="str">
        <f ca="1">+IF($B361="","",SUMIFS(INDIRECT("$K$7:K"&amp;ROW()),INDIRECT("$B$7:B"&amp;ROW()),Tableau15356789101112131625236924[[#This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1" s="551"/>
      <c r="P361" s="314"/>
      <c r="Q361" s="314"/>
      <c r="R361" s="314"/>
    </row>
    <row r="362" spans="1:18" s="412" customFormat="1" ht="15" x14ac:dyDescent="0.3">
      <c r="A362" s="536"/>
      <c r="B362" s="515"/>
      <c r="C362" s="507">
        <v>46017</v>
      </c>
      <c r="D36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2" s="417" t="s">
        <v>3767</v>
      </c>
      <c r="F362" s="417" t="s">
        <v>3777</v>
      </c>
      <c r="G362" s="418"/>
      <c r="H362" s="419" t="s">
        <v>3579</v>
      </c>
      <c r="I362" s="510"/>
      <c r="J362" s="510">
        <v>72420</v>
      </c>
      <c r="K362" s="421">
        <f>+K361+Tableau15356789101112131625236924[[#This Row],[RECETTE]]-Tableau15356789101112131625236924[[#This Row],[DÉPENSE]]</f>
        <v>4163454</v>
      </c>
      <c r="L362" s="414" t="str">
        <f ca="1">+IF($B362="","",SUMIFS(INDIRECT("$K$7:K"&amp;ROW()),INDIRECT("$B$7:B"&amp;ROW()),Tableau15356789101112131625236924[[#This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2" s="551"/>
      <c r="P362" s="314"/>
      <c r="Q362" s="314"/>
      <c r="R362" s="314"/>
    </row>
    <row r="363" spans="1:18" s="412" customFormat="1" ht="15" x14ac:dyDescent="0.3">
      <c r="A363" s="536"/>
      <c r="B363" s="515"/>
      <c r="C363" s="507">
        <v>46017</v>
      </c>
      <c r="D363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3" s="417" t="s">
        <v>2708</v>
      </c>
      <c r="F363" s="417" t="s">
        <v>3778</v>
      </c>
      <c r="G363" s="418"/>
      <c r="H363" s="419"/>
      <c r="I363" s="510"/>
      <c r="J363" s="510">
        <v>4000</v>
      </c>
      <c r="K363" s="421">
        <f>+K362+Tableau15356789101112131625236924[[#This Row],[RECETTE]]-Tableau15356789101112131625236924[[#This Row],[DÉPENSE]]</f>
        <v>4159454</v>
      </c>
      <c r="L363" s="414" t="str">
        <f ca="1">+IF($B363="","",SUMIFS(INDIRECT("$K$7:K"&amp;ROW()),INDIRECT("$B$7:B"&amp;ROW()),Tableau15356789101112131625236924[[#This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3" s="551"/>
      <c r="P363" s="314"/>
      <c r="Q363" s="314"/>
      <c r="R363" s="314"/>
    </row>
    <row r="364" spans="1:18" s="412" customFormat="1" ht="15" x14ac:dyDescent="0.3">
      <c r="A364" s="536"/>
      <c r="B364" s="515"/>
      <c r="C364" s="507">
        <v>46017</v>
      </c>
      <c r="D364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4" s="417" t="s">
        <v>3541</v>
      </c>
      <c r="F364" s="417" t="s">
        <v>3766</v>
      </c>
      <c r="G364" s="418"/>
      <c r="H364" s="419"/>
      <c r="I364" s="510"/>
      <c r="J364" s="510">
        <v>425500</v>
      </c>
      <c r="K364" s="421">
        <f>+K363+Tableau15356789101112131625236924[[#This Row],[RECETTE]]-Tableau15356789101112131625236924[[#This Row],[DÉPENSE]]</f>
        <v>3733954</v>
      </c>
      <c r="L364" s="414" t="str">
        <f ca="1">+IF($B364="","",SUMIFS(INDIRECT("$K$7:K"&amp;ROW()),INDIRECT("$B$7:B"&amp;ROW()),Tableau15356789101112131625236924[[#This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4" s="551"/>
      <c r="P364" s="314"/>
      <c r="Q364" s="314"/>
      <c r="R364" s="314"/>
    </row>
    <row r="365" spans="1:18" s="412" customFormat="1" ht="15" x14ac:dyDescent="0.3">
      <c r="A365" s="536"/>
      <c r="B365" s="515"/>
      <c r="C365" s="507">
        <v>46017</v>
      </c>
      <c r="D365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5" s="417" t="s">
        <v>3515</v>
      </c>
      <c r="F365" s="417" t="s">
        <v>3779</v>
      </c>
      <c r="G365" s="418"/>
      <c r="H365" s="419"/>
      <c r="I365" s="510"/>
      <c r="J365" s="510">
        <v>10000</v>
      </c>
      <c r="K365" s="421">
        <f>+K364+Tableau15356789101112131625236924[[#This Row],[RECETTE]]-Tableau15356789101112131625236924[[#This Row],[DÉPENSE]]</f>
        <v>3723954</v>
      </c>
      <c r="L365" s="414" t="str">
        <f ca="1">+IF($B365="","",SUMIFS(INDIRECT("$K$7:K"&amp;ROW()),INDIRECT("$B$7:B"&amp;ROW()),Tableau15356789101112131625236924[[#This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5" s="551"/>
      <c r="P365" s="314"/>
      <c r="Q365" s="314"/>
      <c r="R365" s="314"/>
    </row>
    <row r="366" spans="1:18" s="412" customFormat="1" ht="15" x14ac:dyDescent="0.3">
      <c r="A366" s="536"/>
      <c r="B366" s="515"/>
      <c r="C366" s="507">
        <v>46017</v>
      </c>
      <c r="D366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6" s="417" t="s">
        <v>2818</v>
      </c>
      <c r="F366" s="417" t="s">
        <v>3780</v>
      </c>
      <c r="G366" s="418"/>
      <c r="H366" s="419"/>
      <c r="I366" s="510"/>
      <c r="J366" s="510">
        <v>242000</v>
      </c>
      <c r="K366" s="421">
        <f>+K365+Tableau15356789101112131625236924[[#This Row],[RECETTE]]-Tableau15356789101112131625236924[[#This Row],[DÉPENSE]]</f>
        <v>3481954</v>
      </c>
      <c r="L366" s="414" t="str">
        <f ca="1">+IF($B366="","",SUMIFS(INDIRECT("$K$7:K"&amp;ROW()),INDIRECT("$B$7:B"&amp;ROW()),Tableau15356789101112131625236924[[#This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6" s="551"/>
      <c r="P366" s="314"/>
      <c r="Q366" s="314"/>
      <c r="R366" s="314"/>
    </row>
    <row r="367" spans="1:18" s="552" customFormat="1" ht="15" x14ac:dyDescent="0.2">
      <c r="A367" s="536"/>
      <c r="B367" s="515"/>
      <c r="C367" s="507">
        <v>46017</v>
      </c>
      <c r="D367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7" s="417" t="s">
        <v>2764</v>
      </c>
      <c r="F367" s="417" t="s">
        <v>3781</v>
      </c>
      <c r="G367" s="418"/>
      <c r="H367" s="419"/>
      <c r="I367" s="510"/>
      <c r="J367" s="510">
        <v>18380</v>
      </c>
      <c r="K367" s="421">
        <f>+K366+Tableau15356789101112131625236924[[#This Row],[RECETTE]]-Tableau15356789101112131625236924[[#This Row],[DÉPENSE]]</f>
        <v>3463574</v>
      </c>
      <c r="L367" s="414" t="str">
        <f ca="1">+IF($B367="","",SUMIFS(INDIRECT("$K$7:K"&amp;ROW()),INDIRECT("$B$7:B"&amp;ROW()),Tableau15356789101112131625236924[[#This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7" s="551"/>
      <c r="P367" s="553"/>
      <c r="Q367" s="553"/>
      <c r="R367" s="553"/>
    </row>
    <row r="368" spans="1:18" s="412" customFormat="1" ht="15" x14ac:dyDescent="0.3">
      <c r="A368" s="536"/>
      <c r="B368" s="515"/>
      <c r="C368" s="507">
        <v>46017</v>
      </c>
      <c r="D368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8" s="417" t="s">
        <v>2764</v>
      </c>
      <c r="F368" s="417" t="s">
        <v>3782</v>
      </c>
      <c r="G368" s="418"/>
      <c r="H368" s="419"/>
      <c r="I368" s="510"/>
      <c r="J368" s="510">
        <v>3500</v>
      </c>
      <c r="K368" s="421">
        <f>+K367+Tableau15356789101112131625236924[[#This Row],[RECETTE]]-Tableau15356789101112131625236924[[#This Row],[DÉPENSE]]</f>
        <v>3460074</v>
      </c>
      <c r="L368" s="414" t="str">
        <f ca="1">+IF($B368="","",SUMIFS(INDIRECT("$K$7:K"&amp;ROW()),INDIRECT("$B$7:B"&amp;ROW()),Tableau15356789101112131625236924[[#This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8" s="551"/>
      <c r="P368" s="314"/>
      <c r="Q368" s="314"/>
      <c r="R368" s="314"/>
    </row>
    <row r="369" spans="1:18" s="412" customFormat="1" ht="15" x14ac:dyDescent="0.3">
      <c r="A369" s="536"/>
      <c r="B369" s="515"/>
      <c r="C369" s="507">
        <v>46017</v>
      </c>
      <c r="D369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69" s="417" t="s">
        <v>3001</v>
      </c>
      <c r="F369" s="417" t="s">
        <v>3783</v>
      </c>
      <c r="G369" s="418"/>
      <c r="H369" s="419"/>
      <c r="I369" s="510"/>
      <c r="J369" s="510">
        <v>150000</v>
      </c>
      <c r="K369" s="421">
        <f>+K368+Tableau15356789101112131625236924[[#This Row],[RECETTE]]-Tableau15356789101112131625236924[[#This Row],[DÉPENSE]]</f>
        <v>3310074</v>
      </c>
      <c r="L369" s="414" t="str">
        <f ca="1">+IF($B369="","",SUMIFS(INDIRECT("$K$7:K"&amp;ROW()),INDIRECT("$B$7:B"&amp;ROW()),Tableau15356789101112131625236924[[#This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69" s="551"/>
      <c r="P369" s="314"/>
      <c r="Q369" s="314"/>
      <c r="R369" s="314"/>
    </row>
    <row r="370" spans="1:18" s="552" customFormat="1" ht="15" x14ac:dyDescent="0.2">
      <c r="A370" s="536"/>
      <c r="B370" s="515"/>
      <c r="C370" s="507">
        <v>46017</v>
      </c>
      <c r="D370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0" s="417" t="s">
        <v>3784</v>
      </c>
      <c r="F370" s="417" t="s">
        <v>3785</v>
      </c>
      <c r="G370" s="418"/>
      <c r="H370" s="419"/>
      <c r="I370" s="510"/>
      <c r="J370" s="510">
        <v>3000</v>
      </c>
      <c r="K370" s="421">
        <f>+K369+Tableau15356789101112131625236924[[#This Row],[RECETTE]]-Tableau15356789101112131625236924[[#This Row],[DÉPENSE]]</f>
        <v>3307074</v>
      </c>
      <c r="L370" s="414" t="str">
        <f ca="1">+IF($B370="","",SUMIFS(INDIRECT("$K$7:K"&amp;ROW()),INDIRECT("$B$7:B"&amp;ROW()),Tableau15356789101112131625236924[[#This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0" s="551"/>
      <c r="P370" s="553"/>
      <c r="Q370" s="553"/>
      <c r="R370" s="553"/>
    </row>
    <row r="371" spans="1:18" s="412" customFormat="1" ht="15" x14ac:dyDescent="0.3">
      <c r="A371" s="536"/>
      <c r="B371" s="515"/>
      <c r="C371" s="507">
        <v>46017</v>
      </c>
      <c r="D371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1" s="417" t="s">
        <v>3541</v>
      </c>
      <c r="F371" s="417" t="s">
        <v>3541</v>
      </c>
      <c r="G371" s="418"/>
      <c r="H371" s="419"/>
      <c r="I371" s="510"/>
      <c r="J371" s="510">
        <v>103600</v>
      </c>
      <c r="K371" s="421">
        <f>+K370+Tableau15356789101112131625236924[[#This Row],[RECETTE]]-Tableau15356789101112131625236924[[#This Row],[DÉPENSE]]</f>
        <v>3203474</v>
      </c>
      <c r="L371" s="414" t="str">
        <f ca="1">+IF($B371="","",SUMIFS(INDIRECT("$K$7:K"&amp;ROW()),INDIRECT("$B$7:B"&amp;ROW()),Tableau15356789101112131625236924[[#This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1" s="551"/>
      <c r="P371" s="314"/>
      <c r="Q371" s="314"/>
      <c r="R371" s="314"/>
    </row>
    <row r="372" spans="1:18" s="412" customFormat="1" ht="15" x14ac:dyDescent="0.3">
      <c r="A372" s="536"/>
      <c r="B372" s="515"/>
      <c r="C372" s="507">
        <v>46017</v>
      </c>
      <c r="D37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2" s="417" t="s">
        <v>3501</v>
      </c>
      <c r="F372" s="417" t="s">
        <v>3786</v>
      </c>
      <c r="G372" s="418"/>
      <c r="H372" s="419"/>
      <c r="I372" s="510"/>
      <c r="J372" s="510">
        <v>45450</v>
      </c>
      <c r="K372" s="421">
        <f>+K371+Tableau15356789101112131625236924[[#This Row],[RECETTE]]-Tableau15356789101112131625236924[[#This Row],[DÉPENSE]]</f>
        <v>3158024</v>
      </c>
      <c r="L372" s="414" t="str">
        <f ca="1">+IF($B372="","",SUMIFS(INDIRECT("$K$7:K"&amp;ROW()),INDIRECT("$B$7:B"&amp;ROW()),Tableau15356789101112131625236924[[#This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2" s="551"/>
      <c r="P372" s="314"/>
      <c r="Q372" s="314"/>
      <c r="R372" s="314"/>
    </row>
    <row r="373" spans="1:18" s="412" customFormat="1" ht="15" x14ac:dyDescent="0.3">
      <c r="A373" s="536"/>
      <c r="B373" s="515"/>
      <c r="C373" s="507">
        <v>46017</v>
      </c>
      <c r="D373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3" s="417" t="s">
        <v>3787</v>
      </c>
      <c r="F373" s="417" t="s">
        <v>3786</v>
      </c>
      <c r="G373" s="418"/>
      <c r="H373" s="419"/>
      <c r="I373" s="510"/>
      <c r="J373" s="510">
        <v>45450</v>
      </c>
      <c r="K373" s="421">
        <f>+K372+Tableau15356789101112131625236924[[#This Row],[RECETTE]]-Tableau15356789101112131625236924[[#This Row],[DÉPENSE]]</f>
        <v>3112574</v>
      </c>
      <c r="L373" s="414" t="str">
        <f ca="1">+IF($B373="","",SUMIFS(INDIRECT("$K$7:K"&amp;ROW()),INDIRECT("$B$7:B"&amp;ROW()),Tableau15356789101112131625236924[[#This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3" s="551"/>
      <c r="P373" s="314"/>
      <c r="Q373" s="314"/>
      <c r="R373" s="314"/>
    </row>
    <row r="374" spans="1:18" ht="15" x14ac:dyDescent="0.3">
      <c r="A374" s="434"/>
      <c r="B374" s="392"/>
      <c r="C374" s="487">
        <v>46018</v>
      </c>
      <c r="D37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4" s="489" t="s">
        <v>2868</v>
      </c>
      <c r="F374" s="489" t="s">
        <v>3788</v>
      </c>
      <c r="G374" s="454"/>
      <c r="H374" s="494"/>
      <c r="I374" s="492"/>
      <c r="J374" s="492">
        <v>4040</v>
      </c>
      <c r="K374" s="491">
        <f>+K373+Tableau15356789101112131625236924[[#This Row],[RECETTE]]-Tableau15356789101112131625236924[[#This Row],[DÉPENSE]]</f>
        <v>3108534</v>
      </c>
      <c r="L374" s="403" t="str">
        <f ca="1">+IF($B374="","",SUMIFS(INDIRECT("$K$7:K"&amp;ROW()),INDIRECT("$B$7:B"&amp;ROW()),Tableau15356789101112131625236924[[#This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4" s="490"/>
    </row>
    <row r="375" spans="1:18" ht="15" x14ac:dyDescent="0.3">
      <c r="A375" s="434"/>
      <c r="B375" s="392"/>
      <c r="C375" s="487">
        <v>46019</v>
      </c>
      <c r="D37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5" s="489" t="s">
        <v>2714</v>
      </c>
      <c r="F375" s="489" t="s">
        <v>3789</v>
      </c>
      <c r="G375" s="454"/>
      <c r="H375" s="494" t="s">
        <v>2746</v>
      </c>
      <c r="I375" s="492"/>
      <c r="J375" s="492">
        <v>60500</v>
      </c>
      <c r="K375" s="491">
        <f>+K374+Tableau15356789101112131625236924[[#This Row],[RECETTE]]-Tableau15356789101112131625236924[[#This Row],[DÉPENSE]]</f>
        <v>3048034</v>
      </c>
      <c r="L375" s="403" t="str">
        <f ca="1">+IF($B375="","",SUMIFS(INDIRECT("$K$7:K"&amp;ROW()),INDIRECT("$B$7:B"&amp;ROW()),Tableau15356789101112131625236924[[#This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5" s="490"/>
    </row>
    <row r="376" spans="1:18" ht="15" x14ac:dyDescent="0.3">
      <c r="A376" s="434"/>
      <c r="B376" s="392"/>
      <c r="C376" s="487">
        <v>46019</v>
      </c>
      <c r="D37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6" s="489" t="s">
        <v>2714</v>
      </c>
      <c r="F376" s="489" t="s">
        <v>3790</v>
      </c>
      <c r="G376" s="454"/>
      <c r="H376" s="494"/>
      <c r="I376" s="492"/>
      <c r="J376" s="492">
        <v>5000</v>
      </c>
      <c r="K376" s="491">
        <f>+K375+Tableau15356789101112131625236924[[#This Row],[RECETTE]]-Tableau15356789101112131625236924[[#This Row],[DÉPENSE]]</f>
        <v>3043034</v>
      </c>
      <c r="L376" s="403" t="str">
        <f ca="1">+IF($B376="","",SUMIFS(INDIRECT("$K$7:K"&amp;ROW()),INDIRECT("$B$7:B"&amp;ROW()),Tableau15356789101112131625236924[[#This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6" s="490"/>
    </row>
    <row r="377" spans="1:18" ht="15" x14ac:dyDescent="0.3">
      <c r="A377" s="434"/>
      <c r="B377" s="392"/>
      <c r="C377" s="487">
        <v>46020</v>
      </c>
      <c r="D37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7" s="489" t="s">
        <v>2820</v>
      </c>
      <c r="F377" s="489" t="s">
        <v>3791</v>
      </c>
      <c r="G377" s="454"/>
      <c r="H377" s="494" t="s">
        <v>2687</v>
      </c>
      <c r="I377" s="492"/>
      <c r="J377" s="492">
        <v>30300</v>
      </c>
      <c r="K377" s="491">
        <f>+K376+Tableau15356789101112131625236924[[#This Row],[RECETTE]]-Tableau15356789101112131625236924[[#This Row],[DÉPENSE]]</f>
        <v>3012734</v>
      </c>
      <c r="L377" s="403" t="str">
        <f ca="1">+IF($B377="","",SUMIFS(INDIRECT("$K$7:K"&amp;ROW()),INDIRECT("$B$7:B"&amp;ROW()),Tableau15356789101112131625236924[[#This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7" s="490"/>
    </row>
    <row r="378" spans="1:18" ht="15" x14ac:dyDescent="0.3">
      <c r="A378" s="434"/>
      <c r="B378" s="392"/>
      <c r="C378" s="487">
        <v>46020</v>
      </c>
      <c r="D37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8" s="489" t="s">
        <v>2727</v>
      </c>
      <c r="F378" s="489" t="s">
        <v>2879</v>
      </c>
      <c r="G378" s="454"/>
      <c r="H378" s="494" t="s">
        <v>3392</v>
      </c>
      <c r="I378" s="492"/>
      <c r="J378" s="492">
        <v>10100</v>
      </c>
      <c r="K378" s="491">
        <f>+K377+Tableau15356789101112131625236924[[#This Row],[RECETTE]]-Tableau15356789101112131625236924[[#This Row],[DÉPENSE]]</f>
        <v>3002634</v>
      </c>
      <c r="L378" s="403" t="str">
        <f ca="1">+IF($B378="","",SUMIFS(INDIRECT("$K$7:K"&amp;ROW()),INDIRECT("$B$7:B"&amp;ROW()),Tableau15356789101112131625236924[[#This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8" s="490"/>
    </row>
    <row r="379" spans="1:18" ht="15" x14ac:dyDescent="0.3">
      <c r="A379" s="434"/>
      <c r="B379" s="392"/>
      <c r="C379" s="487">
        <v>46020</v>
      </c>
      <c r="D37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79" s="489" t="s">
        <v>3015</v>
      </c>
      <c r="F379" s="489" t="s">
        <v>3792</v>
      </c>
      <c r="G379" s="454"/>
      <c r="H379" s="494"/>
      <c r="I379" s="492"/>
      <c r="J379" s="492">
        <v>90000</v>
      </c>
      <c r="K379" s="491">
        <f>+K378+Tableau15356789101112131625236924[[#This Row],[RECETTE]]-Tableau15356789101112131625236924[[#This Row],[DÉPENSE]]</f>
        <v>2912634</v>
      </c>
      <c r="L379" s="403" t="str">
        <f ca="1">+IF($B379="","",SUMIFS(INDIRECT("$K$7:K"&amp;ROW()),INDIRECT("$B$7:B"&amp;ROW()),Tableau15356789101112131625236924[[#This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79" s="490"/>
    </row>
    <row r="380" spans="1:18" s="412" customFormat="1" ht="15" x14ac:dyDescent="0.3">
      <c r="A380" s="536"/>
      <c r="B380" s="515"/>
      <c r="C380" s="507">
        <v>46020</v>
      </c>
      <c r="D380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0" s="417" t="s">
        <v>3349</v>
      </c>
      <c r="F380" s="417" t="s">
        <v>3793</v>
      </c>
      <c r="G380" s="418"/>
      <c r="H380" s="419"/>
      <c r="I380" s="510"/>
      <c r="J380" s="510">
        <v>6000</v>
      </c>
      <c r="K380" s="491">
        <f>+K379+Tableau15356789101112131625236924[[#This Row],[RECETTE]]-Tableau15356789101112131625236924[[#This Row],[DÉPENSE]]</f>
        <v>2906634</v>
      </c>
      <c r="L380" s="414" t="str">
        <f ca="1">+IF($B380="","",SUMIFS(INDIRECT("$K$7:K"&amp;ROW()),INDIRECT("$B$7:B"&amp;ROW()),Tableau15356789101112131625236924[[#This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0" s="551"/>
      <c r="P380" s="314"/>
      <c r="Q380" s="314"/>
      <c r="R380" s="314"/>
    </row>
    <row r="381" spans="1:18" s="539" customFormat="1" ht="15" x14ac:dyDescent="0.2">
      <c r="A381" s="434"/>
      <c r="B381" s="392"/>
      <c r="C381" s="487">
        <v>46020</v>
      </c>
      <c r="D38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1" s="489" t="s">
        <v>3001</v>
      </c>
      <c r="F381" s="489" t="s">
        <v>3794</v>
      </c>
      <c r="G381" s="454"/>
      <c r="H381" s="494"/>
      <c r="I381" s="492"/>
      <c r="J381" s="492">
        <v>151500</v>
      </c>
      <c r="K381" s="491">
        <f>+K380+Tableau15356789101112131625236924[[#This Row],[RECETTE]]-Tableau15356789101112131625236924[[#This Row],[DÉPENSE]]</f>
        <v>2755134</v>
      </c>
      <c r="L381" s="403" t="str">
        <f ca="1">+IF($B381="","",SUMIFS(INDIRECT("$K$7:K"&amp;ROW()),INDIRECT("$B$7:B"&amp;ROW()),Tableau15356789101112131625236924[[#This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1" s="490"/>
      <c r="P381" s="540"/>
      <c r="Q381" s="540"/>
      <c r="R381" s="540"/>
    </row>
    <row r="382" spans="1:18" s="412" customFormat="1" ht="15" x14ac:dyDescent="0.3">
      <c r="A382" s="536"/>
      <c r="B382" s="515"/>
      <c r="C382" s="507">
        <v>46020</v>
      </c>
      <c r="D38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2" s="417" t="s">
        <v>2764</v>
      </c>
      <c r="F382" s="417" t="s">
        <v>3747</v>
      </c>
      <c r="G382" s="418"/>
      <c r="H382" s="419"/>
      <c r="I382" s="510"/>
      <c r="J382" s="510">
        <v>20400</v>
      </c>
      <c r="K382" s="491">
        <f>+K381+Tableau15356789101112131625236924[[#This Row],[RECETTE]]-Tableau15356789101112131625236924[[#This Row],[DÉPENSE]]</f>
        <v>2734734</v>
      </c>
      <c r="L382" s="414" t="str">
        <f ca="1">+IF($B382="","",SUMIFS(INDIRECT("$K$7:K"&amp;ROW()),INDIRECT("$B$7:B"&amp;ROW()),Tableau15356789101112131625236924[[#This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2" s="551"/>
      <c r="P382" s="314"/>
      <c r="Q382" s="314"/>
      <c r="R382" s="314"/>
    </row>
    <row r="383" spans="1:18" ht="15" x14ac:dyDescent="0.3">
      <c r="A383" s="434"/>
      <c r="B383" s="392"/>
      <c r="C383" s="487">
        <v>46020</v>
      </c>
      <c r="D38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3" s="489" t="s">
        <v>2708</v>
      </c>
      <c r="F383" s="489" t="s">
        <v>2893</v>
      </c>
      <c r="G383" s="454"/>
      <c r="H383" s="494"/>
      <c r="I383" s="492"/>
      <c r="J383" s="492">
        <v>1000</v>
      </c>
      <c r="K383" s="491">
        <f>+K382+Tableau15356789101112131625236924[[#This Row],[RECETTE]]-Tableau15356789101112131625236924[[#This Row],[DÉPENSE]]</f>
        <v>2733734</v>
      </c>
      <c r="L383" s="403" t="str">
        <f ca="1">+IF($B383="","",SUMIFS(INDIRECT("$K$7:K"&amp;ROW()),INDIRECT("$B$7:B"&amp;ROW()),Tableau15356789101112131625236924[[#This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3" s="490"/>
    </row>
    <row r="384" spans="1:18" ht="15" x14ac:dyDescent="0.3">
      <c r="A384" s="434"/>
      <c r="B384" s="392"/>
      <c r="C384" s="487">
        <v>46021</v>
      </c>
      <c r="D38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4" s="489" t="s">
        <v>3767</v>
      </c>
      <c r="F384" s="489" t="s">
        <v>2748</v>
      </c>
      <c r="G384" s="454"/>
      <c r="H384" s="494"/>
      <c r="I384" s="492"/>
      <c r="J384" s="492">
        <v>10100</v>
      </c>
      <c r="K384" s="491">
        <f>+K383+Tableau15356789101112131625236924[[#This Row],[RECETTE]]-Tableau15356789101112131625236924[[#This Row],[DÉPENSE]]</f>
        <v>2723634</v>
      </c>
      <c r="L384" s="403" t="str">
        <f ca="1">+IF($B384="","",SUMIFS(INDIRECT("$K$7:K"&amp;ROW()),INDIRECT("$B$7:B"&amp;ROW()),Tableau15356789101112131625236924[[#This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4" s="490"/>
    </row>
    <row r="385" spans="1:18" s="412" customFormat="1" ht="15" x14ac:dyDescent="0.3">
      <c r="A385" s="536"/>
      <c r="B385" s="515"/>
      <c r="C385" s="507">
        <v>46021</v>
      </c>
      <c r="D385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5" s="417" t="s">
        <v>2727</v>
      </c>
      <c r="F385" s="417" t="s">
        <v>3795</v>
      </c>
      <c r="G385" s="418"/>
      <c r="H385" s="419" t="s">
        <v>2729</v>
      </c>
      <c r="I385" s="510"/>
      <c r="J385" s="510">
        <v>265000</v>
      </c>
      <c r="K385" s="491">
        <f>+K384+Tableau15356789101112131625236924[[#This Row],[RECETTE]]-Tableau15356789101112131625236924[[#This Row],[DÉPENSE]]</f>
        <v>2458634</v>
      </c>
      <c r="L385" s="414" t="str">
        <f ca="1">+IF($B385="","",SUMIFS(INDIRECT("$K$7:K"&amp;ROW()),INDIRECT("$B$7:B"&amp;ROW()),Tableau15356789101112131625236924[[#This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5" s="551"/>
      <c r="P385" s="314"/>
      <c r="Q385" s="314"/>
      <c r="R385" s="314"/>
    </row>
    <row r="386" spans="1:18" s="412" customFormat="1" ht="15" x14ac:dyDescent="0.3">
      <c r="A386" s="536"/>
      <c r="B386" s="515"/>
      <c r="C386" s="507">
        <v>46021</v>
      </c>
      <c r="D386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6" s="417" t="s">
        <v>2844</v>
      </c>
      <c r="F386" s="417" t="s">
        <v>3796</v>
      </c>
      <c r="G386" s="418"/>
      <c r="H386" s="419"/>
      <c r="I386" s="510"/>
      <c r="J386" s="510">
        <v>333000</v>
      </c>
      <c r="K386" s="491">
        <f>+K385+Tableau15356789101112131625236924[[#This Row],[RECETTE]]-Tableau15356789101112131625236924[[#This Row],[DÉPENSE]]</f>
        <v>2125634</v>
      </c>
      <c r="L386" s="414" t="str">
        <f ca="1">+IF($B386="","",SUMIFS(INDIRECT("$K$7:K"&amp;ROW()),INDIRECT("$B$7:B"&amp;ROW()),Tableau15356789101112131625236924[[#This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6" s="551"/>
      <c r="P386" s="314"/>
      <c r="Q386" s="314"/>
      <c r="R386" s="314"/>
    </row>
    <row r="387" spans="1:18" ht="15" x14ac:dyDescent="0.3">
      <c r="A387" s="434"/>
      <c r="B387" s="392"/>
      <c r="C387" s="487">
        <v>46021</v>
      </c>
      <c r="D38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7" s="489" t="s">
        <v>3349</v>
      </c>
      <c r="F387" s="489" t="s">
        <v>3797</v>
      </c>
      <c r="G387" s="454"/>
      <c r="H387" s="494"/>
      <c r="I387" s="492"/>
      <c r="J387" s="492">
        <v>4500</v>
      </c>
      <c r="K387" s="491">
        <f>+K386+Tableau15356789101112131625236924[[#This Row],[RECETTE]]-Tableau15356789101112131625236924[[#This Row],[DÉPENSE]]</f>
        <v>2121134</v>
      </c>
      <c r="L387" s="403" t="str">
        <f ca="1">+IF($B387="","",SUMIFS(INDIRECT("$K$7:K"&amp;ROW()),INDIRECT("$B$7:B"&amp;ROW()),Tableau15356789101112131625236924[[#This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7" s="490"/>
    </row>
    <row r="388" spans="1:18" ht="15" x14ac:dyDescent="0.3">
      <c r="A388" s="434"/>
      <c r="B388" s="392"/>
      <c r="C388" s="487">
        <v>46021</v>
      </c>
      <c r="D38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8" s="489" t="s">
        <v>3775</v>
      </c>
      <c r="F388" s="489" t="s">
        <v>2748</v>
      </c>
      <c r="G388" s="454"/>
      <c r="H388" s="494"/>
      <c r="I388" s="492"/>
      <c r="J388" s="492">
        <v>50000</v>
      </c>
      <c r="K388" s="491">
        <f>+K387+Tableau15356789101112131625236924[[#This Row],[RECETTE]]-Tableau15356789101112131625236924[[#This Row],[DÉPENSE]]</f>
        <v>2071134</v>
      </c>
      <c r="L388" s="403" t="str">
        <f ca="1">+IF($B388="","",SUMIFS(INDIRECT("$K$7:K"&amp;ROW()),INDIRECT("$B$7:B"&amp;ROW()),Tableau15356789101112131625236924[[#This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8" s="490"/>
    </row>
    <row r="389" spans="1:18" ht="15" x14ac:dyDescent="0.3">
      <c r="A389" s="434"/>
      <c r="B389" s="392"/>
      <c r="C389" s="487">
        <v>46021</v>
      </c>
      <c r="D38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89" s="489" t="s">
        <v>2694</v>
      </c>
      <c r="F389" s="489" t="s">
        <v>3798</v>
      </c>
      <c r="G389" s="454"/>
      <c r="H389" s="494"/>
      <c r="I389" s="492"/>
      <c r="J389" s="492">
        <v>15000</v>
      </c>
      <c r="K389" s="491">
        <f>+K388+Tableau15356789101112131625236924[[#This Row],[RECETTE]]-Tableau15356789101112131625236924[[#This Row],[DÉPENSE]]</f>
        <v>2056134</v>
      </c>
      <c r="L389" s="403" t="str">
        <f ca="1">+IF($B389="","",SUMIFS(INDIRECT("$K$7:K"&amp;ROW()),INDIRECT("$B$7:B"&amp;ROW()),Tableau15356789101112131625236924[[#This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89" s="490"/>
    </row>
    <row r="390" spans="1:18" ht="15" x14ac:dyDescent="0.3">
      <c r="A390" s="434"/>
      <c r="B390" s="392"/>
      <c r="C390" s="487">
        <v>46021</v>
      </c>
      <c r="D39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0" s="489" t="s">
        <v>3799</v>
      </c>
      <c r="F390" s="489" t="s">
        <v>2748</v>
      </c>
      <c r="G390" s="454"/>
      <c r="H390" s="494"/>
      <c r="I390" s="492"/>
      <c r="J390" s="492">
        <v>50500</v>
      </c>
      <c r="K390" s="491">
        <f>+K389+Tableau15356789101112131625236924[[#This Row],[RECETTE]]-Tableau15356789101112131625236924[[#This Row],[DÉPENSE]]</f>
        <v>2005634</v>
      </c>
      <c r="L390" s="403" t="str">
        <f ca="1">+IF($B390="","",SUMIFS(INDIRECT("$K$7:K"&amp;ROW()),INDIRECT("$B$7:B"&amp;ROW()),Tableau15356789101112131625236924[[#This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0" s="490"/>
    </row>
    <row r="391" spans="1:18" ht="15" x14ac:dyDescent="0.3">
      <c r="A391" s="434"/>
      <c r="B391" s="392"/>
      <c r="C391" s="487">
        <v>46021</v>
      </c>
      <c r="D39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1" s="489" t="s">
        <v>3800</v>
      </c>
      <c r="F391" s="489" t="s">
        <v>3801</v>
      </c>
      <c r="G391" s="454"/>
      <c r="H391" s="494"/>
      <c r="I391" s="492"/>
      <c r="J391" s="492">
        <v>126250</v>
      </c>
      <c r="K391" s="491">
        <f>+K390+Tableau15356789101112131625236924[[#This Row],[RECETTE]]-Tableau15356789101112131625236924[[#This Row],[DÉPENSE]]</f>
        <v>1879384</v>
      </c>
      <c r="L391" s="403" t="str">
        <f ca="1">+IF($B391="","",SUMIFS(INDIRECT("$K$7:K"&amp;ROW()),INDIRECT("$B$7:B"&amp;ROW()),Tableau15356789101112131625236924[[#This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1" s="490"/>
    </row>
    <row r="392" spans="1:18" s="412" customFormat="1" ht="15" x14ac:dyDescent="0.3">
      <c r="A392" s="536"/>
      <c r="B392" s="515"/>
      <c r="C392" s="507">
        <v>46021</v>
      </c>
      <c r="D392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2" s="417" t="s">
        <v>3122</v>
      </c>
      <c r="F392" s="417" t="s">
        <v>3802</v>
      </c>
      <c r="G392" s="418"/>
      <c r="H392" s="419"/>
      <c r="I392" s="510"/>
      <c r="J392" s="510">
        <v>101000</v>
      </c>
      <c r="K392" s="491">
        <f>+K391+Tableau15356789101112131625236924[[#This Row],[RECETTE]]-Tableau15356789101112131625236924[[#This Row],[DÉPENSE]]</f>
        <v>1778384</v>
      </c>
      <c r="L392" s="414" t="str">
        <f ca="1">+IF($B392="","",SUMIFS(INDIRECT("$K$7:K"&amp;ROW()),INDIRECT("$B$7:B"&amp;ROW()),Tableau15356789101112131625236924[[#This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2" s="551"/>
      <c r="P392" s="314"/>
      <c r="Q392" s="314"/>
      <c r="R392" s="314"/>
    </row>
    <row r="393" spans="1:18" s="412" customFormat="1" ht="15" x14ac:dyDescent="0.3">
      <c r="A393" s="536"/>
      <c r="B393" s="515"/>
      <c r="C393" s="507">
        <v>46021</v>
      </c>
      <c r="D393" s="41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3" s="417" t="s">
        <v>3775</v>
      </c>
      <c r="F393" s="417" t="s">
        <v>3803</v>
      </c>
      <c r="G393" s="418"/>
      <c r="H393" s="419"/>
      <c r="I393" s="510"/>
      <c r="J393" s="510">
        <v>85000</v>
      </c>
      <c r="K393" s="491">
        <f>+K392+Tableau15356789101112131625236924[[#This Row],[RECETTE]]-Tableau15356789101112131625236924[[#This Row],[DÉPENSE]]</f>
        <v>1693384</v>
      </c>
      <c r="L393" s="414" t="str">
        <f ca="1">+IF($B393="","",SUMIFS(INDIRECT("$K$7:K"&amp;ROW()),INDIRECT("$B$7:B"&amp;ROW()),Tableau15356789101112131625236924[[#This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3" s="551"/>
      <c r="P393" s="314"/>
      <c r="Q393" s="314"/>
      <c r="R393" s="314"/>
    </row>
    <row r="394" spans="1:18" ht="15" x14ac:dyDescent="0.3">
      <c r="A394" s="434"/>
      <c r="B394" s="392"/>
      <c r="C394" s="487">
        <v>46022</v>
      </c>
      <c r="D39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4" s="489" t="s">
        <v>3515</v>
      </c>
      <c r="F394" s="489" t="s">
        <v>3804</v>
      </c>
      <c r="G394" s="454"/>
      <c r="H394" s="494"/>
      <c r="I394" s="491"/>
      <c r="J394" s="492">
        <v>6400</v>
      </c>
      <c r="K394" s="491">
        <f>+K393+Tableau15356789101112131625236924[[#This Row],[RECETTE]]-Tableau15356789101112131625236924[[#This Row],[DÉPENSE]]</f>
        <v>1686984</v>
      </c>
      <c r="L394" s="403" t="str">
        <f ca="1">+IF($B394="","",SUMIFS(INDIRECT("$K$7:K"&amp;ROW()),INDIRECT("$B$7:B"&amp;ROW()),Tableau15356789101112131625236924[[#This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4" s="490"/>
    </row>
    <row r="395" spans="1:18" ht="15" x14ac:dyDescent="0.3">
      <c r="A395" s="434"/>
      <c r="B395" s="392"/>
      <c r="C395" s="487">
        <v>46022</v>
      </c>
      <c r="D39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5" s="489" t="s">
        <v>2764</v>
      </c>
      <c r="F395" s="489" t="s">
        <v>3805</v>
      </c>
      <c r="G395" s="454"/>
      <c r="H395" s="494"/>
      <c r="I395" s="491"/>
      <c r="J395" s="492">
        <v>3800</v>
      </c>
      <c r="K395" s="491">
        <f>+K394+Tableau15356789101112131625236924[[#This Row],[RECETTE]]-Tableau15356789101112131625236924[[#This Row],[DÉPENSE]]</f>
        <v>1683184</v>
      </c>
      <c r="L395" s="403" t="str">
        <f ca="1">+IF($B395="","",SUMIFS(INDIRECT("$K$7:K"&amp;ROW()),INDIRECT("$B$7:B"&amp;ROW()),Tableau15356789101112131625236924[[#This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5" s="490"/>
    </row>
    <row r="396" spans="1:18" ht="15" x14ac:dyDescent="0.3">
      <c r="A396" s="434"/>
      <c r="B396" s="392"/>
      <c r="C396" s="487">
        <v>46022</v>
      </c>
      <c r="D39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6" s="489" t="s">
        <v>2714</v>
      </c>
      <c r="F396" s="489" t="s">
        <v>3806</v>
      </c>
      <c r="G396" s="454"/>
      <c r="H396" s="494"/>
      <c r="I396" s="491"/>
      <c r="J396" s="492">
        <v>37400</v>
      </c>
      <c r="K396" s="491">
        <f>+K395+Tableau15356789101112131625236924[[#This Row],[RECETTE]]-Tableau15356789101112131625236924[[#This Row],[DÉPENSE]]</f>
        <v>1645784</v>
      </c>
      <c r="L396" s="403" t="str">
        <f ca="1">+IF($B396="","",SUMIFS(INDIRECT("$K$7:K"&amp;ROW()),INDIRECT("$B$7:B"&amp;ROW()),Tableau15356789101112131625236924[[#This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6" s="490"/>
    </row>
    <row r="397" spans="1:18" ht="15" x14ac:dyDescent="0.3">
      <c r="A397" s="434"/>
      <c r="B397" s="392"/>
      <c r="C397" s="487">
        <v>46022</v>
      </c>
      <c r="D39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7" s="489" t="s">
        <v>2727</v>
      </c>
      <c r="F397" s="489" t="s">
        <v>3807</v>
      </c>
      <c r="G397" s="454"/>
      <c r="H397" s="494" t="s">
        <v>2729</v>
      </c>
      <c r="I397" s="491"/>
      <c r="J397" s="492">
        <v>80800</v>
      </c>
      <c r="K397" s="491">
        <f>+K396+Tableau15356789101112131625236924[[#This Row],[RECETTE]]-Tableau15356789101112131625236924[[#This Row],[DÉPENSE]]</f>
        <v>1564984</v>
      </c>
      <c r="L397" s="403" t="str">
        <f ca="1">+IF($B397="","",SUMIFS(INDIRECT("$K$7:K"&amp;ROW()),INDIRECT("$B$7:B"&amp;ROW()),Tableau15356789101112131625236924[[#This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7" s="490"/>
    </row>
    <row r="398" spans="1:18" ht="15" x14ac:dyDescent="0.3">
      <c r="A398" s="434"/>
      <c r="B398" s="392"/>
      <c r="C398" s="487">
        <v>46022</v>
      </c>
      <c r="D39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8" s="489" t="s">
        <v>3015</v>
      </c>
      <c r="F398" s="489" t="s">
        <v>3808</v>
      </c>
      <c r="G398" s="454"/>
      <c r="H398" s="494"/>
      <c r="I398" s="491"/>
      <c r="J398" s="492">
        <v>30000</v>
      </c>
      <c r="K398" s="491">
        <f>+K397+Tableau15356789101112131625236924[[#This Row],[RECETTE]]-Tableau15356789101112131625236924[[#This Row],[DÉPENSE]]</f>
        <v>1534984</v>
      </c>
      <c r="L398" s="403" t="str">
        <f ca="1">+IF($B398="","",SUMIFS(INDIRECT("$K$7:K"&amp;ROW()),INDIRECT("$B$7:B"&amp;ROW()),Tableau15356789101112131625236924[[#This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8" s="490"/>
    </row>
    <row r="399" spans="1:18" ht="15" x14ac:dyDescent="0.3">
      <c r="A399" s="434"/>
      <c r="B399" s="392"/>
      <c r="C399" s="487">
        <v>46022</v>
      </c>
      <c r="D39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399" s="489" t="s">
        <v>2694</v>
      </c>
      <c r="F399" s="489" t="s">
        <v>3809</v>
      </c>
      <c r="G399" s="454"/>
      <c r="H399" s="494"/>
      <c r="I399" s="491"/>
      <c r="J399" s="492">
        <v>100000</v>
      </c>
      <c r="K399" s="491">
        <f>+K398+Tableau15356789101112131625236924[[#This Row],[RECETTE]]-Tableau15356789101112131625236924[[#This Row],[DÉPENSE]]</f>
        <v>1434984</v>
      </c>
      <c r="L399" s="403" t="str">
        <f ca="1">+IF($B399="","",SUMIFS(INDIRECT("$K$7:K"&amp;ROW()),INDIRECT("$B$7:B"&amp;ROW()),Tableau15356789101112131625236924[[#This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399" s="490"/>
    </row>
    <row r="400" spans="1:18" ht="15" x14ac:dyDescent="0.3">
      <c r="A400" s="434"/>
      <c r="B400" s="392"/>
      <c r="C400" s="487">
        <v>46022</v>
      </c>
      <c r="D40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00" s="489" t="s">
        <v>3676</v>
      </c>
      <c r="F400" s="489" t="s">
        <v>2748</v>
      </c>
      <c r="G400" s="454"/>
      <c r="H400" s="494"/>
      <c r="I400" s="491"/>
      <c r="J400" s="492">
        <v>50000</v>
      </c>
      <c r="K400" s="491">
        <f>+K399+Tableau15356789101112131625236924[[#This Row],[RECETTE]]-Tableau15356789101112131625236924[[#This Row],[DÉPENSE]]</f>
        <v>1384984</v>
      </c>
      <c r="L400" s="403" t="str">
        <f ca="1">+IF($B400="","",SUMIFS(INDIRECT("$K$7:K"&amp;ROW()),INDIRECT("$B$7:B"&amp;ROW()),Tableau15356789101112131625236924[[#This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0" s="490"/>
    </row>
    <row r="401" spans="1:13" ht="15" x14ac:dyDescent="0.3">
      <c r="A401" s="434"/>
      <c r="B401" s="392"/>
      <c r="C401" s="487">
        <v>46022</v>
      </c>
      <c r="D40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01" s="489" t="s">
        <v>3133</v>
      </c>
      <c r="F401" s="489" t="s">
        <v>3509</v>
      </c>
      <c r="G401" s="454"/>
      <c r="H401" s="494"/>
      <c r="I401" s="491"/>
      <c r="J401" s="492">
        <v>20200</v>
      </c>
      <c r="K401" s="491">
        <f>+K400+Tableau15356789101112131625236924[[#This Row],[RECETTE]]-Tableau15356789101112131625236924[[#This Row],[DÉPENSE]]</f>
        <v>1364784</v>
      </c>
      <c r="L401" s="403" t="str">
        <f ca="1">+IF($B401="","",SUMIFS(INDIRECT("$K$7:K"&amp;ROW()),INDIRECT("$B$7:B"&amp;ROW()),Tableau15356789101112131625236924[[#This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1" s="490"/>
    </row>
    <row r="402" spans="1:13" ht="15" x14ac:dyDescent="0.3">
      <c r="A402" s="434"/>
      <c r="B402" s="392"/>
      <c r="C402" s="487">
        <v>46022</v>
      </c>
      <c r="D40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>Sortie</v>
      </c>
      <c r="E402" s="489" t="s">
        <v>3349</v>
      </c>
      <c r="F402" s="489" t="s">
        <v>3810</v>
      </c>
      <c r="G402" s="454"/>
      <c r="H402" s="494"/>
      <c r="I402" s="491"/>
      <c r="J402" s="492">
        <v>3535</v>
      </c>
      <c r="K402" s="491">
        <f>+K401+Tableau15356789101112131625236924[[#This Row],[RECETTE]]-Tableau15356789101112131625236924[[#This Row],[DÉPENSE]]</f>
        <v>1361249</v>
      </c>
      <c r="L402" s="403" t="str">
        <f ca="1">+IF($B402="","",SUMIFS(INDIRECT("$K$7:K"&amp;ROW()),INDIRECT("$B$7:B"&amp;ROW()),Tableau15356789101112131625236924[[#This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2" s="490"/>
    </row>
    <row r="403" spans="1:13" ht="15" x14ac:dyDescent="0.3">
      <c r="A403" s="434"/>
      <c r="B403" s="392"/>
      <c r="C403" s="487">
        <v>46022</v>
      </c>
      <c r="D40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3" s="489"/>
      <c r="F403" s="489"/>
      <c r="G403" s="454"/>
      <c r="H403" s="494"/>
      <c r="I403" s="491"/>
      <c r="J403" s="491"/>
      <c r="K403" s="491">
        <f>+K402+Tableau15356789101112131625236924[[#This Row],[RECETTE]]-Tableau15356789101112131625236924[[#This Row],[DÉPENSE]]</f>
        <v>1361249</v>
      </c>
      <c r="L403" s="403" t="str">
        <f ca="1">+IF($B403="","",SUMIFS(INDIRECT("$K$7:K"&amp;ROW()),INDIRECT("$B$7:B"&amp;ROW()),Tableau15356789101112131625236924[[#This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3" s="490"/>
    </row>
    <row r="404" spans="1:13" ht="15" x14ac:dyDescent="0.3">
      <c r="A404" s="434"/>
      <c r="B404" s="392"/>
      <c r="C404" s="487">
        <v>46022</v>
      </c>
      <c r="D40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4" s="489"/>
      <c r="F404" s="397"/>
      <c r="G404" s="397"/>
      <c r="H404" s="494"/>
      <c r="I404" s="402"/>
      <c r="J404" s="402"/>
      <c r="K404" s="491">
        <f>+K403+Tableau15356789101112131625236924[[#This Row],[RECETTE]]-Tableau15356789101112131625236924[[#This Row],[DÉPENSE]]</f>
        <v>1361249</v>
      </c>
      <c r="L404" s="403" t="str">
        <f ca="1">+IF($B404="","",SUMIFS(INDIRECT("$K$7:K"&amp;ROW()),INDIRECT("$B$7:B"&amp;ROW()),Tableau15356789101112131625236924[[#This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4" s="490"/>
    </row>
    <row r="405" spans="1:13" ht="15" x14ac:dyDescent="0.3">
      <c r="A405" s="434"/>
      <c r="B405" s="392"/>
      <c r="C405" s="538"/>
      <c r="D40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5" s="489"/>
      <c r="F405" s="397"/>
      <c r="G405" s="397"/>
      <c r="H405" s="494"/>
      <c r="I405" s="402"/>
      <c r="J405" s="402"/>
      <c r="K405" s="491">
        <f>+K404+Tableau15356789101112131625236924[[#This Row],[RECETTE]]-Tableau15356789101112131625236924[[#This Row],[DÉPENSE]]</f>
        <v>1361249</v>
      </c>
      <c r="L405" s="403" t="str">
        <f ca="1">+IF($B405="","",SUMIFS(INDIRECT("$K$7:K"&amp;ROW()),INDIRECT("$B$7:B"&amp;ROW()),Tableau15356789101112131625236924[[#This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5" s="490"/>
    </row>
    <row r="406" spans="1:13" ht="15" x14ac:dyDescent="0.3">
      <c r="A406" s="434"/>
      <c r="B406" s="392"/>
      <c r="C406" s="538"/>
      <c r="D40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6" s="489"/>
      <c r="F406" s="397"/>
      <c r="G406" s="397"/>
      <c r="H406" s="494"/>
      <c r="I406" s="402"/>
      <c r="J406" s="402"/>
      <c r="K406" s="491">
        <f>+K405+Tableau15356789101112131625236924[[#This Row],[RECETTE]]-Tableau15356789101112131625236924[[#This Row],[DÉPENSE]]</f>
        <v>1361249</v>
      </c>
      <c r="L406" s="403" t="str">
        <f ca="1">+IF($B406="","",SUMIFS(INDIRECT("$K$7:K"&amp;ROW()),INDIRECT("$B$7:B"&amp;ROW()),Tableau15356789101112131625236924[[#This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6" s="490"/>
    </row>
    <row r="407" spans="1:13" ht="15" x14ac:dyDescent="0.3">
      <c r="A407" s="434"/>
      <c r="B407" s="392"/>
      <c r="C407" s="538"/>
      <c r="D40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7" s="489"/>
      <c r="F407" s="397"/>
      <c r="G407" s="397"/>
      <c r="H407" s="494"/>
      <c r="I407" s="402"/>
      <c r="J407" s="402"/>
      <c r="K407" s="491">
        <f>+K406+Tableau15356789101112131625236924[[#This Row],[RECETTE]]-Tableau15356789101112131625236924[[#This Row],[DÉPENSE]]</f>
        <v>1361249</v>
      </c>
      <c r="L407" s="403" t="str">
        <f ca="1">+IF($B407="","",SUMIFS(INDIRECT("$K$7:K"&amp;ROW()),INDIRECT("$B$7:B"&amp;ROW()),Tableau15356789101112131625236924[[#This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7" s="490"/>
    </row>
    <row r="408" spans="1:13" ht="15" x14ac:dyDescent="0.3">
      <c r="A408" s="434"/>
      <c r="B408" s="392"/>
      <c r="C408" s="538"/>
      <c r="D40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8" s="489"/>
      <c r="F408" s="397"/>
      <c r="G408" s="397"/>
      <c r="H408" s="494"/>
      <c r="I408" s="402"/>
      <c r="J408" s="402"/>
      <c r="K408" s="491">
        <f>+K407+Tableau15356789101112131625236924[[#This Row],[RECETTE]]-Tableau15356789101112131625236924[[#This Row],[DÉPENSE]]</f>
        <v>1361249</v>
      </c>
      <c r="L408" s="403" t="str">
        <f ca="1">+IF($B408="","",SUMIFS(INDIRECT("$K$7:K"&amp;ROW()),INDIRECT("$B$7:B"&amp;ROW()),Tableau15356789101112131625236924[[#This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8" s="490"/>
    </row>
    <row r="409" spans="1:13" ht="15" x14ac:dyDescent="0.3">
      <c r="A409" s="434"/>
      <c r="B409" s="392"/>
      <c r="C409" s="538"/>
      <c r="D40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09" s="489"/>
      <c r="F409" s="397"/>
      <c r="G409" s="397"/>
      <c r="H409" s="494"/>
      <c r="I409" s="402"/>
      <c r="J409" s="402"/>
      <c r="K409" s="491">
        <f>+K408+Tableau15356789101112131625236924[[#This Row],[RECETTE]]-Tableau15356789101112131625236924[[#This Row],[DÉPENSE]]</f>
        <v>1361249</v>
      </c>
      <c r="L409" s="403" t="str">
        <f ca="1">+IF($B409="","",SUMIFS(INDIRECT("$K$7:K"&amp;ROW()),INDIRECT("$B$7:B"&amp;ROW()),Tableau15356789101112131625236924[[#This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09" s="490"/>
    </row>
    <row r="410" spans="1:13" ht="15" x14ac:dyDescent="0.3">
      <c r="A410" s="434"/>
      <c r="B410" s="392"/>
      <c r="C410" s="538"/>
      <c r="D41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0" s="489"/>
      <c r="F410" s="397"/>
      <c r="G410" s="397"/>
      <c r="H410" s="494"/>
      <c r="I410" s="402"/>
      <c r="J410" s="402"/>
      <c r="K410" s="491" t="str">
        <f ca="1">+IF('[1]BROUILLARD DE CAISSE '!$C407="","",SUMIFS(INDIRECT("$K$7:K"&amp;ROW()),INDIRECT("$D$7:D"&amp;ROW()),"="&amp;"Report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0" s="403" t="str">
        <f ca="1">+IF($B410="","",SUMIFS(INDIRECT("$K$7:K"&amp;ROW()),INDIRECT("$B$7:B"&amp;ROW()),Tableau15356789101112131625236924[[#This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0" s="490"/>
    </row>
    <row r="411" spans="1:13" ht="15" x14ac:dyDescent="0.3">
      <c r="A411" s="434"/>
      <c r="B411" s="392"/>
      <c r="C411" s="538"/>
      <c r="D41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1" s="489"/>
      <c r="F411" s="397"/>
      <c r="G411" s="397"/>
      <c r="H411" s="494"/>
      <c r="I411" s="402"/>
      <c r="J411" s="402"/>
      <c r="K411" s="491" t="str">
        <f ca="1">+IF('[1]BROUILLARD DE CAISSE '!$C408="","",SUMIFS(INDIRECT("$K$7:K"&amp;ROW()),INDIRECT("$D$7:D"&amp;ROW()),"="&amp;"Report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1" s="403" t="str">
        <f ca="1">+IF($B411="","",SUMIFS(INDIRECT("$K$7:K"&amp;ROW()),INDIRECT("$B$7:B"&amp;ROW()),Tableau15356789101112131625236924[[#This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1" s="490"/>
    </row>
    <row r="412" spans="1:13" ht="15" x14ac:dyDescent="0.3">
      <c r="A412" s="434"/>
      <c r="B412" s="392"/>
      <c r="C412" s="538"/>
      <c r="D41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2" s="489"/>
      <c r="F412" s="397"/>
      <c r="G412" s="397"/>
      <c r="H412" s="494"/>
      <c r="I412" s="402"/>
      <c r="J412" s="402"/>
      <c r="K412" s="491" t="str">
        <f ca="1">+IF('[1]BROUILLARD DE CAISSE '!$C409="","",SUMIFS(INDIRECT("$K$7:K"&amp;ROW()),INDIRECT("$D$7:D"&amp;ROW()),"="&amp;"Report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2" s="403" t="str">
        <f ca="1">+IF($B412="","",SUMIFS(INDIRECT("$K$7:K"&amp;ROW()),INDIRECT("$B$7:B"&amp;ROW()),Tableau15356789101112131625236924[[#This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2" s="490"/>
    </row>
    <row r="413" spans="1:13" ht="15" x14ac:dyDescent="0.3">
      <c r="A413" s="434"/>
      <c r="B413" s="392"/>
      <c r="C413" s="538"/>
      <c r="D41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3" s="489"/>
      <c r="F413" s="397"/>
      <c r="G413" s="397"/>
      <c r="H413" s="494"/>
      <c r="I413" s="402"/>
      <c r="J413" s="402"/>
      <c r="K413" s="491" t="str">
        <f ca="1">+IF('[1]BROUILLARD DE CAISSE '!$C410="","",SUMIFS(INDIRECT("$K$7:K"&amp;ROW()),INDIRECT("$D$7:D"&amp;ROW()),"="&amp;"Report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3" s="403" t="str">
        <f ca="1">+IF($B413="","",SUMIFS(INDIRECT("$K$7:K"&amp;ROW()),INDIRECT("$B$7:B"&amp;ROW()),Tableau15356789101112131625236924[[#This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3" s="490"/>
    </row>
    <row r="414" spans="1:13" ht="15" x14ac:dyDescent="0.3">
      <c r="A414" s="434"/>
      <c r="B414" s="392"/>
      <c r="C414" s="538"/>
      <c r="D41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4" s="489"/>
      <c r="F414" s="397"/>
      <c r="G414" s="397"/>
      <c r="H414" s="494"/>
      <c r="I414" s="402"/>
      <c r="J414" s="402"/>
      <c r="K414" s="491" t="str">
        <f ca="1">+IF('[1]BROUILLARD DE CAISSE '!$C411="","",SUMIFS(INDIRECT("$K$7:K"&amp;ROW()),INDIRECT("$D$7:D"&amp;ROW()),"="&amp;"Report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4" s="403" t="str">
        <f ca="1">+IF($B414="","",SUMIFS(INDIRECT("$K$7:K"&amp;ROW()),INDIRECT("$B$7:B"&amp;ROW()),Tableau15356789101112131625236924[[#This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4" s="490"/>
    </row>
    <row r="415" spans="1:13" ht="15" x14ac:dyDescent="0.3">
      <c r="A415" s="434"/>
      <c r="B415" s="392"/>
      <c r="C415" s="538"/>
      <c r="D41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5" s="489"/>
      <c r="F415" s="397"/>
      <c r="G415" s="397"/>
      <c r="H415" s="494"/>
      <c r="I415" s="402"/>
      <c r="J415" s="402"/>
      <c r="K415" s="491" t="str">
        <f ca="1">+IF('[1]BROUILLARD DE CAISSE '!$C412="","",SUMIFS(INDIRECT("$K$7:K"&amp;ROW()),INDIRECT("$D$7:D"&amp;ROW()),"="&amp;"Report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5" s="403" t="str">
        <f ca="1">+IF($B415="","",SUMIFS(INDIRECT("$K$7:K"&amp;ROW()),INDIRECT("$B$7:B"&amp;ROW()),Tableau15356789101112131625236924[[#This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5" s="490"/>
    </row>
    <row r="416" spans="1:13" ht="15" x14ac:dyDescent="0.3">
      <c r="A416" s="434"/>
      <c r="B416" s="392"/>
      <c r="C416" s="538"/>
      <c r="D41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6" s="437"/>
      <c r="F416" s="397"/>
      <c r="G416" s="397"/>
      <c r="H416" s="494"/>
      <c r="I416" s="402"/>
      <c r="J416" s="402"/>
      <c r="K416" s="491" t="str">
        <f ca="1">+IF('[1]BROUILLARD DE CAISSE '!$C413="","",SUMIFS(INDIRECT("$K$7:K"&amp;ROW()),INDIRECT("$D$7:D"&amp;ROW()),"="&amp;"Report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6" s="403" t="str">
        <f ca="1">+IF($B416="","",SUMIFS(INDIRECT("$K$7:K"&amp;ROW()),INDIRECT("$B$7:B"&amp;ROW()),Tableau15356789101112131625236924[[#This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6" s="490"/>
    </row>
    <row r="417" spans="1:13" ht="15" x14ac:dyDescent="0.3">
      <c r="A417" s="434"/>
      <c r="B417" s="392"/>
      <c r="C417" s="538"/>
      <c r="D41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7" s="437"/>
      <c r="F417" s="397"/>
      <c r="G417" s="397"/>
      <c r="H417" s="494"/>
      <c r="I417" s="402"/>
      <c r="J417" s="402"/>
      <c r="K417" s="491" t="str">
        <f ca="1">+IF('[1]BROUILLARD DE CAISSE '!$C414="","",SUMIFS(INDIRECT("$K$7:K"&amp;ROW()),INDIRECT("$D$7:D"&amp;ROW()),"="&amp;"Report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7" s="403" t="str">
        <f ca="1">+IF($B417="","",SUMIFS(INDIRECT("$K$7:K"&amp;ROW()),INDIRECT("$B$7:B"&amp;ROW()),Tableau15356789101112131625236924[[#This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7" s="490"/>
    </row>
    <row r="418" spans="1:13" ht="15" x14ac:dyDescent="0.3">
      <c r="A418" s="434"/>
      <c r="B418" s="392"/>
      <c r="C418" s="538"/>
      <c r="D41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8" s="437"/>
      <c r="F418" s="397"/>
      <c r="G418" s="397"/>
      <c r="H418" s="494"/>
      <c r="I418" s="402"/>
      <c r="J418" s="402"/>
      <c r="K418" s="491" t="str">
        <f ca="1">+IF('[1]BROUILLARD DE CAISSE '!$C415="","",SUMIFS(INDIRECT("$K$7:K"&amp;ROW()),INDIRECT("$D$7:D"&amp;ROW()),"="&amp;"Report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8" s="403" t="str">
        <f ca="1">+IF($B418="","",SUMIFS(INDIRECT("$K$7:K"&amp;ROW()),INDIRECT("$B$7:B"&amp;ROW()),Tableau15356789101112131625236924[[#This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8" s="490"/>
    </row>
    <row r="419" spans="1:13" ht="15" x14ac:dyDescent="0.3">
      <c r="A419" s="434"/>
      <c r="B419" s="392"/>
      <c r="C419" s="538"/>
      <c r="D41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19" s="437"/>
      <c r="F419" s="397"/>
      <c r="G419" s="397"/>
      <c r="H419" s="494"/>
      <c r="I419" s="402"/>
      <c r="J419" s="402"/>
      <c r="K419" s="491" t="str">
        <f ca="1">+IF('[1]BROUILLARD DE CAISSE '!$C416="","",SUMIFS(INDIRECT("$K$7:K"&amp;ROW()),INDIRECT("$D$7:D"&amp;ROW()),"="&amp;"Report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19" s="403" t="str">
        <f ca="1">+IF($B419="","",SUMIFS(INDIRECT("$K$7:K"&amp;ROW()),INDIRECT("$B$7:B"&amp;ROW()),Tableau15356789101112131625236924[[#This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19" s="490"/>
    </row>
    <row r="420" spans="1:13" ht="15" x14ac:dyDescent="0.3">
      <c r="A420" s="434"/>
      <c r="B420" s="392"/>
      <c r="C420" s="538"/>
      <c r="D42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0" s="437"/>
      <c r="F420" s="397"/>
      <c r="G420" s="397"/>
      <c r="H420" s="494"/>
      <c r="I420" s="402"/>
      <c r="J420" s="402"/>
      <c r="K420" s="491" t="str">
        <f ca="1">+IF('[1]BROUILLARD DE CAISSE '!$C417="","",SUMIFS(INDIRECT("$K$7:K"&amp;ROW()),INDIRECT("$D$7:D"&amp;ROW()),"="&amp;"Report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0" s="403" t="str">
        <f ca="1">+IF($B420="","",SUMIFS(INDIRECT("$K$7:K"&amp;ROW()),INDIRECT("$B$7:B"&amp;ROW()),Tableau15356789101112131625236924[[#This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0" s="490"/>
    </row>
    <row r="421" spans="1:13" ht="15" x14ac:dyDescent="0.3">
      <c r="A421" s="434"/>
      <c r="B421" s="392"/>
      <c r="C421" s="538"/>
      <c r="D42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1" s="437"/>
      <c r="F421" s="397"/>
      <c r="G421" s="397"/>
      <c r="H421" s="494"/>
      <c r="I421" s="402"/>
      <c r="J421" s="402"/>
      <c r="K421" s="491" t="str">
        <f ca="1">+IF('[1]BROUILLARD DE CAISSE '!$C418="","",SUMIFS(INDIRECT("$K$7:K"&amp;ROW()),INDIRECT("$D$7:D"&amp;ROW()),"="&amp;"Report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1" s="403" t="str">
        <f ca="1">+IF($B421="","",SUMIFS(INDIRECT("$K$7:K"&amp;ROW()),INDIRECT("$B$7:B"&amp;ROW()),Tableau15356789101112131625236924[[#This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1" s="490"/>
    </row>
    <row r="422" spans="1:13" ht="15" x14ac:dyDescent="0.3">
      <c r="A422" s="434"/>
      <c r="B422" s="392"/>
      <c r="C422" s="538"/>
      <c r="D42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2" s="437"/>
      <c r="F422" s="397"/>
      <c r="G422" s="397"/>
      <c r="H422" s="494"/>
      <c r="I422" s="402"/>
      <c r="J422" s="402"/>
      <c r="K422" s="491" t="str">
        <f ca="1">+IF('[1]BROUILLARD DE CAISSE '!$C419="","",SUMIFS(INDIRECT("$K$7:K"&amp;ROW()),INDIRECT("$D$7:D"&amp;ROW()),"="&amp;"Report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2" s="403" t="str">
        <f ca="1">+IF($B422="","",SUMIFS(INDIRECT("$K$7:K"&amp;ROW()),INDIRECT("$B$7:B"&amp;ROW()),Tableau15356789101112131625236924[[#This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2" s="490"/>
    </row>
    <row r="423" spans="1:13" ht="15" x14ac:dyDescent="0.3">
      <c r="A423" s="434"/>
      <c r="B423" s="392"/>
      <c r="C423" s="538"/>
      <c r="D42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3" s="437"/>
      <c r="F423" s="397"/>
      <c r="G423" s="397"/>
      <c r="H423" s="494"/>
      <c r="I423" s="402"/>
      <c r="J423" s="402"/>
      <c r="K423" s="491" t="str">
        <f ca="1">+IF('[1]BROUILLARD DE CAISSE '!$C420="","",SUMIFS(INDIRECT("$K$7:K"&amp;ROW()),INDIRECT("$D$7:D"&amp;ROW()),"="&amp;"Report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3" s="403" t="str">
        <f ca="1">+IF($B423="","",SUMIFS(INDIRECT("$K$7:K"&amp;ROW()),INDIRECT("$B$7:B"&amp;ROW()),Tableau15356789101112131625236924[[#This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3" s="490"/>
    </row>
    <row r="424" spans="1:13" ht="15" x14ac:dyDescent="0.3">
      <c r="A424" s="434"/>
      <c r="B424" s="392"/>
      <c r="C424" s="538"/>
      <c r="D42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4" s="437"/>
      <c r="F424" s="397"/>
      <c r="G424" s="397"/>
      <c r="H424" s="494"/>
      <c r="I424" s="402"/>
      <c r="J424" s="402"/>
      <c r="K424" s="491" t="str">
        <f ca="1">+IF('[1]BROUILLARD DE CAISSE '!$C421="","",SUMIFS(INDIRECT("$K$7:K"&amp;ROW()),INDIRECT("$D$7:D"&amp;ROW()),"="&amp;"Report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4" s="403" t="str">
        <f ca="1">+IF($B424="","",SUMIFS(INDIRECT("$K$7:K"&amp;ROW()),INDIRECT("$B$7:B"&amp;ROW()),Tableau15356789101112131625236924[[#This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4" s="490"/>
    </row>
    <row r="425" spans="1:13" ht="15" x14ac:dyDescent="0.3">
      <c r="A425" s="434"/>
      <c r="B425" s="392"/>
      <c r="C425" s="538"/>
      <c r="D42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5" s="437"/>
      <c r="F425" s="397"/>
      <c r="G425" s="397"/>
      <c r="H425" s="494"/>
      <c r="I425" s="403"/>
      <c r="J425" s="403"/>
      <c r="K425" s="491" t="str">
        <f ca="1">+IF('[1]BROUILLARD DE CAISSE '!$C422="","",SUMIFS(INDIRECT("$K$7:K"&amp;ROW()),INDIRECT("$D$7:D"&amp;ROW()),"="&amp;"Report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5" s="403" t="str">
        <f ca="1">+IF($B425="","",SUMIFS(INDIRECT("$K$7:K"&amp;ROW()),INDIRECT("$B$7:B"&amp;ROW()),Tableau15356789101112131625236924[[#This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5" s="490"/>
    </row>
    <row r="426" spans="1:13" ht="15" x14ac:dyDescent="0.3">
      <c r="A426" s="434"/>
      <c r="B426" s="392"/>
      <c r="C426" s="538"/>
      <c r="D42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6" s="437"/>
      <c r="F426" s="397"/>
      <c r="G426" s="397"/>
      <c r="H426" s="494"/>
      <c r="I426" s="403"/>
      <c r="J426" s="403"/>
      <c r="K426" s="491" t="str">
        <f ca="1">+IF('[1]BROUILLARD DE CAISSE '!$C423="","",SUMIFS(INDIRECT("$K$7:K"&amp;ROW()),INDIRECT("$D$7:D"&amp;ROW()),"="&amp;"Report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6" s="403" t="str">
        <f ca="1">+IF($B426="","",SUMIFS(INDIRECT("$K$7:K"&amp;ROW()),INDIRECT("$B$7:B"&amp;ROW()),Tableau15356789101112131625236924[[#This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6" s="490"/>
    </row>
    <row r="427" spans="1:13" ht="15" x14ac:dyDescent="0.3">
      <c r="A427" s="434"/>
      <c r="B427" s="392"/>
      <c r="C427" s="538"/>
      <c r="D42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7" s="437"/>
      <c r="F427" s="397"/>
      <c r="G427" s="397"/>
      <c r="H427" s="494"/>
      <c r="I427" s="403"/>
      <c r="J427" s="403"/>
      <c r="K427" s="491" t="str">
        <f ca="1">+IF('[1]BROUILLARD DE CAISSE '!$C424="","",SUMIFS(INDIRECT("$K$7:K"&amp;ROW()),INDIRECT("$D$7:D"&amp;ROW()),"="&amp;"Report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7" s="403" t="str">
        <f ca="1">+IF($B427="","",SUMIFS(INDIRECT("$K$7:K"&amp;ROW()),INDIRECT("$B$7:B"&amp;ROW()),Tableau15356789101112131625236924[[#This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7" s="490"/>
    </row>
    <row r="428" spans="1:13" ht="15" x14ac:dyDescent="0.3">
      <c r="A428" s="434"/>
      <c r="B428" s="392"/>
      <c r="C428" s="538"/>
      <c r="D42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8" s="437"/>
      <c r="F428" s="397"/>
      <c r="G428" s="397"/>
      <c r="H428" s="494"/>
      <c r="I428" s="403"/>
      <c r="J428" s="403"/>
      <c r="K428" s="491" t="str">
        <f ca="1">+IF('[1]BROUILLARD DE CAISSE '!$C425="","",SUMIFS(INDIRECT("$K$7:K"&amp;ROW()),INDIRECT("$D$7:D"&amp;ROW()),"="&amp;"Report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8" s="403" t="str">
        <f ca="1">+IF($B428="","",SUMIFS(INDIRECT("$K$7:K"&amp;ROW()),INDIRECT("$B$7:B"&amp;ROW()),Tableau15356789101112131625236924[[#This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8" s="490"/>
    </row>
    <row r="429" spans="1:13" ht="15" x14ac:dyDescent="0.3">
      <c r="A429" s="434"/>
      <c r="B429" s="392"/>
      <c r="C429" s="538"/>
      <c r="D42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29" s="437"/>
      <c r="F429" s="397"/>
      <c r="G429" s="397"/>
      <c r="H429" s="494"/>
      <c r="I429" s="403"/>
      <c r="J429" s="403"/>
      <c r="K429" s="491" t="str">
        <f ca="1">+IF('[1]BROUILLARD DE CAISSE '!$C426="","",SUMIFS(INDIRECT("$K$7:K"&amp;ROW()),INDIRECT("$D$7:D"&amp;ROW()),"="&amp;"Report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29" s="403" t="str">
        <f ca="1">+IF($B429="","",SUMIFS(INDIRECT("$K$7:K"&amp;ROW()),INDIRECT("$B$7:B"&amp;ROW()),Tableau15356789101112131625236924[[#This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29" s="490"/>
    </row>
    <row r="430" spans="1:13" ht="15" x14ac:dyDescent="0.3">
      <c r="A430" s="434"/>
      <c r="B430" s="392"/>
      <c r="C430" s="538"/>
      <c r="D43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0" s="437"/>
      <c r="F430" s="397"/>
      <c r="G430" s="397"/>
      <c r="H430" s="494"/>
      <c r="I430" s="403"/>
      <c r="J430" s="403"/>
      <c r="K430" s="491" t="str">
        <f ca="1">+IF('[1]BROUILLARD DE CAISSE '!$C427="","",SUMIFS(INDIRECT("$K$7:K"&amp;ROW()),INDIRECT("$D$7:D"&amp;ROW()),"="&amp;"Report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0" s="403" t="str">
        <f ca="1">+IF($B430="","",SUMIFS(INDIRECT("$K$7:K"&amp;ROW()),INDIRECT("$B$7:B"&amp;ROW()),Tableau15356789101112131625236924[[#This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0" s="490"/>
    </row>
    <row r="431" spans="1:13" ht="15" x14ac:dyDescent="0.3">
      <c r="A431" s="434"/>
      <c r="B431" s="392"/>
      <c r="C431" s="538"/>
      <c r="D43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1" s="437"/>
      <c r="F431" s="397"/>
      <c r="G431" s="397"/>
      <c r="H431" s="494"/>
      <c r="I431" s="403"/>
      <c r="J431" s="403"/>
      <c r="K431" s="491" t="str">
        <f ca="1">+IF('[1]BROUILLARD DE CAISSE '!$C428="","",SUMIFS(INDIRECT("$K$7:K"&amp;ROW()),INDIRECT("$D$7:D"&amp;ROW()),"="&amp;"Report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1" s="403" t="str">
        <f ca="1">+IF($B431="","",SUMIFS(INDIRECT("$K$7:K"&amp;ROW()),INDIRECT("$B$7:B"&amp;ROW()),Tableau15356789101112131625236924[[#This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1" s="490"/>
    </row>
    <row r="432" spans="1:13" ht="15" x14ac:dyDescent="0.3">
      <c r="A432" s="434"/>
      <c r="B432" s="392"/>
      <c r="C432" s="538"/>
      <c r="D43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2" s="437"/>
      <c r="F432" s="397"/>
      <c r="G432" s="397"/>
      <c r="H432" s="494"/>
      <c r="I432" s="403"/>
      <c r="J432" s="403"/>
      <c r="K432" s="491" t="str">
        <f ca="1">+IF('[1]BROUILLARD DE CAISSE '!$C429="","",SUMIFS(INDIRECT("$K$7:K"&amp;ROW()),INDIRECT("$D$7:D"&amp;ROW()),"="&amp;"Report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2" s="403" t="str">
        <f ca="1">+IF($B432="","",SUMIFS(INDIRECT("$K$7:K"&amp;ROW()),INDIRECT("$B$7:B"&amp;ROW()),Tableau15356789101112131625236924[[#This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2" s="490"/>
    </row>
    <row r="433" spans="1:13" ht="15" x14ac:dyDescent="0.3">
      <c r="A433" s="434"/>
      <c r="B433" s="392"/>
      <c r="C433" s="538"/>
      <c r="D43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3" s="437"/>
      <c r="F433" s="397"/>
      <c r="G433" s="397"/>
      <c r="H433" s="494"/>
      <c r="I433" s="403"/>
      <c r="J433" s="403"/>
      <c r="K433" s="491" t="str">
        <f ca="1">+IF('[1]BROUILLARD DE CAISSE '!$C430="","",SUMIFS(INDIRECT("$K$7:K"&amp;ROW()),INDIRECT("$D$7:D"&amp;ROW()),"="&amp;"Report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3" s="403" t="str">
        <f ca="1">+IF($B433="","",SUMIFS(INDIRECT("$K$7:K"&amp;ROW()),INDIRECT("$B$7:B"&amp;ROW()),Tableau15356789101112131625236924[[#This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3" s="490"/>
    </row>
    <row r="434" spans="1:13" ht="15" x14ac:dyDescent="0.3">
      <c r="A434" s="434"/>
      <c r="B434" s="392"/>
      <c r="C434" s="538"/>
      <c r="D43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4" s="437"/>
      <c r="F434" s="397"/>
      <c r="G434" s="397"/>
      <c r="H434" s="494"/>
      <c r="I434" s="403"/>
      <c r="J434" s="403"/>
      <c r="K434" s="491" t="str">
        <f ca="1">+IF('[1]BROUILLARD DE CAISSE '!$C431="","",SUMIFS(INDIRECT("$K$7:K"&amp;ROW()),INDIRECT("$D$7:D"&amp;ROW()),"="&amp;"Report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4" s="403" t="str">
        <f ca="1">+IF($B434="","",SUMIFS(INDIRECT("$K$7:K"&amp;ROW()),INDIRECT("$B$7:B"&amp;ROW()),Tableau15356789101112131625236924[[#This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4" s="490"/>
    </row>
    <row r="435" spans="1:13" ht="15" x14ac:dyDescent="0.3">
      <c r="A435" s="434"/>
      <c r="B435" s="392"/>
      <c r="C435" s="538"/>
      <c r="D43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5" s="437"/>
      <c r="F435" s="397"/>
      <c r="G435" s="397"/>
      <c r="H435" s="494"/>
      <c r="I435" s="403"/>
      <c r="J435" s="403"/>
      <c r="K435" s="491" t="str">
        <f ca="1">+IF('[1]BROUILLARD DE CAISSE '!$C432="","",SUMIFS(INDIRECT("$K$7:K"&amp;ROW()),INDIRECT("$D$7:D"&amp;ROW()),"="&amp;"Report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5" s="403" t="str">
        <f ca="1">+IF($B435="","",SUMIFS(INDIRECT("$K$7:K"&amp;ROW()),INDIRECT("$B$7:B"&amp;ROW()),Tableau15356789101112131625236924[[#This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5" s="490"/>
    </row>
    <row r="436" spans="1:13" ht="15" x14ac:dyDescent="0.3">
      <c r="A436" s="434"/>
      <c r="B436" s="392"/>
      <c r="C436" s="538"/>
      <c r="D43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6" s="437"/>
      <c r="F436" s="397"/>
      <c r="G436" s="397"/>
      <c r="H436" s="494"/>
      <c r="I436" s="403"/>
      <c r="J436" s="403"/>
      <c r="K436" s="491" t="str">
        <f ca="1">+IF('[1]BROUILLARD DE CAISSE '!$C433="","",SUMIFS(INDIRECT("$K$7:K"&amp;ROW()),INDIRECT("$D$7:D"&amp;ROW()),"="&amp;"Report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6" s="403" t="str">
        <f ca="1">+IF($B436="","",SUMIFS(INDIRECT("$K$7:K"&amp;ROW()),INDIRECT("$B$7:B"&amp;ROW()),Tableau15356789101112131625236924[[#This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6" s="490"/>
    </row>
    <row r="437" spans="1:13" ht="15" x14ac:dyDescent="0.3">
      <c r="A437" s="434"/>
      <c r="B437" s="392"/>
      <c r="C437" s="538"/>
      <c r="D43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7" s="437"/>
      <c r="F437" s="397"/>
      <c r="G437" s="397"/>
      <c r="H437" s="494"/>
      <c r="I437" s="403"/>
      <c r="J437" s="403"/>
      <c r="K437" s="491" t="str">
        <f ca="1">+IF('[1]BROUILLARD DE CAISSE '!$C434="","",SUMIFS(INDIRECT("$K$7:K"&amp;ROW()),INDIRECT("$D$7:D"&amp;ROW()),"="&amp;"Report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7" s="403" t="str">
        <f ca="1">+IF($B437="","",SUMIFS(INDIRECT("$K$7:K"&amp;ROW()),INDIRECT("$B$7:B"&amp;ROW()),Tableau15356789101112131625236924[[#This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7" s="490"/>
    </row>
    <row r="438" spans="1:13" ht="15" x14ac:dyDescent="0.3">
      <c r="A438" s="434"/>
      <c r="B438" s="392"/>
      <c r="C438" s="538"/>
      <c r="D43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8" s="437"/>
      <c r="F438" s="397"/>
      <c r="G438" s="397"/>
      <c r="H438" s="494"/>
      <c r="I438" s="403"/>
      <c r="J438" s="403"/>
      <c r="K438" s="491" t="str">
        <f ca="1">+IF('[1]BROUILLARD DE CAISSE '!$C435="","",SUMIFS(INDIRECT("$K$7:K"&amp;ROW()),INDIRECT("$D$7:D"&amp;ROW()),"="&amp;"Report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8" s="403" t="str">
        <f ca="1">+IF($B438="","",SUMIFS(INDIRECT("$K$7:K"&amp;ROW()),INDIRECT("$B$7:B"&amp;ROW()),Tableau15356789101112131625236924[[#This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8" s="490"/>
    </row>
    <row r="439" spans="1:13" ht="15" x14ac:dyDescent="0.3">
      <c r="A439" s="434"/>
      <c r="B439" s="392"/>
      <c r="C439" s="538"/>
      <c r="D43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39" s="437"/>
      <c r="F439" s="397"/>
      <c r="G439" s="397"/>
      <c r="H439" s="494"/>
      <c r="I439" s="403"/>
      <c r="J439" s="403"/>
      <c r="K439" s="491" t="str">
        <f ca="1">+IF('[1]BROUILLARD DE CAISSE '!$C436="","",SUMIFS(INDIRECT("$K$7:K"&amp;ROW()),INDIRECT("$D$7:D"&amp;ROW()),"="&amp;"Report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39" s="403" t="str">
        <f ca="1">+IF($B439="","",SUMIFS(INDIRECT("$K$7:K"&amp;ROW()),INDIRECT("$B$7:B"&amp;ROW()),Tableau15356789101112131625236924[[#This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39" s="490"/>
    </row>
    <row r="440" spans="1:13" ht="15" x14ac:dyDescent="0.3">
      <c r="A440" s="434"/>
      <c r="B440" s="392"/>
      <c r="C440" s="538"/>
      <c r="D44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0" s="437"/>
      <c r="F440" s="397"/>
      <c r="G440" s="397"/>
      <c r="H440" s="494"/>
      <c r="I440" s="403"/>
      <c r="J440" s="403"/>
      <c r="K440" s="491" t="str">
        <f ca="1">+IF('[1]BROUILLARD DE CAISSE '!$C437="","",SUMIFS(INDIRECT("$K$7:K"&amp;ROW()),INDIRECT("$D$7:D"&amp;ROW()),"="&amp;"Report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0" s="403" t="str">
        <f ca="1">+IF($B440="","",SUMIFS(INDIRECT("$K$7:K"&amp;ROW()),INDIRECT("$B$7:B"&amp;ROW()),Tableau15356789101112131625236924[[#This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0" s="490"/>
    </row>
    <row r="441" spans="1:13" ht="15" x14ac:dyDescent="0.3">
      <c r="A441" s="434"/>
      <c r="B441" s="392"/>
      <c r="C441" s="538"/>
      <c r="D44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1" s="437"/>
      <c r="F441" s="397"/>
      <c r="G441" s="397"/>
      <c r="H441" s="494"/>
      <c r="I441" s="403"/>
      <c r="J441" s="403"/>
      <c r="K441" s="491" t="str">
        <f ca="1">+IF('[1]BROUILLARD DE CAISSE '!$C438="","",SUMIFS(INDIRECT("$K$7:K"&amp;ROW()),INDIRECT("$D$7:D"&amp;ROW()),"="&amp;"Report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1" s="403" t="str">
        <f ca="1">+IF($B441="","",SUMIFS(INDIRECT("$K$7:K"&amp;ROW()),INDIRECT("$B$7:B"&amp;ROW()),Tableau15356789101112131625236924[[#This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1" s="490"/>
    </row>
    <row r="442" spans="1:13" ht="15" x14ac:dyDescent="0.3">
      <c r="A442" s="434"/>
      <c r="B442" s="392"/>
      <c r="C442" s="538"/>
      <c r="D44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2" s="437"/>
      <c r="F442" s="397"/>
      <c r="G442" s="397"/>
      <c r="H442" s="494"/>
      <c r="I442" s="403"/>
      <c r="J442" s="403"/>
      <c r="K442" s="491" t="str">
        <f ca="1">+IF('[1]BROUILLARD DE CAISSE '!$C439="","",SUMIFS(INDIRECT("$K$7:K"&amp;ROW()),INDIRECT("$D$7:D"&amp;ROW()),"="&amp;"Report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2" s="403" t="str">
        <f ca="1">+IF($B442="","",SUMIFS(INDIRECT("$K$7:K"&amp;ROW()),INDIRECT("$B$7:B"&amp;ROW()),Tableau15356789101112131625236924[[#This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2" s="490"/>
    </row>
    <row r="443" spans="1:13" ht="15" x14ac:dyDescent="0.3">
      <c r="A443" s="434"/>
      <c r="B443" s="392"/>
      <c r="C443" s="538"/>
      <c r="D44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3" s="437"/>
      <c r="F443" s="397"/>
      <c r="G443" s="397"/>
      <c r="H443" s="494"/>
      <c r="I443" s="403"/>
      <c r="J443" s="403"/>
      <c r="K443" s="491" t="str">
        <f ca="1">+IF('[1]BROUILLARD DE CAISSE '!$C440="","",SUMIFS(INDIRECT("$K$7:K"&amp;ROW()),INDIRECT("$D$7:D"&amp;ROW()),"="&amp;"Report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3" s="403" t="str">
        <f ca="1">+IF($B443="","",SUMIFS(INDIRECT("$K$7:K"&amp;ROW()),INDIRECT("$B$7:B"&amp;ROW()),Tableau15356789101112131625236924[[#This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3" s="490"/>
    </row>
    <row r="444" spans="1:13" ht="15" x14ac:dyDescent="0.3">
      <c r="A444" s="434"/>
      <c r="B444" s="392"/>
      <c r="C444" s="538"/>
      <c r="D44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4" s="437"/>
      <c r="F444" s="397"/>
      <c r="G444" s="397"/>
      <c r="H444" s="494"/>
      <c r="I444" s="403"/>
      <c r="J444" s="403"/>
      <c r="K444" s="491" t="str">
        <f ca="1">+IF('[1]BROUILLARD DE CAISSE '!$C441="","",SUMIFS(INDIRECT("$K$7:K"&amp;ROW()),INDIRECT("$D$7:D"&amp;ROW()),"="&amp;"Report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4" s="403" t="str">
        <f ca="1">+IF($B444="","",SUMIFS(INDIRECT("$K$7:K"&amp;ROW()),INDIRECT("$B$7:B"&amp;ROW()),Tableau15356789101112131625236924[[#This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4" s="490"/>
    </row>
    <row r="445" spans="1:13" ht="15" x14ac:dyDescent="0.3">
      <c r="A445" s="434"/>
      <c r="B445" s="392"/>
      <c r="C445" s="538"/>
      <c r="D44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5" s="437"/>
      <c r="F445" s="397"/>
      <c r="G445" s="397"/>
      <c r="H445" s="494"/>
      <c r="I445" s="403"/>
      <c r="J445" s="403"/>
      <c r="K445" s="491" t="str">
        <f ca="1">+IF('[1]BROUILLARD DE CAISSE '!$C442="","",SUMIFS(INDIRECT("$K$7:K"&amp;ROW()),INDIRECT("$D$7:D"&amp;ROW()),"="&amp;"Report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5" s="403" t="str">
        <f ca="1">+IF($B445="","",SUMIFS(INDIRECT("$K$7:K"&amp;ROW()),INDIRECT("$B$7:B"&amp;ROW()),Tableau15356789101112131625236924[[#This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5" s="490"/>
    </row>
    <row r="446" spans="1:13" ht="15" x14ac:dyDescent="0.3">
      <c r="A446" s="434"/>
      <c r="B446" s="392"/>
      <c r="C446" s="538"/>
      <c r="D44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6" s="437"/>
      <c r="F446" s="397"/>
      <c r="G446" s="397"/>
      <c r="H446" s="494"/>
      <c r="I446" s="403"/>
      <c r="J446" s="403"/>
      <c r="K446" s="491" t="str">
        <f ca="1">+IF('[1]BROUILLARD DE CAISSE '!$C443="","",SUMIFS(INDIRECT("$K$7:K"&amp;ROW()),INDIRECT("$D$7:D"&amp;ROW()),"="&amp;"Report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6" s="403" t="str">
        <f ca="1">+IF($B446="","",SUMIFS(INDIRECT("$K$7:K"&amp;ROW()),INDIRECT("$B$7:B"&amp;ROW()),Tableau15356789101112131625236924[[#This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6" s="490"/>
    </row>
    <row r="447" spans="1:13" ht="15" x14ac:dyDescent="0.3">
      <c r="A447" s="434"/>
      <c r="B447" s="392"/>
      <c r="C447" s="538"/>
      <c r="D44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7" s="437"/>
      <c r="F447" s="397"/>
      <c r="G447" s="397"/>
      <c r="H447" s="494"/>
      <c r="I447" s="403"/>
      <c r="J447" s="403"/>
      <c r="K447" s="491" t="str">
        <f ca="1">+IF('[1]BROUILLARD DE CAISSE '!$C444="","",SUMIFS(INDIRECT("$K$7:K"&amp;ROW()),INDIRECT("$D$7:D"&amp;ROW()),"="&amp;"Report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7" s="403" t="str">
        <f ca="1">+IF($B447="","",SUMIFS(INDIRECT("$K$7:K"&amp;ROW()),INDIRECT("$B$7:B"&amp;ROW()),Tableau15356789101112131625236924[[#This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7" s="490"/>
    </row>
    <row r="448" spans="1:13" ht="15" x14ac:dyDescent="0.3">
      <c r="A448" s="434"/>
      <c r="B448" s="392"/>
      <c r="C448" s="538"/>
      <c r="D44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8" s="437"/>
      <c r="F448" s="397"/>
      <c r="G448" s="397"/>
      <c r="H448" s="494"/>
      <c r="I448" s="403"/>
      <c r="J448" s="403"/>
      <c r="K448" s="491" t="str">
        <f ca="1">+IF('[1]BROUILLARD DE CAISSE '!$C445="","",SUMIFS(INDIRECT("$K$7:K"&amp;ROW()),INDIRECT("$D$7:D"&amp;ROW()),"="&amp;"Report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8" s="403" t="str">
        <f ca="1">+IF($B448="","",SUMIFS(INDIRECT("$K$7:K"&amp;ROW()),INDIRECT("$B$7:B"&amp;ROW()),Tableau15356789101112131625236924[[#This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8" s="490"/>
    </row>
    <row r="449" spans="1:13" ht="15" x14ac:dyDescent="0.3">
      <c r="A449" s="434"/>
      <c r="B449" s="392"/>
      <c r="C449" s="538"/>
      <c r="D44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49" s="437"/>
      <c r="F449" s="397"/>
      <c r="G449" s="397"/>
      <c r="H449" s="494"/>
      <c r="I449" s="403"/>
      <c r="J449" s="403"/>
      <c r="K449" s="491" t="str">
        <f ca="1">+IF('[1]BROUILLARD DE CAISSE '!$C446="","",SUMIFS(INDIRECT("$K$7:K"&amp;ROW()),INDIRECT("$D$7:D"&amp;ROW()),"="&amp;"Report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49" s="403" t="str">
        <f ca="1">+IF($B449="","",SUMIFS(INDIRECT("$K$7:K"&amp;ROW()),INDIRECT("$B$7:B"&amp;ROW()),Tableau15356789101112131625236924[[#This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49" s="490"/>
    </row>
    <row r="450" spans="1:13" ht="15" x14ac:dyDescent="0.3">
      <c r="A450" s="434"/>
      <c r="B450" s="392"/>
      <c r="C450" s="538"/>
      <c r="D45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0" s="437"/>
      <c r="F450" s="397"/>
      <c r="G450" s="397"/>
      <c r="H450" s="494"/>
      <c r="I450" s="403"/>
      <c r="J450" s="403"/>
      <c r="K450" s="491" t="str">
        <f ca="1">+IF('[1]BROUILLARD DE CAISSE '!$C447="","",SUMIFS(INDIRECT("$K$7:K"&amp;ROW()),INDIRECT("$D$7:D"&amp;ROW()),"="&amp;"Report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0" s="403" t="str">
        <f ca="1">+IF($B450="","",SUMIFS(INDIRECT("$K$7:K"&amp;ROW()),INDIRECT("$B$7:B"&amp;ROW()),Tableau15356789101112131625236924[[#This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0" s="490"/>
    </row>
    <row r="451" spans="1:13" ht="15" x14ac:dyDescent="0.3">
      <c r="A451" s="434"/>
      <c r="B451" s="392"/>
      <c r="C451" s="538"/>
      <c r="D45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1" s="437"/>
      <c r="F451" s="397"/>
      <c r="G451" s="397"/>
      <c r="H451" s="494"/>
      <c r="I451" s="403"/>
      <c r="J451" s="403"/>
      <c r="K451" s="491" t="str">
        <f ca="1">+IF('[1]BROUILLARD DE CAISSE '!$C448="","",SUMIFS(INDIRECT("$K$7:K"&amp;ROW()),INDIRECT("$D$7:D"&amp;ROW()),"="&amp;"Report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1" s="403" t="str">
        <f ca="1">+IF($B451="","",SUMIFS(INDIRECT("$K$7:K"&amp;ROW()),INDIRECT("$B$7:B"&amp;ROW()),Tableau15356789101112131625236924[[#This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1" s="490"/>
    </row>
    <row r="452" spans="1:13" ht="15" x14ac:dyDescent="0.3">
      <c r="A452" s="434"/>
      <c r="B452" s="392"/>
      <c r="C452" s="538"/>
      <c r="D45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2" s="437"/>
      <c r="F452" s="397"/>
      <c r="G452" s="397"/>
      <c r="H452" s="494"/>
      <c r="I452" s="403"/>
      <c r="J452" s="403"/>
      <c r="K452" s="491" t="str">
        <f ca="1">+IF('[1]BROUILLARD DE CAISSE '!$C449="","",SUMIFS(INDIRECT("$K$7:K"&amp;ROW()),INDIRECT("$D$7:D"&amp;ROW()),"="&amp;"Report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2" s="403" t="str">
        <f ca="1">+IF($B452="","",SUMIFS(INDIRECT("$K$7:K"&amp;ROW()),INDIRECT("$B$7:B"&amp;ROW()),Tableau15356789101112131625236924[[#This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2" s="490"/>
    </row>
    <row r="453" spans="1:13" ht="15" x14ac:dyDescent="0.3">
      <c r="A453" s="434"/>
      <c r="B453" s="392"/>
      <c r="C453" s="538"/>
      <c r="D45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3" s="437"/>
      <c r="F453" s="397"/>
      <c r="G453" s="397"/>
      <c r="H453" s="494"/>
      <c r="I453" s="403"/>
      <c r="J453" s="403"/>
      <c r="K453" s="491" t="str">
        <f ca="1">+IF('[1]BROUILLARD DE CAISSE '!$C450="","",SUMIFS(INDIRECT("$K$7:K"&amp;ROW()),INDIRECT("$D$7:D"&amp;ROW()),"="&amp;"Report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3" s="403" t="str">
        <f ca="1">+IF($B453="","",SUMIFS(INDIRECT("$K$7:K"&amp;ROW()),INDIRECT("$B$7:B"&amp;ROW()),Tableau15356789101112131625236924[[#This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3" s="490"/>
    </row>
    <row r="454" spans="1:13" ht="15" x14ac:dyDescent="0.3">
      <c r="A454" s="434"/>
      <c r="B454" s="392"/>
      <c r="C454" s="538"/>
      <c r="D45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4" s="437"/>
      <c r="F454" s="397"/>
      <c r="G454" s="397"/>
      <c r="H454" s="494"/>
      <c r="I454" s="403"/>
      <c r="J454" s="403"/>
      <c r="K454" s="491" t="str">
        <f ca="1">+IF('[1]BROUILLARD DE CAISSE '!$C451="","",SUMIFS(INDIRECT("$K$7:K"&amp;ROW()),INDIRECT("$D$7:D"&amp;ROW()),"="&amp;"Report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4" s="403" t="str">
        <f ca="1">+IF($B454="","",SUMIFS(INDIRECT("$K$7:K"&amp;ROW()),INDIRECT("$B$7:B"&amp;ROW()),Tableau15356789101112131625236924[[#This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4" s="490"/>
    </row>
    <row r="455" spans="1:13" ht="15" x14ac:dyDescent="0.3">
      <c r="A455" s="434"/>
      <c r="B455" s="392"/>
      <c r="C455" s="538"/>
      <c r="D45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5" s="437"/>
      <c r="F455" s="397"/>
      <c r="G455" s="397"/>
      <c r="H455" s="494"/>
      <c r="I455" s="403"/>
      <c r="J455" s="403"/>
      <c r="K455" s="491" t="str">
        <f ca="1">+IF('[1]BROUILLARD DE CAISSE '!$C452="","",SUMIFS(INDIRECT("$K$7:K"&amp;ROW()),INDIRECT("$D$7:D"&amp;ROW()),"="&amp;"Report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5" s="403" t="str">
        <f ca="1">+IF($B455="","",SUMIFS(INDIRECT("$K$7:K"&amp;ROW()),INDIRECT("$B$7:B"&amp;ROW()),Tableau15356789101112131625236924[[#This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5" s="490"/>
    </row>
    <row r="456" spans="1:13" ht="15" x14ac:dyDescent="0.3">
      <c r="A456" s="434"/>
      <c r="B456" s="392"/>
      <c r="C456" s="538"/>
      <c r="D45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6" s="437"/>
      <c r="F456" s="397"/>
      <c r="G456" s="397"/>
      <c r="H456" s="494"/>
      <c r="I456" s="403"/>
      <c r="J456" s="403"/>
      <c r="K456" s="491" t="str">
        <f ca="1">+IF('[1]BROUILLARD DE CAISSE '!$C453="","",SUMIFS(INDIRECT("$K$7:K"&amp;ROW()),INDIRECT("$D$7:D"&amp;ROW()),"="&amp;"Report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6" s="403" t="str">
        <f ca="1">+IF($B456="","",SUMIFS(INDIRECT("$K$7:K"&amp;ROW()),INDIRECT("$B$7:B"&amp;ROW()),Tableau15356789101112131625236924[[#This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6" s="490"/>
    </row>
    <row r="457" spans="1:13" ht="15" x14ac:dyDescent="0.3">
      <c r="A457" s="434"/>
      <c r="B457" s="392"/>
      <c r="C457" s="538"/>
      <c r="D45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7" s="437"/>
      <c r="F457" s="397"/>
      <c r="G457" s="397"/>
      <c r="H457" s="494"/>
      <c r="I457" s="403"/>
      <c r="J457" s="403"/>
      <c r="K457" s="491" t="str">
        <f ca="1">+IF('[1]BROUILLARD DE CAISSE '!$C454="","",SUMIFS(INDIRECT("$K$7:K"&amp;ROW()),INDIRECT("$D$7:D"&amp;ROW()),"="&amp;"Report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7" s="403" t="str">
        <f ca="1">+IF($B457="","",SUMIFS(INDIRECT("$K$7:K"&amp;ROW()),INDIRECT("$B$7:B"&amp;ROW()),Tableau15356789101112131625236924[[#This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7" s="490"/>
    </row>
    <row r="458" spans="1:13" ht="15" x14ac:dyDescent="0.3">
      <c r="A458" s="434"/>
      <c r="B458" s="392"/>
      <c r="C458" s="538"/>
      <c r="D45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8" s="437"/>
      <c r="F458" s="397"/>
      <c r="G458" s="397"/>
      <c r="H458" s="494"/>
      <c r="I458" s="403"/>
      <c r="J458" s="403"/>
      <c r="K458" s="491" t="str">
        <f ca="1">+IF('[1]BROUILLARD DE CAISSE '!$C455="","",SUMIFS(INDIRECT("$K$7:K"&amp;ROW()),INDIRECT("$D$7:D"&amp;ROW()),"="&amp;"Report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8" s="403" t="str">
        <f ca="1">+IF($B458="","",SUMIFS(INDIRECT("$K$7:K"&amp;ROW()),INDIRECT("$B$7:B"&amp;ROW()),Tableau15356789101112131625236924[[#This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8" s="490"/>
    </row>
    <row r="459" spans="1:13" ht="15" x14ac:dyDescent="0.3">
      <c r="A459" s="434"/>
      <c r="B459" s="392"/>
      <c r="C459" s="538"/>
      <c r="D45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59" s="437"/>
      <c r="F459" s="397"/>
      <c r="G459" s="397"/>
      <c r="H459" s="494"/>
      <c r="I459" s="403"/>
      <c r="J459" s="403"/>
      <c r="K459" s="491" t="str">
        <f ca="1">+IF('[1]BROUILLARD DE CAISSE '!$C456="","",SUMIFS(INDIRECT("$K$7:K"&amp;ROW()),INDIRECT("$D$7:D"&amp;ROW()),"="&amp;"Report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59" s="403" t="str">
        <f ca="1">+IF($B459="","",SUMIFS(INDIRECT("$K$7:K"&amp;ROW()),INDIRECT("$B$7:B"&amp;ROW()),Tableau15356789101112131625236924[[#This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59" s="490"/>
    </row>
    <row r="460" spans="1:13" ht="15" x14ac:dyDescent="0.3">
      <c r="A460" s="434"/>
      <c r="B460" s="392"/>
      <c r="C460" s="538"/>
      <c r="D46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0" s="437"/>
      <c r="F460" s="397"/>
      <c r="G460" s="397"/>
      <c r="H460" s="494"/>
      <c r="I460" s="403"/>
      <c r="J460" s="403"/>
      <c r="K460" s="491" t="str">
        <f ca="1">+IF('[1]BROUILLARD DE CAISSE '!$C457="","",SUMIFS(INDIRECT("$K$7:K"&amp;ROW()),INDIRECT("$D$7:D"&amp;ROW()),"="&amp;"Report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0" s="403" t="str">
        <f ca="1">+IF($B460="","",SUMIFS(INDIRECT("$K$7:K"&amp;ROW()),INDIRECT("$B$7:B"&amp;ROW()),Tableau15356789101112131625236924[[#This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0" s="490"/>
    </row>
    <row r="461" spans="1:13" ht="15" x14ac:dyDescent="0.3">
      <c r="A461" s="434"/>
      <c r="B461" s="392"/>
      <c r="C461" s="538"/>
      <c r="D46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1" s="437"/>
      <c r="F461" s="397"/>
      <c r="G461" s="397"/>
      <c r="H461" s="494"/>
      <c r="I461" s="403"/>
      <c r="J461" s="403"/>
      <c r="K461" s="491" t="str">
        <f ca="1">+IF('[1]BROUILLARD DE CAISSE '!$C458="","",SUMIFS(INDIRECT("$K$7:K"&amp;ROW()),INDIRECT("$D$7:D"&amp;ROW()),"="&amp;"Report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1" s="403" t="str">
        <f ca="1">+IF($B461="","",SUMIFS(INDIRECT("$K$7:K"&amp;ROW()),INDIRECT("$B$7:B"&amp;ROW()),Tableau15356789101112131625236924[[#This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1" s="490"/>
    </row>
    <row r="462" spans="1:13" ht="15" x14ac:dyDescent="0.3">
      <c r="A462" s="434"/>
      <c r="B462" s="392"/>
      <c r="C462" s="538"/>
      <c r="D46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2" s="437"/>
      <c r="F462" s="397"/>
      <c r="G462" s="397"/>
      <c r="H462" s="494"/>
      <c r="I462" s="403"/>
      <c r="J462" s="403"/>
      <c r="K462" s="491" t="str">
        <f ca="1">+IF('[1]BROUILLARD DE CAISSE '!$C459="","",SUMIFS(INDIRECT("$K$7:K"&amp;ROW()),INDIRECT("$D$7:D"&amp;ROW()),"="&amp;"Report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2" s="403" t="str">
        <f ca="1">+IF($B462="","",SUMIFS(INDIRECT("$K$7:K"&amp;ROW()),INDIRECT("$B$7:B"&amp;ROW()),Tableau15356789101112131625236924[[#This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2" s="490"/>
    </row>
    <row r="463" spans="1:13" ht="15" x14ac:dyDescent="0.3">
      <c r="A463" s="434"/>
      <c r="B463" s="392"/>
      <c r="C463" s="538"/>
      <c r="D46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3" s="437"/>
      <c r="F463" s="397"/>
      <c r="G463" s="397"/>
      <c r="H463" s="494"/>
      <c r="I463" s="403"/>
      <c r="J463" s="403"/>
      <c r="K463" s="491" t="str">
        <f ca="1">+IF('[1]BROUILLARD DE CAISSE '!$C460="","",SUMIFS(INDIRECT("$K$7:K"&amp;ROW()),INDIRECT("$D$7:D"&amp;ROW()),"="&amp;"Report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3" s="403" t="str">
        <f ca="1">+IF($B463="","",SUMIFS(INDIRECT("$K$7:K"&amp;ROW()),INDIRECT("$B$7:B"&amp;ROW()),Tableau15356789101112131625236924[[#This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3" s="490"/>
    </row>
    <row r="464" spans="1:13" ht="15" x14ac:dyDescent="0.3">
      <c r="A464" s="434"/>
      <c r="B464" s="392"/>
      <c r="C464" s="538"/>
      <c r="D46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4" s="437"/>
      <c r="F464" s="397"/>
      <c r="G464" s="397"/>
      <c r="H464" s="494"/>
      <c r="I464" s="403"/>
      <c r="J464" s="403"/>
      <c r="K464" s="491" t="str">
        <f ca="1">+IF('[1]BROUILLARD DE CAISSE '!$C461="","",SUMIFS(INDIRECT("$K$7:K"&amp;ROW()),INDIRECT("$D$7:D"&amp;ROW()),"="&amp;"Report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4" s="403" t="str">
        <f ca="1">+IF($B464="","",SUMIFS(INDIRECT("$K$7:K"&amp;ROW()),INDIRECT("$B$7:B"&amp;ROW()),Tableau15356789101112131625236924[[#This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4" s="490"/>
    </row>
    <row r="465" spans="1:13" ht="15" x14ac:dyDescent="0.3">
      <c r="A465" s="434"/>
      <c r="B465" s="392"/>
      <c r="C465" s="538"/>
      <c r="D46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5" s="437"/>
      <c r="F465" s="397"/>
      <c r="G465" s="397"/>
      <c r="H465" s="401"/>
      <c r="I465" s="403"/>
      <c r="J465" s="403"/>
      <c r="K465" s="491" t="str">
        <f ca="1">+IF('[1]BROUILLARD DE CAISSE '!$C462="","",SUMIFS(INDIRECT("$K$7:K"&amp;ROW()),INDIRECT("$D$7:D"&amp;ROW()),"="&amp;"Report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5" s="403" t="str">
        <f ca="1">+IF($B465="","",SUMIFS(INDIRECT("$K$7:K"&amp;ROW()),INDIRECT("$B$7:B"&amp;ROW()),Tableau15356789101112131625236924[[#This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5" s="490"/>
    </row>
    <row r="466" spans="1:13" ht="15" x14ac:dyDescent="0.3">
      <c r="A466" s="434"/>
      <c r="B466" s="392"/>
      <c r="C466" s="538"/>
      <c r="D46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6" s="437"/>
      <c r="F466" s="397"/>
      <c r="G466" s="397"/>
      <c r="H466" s="401"/>
      <c r="I466" s="403"/>
      <c r="J466" s="403"/>
      <c r="K466" s="491" t="str">
        <f ca="1">+IF('[1]BROUILLARD DE CAISSE '!$C463="","",SUMIFS(INDIRECT("$K$7:K"&amp;ROW()),INDIRECT("$D$7:D"&amp;ROW()),"="&amp;"Report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6" s="403" t="str">
        <f ca="1">+IF($B466="","",SUMIFS(INDIRECT("$K$7:K"&amp;ROW()),INDIRECT("$B$7:B"&amp;ROW()),Tableau15356789101112131625236924[[#This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6" s="490"/>
    </row>
    <row r="467" spans="1:13" ht="15" x14ac:dyDescent="0.3">
      <c r="A467" s="434"/>
      <c r="B467" s="392"/>
      <c r="C467" s="538"/>
      <c r="D46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7" s="437"/>
      <c r="F467" s="397"/>
      <c r="G467" s="397"/>
      <c r="H467" s="401"/>
      <c r="I467" s="403"/>
      <c r="J467" s="403"/>
      <c r="K467" s="491" t="str">
        <f ca="1">+IF('[1]BROUILLARD DE CAISSE '!$C464="","",SUMIFS(INDIRECT("$K$7:K"&amp;ROW()),INDIRECT("$D$7:D"&amp;ROW()),"="&amp;"Report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7" s="403" t="str">
        <f ca="1">+IF($B467="","",SUMIFS(INDIRECT("$K$7:K"&amp;ROW()),INDIRECT("$B$7:B"&amp;ROW()),Tableau15356789101112131625236924[[#This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7" s="490"/>
    </row>
    <row r="468" spans="1:13" ht="15" x14ac:dyDescent="0.3">
      <c r="A468" s="434"/>
      <c r="B468" s="392"/>
      <c r="C468" s="538"/>
      <c r="D46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8" s="437"/>
      <c r="F468" s="397"/>
      <c r="G468" s="397"/>
      <c r="H468" s="401"/>
      <c r="I468" s="403"/>
      <c r="J468" s="403"/>
      <c r="K468" s="491" t="str">
        <f ca="1">+IF('[1]BROUILLARD DE CAISSE '!$C465="","",SUMIFS(INDIRECT("$K$7:K"&amp;ROW()),INDIRECT("$D$7:D"&amp;ROW()),"="&amp;"Report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8" s="403" t="str">
        <f ca="1">+IF($B468="","",SUMIFS(INDIRECT("$K$7:K"&amp;ROW()),INDIRECT("$B$7:B"&amp;ROW()),Tableau15356789101112131625236924[[#This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8" s="490"/>
    </row>
    <row r="469" spans="1:13" ht="15" x14ac:dyDescent="0.3">
      <c r="A469" s="434"/>
      <c r="B469" s="392"/>
      <c r="C469" s="538"/>
      <c r="D46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69" s="437"/>
      <c r="F469" s="397"/>
      <c r="G469" s="397"/>
      <c r="H469" s="401"/>
      <c r="I469" s="403"/>
      <c r="J469" s="403"/>
      <c r="K469" s="491" t="str">
        <f ca="1">+IF('[1]BROUILLARD DE CAISSE '!$C466="","",SUMIFS(INDIRECT("$K$7:K"&amp;ROW()),INDIRECT("$D$7:D"&amp;ROW()),"="&amp;"Report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69" s="403" t="str">
        <f ca="1">+IF($B469="","",SUMIFS(INDIRECT("$K$7:K"&amp;ROW()),INDIRECT("$B$7:B"&amp;ROW()),Tableau15356789101112131625236924[[#This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69" s="490"/>
    </row>
    <row r="470" spans="1:13" ht="15" x14ac:dyDescent="0.3">
      <c r="A470" s="434"/>
      <c r="B470" s="392"/>
      <c r="C470" s="538"/>
      <c r="D47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0" s="437"/>
      <c r="F470" s="397"/>
      <c r="G470" s="397"/>
      <c r="H470" s="401"/>
      <c r="I470" s="403"/>
      <c r="J470" s="403"/>
      <c r="K470" s="491" t="str">
        <f ca="1">+IF('[1]BROUILLARD DE CAISSE '!$C467="","",SUMIFS(INDIRECT("$K$7:K"&amp;ROW()),INDIRECT("$D$7:D"&amp;ROW()),"="&amp;"Report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0" s="403" t="str">
        <f ca="1">+IF($B470="","",SUMIFS(INDIRECT("$K$7:K"&amp;ROW()),INDIRECT("$B$7:B"&amp;ROW()),Tableau15356789101112131625236924[[#This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0" s="490"/>
    </row>
    <row r="471" spans="1:13" ht="15" x14ac:dyDescent="0.3">
      <c r="A471" s="434"/>
      <c r="B471" s="392"/>
      <c r="C471" s="538"/>
      <c r="D47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1" s="437"/>
      <c r="F471" s="397"/>
      <c r="G471" s="397"/>
      <c r="H471" s="401"/>
      <c r="I471" s="403"/>
      <c r="J471" s="403"/>
      <c r="K471" s="491" t="str">
        <f ca="1">+IF('[1]BROUILLARD DE CAISSE '!$C468="","",SUMIFS(INDIRECT("$K$7:K"&amp;ROW()),INDIRECT("$D$7:D"&amp;ROW()),"="&amp;"Report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1" s="403" t="str">
        <f ca="1">+IF($B471="","",SUMIFS(INDIRECT("$K$7:K"&amp;ROW()),INDIRECT("$B$7:B"&amp;ROW()),Tableau15356789101112131625236924[[#This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1" s="490"/>
    </row>
    <row r="472" spans="1:13" ht="15" x14ac:dyDescent="0.3">
      <c r="A472" s="434"/>
      <c r="B472" s="392"/>
      <c r="C472" s="538"/>
      <c r="D47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2" s="437"/>
      <c r="F472" s="397"/>
      <c r="G472" s="397"/>
      <c r="H472" s="401"/>
      <c r="I472" s="403"/>
      <c r="J472" s="403"/>
      <c r="K472" s="491" t="str">
        <f ca="1">+IF('[1]BROUILLARD DE CAISSE '!$C469="","",SUMIFS(INDIRECT("$K$7:K"&amp;ROW()),INDIRECT("$D$7:D"&amp;ROW()),"="&amp;"Report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2" s="403" t="str">
        <f ca="1">+IF($B472="","",SUMIFS(INDIRECT("$K$7:K"&amp;ROW()),INDIRECT("$B$7:B"&amp;ROW()),Tableau15356789101112131625236924[[#This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2" s="490"/>
    </row>
    <row r="473" spans="1:13" ht="15" x14ac:dyDescent="0.3">
      <c r="A473" s="434"/>
      <c r="B473" s="392"/>
      <c r="C473" s="538"/>
      <c r="D473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3" s="437"/>
      <c r="F473" s="397"/>
      <c r="G473" s="397"/>
      <c r="H473" s="401"/>
      <c r="I473" s="403"/>
      <c r="J473" s="403"/>
      <c r="K473" s="491" t="str">
        <f ca="1">+IF('[1]BROUILLARD DE CAISSE '!$C470="","",SUMIFS(INDIRECT("$K$7:K"&amp;ROW()),INDIRECT("$D$7:D"&amp;ROW()),"="&amp;"Report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3" s="403" t="str">
        <f ca="1">+IF($B473="","",SUMIFS(INDIRECT("$K$7:K"&amp;ROW()),INDIRECT("$B$7:B"&amp;ROW()),Tableau15356789101112131625236924[[#This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3" s="490"/>
    </row>
    <row r="474" spans="1:13" ht="15" x14ac:dyDescent="0.3">
      <c r="A474" s="434"/>
      <c r="B474" s="392"/>
      <c r="C474" s="538"/>
      <c r="D474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4" s="437"/>
      <c r="F474" s="397"/>
      <c r="G474" s="397"/>
      <c r="H474" s="401"/>
      <c r="I474" s="403"/>
      <c r="J474" s="403"/>
      <c r="K474" s="491" t="str">
        <f ca="1">+IF('[1]BROUILLARD DE CAISSE '!$C471="","",SUMIFS(INDIRECT("$K$7:K"&amp;ROW()),INDIRECT("$D$7:D"&amp;ROW()),"="&amp;"Report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4" s="403" t="str">
        <f ca="1">+IF($B474="","",SUMIFS(INDIRECT("$K$7:K"&amp;ROW()),INDIRECT("$B$7:B"&amp;ROW()),Tableau15356789101112131625236924[[#This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4" s="490"/>
    </row>
    <row r="475" spans="1:13" ht="15" x14ac:dyDescent="0.3">
      <c r="A475" s="434"/>
      <c r="B475" s="392"/>
      <c r="C475" s="538"/>
      <c r="D475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5" s="437"/>
      <c r="F475" s="397"/>
      <c r="G475" s="397"/>
      <c r="H475" s="401"/>
      <c r="I475" s="403"/>
      <c r="J475" s="403"/>
      <c r="K475" s="491" t="str">
        <f ca="1">+IF('[1]BROUILLARD DE CAISSE '!$C472="","",SUMIFS(INDIRECT("$K$7:K"&amp;ROW()),INDIRECT("$D$7:D"&amp;ROW()),"="&amp;"Report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5" s="403" t="str">
        <f ca="1">+IF($B475="","",SUMIFS(INDIRECT("$K$7:K"&amp;ROW()),INDIRECT("$B$7:B"&amp;ROW()),Tableau15356789101112131625236924[[#This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5" s="490"/>
    </row>
    <row r="476" spans="1:13" ht="15" x14ac:dyDescent="0.3">
      <c r="A476" s="434"/>
      <c r="B476" s="392"/>
      <c r="C476" s="538"/>
      <c r="D476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6" s="437"/>
      <c r="F476" s="397"/>
      <c r="G476" s="397"/>
      <c r="H476" s="401"/>
      <c r="I476" s="403"/>
      <c r="J476" s="403"/>
      <c r="K476" s="491" t="str">
        <f ca="1">+IF('[1]BROUILLARD DE CAISSE '!$C473="","",SUMIFS(INDIRECT("$K$7:K"&amp;ROW()),INDIRECT("$D$7:D"&amp;ROW()),"="&amp;"Report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6" s="403" t="str">
        <f ca="1">+IF($B476="","",SUMIFS(INDIRECT("$K$7:K"&amp;ROW()),INDIRECT("$B$7:B"&amp;ROW()),Tableau15356789101112131625236924[[#This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6" s="490"/>
    </row>
    <row r="477" spans="1:13" ht="15" x14ac:dyDescent="0.3">
      <c r="A477" s="434"/>
      <c r="B477" s="392"/>
      <c r="C477" s="538"/>
      <c r="D477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7" s="437"/>
      <c r="F477" s="397"/>
      <c r="G477" s="397"/>
      <c r="H477" s="401"/>
      <c r="I477" s="403"/>
      <c r="J477" s="403"/>
      <c r="K477" s="491" t="str">
        <f ca="1">+IF('[1]BROUILLARD DE CAISSE '!$C474="","",SUMIFS(INDIRECT("$K$7:K"&amp;ROW()),INDIRECT("$D$7:D"&amp;ROW()),"="&amp;"Report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7" s="403" t="str">
        <f ca="1">+IF($B477="","",SUMIFS(INDIRECT("$K$7:K"&amp;ROW()),INDIRECT("$B$7:B"&amp;ROW()),Tableau15356789101112131625236924[[#This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7" s="490"/>
    </row>
    <row r="478" spans="1:13" ht="15" x14ac:dyDescent="0.3">
      <c r="A478" s="434"/>
      <c r="B478" s="392"/>
      <c r="C478" s="538"/>
      <c r="D478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8" s="437"/>
      <c r="F478" s="397"/>
      <c r="G478" s="397"/>
      <c r="H478" s="401"/>
      <c r="I478" s="403"/>
      <c r="J478" s="403"/>
      <c r="K478" s="491" t="str">
        <f ca="1">+IF('[1]BROUILLARD DE CAISSE '!$C475="","",SUMIFS(INDIRECT("$K$7:K"&amp;ROW()),INDIRECT("$D$7:D"&amp;ROW()),"="&amp;"Report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8" s="403" t="str">
        <f ca="1">+IF($B478="","",SUMIFS(INDIRECT("$K$7:K"&amp;ROW()),INDIRECT("$B$7:B"&amp;ROW()),Tableau15356789101112131625236924[[#This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8" s="490"/>
    </row>
    <row r="479" spans="1:13" ht="15" x14ac:dyDescent="0.3">
      <c r="A479" s="434"/>
      <c r="B479" s="392"/>
      <c r="C479" s="538"/>
      <c r="D479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79" s="437"/>
      <c r="F479" s="397"/>
      <c r="G479" s="397"/>
      <c r="H479" s="401"/>
      <c r="I479" s="403"/>
      <c r="J479" s="403"/>
      <c r="K479" s="491" t="str">
        <f ca="1">+IF('[1]BROUILLARD DE CAISSE '!$C476="","",SUMIFS(INDIRECT("$K$7:K"&amp;ROW()),INDIRECT("$D$7:D"&amp;ROW()),"="&amp;"Report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79" s="403" t="str">
        <f ca="1">+IF($B479="","",SUMIFS(INDIRECT("$K$7:K"&amp;ROW()),INDIRECT("$B$7:B"&amp;ROW()),Tableau15356789101112131625236924[[#This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79" s="490"/>
    </row>
    <row r="480" spans="1:13" ht="15" x14ac:dyDescent="0.3">
      <c r="A480" s="434"/>
      <c r="B480" s="392"/>
      <c r="C480" s="538"/>
      <c r="D480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0" s="437"/>
      <c r="F480" s="397"/>
      <c r="G480" s="397"/>
      <c r="H480" s="401"/>
      <c r="I480" s="403"/>
      <c r="J480" s="403"/>
      <c r="K480" s="491" t="str">
        <f ca="1">+IF('[1]BROUILLARD DE CAISSE '!$C477="","",SUMIFS(INDIRECT("$K$7:K"&amp;ROW()),INDIRECT("$D$7:D"&amp;ROW()),"="&amp;"Report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0" s="403" t="str">
        <f ca="1">+IF($B480="","",SUMIFS(INDIRECT("$K$7:K"&amp;ROW()),INDIRECT("$B$7:B"&amp;ROW()),Tableau15356789101112131625236924[[#This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0" s="490"/>
    </row>
    <row r="481" spans="1:13" ht="15" x14ac:dyDescent="0.3">
      <c r="A481" s="434"/>
      <c r="B481" s="392"/>
      <c r="C481" s="538"/>
      <c r="D481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1" s="437"/>
      <c r="F481" s="397"/>
      <c r="G481" s="397"/>
      <c r="H481" s="401"/>
      <c r="I481" s="403"/>
      <c r="J481" s="403"/>
      <c r="K481" s="491" t="str">
        <f ca="1">+IF('[1]BROUILLARD DE CAISSE '!$C478="","",SUMIFS(INDIRECT("$K$7:K"&amp;ROW()),INDIRECT("$D$7:D"&amp;ROW()),"="&amp;"Report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1" s="403" t="str">
        <f ca="1">+IF($B481="","",SUMIFS(INDIRECT("$K$7:K"&amp;ROW()),INDIRECT("$B$7:B"&amp;ROW()),Tableau15356789101112131625236924[[#This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1" s="490"/>
    </row>
    <row r="482" spans="1:13" ht="15" x14ac:dyDescent="0.3">
      <c r="A482" s="434"/>
      <c r="B482" s="392"/>
      <c r="C482" s="538"/>
      <c r="D482" s="488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2" s="437"/>
      <c r="F482" s="397"/>
      <c r="G482" s="397"/>
      <c r="H482" s="401"/>
      <c r="I482" s="403"/>
      <c r="J482" s="403"/>
      <c r="K482" s="491" t="str">
        <f ca="1">+IF('[1]BROUILLARD DE CAISSE '!$C479="","",SUMIFS(INDIRECT("$K$7:K"&amp;ROW()),INDIRECT("$D$7:D"&amp;ROW()),"="&amp;"Report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2" s="403" t="str">
        <f ca="1">+IF($B482="","",SUMIFS(INDIRECT("$K$7:K"&amp;ROW()),INDIRECT("$B$7:B"&amp;ROW()),Tableau15356789101112131625236924[[#This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2" s="490"/>
    </row>
    <row r="483" spans="1:13" ht="15" x14ac:dyDescent="0.3">
      <c r="A483" s="434"/>
      <c r="B483" s="392"/>
      <c r="C483" s="538"/>
      <c r="D48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3" s="437"/>
      <c r="F483" s="397"/>
      <c r="G483" s="397"/>
      <c r="H483" s="401"/>
      <c r="I483" s="403"/>
      <c r="J483" s="403"/>
      <c r="K483" s="491" t="str">
        <f ca="1">+IF('[1]BROUILLARD DE CAISSE '!$C480="","",SUMIFS(INDIRECT("$K$7:K"&amp;ROW()),INDIRECT("$D$7:D"&amp;ROW()),"="&amp;"Report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3" s="403" t="str">
        <f ca="1">+IF($B483="","",SUMIFS(INDIRECT("$K$7:K"&amp;ROW()),INDIRECT("$B$7:B"&amp;ROW()),Tableau15356789101112131625236924[[#This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3" s="490"/>
    </row>
    <row r="484" spans="1:13" ht="15" x14ac:dyDescent="0.3">
      <c r="A484" s="434"/>
      <c r="B484" s="392"/>
      <c r="C484" s="538"/>
      <c r="D48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4" s="437"/>
      <c r="F484" s="397"/>
      <c r="G484" s="397"/>
      <c r="H484" s="401"/>
      <c r="I484" s="403"/>
      <c r="J484" s="403"/>
      <c r="K484" s="491" t="str">
        <f ca="1">+IF('[1]BROUILLARD DE CAISSE '!$C481="","",SUMIFS(INDIRECT("$K$7:K"&amp;ROW()),INDIRECT("$D$7:D"&amp;ROW()),"="&amp;"Report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4" s="403" t="str">
        <f ca="1">+IF($B484="","",SUMIFS(INDIRECT("$K$7:K"&amp;ROW()),INDIRECT("$B$7:B"&amp;ROW()),Tableau15356789101112131625236924[[#This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4" s="490"/>
    </row>
    <row r="485" spans="1:13" ht="15" x14ac:dyDescent="0.3">
      <c r="A485" s="434"/>
      <c r="B485" s="392"/>
      <c r="C485" s="538"/>
      <c r="D48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5" s="437"/>
      <c r="F485" s="397"/>
      <c r="G485" s="397"/>
      <c r="H485" s="401"/>
      <c r="I485" s="403"/>
      <c r="J485" s="403"/>
      <c r="K485" s="491" t="str">
        <f ca="1">+IF('[1]BROUILLARD DE CAISSE '!$C482="","",SUMIFS(INDIRECT("$K$7:K"&amp;ROW()),INDIRECT("$D$7:D"&amp;ROW()),"="&amp;"Report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5" s="403" t="str">
        <f ca="1">+IF($B485="","",SUMIFS(INDIRECT("$K$7:K"&amp;ROW()),INDIRECT("$B$7:B"&amp;ROW()),Tableau15356789101112131625236924[[#This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5" s="490"/>
    </row>
    <row r="486" spans="1:13" ht="15" x14ac:dyDescent="0.3">
      <c r="A486" s="434"/>
      <c r="B486" s="392"/>
      <c r="C486" s="538"/>
      <c r="D48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6" s="437"/>
      <c r="F486" s="397"/>
      <c r="G486" s="397"/>
      <c r="H486" s="401"/>
      <c r="I486" s="403"/>
      <c r="J486" s="403"/>
      <c r="K486" s="491" t="str">
        <f ca="1">+IF('[1]BROUILLARD DE CAISSE '!$C483="","",SUMIFS(INDIRECT("$K$7:K"&amp;ROW()),INDIRECT("$D$7:D"&amp;ROW()),"="&amp;"Report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6" s="403" t="str">
        <f ca="1">+IF($B486="","",SUMIFS(INDIRECT("$K$7:K"&amp;ROW()),INDIRECT("$B$7:B"&amp;ROW()),Tableau15356789101112131625236924[[#This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6" s="490"/>
    </row>
    <row r="487" spans="1:13" ht="15" x14ac:dyDescent="0.3">
      <c r="A487" s="434"/>
      <c r="B487" s="392"/>
      <c r="C487" s="538"/>
      <c r="D48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7" s="437"/>
      <c r="F487" s="397"/>
      <c r="G487" s="397"/>
      <c r="H487" s="401"/>
      <c r="I487" s="403"/>
      <c r="J487" s="403"/>
      <c r="K487" s="491" t="str">
        <f ca="1">+IF('[1]BROUILLARD DE CAISSE '!$C484="","",SUMIFS(INDIRECT("$K$7:K"&amp;ROW()),INDIRECT("$D$7:D"&amp;ROW()),"="&amp;"Report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7" s="403" t="str">
        <f ca="1">+IF($B487="","",SUMIFS(INDIRECT("$K$7:K"&amp;ROW()),INDIRECT("$B$7:B"&amp;ROW()),Tableau15356789101112131625236924[[#This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7" s="490"/>
    </row>
    <row r="488" spans="1:13" ht="15" x14ac:dyDescent="0.3">
      <c r="A488" s="434"/>
      <c r="B488" s="392"/>
      <c r="C488" s="538"/>
      <c r="D48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8" s="437"/>
      <c r="F488" s="397"/>
      <c r="G488" s="397"/>
      <c r="H488" s="401"/>
      <c r="I488" s="403"/>
      <c r="J488" s="403"/>
      <c r="K488" s="491" t="str">
        <f ca="1">+IF('[1]BROUILLARD DE CAISSE '!$C485="","",SUMIFS(INDIRECT("$K$7:K"&amp;ROW()),INDIRECT("$D$7:D"&amp;ROW()),"="&amp;"Report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8" s="403" t="str">
        <f ca="1">+IF($B488="","",SUMIFS(INDIRECT("$K$7:K"&amp;ROW()),INDIRECT("$B$7:B"&amp;ROW()),Tableau15356789101112131625236924[[#This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8" s="490"/>
    </row>
    <row r="489" spans="1:13" ht="15" x14ac:dyDescent="0.3">
      <c r="A489" s="434"/>
      <c r="B489" s="392"/>
      <c r="C489" s="538"/>
      <c r="D48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89" s="437"/>
      <c r="F489" s="397"/>
      <c r="G489" s="397"/>
      <c r="H489" s="401"/>
      <c r="I489" s="403"/>
      <c r="J489" s="403"/>
      <c r="K489" s="491" t="str">
        <f ca="1">+IF('[1]BROUILLARD DE CAISSE '!$C486="","",SUMIFS(INDIRECT("$K$7:K"&amp;ROW()),INDIRECT("$D$7:D"&amp;ROW()),"="&amp;"Report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89" s="403" t="str">
        <f ca="1">+IF($B489="","",SUMIFS(INDIRECT("$K$7:K"&amp;ROW()),INDIRECT("$B$7:B"&amp;ROW()),Tableau15356789101112131625236924[[#This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89" s="490"/>
    </row>
    <row r="490" spans="1:13" ht="15" x14ac:dyDescent="0.3">
      <c r="A490" s="434"/>
      <c r="B490" s="392"/>
      <c r="C490" s="538"/>
      <c r="D49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0" s="437"/>
      <c r="F490" s="397"/>
      <c r="G490" s="397"/>
      <c r="H490" s="401"/>
      <c r="I490" s="403"/>
      <c r="J490" s="403"/>
      <c r="K490" s="491" t="str">
        <f ca="1">+IF('[1]BROUILLARD DE CAISSE '!$C487="","",SUMIFS(INDIRECT("$K$7:K"&amp;ROW()),INDIRECT("$D$7:D"&amp;ROW()),"="&amp;"Report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0" s="403" t="str">
        <f ca="1">+IF($B490="","",SUMIFS(INDIRECT("$K$7:K"&amp;ROW()),INDIRECT("$B$7:B"&amp;ROW()),Tableau15356789101112131625236924[[#This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0" s="490"/>
    </row>
    <row r="491" spans="1:13" ht="15" x14ac:dyDescent="0.3">
      <c r="A491" s="434"/>
      <c r="B491" s="392"/>
      <c r="C491" s="538"/>
      <c r="D49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1" s="437"/>
      <c r="F491" s="397"/>
      <c r="G491" s="397"/>
      <c r="H491" s="401"/>
      <c r="I491" s="403"/>
      <c r="J491" s="403"/>
      <c r="K491" s="491" t="str">
        <f ca="1">+IF('[1]BROUILLARD DE CAISSE '!$C488="","",SUMIFS(INDIRECT("$K$7:K"&amp;ROW()),INDIRECT("$D$7:D"&amp;ROW()),"="&amp;"Report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1" s="403" t="str">
        <f ca="1">+IF($B491="","",SUMIFS(INDIRECT("$K$7:K"&amp;ROW()),INDIRECT("$B$7:B"&amp;ROW()),Tableau15356789101112131625236924[[#This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1" s="490"/>
    </row>
    <row r="492" spans="1:13" ht="15" x14ac:dyDescent="0.3">
      <c r="A492" s="434"/>
      <c r="B492" s="392"/>
      <c r="C492" s="538"/>
      <c r="D49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2" s="437"/>
      <c r="F492" s="397"/>
      <c r="G492" s="397"/>
      <c r="H492" s="401"/>
      <c r="I492" s="403"/>
      <c r="J492" s="403"/>
      <c r="K492" s="491" t="str">
        <f ca="1">+IF('[1]BROUILLARD DE CAISSE '!$C489="","",SUMIFS(INDIRECT("$K$7:K"&amp;ROW()),INDIRECT("$D$7:D"&amp;ROW()),"="&amp;"Report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2" s="403" t="str">
        <f ca="1">+IF($B492="","",SUMIFS(INDIRECT("$K$7:K"&amp;ROW()),INDIRECT("$B$7:B"&amp;ROW()),Tableau15356789101112131625236924[[#This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2" s="490"/>
    </row>
    <row r="493" spans="1:13" ht="15" x14ac:dyDescent="0.3">
      <c r="A493" s="434"/>
      <c r="B493" s="392"/>
      <c r="C493" s="538"/>
      <c r="D49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3" s="437"/>
      <c r="F493" s="397"/>
      <c r="G493" s="397"/>
      <c r="H493" s="401"/>
      <c r="I493" s="403"/>
      <c r="J493" s="403"/>
      <c r="K493" s="491" t="str">
        <f ca="1">+IF('[1]BROUILLARD DE CAISSE '!$C490="","",SUMIFS(INDIRECT("$K$7:K"&amp;ROW()),INDIRECT("$D$7:D"&amp;ROW()),"="&amp;"Report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3" s="403" t="str">
        <f ca="1">+IF($B493="","",SUMIFS(INDIRECT("$K$7:K"&amp;ROW()),INDIRECT("$B$7:B"&amp;ROW()),Tableau15356789101112131625236924[[#This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3" s="490"/>
    </row>
    <row r="494" spans="1:13" ht="15" x14ac:dyDescent="0.3">
      <c r="A494" s="434"/>
      <c r="B494" s="392"/>
      <c r="C494" s="538"/>
      <c r="D49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4" s="437"/>
      <c r="F494" s="397"/>
      <c r="G494" s="397"/>
      <c r="H494" s="401"/>
      <c r="I494" s="403"/>
      <c r="J494" s="403"/>
      <c r="K494" s="491" t="str">
        <f ca="1">+IF('[1]BROUILLARD DE CAISSE '!$C491="","",SUMIFS(INDIRECT("$K$7:K"&amp;ROW()),INDIRECT("$D$7:D"&amp;ROW()),"="&amp;"Report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4" s="403" t="str">
        <f ca="1">+IF($B494="","",SUMIFS(INDIRECT("$K$7:K"&amp;ROW()),INDIRECT("$B$7:B"&amp;ROW()),Tableau15356789101112131625236924[[#This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4" s="490"/>
    </row>
    <row r="495" spans="1:13" ht="15" x14ac:dyDescent="0.3">
      <c r="A495" s="434"/>
      <c r="B495" s="392"/>
      <c r="C495" s="538"/>
      <c r="D49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5" s="437"/>
      <c r="F495" s="397"/>
      <c r="G495" s="397"/>
      <c r="H495" s="401"/>
      <c r="I495" s="403"/>
      <c r="J495" s="403"/>
      <c r="K495" s="491" t="str">
        <f ca="1">+IF('[1]BROUILLARD DE CAISSE '!$C492="","",SUMIFS(INDIRECT("$K$7:K"&amp;ROW()),INDIRECT("$D$7:D"&amp;ROW()),"="&amp;"Report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5" s="403" t="str">
        <f ca="1">+IF($B495="","",SUMIFS(INDIRECT("$K$7:K"&amp;ROW()),INDIRECT("$B$7:B"&amp;ROW()),Tableau15356789101112131625236924[[#This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5" s="490"/>
    </row>
    <row r="496" spans="1:13" ht="15" x14ac:dyDescent="0.3">
      <c r="A496" s="434"/>
      <c r="B496" s="392"/>
      <c r="C496" s="538"/>
      <c r="D49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6" s="437"/>
      <c r="F496" s="397"/>
      <c r="G496" s="397"/>
      <c r="H496" s="401"/>
      <c r="I496" s="403"/>
      <c r="J496" s="403"/>
      <c r="K496" s="491" t="str">
        <f ca="1">+IF('[1]BROUILLARD DE CAISSE '!$C493="","",SUMIFS(INDIRECT("$K$7:K"&amp;ROW()),INDIRECT("$D$7:D"&amp;ROW()),"="&amp;"Report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6" s="403" t="str">
        <f ca="1">+IF($B496="","",SUMIFS(INDIRECT("$K$7:K"&amp;ROW()),INDIRECT("$B$7:B"&amp;ROW()),Tableau15356789101112131625236924[[#This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6" s="490"/>
    </row>
    <row r="497" spans="1:13" ht="15" x14ac:dyDescent="0.3">
      <c r="A497" s="434"/>
      <c r="B497" s="392"/>
      <c r="C497" s="538"/>
      <c r="D49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7" s="437"/>
      <c r="F497" s="397"/>
      <c r="G497" s="397"/>
      <c r="H497" s="401"/>
      <c r="I497" s="403"/>
      <c r="J497" s="403"/>
      <c r="K497" s="491" t="str">
        <f ca="1">+IF('[1]BROUILLARD DE CAISSE '!$C494="","",SUMIFS(INDIRECT("$K$7:K"&amp;ROW()),INDIRECT("$D$7:D"&amp;ROW()),"="&amp;"Report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7" s="403" t="str">
        <f ca="1">+IF($B497="","",SUMIFS(INDIRECT("$K$7:K"&amp;ROW()),INDIRECT("$B$7:B"&amp;ROW()),Tableau15356789101112131625236924[[#This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7" s="490"/>
    </row>
    <row r="498" spans="1:13" ht="15" x14ac:dyDescent="0.3">
      <c r="A498" s="434"/>
      <c r="B498" s="392"/>
      <c r="C498" s="538"/>
      <c r="D49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8" s="437"/>
      <c r="F498" s="397"/>
      <c r="G498" s="397"/>
      <c r="H498" s="401"/>
      <c r="I498" s="403"/>
      <c r="J498" s="403"/>
      <c r="K498" s="491" t="str">
        <f ca="1">+IF('[1]BROUILLARD DE CAISSE '!$C495="","",SUMIFS(INDIRECT("$K$7:K"&amp;ROW()),INDIRECT("$D$7:D"&amp;ROW()),"="&amp;"Report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8" s="403" t="str">
        <f ca="1">+IF($B498="","",SUMIFS(INDIRECT("$K$7:K"&amp;ROW()),INDIRECT("$B$7:B"&amp;ROW()),Tableau15356789101112131625236924[[#This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8" s="490"/>
    </row>
    <row r="499" spans="1:13" ht="15" x14ac:dyDescent="0.3">
      <c r="A499" s="434"/>
      <c r="B499" s="392"/>
      <c r="C499" s="538"/>
      <c r="D49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499" s="437"/>
      <c r="F499" s="397"/>
      <c r="G499" s="397"/>
      <c r="H499" s="401"/>
      <c r="I499" s="403"/>
      <c r="J499" s="403"/>
      <c r="K499" s="491" t="str">
        <f ca="1">+IF('[1]BROUILLARD DE CAISSE '!$C496="","",SUMIFS(INDIRECT("$K$7:K"&amp;ROW()),INDIRECT("$D$7:D"&amp;ROW()),"="&amp;"Report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499" s="403" t="str">
        <f ca="1">+IF($B499="","",SUMIFS(INDIRECT("$K$7:K"&amp;ROW()),INDIRECT("$B$7:B"&amp;ROW()),Tableau15356789101112131625236924[[#This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499" s="490"/>
    </row>
    <row r="500" spans="1:13" ht="15" x14ac:dyDescent="0.3">
      <c r="A500" s="434"/>
      <c r="B500" s="392"/>
      <c r="C500" s="538"/>
      <c r="D50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0" s="437"/>
      <c r="F500" s="397"/>
      <c r="G500" s="397"/>
      <c r="H500" s="401"/>
      <c r="I500" s="403"/>
      <c r="J500" s="403"/>
      <c r="K500" s="491" t="str">
        <f ca="1">+IF('[1]BROUILLARD DE CAISSE '!$C497="","",SUMIFS(INDIRECT("$K$7:K"&amp;ROW()),INDIRECT("$D$7:D"&amp;ROW()),"="&amp;"Report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0" s="403" t="str">
        <f ca="1">+IF($B500="","",SUMIFS(INDIRECT("$K$7:K"&amp;ROW()),INDIRECT("$B$7:B"&amp;ROW()),Tableau15356789101112131625236924[[#This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0" s="490"/>
    </row>
    <row r="501" spans="1:13" ht="15" x14ac:dyDescent="0.3">
      <c r="A501" s="434"/>
      <c r="B501" s="392"/>
      <c r="C501" s="538"/>
      <c r="D50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1" s="437"/>
      <c r="F501" s="397"/>
      <c r="G501" s="397"/>
      <c r="H501" s="401"/>
      <c r="I501" s="403"/>
      <c r="J501" s="403"/>
      <c r="K501" s="491" t="str">
        <f ca="1">+IF('[1]BROUILLARD DE CAISSE '!$C498="","",SUMIFS(INDIRECT("$K$7:K"&amp;ROW()),INDIRECT("$D$7:D"&amp;ROW()),"="&amp;"Report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1" s="403" t="str">
        <f ca="1">+IF($B501="","",SUMIFS(INDIRECT("$K$7:K"&amp;ROW()),INDIRECT("$B$7:B"&amp;ROW()),Tableau15356789101112131625236924[[#This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1" s="490"/>
    </row>
    <row r="502" spans="1:13" ht="15" x14ac:dyDescent="0.3">
      <c r="A502" s="434"/>
      <c r="B502" s="392"/>
      <c r="C502" s="538"/>
      <c r="D50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2" s="437"/>
      <c r="F502" s="397"/>
      <c r="G502" s="397"/>
      <c r="H502" s="401"/>
      <c r="I502" s="403"/>
      <c r="J502" s="403"/>
      <c r="K502" s="491" t="str">
        <f ca="1">+IF('[1]BROUILLARD DE CAISSE '!$C499="","",SUMIFS(INDIRECT("$K$7:K"&amp;ROW()),INDIRECT("$D$7:D"&amp;ROW()),"="&amp;"Report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2" s="403" t="str">
        <f ca="1">+IF($B502="","",SUMIFS(INDIRECT("$K$7:K"&amp;ROW()),INDIRECT("$B$7:B"&amp;ROW()),Tableau15356789101112131625236924[[#This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2" s="490"/>
    </row>
    <row r="503" spans="1:13" ht="15" x14ac:dyDescent="0.3">
      <c r="A503" s="434"/>
      <c r="B503" s="392"/>
      <c r="C503" s="538"/>
      <c r="D50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3" s="437"/>
      <c r="F503" s="397"/>
      <c r="G503" s="397"/>
      <c r="H503" s="401"/>
      <c r="I503" s="403"/>
      <c r="J503" s="403"/>
      <c r="K503" s="491" t="str">
        <f ca="1">+IF('[1]BROUILLARD DE CAISSE '!$C500="","",SUMIFS(INDIRECT("$K$7:K"&amp;ROW()),INDIRECT("$D$7:D"&amp;ROW()),"="&amp;"Report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3" s="403" t="str">
        <f ca="1">+IF($B503="","",SUMIFS(INDIRECT("$K$7:K"&amp;ROW()),INDIRECT("$B$7:B"&amp;ROW()),Tableau15356789101112131625236924[[#This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3" s="490"/>
    </row>
    <row r="504" spans="1:13" ht="15" x14ac:dyDescent="0.3">
      <c r="A504" s="434"/>
      <c r="B504" s="392"/>
      <c r="C504" s="538"/>
      <c r="D50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4" s="437"/>
      <c r="F504" s="397"/>
      <c r="G504" s="397"/>
      <c r="H504" s="401"/>
      <c r="I504" s="403"/>
      <c r="J504" s="403"/>
      <c r="K504" s="491" t="str">
        <f ca="1">+IF('[1]BROUILLARD DE CAISSE '!$C501="","",SUMIFS(INDIRECT("$K$7:K"&amp;ROW()),INDIRECT("$D$7:D"&amp;ROW()),"="&amp;"Report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4" s="403" t="str">
        <f ca="1">+IF($B504="","",SUMIFS(INDIRECT("$K$7:K"&amp;ROW()),INDIRECT("$B$7:B"&amp;ROW()),Tableau15356789101112131625236924[[#This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4" s="490"/>
    </row>
    <row r="505" spans="1:13" ht="15" x14ac:dyDescent="0.3">
      <c r="A505" s="434"/>
      <c r="B505" s="392"/>
      <c r="C505" s="538"/>
      <c r="D50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5" s="437"/>
      <c r="F505" s="397"/>
      <c r="G505" s="397"/>
      <c r="H505" s="401"/>
      <c r="I505" s="403"/>
      <c r="J505" s="403"/>
      <c r="K505" s="491" t="str">
        <f ca="1">+IF('[1]BROUILLARD DE CAISSE '!$C502="","",SUMIFS(INDIRECT("$K$7:K"&amp;ROW()),INDIRECT("$D$7:D"&amp;ROW()),"="&amp;"Report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5" s="403" t="str">
        <f ca="1">+IF($B505="","",SUMIFS(INDIRECT("$K$7:K"&amp;ROW()),INDIRECT("$B$7:B"&amp;ROW()),Tableau15356789101112131625236924[[#This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5" s="490"/>
    </row>
    <row r="506" spans="1:13" ht="15" x14ac:dyDescent="0.3">
      <c r="A506" s="434"/>
      <c r="B506" s="392"/>
      <c r="C506" s="538"/>
      <c r="D50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6" s="437"/>
      <c r="F506" s="397"/>
      <c r="G506" s="397"/>
      <c r="H506" s="401"/>
      <c r="I506" s="403"/>
      <c r="J506" s="403"/>
      <c r="K506" s="491" t="str">
        <f ca="1">+IF('[1]BROUILLARD DE CAISSE '!$C503="","",SUMIFS(INDIRECT("$K$7:K"&amp;ROW()),INDIRECT("$D$7:D"&amp;ROW()),"="&amp;"Report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6" s="403" t="str">
        <f ca="1">+IF($B506="","",SUMIFS(INDIRECT("$K$7:K"&amp;ROW()),INDIRECT("$B$7:B"&amp;ROW()),Tableau15356789101112131625236924[[#This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6" s="490"/>
    </row>
    <row r="507" spans="1:13" ht="15" x14ac:dyDescent="0.3">
      <c r="A507" s="434"/>
      <c r="B507" s="392"/>
      <c r="C507" s="538"/>
      <c r="D50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7" s="437"/>
      <c r="F507" s="397"/>
      <c r="G507" s="397"/>
      <c r="H507" s="401"/>
      <c r="I507" s="403"/>
      <c r="J507" s="403"/>
      <c r="K507" s="491" t="str">
        <f ca="1">+IF('[1]BROUILLARD DE CAISSE '!$C504="","",SUMIFS(INDIRECT("$K$7:K"&amp;ROW()),INDIRECT("$D$7:D"&amp;ROW()),"="&amp;"Report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7" s="403" t="str">
        <f ca="1">+IF($B507="","",SUMIFS(INDIRECT("$K$7:K"&amp;ROW()),INDIRECT("$B$7:B"&amp;ROW()),Tableau15356789101112131625236924[[#This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7" s="490"/>
    </row>
    <row r="508" spans="1:13" ht="15" x14ac:dyDescent="0.3">
      <c r="A508" s="434"/>
      <c r="B508" s="392"/>
      <c r="C508" s="538"/>
      <c r="D50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8" s="437"/>
      <c r="F508" s="397"/>
      <c r="G508" s="397"/>
      <c r="H508" s="401"/>
      <c r="I508" s="403"/>
      <c r="J508" s="403"/>
      <c r="K508" s="491" t="str">
        <f ca="1">+IF('[1]BROUILLARD DE CAISSE '!$C505="","",SUMIFS(INDIRECT("$K$7:K"&amp;ROW()),INDIRECT("$D$7:D"&amp;ROW()),"="&amp;"Report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8" s="403" t="str">
        <f ca="1">+IF($B508="","",SUMIFS(INDIRECT("$K$7:K"&amp;ROW()),INDIRECT("$B$7:B"&amp;ROW()),Tableau15356789101112131625236924[[#This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8" s="490"/>
    </row>
    <row r="509" spans="1:13" ht="15" x14ac:dyDescent="0.3">
      <c r="A509" s="434"/>
      <c r="B509" s="392"/>
      <c r="C509" s="538"/>
      <c r="D50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09" s="437"/>
      <c r="F509" s="397"/>
      <c r="G509" s="397"/>
      <c r="H509" s="401"/>
      <c r="I509" s="403"/>
      <c r="J509" s="403"/>
      <c r="K509" s="491" t="str">
        <f ca="1">+IF('[1]BROUILLARD DE CAISSE '!$C506="","",SUMIFS(INDIRECT("$K$7:K"&amp;ROW()),INDIRECT("$D$7:D"&amp;ROW()),"="&amp;"Report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09" s="403" t="str">
        <f ca="1">+IF($B509="","",SUMIFS(INDIRECT("$K$7:K"&amp;ROW()),INDIRECT("$B$7:B"&amp;ROW()),Tableau15356789101112131625236924[[#This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09" s="490"/>
    </row>
    <row r="510" spans="1:13" ht="15" x14ac:dyDescent="0.3">
      <c r="A510" s="434"/>
      <c r="B510" s="392"/>
      <c r="C510" s="538"/>
      <c r="D51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0" s="437"/>
      <c r="F510" s="397"/>
      <c r="G510" s="397"/>
      <c r="H510" s="401"/>
      <c r="I510" s="403"/>
      <c r="J510" s="403"/>
      <c r="K510" s="491" t="str">
        <f ca="1">+IF('[1]BROUILLARD DE CAISSE '!$C507="","",SUMIFS(INDIRECT("$K$7:K"&amp;ROW()),INDIRECT("$D$7:D"&amp;ROW()),"="&amp;"Report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0" s="403" t="str">
        <f ca="1">+IF($B510="","",SUMIFS(INDIRECT("$K$7:K"&amp;ROW()),INDIRECT("$B$7:B"&amp;ROW()),Tableau15356789101112131625236924[[#This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0" s="490"/>
    </row>
    <row r="511" spans="1:13" ht="15" x14ac:dyDescent="0.3">
      <c r="A511" s="434"/>
      <c r="B511" s="392"/>
      <c r="C511" s="538"/>
      <c r="D51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1" s="437"/>
      <c r="F511" s="397"/>
      <c r="G511" s="397"/>
      <c r="H511" s="401"/>
      <c r="I511" s="403"/>
      <c r="J511" s="403"/>
      <c r="K511" s="491" t="str">
        <f ca="1">+IF('[1]BROUILLARD DE CAISSE '!$C508="","",SUMIFS(INDIRECT("$K$7:K"&amp;ROW()),INDIRECT("$D$7:D"&amp;ROW()),"="&amp;"Report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1" s="403" t="str">
        <f ca="1">+IF($B511="","",SUMIFS(INDIRECT("$K$7:K"&amp;ROW()),INDIRECT("$B$7:B"&amp;ROW()),Tableau15356789101112131625236924[[#This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1" s="490"/>
    </row>
    <row r="512" spans="1:13" ht="15" x14ac:dyDescent="0.3">
      <c r="A512" s="434"/>
      <c r="B512" s="392"/>
      <c r="C512" s="538"/>
      <c r="D51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2" s="437"/>
      <c r="F512" s="397"/>
      <c r="G512" s="397"/>
      <c r="H512" s="401"/>
      <c r="I512" s="403"/>
      <c r="J512" s="403"/>
      <c r="K512" s="491" t="str">
        <f ca="1">+IF('[1]BROUILLARD DE CAISSE '!$C509="","",SUMIFS(INDIRECT("$K$7:K"&amp;ROW()),INDIRECT("$D$7:D"&amp;ROW()),"="&amp;"Report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2" s="403" t="str">
        <f ca="1">+IF($B512="","",SUMIFS(INDIRECT("$K$7:K"&amp;ROW()),INDIRECT("$B$7:B"&amp;ROW()),Tableau15356789101112131625236924[[#This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2" s="490"/>
    </row>
    <row r="513" spans="1:13" ht="15" x14ac:dyDescent="0.3">
      <c r="A513" s="434"/>
      <c r="B513" s="392"/>
      <c r="C513" s="538"/>
      <c r="D51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3" s="437"/>
      <c r="F513" s="397"/>
      <c r="G513" s="397"/>
      <c r="H513" s="401"/>
      <c r="I513" s="403"/>
      <c r="J513" s="403"/>
      <c r="K513" s="491" t="str">
        <f ca="1">+IF('[1]BROUILLARD DE CAISSE '!$C510="","",SUMIFS(INDIRECT("$K$7:K"&amp;ROW()),INDIRECT("$D$7:D"&amp;ROW()),"="&amp;"Report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3" s="403" t="str">
        <f ca="1">+IF($B513="","",SUMIFS(INDIRECT("$K$7:K"&amp;ROW()),INDIRECT("$B$7:B"&amp;ROW()),Tableau15356789101112131625236924[[#This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3" s="490"/>
    </row>
    <row r="514" spans="1:13" ht="15" x14ac:dyDescent="0.3">
      <c r="A514" s="434"/>
      <c r="B514" s="392"/>
      <c r="C514" s="538"/>
      <c r="D51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4" s="437"/>
      <c r="F514" s="397"/>
      <c r="G514" s="397"/>
      <c r="H514" s="401"/>
      <c r="I514" s="403"/>
      <c r="J514" s="403"/>
      <c r="K514" s="491" t="str">
        <f ca="1">+IF('[1]BROUILLARD DE CAISSE '!$C511="","",SUMIFS(INDIRECT("$K$7:K"&amp;ROW()),INDIRECT("$D$7:D"&amp;ROW()),"="&amp;"Report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4" s="403" t="str">
        <f ca="1">+IF($B514="","",SUMIFS(INDIRECT("$K$7:K"&amp;ROW()),INDIRECT("$B$7:B"&amp;ROW()),Tableau15356789101112131625236924[[#This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4" s="490"/>
    </row>
    <row r="515" spans="1:13" ht="15" x14ac:dyDescent="0.3">
      <c r="A515" s="434"/>
      <c r="B515" s="392"/>
      <c r="C515" s="538"/>
      <c r="D51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5" s="437"/>
      <c r="F515" s="397"/>
      <c r="G515" s="397"/>
      <c r="H515" s="401"/>
      <c r="I515" s="403"/>
      <c r="J515" s="403"/>
      <c r="K515" s="491" t="str">
        <f ca="1">+IF('[1]BROUILLARD DE CAISSE '!$C512="","",SUMIFS(INDIRECT("$K$7:K"&amp;ROW()),INDIRECT("$D$7:D"&amp;ROW()),"="&amp;"Report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5" s="403" t="str">
        <f ca="1">+IF($B515="","",SUMIFS(INDIRECT("$K$7:K"&amp;ROW()),INDIRECT("$B$7:B"&amp;ROW()),Tableau15356789101112131625236924[[#This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5" s="490"/>
    </row>
    <row r="516" spans="1:13" ht="15" x14ac:dyDescent="0.3">
      <c r="A516" s="434"/>
      <c r="B516" s="392"/>
      <c r="C516" s="538"/>
      <c r="D51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6" s="437"/>
      <c r="F516" s="397"/>
      <c r="G516" s="397"/>
      <c r="H516" s="401"/>
      <c r="I516" s="403"/>
      <c r="J516" s="403"/>
      <c r="K516" s="491" t="str">
        <f ca="1">+IF('[1]BROUILLARD DE CAISSE '!$C513="","",SUMIFS(INDIRECT("$K$7:K"&amp;ROW()),INDIRECT("$D$7:D"&amp;ROW()),"="&amp;"Report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6" s="403" t="str">
        <f ca="1">+IF($B516="","",SUMIFS(INDIRECT("$K$7:K"&amp;ROW()),INDIRECT("$B$7:B"&amp;ROW()),Tableau15356789101112131625236924[[#This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6" s="490"/>
    </row>
    <row r="517" spans="1:13" ht="15" x14ac:dyDescent="0.3">
      <c r="A517" s="434"/>
      <c r="B517" s="392"/>
      <c r="C517" s="538"/>
      <c r="D51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7" s="437"/>
      <c r="F517" s="397"/>
      <c r="G517" s="397"/>
      <c r="H517" s="401"/>
      <c r="I517" s="403"/>
      <c r="J517" s="403"/>
      <c r="K517" s="491" t="str">
        <f ca="1">+IF('[1]BROUILLARD DE CAISSE '!$C514="","",SUMIFS(INDIRECT("$K$7:K"&amp;ROW()),INDIRECT("$D$7:D"&amp;ROW()),"="&amp;"Report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7" s="403" t="str">
        <f ca="1">+IF($B517="","",SUMIFS(INDIRECT("$K$7:K"&amp;ROW()),INDIRECT("$B$7:B"&amp;ROW()),Tableau15356789101112131625236924[[#This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7" s="490"/>
    </row>
    <row r="518" spans="1:13" ht="15" x14ac:dyDescent="0.3">
      <c r="A518" s="434"/>
      <c r="B518" s="392"/>
      <c r="C518" s="538"/>
      <c r="D51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8" s="437"/>
      <c r="F518" s="397"/>
      <c r="G518" s="397"/>
      <c r="H518" s="401"/>
      <c r="I518" s="403"/>
      <c r="J518" s="403"/>
      <c r="K518" s="491" t="str">
        <f ca="1">+IF('[1]BROUILLARD DE CAISSE '!$C515="","",SUMIFS(INDIRECT("$K$7:K"&amp;ROW()),INDIRECT("$D$7:D"&amp;ROW()),"="&amp;"Report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8" s="403" t="str">
        <f ca="1">+IF($B518="","",SUMIFS(INDIRECT("$K$7:K"&amp;ROW()),INDIRECT("$B$7:B"&amp;ROW()),Tableau15356789101112131625236924[[#This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8" s="490"/>
    </row>
    <row r="519" spans="1:13" ht="15" x14ac:dyDescent="0.3">
      <c r="A519" s="434"/>
      <c r="B519" s="392"/>
      <c r="C519" s="538"/>
      <c r="D51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19" s="437"/>
      <c r="F519" s="397"/>
      <c r="G519" s="397"/>
      <c r="H519" s="401"/>
      <c r="I519" s="403"/>
      <c r="J519" s="403"/>
      <c r="K519" s="491" t="str">
        <f ca="1">+IF('[1]BROUILLARD DE CAISSE '!$C516="","",SUMIFS(INDIRECT("$K$7:K"&amp;ROW()),INDIRECT("$D$7:D"&amp;ROW()),"="&amp;"Report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19" s="403" t="str">
        <f ca="1">+IF($B519="","",SUMIFS(INDIRECT("$K$7:K"&amp;ROW()),INDIRECT("$B$7:B"&amp;ROW()),Tableau15356789101112131625236924[[#This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19" s="490"/>
    </row>
    <row r="520" spans="1:13" ht="15" x14ac:dyDescent="0.3">
      <c r="A520" s="434"/>
      <c r="B520" s="392"/>
      <c r="C520" s="538"/>
      <c r="D52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0" s="437"/>
      <c r="F520" s="397"/>
      <c r="G520" s="397"/>
      <c r="H520" s="401"/>
      <c r="I520" s="403"/>
      <c r="J520" s="403"/>
      <c r="K520" s="491" t="str">
        <f ca="1">+IF('[1]BROUILLARD DE CAISSE '!$C517="","",SUMIFS(INDIRECT("$K$7:K"&amp;ROW()),INDIRECT("$D$7:D"&amp;ROW()),"="&amp;"Report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0" s="403" t="str">
        <f ca="1">+IF($B520="","",SUMIFS(INDIRECT("$K$7:K"&amp;ROW()),INDIRECT("$B$7:B"&amp;ROW()),Tableau15356789101112131625236924[[#This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0" s="490"/>
    </row>
    <row r="521" spans="1:13" ht="15" x14ac:dyDescent="0.3">
      <c r="A521" s="434"/>
      <c r="B521" s="392"/>
      <c r="C521" s="538"/>
      <c r="D52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1" s="437"/>
      <c r="F521" s="397"/>
      <c r="G521" s="397"/>
      <c r="H521" s="401"/>
      <c r="I521" s="403"/>
      <c r="J521" s="403"/>
      <c r="K521" s="491" t="str">
        <f ca="1">+IF('[1]BROUILLARD DE CAISSE '!$C518="","",SUMIFS(INDIRECT("$K$7:K"&amp;ROW()),INDIRECT("$D$7:D"&amp;ROW()),"="&amp;"Report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1" s="403" t="str">
        <f ca="1">+IF($B521="","",SUMIFS(INDIRECT("$K$7:K"&amp;ROW()),INDIRECT("$B$7:B"&amp;ROW()),Tableau15356789101112131625236924[[#This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1" s="490"/>
    </row>
    <row r="522" spans="1:13" ht="15" x14ac:dyDescent="0.3">
      <c r="A522" s="434"/>
      <c r="B522" s="392"/>
      <c r="C522" s="538"/>
      <c r="D52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2" s="437"/>
      <c r="F522" s="397"/>
      <c r="G522" s="397"/>
      <c r="H522" s="401"/>
      <c r="I522" s="403"/>
      <c r="J522" s="403"/>
      <c r="K522" s="491" t="str">
        <f ca="1">+IF('[1]BROUILLARD DE CAISSE '!$C519="","",SUMIFS(INDIRECT("$K$7:K"&amp;ROW()),INDIRECT("$D$7:D"&amp;ROW()),"="&amp;"Report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2" s="403" t="str">
        <f ca="1">+IF($B522="","",SUMIFS(INDIRECT("$K$7:K"&amp;ROW()),INDIRECT("$B$7:B"&amp;ROW()),Tableau15356789101112131625236924[[#This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2" s="490"/>
    </row>
    <row r="523" spans="1:13" ht="15" x14ac:dyDescent="0.3">
      <c r="A523" s="434"/>
      <c r="B523" s="392"/>
      <c r="C523" s="538"/>
      <c r="D52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3" s="437"/>
      <c r="F523" s="397"/>
      <c r="G523" s="397"/>
      <c r="H523" s="401"/>
      <c r="I523" s="403"/>
      <c r="J523" s="403"/>
      <c r="K523" s="491" t="str">
        <f ca="1">+IF('[1]BROUILLARD DE CAISSE '!$C520="","",SUMIFS(INDIRECT("$K$7:K"&amp;ROW()),INDIRECT("$D$7:D"&amp;ROW()),"="&amp;"Report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3" s="403" t="str">
        <f ca="1">+IF($B523="","",SUMIFS(INDIRECT("$K$7:K"&amp;ROW()),INDIRECT("$B$7:B"&amp;ROW()),Tableau15356789101112131625236924[[#This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3" s="490"/>
    </row>
    <row r="524" spans="1:13" ht="15" x14ac:dyDescent="0.3">
      <c r="A524" s="434"/>
      <c r="B524" s="392"/>
      <c r="C524" s="538"/>
      <c r="D52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4" s="437"/>
      <c r="F524" s="397"/>
      <c r="G524" s="397"/>
      <c r="H524" s="401"/>
      <c r="I524" s="403"/>
      <c r="J524" s="403"/>
      <c r="K524" s="491" t="str">
        <f ca="1">+IF('[1]BROUILLARD DE CAISSE '!$C521="","",SUMIFS(INDIRECT("$K$7:K"&amp;ROW()),INDIRECT("$D$7:D"&amp;ROW()),"="&amp;"Report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4" s="403" t="str">
        <f ca="1">+IF($B524="","",SUMIFS(INDIRECT("$K$7:K"&amp;ROW()),INDIRECT("$B$7:B"&amp;ROW()),Tableau15356789101112131625236924[[#This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4" s="490"/>
    </row>
    <row r="525" spans="1:13" ht="15" x14ac:dyDescent="0.3">
      <c r="A525" s="434"/>
      <c r="B525" s="392"/>
      <c r="C525" s="538"/>
      <c r="D52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5" s="437"/>
      <c r="F525" s="397"/>
      <c r="G525" s="397"/>
      <c r="H525" s="401"/>
      <c r="I525" s="403"/>
      <c r="J525" s="403"/>
      <c r="K525" s="491" t="str">
        <f ca="1">+IF('[1]BROUILLARD DE CAISSE '!$C522="","",SUMIFS(INDIRECT("$K$7:K"&amp;ROW()),INDIRECT("$D$7:D"&amp;ROW()),"="&amp;"Report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5" s="403" t="str">
        <f ca="1">+IF($B525="","",SUMIFS(INDIRECT("$K$7:K"&amp;ROW()),INDIRECT("$B$7:B"&amp;ROW()),Tableau15356789101112131625236924[[#This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5" s="490"/>
    </row>
    <row r="526" spans="1:13" ht="15" x14ac:dyDescent="0.3">
      <c r="A526" s="434"/>
      <c r="B526" s="392"/>
      <c r="C526" s="538"/>
      <c r="D52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6" s="437"/>
      <c r="F526" s="397"/>
      <c r="G526" s="397"/>
      <c r="H526" s="401"/>
      <c r="I526" s="403"/>
      <c r="J526" s="403"/>
      <c r="K526" s="491" t="str">
        <f ca="1">+IF('[1]BROUILLARD DE CAISSE '!$C523="","",SUMIFS(INDIRECT("$K$7:K"&amp;ROW()),INDIRECT("$D$7:D"&amp;ROW()),"="&amp;"Report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6" s="403" t="str">
        <f ca="1">+IF($B526="","",SUMIFS(INDIRECT("$K$7:K"&amp;ROW()),INDIRECT("$B$7:B"&amp;ROW()),Tableau15356789101112131625236924[[#This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6" s="490"/>
    </row>
    <row r="527" spans="1:13" ht="15" x14ac:dyDescent="0.3">
      <c r="A527" s="434"/>
      <c r="B527" s="392"/>
      <c r="C527" s="538"/>
      <c r="D52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7" s="437"/>
      <c r="F527" s="397"/>
      <c r="G527" s="397"/>
      <c r="H527" s="401"/>
      <c r="I527" s="403"/>
      <c r="J527" s="403"/>
      <c r="K527" s="491" t="str">
        <f ca="1">+IF('[1]BROUILLARD DE CAISSE '!$C524="","",SUMIFS(INDIRECT("$K$7:K"&amp;ROW()),INDIRECT("$D$7:D"&amp;ROW()),"="&amp;"Report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7" s="403" t="str">
        <f ca="1">+IF($B527="","",SUMIFS(INDIRECT("$K$7:K"&amp;ROW()),INDIRECT("$B$7:B"&amp;ROW()),Tableau15356789101112131625236924[[#This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7" s="490"/>
    </row>
    <row r="528" spans="1:13" ht="15" x14ac:dyDescent="0.3">
      <c r="A528" s="434"/>
      <c r="B528" s="392"/>
      <c r="C528" s="538"/>
      <c r="D52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8" s="437"/>
      <c r="F528" s="397"/>
      <c r="G528" s="397"/>
      <c r="H528" s="401"/>
      <c r="I528" s="403"/>
      <c r="J528" s="403"/>
      <c r="K528" s="491" t="str">
        <f ca="1">+IF('[1]BROUILLARD DE CAISSE '!$C525="","",SUMIFS(INDIRECT("$K$7:K"&amp;ROW()),INDIRECT("$D$7:D"&amp;ROW()),"="&amp;"Report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8" s="403" t="str">
        <f ca="1">+IF($B528="","",SUMIFS(INDIRECT("$K$7:K"&amp;ROW()),INDIRECT("$B$7:B"&amp;ROW()),Tableau15356789101112131625236924[[#This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8" s="490"/>
    </row>
    <row r="529" spans="1:13" ht="15" x14ac:dyDescent="0.3">
      <c r="A529" s="434"/>
      <c r="B529" s="392"/>
      <c r="C529" s="538"/>
      <c r="D52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29" s="437"/>
      <c r="F529" s="397"/>
      <c r="G529" s="397"/>
      <c r="H529" s="401"/>
      <c r="I529" s="403"/>
      <c r="J529" s="403"/>
      <c r="K529" s="491" t="str">
        <f ca="1">+IF('[1]BROUILLARD DE CAISSE '!$C526="","",SUMIFS(INDIRECT("$K$7:K"&amp;ROW()),INDIRECT("$D$7:D"&amp;ROW()),"="&amp;"Report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29" s="403" t="str">
        <f ca="1">+IF($B529="","",SUMIFS(INDIRECT("$K$7:K"&amp;ROW()),INDIRECT("$B$7:B"&amp;ROW()),Tableau15356789101112131625236924[[#This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29" s="490"/>
    </row>
    <row r="530" spans="1:13" ht="15" x14ac:dyDescent="0.3">
      <c r="A530" s="434"/>
      <c r="B530" s="392"/>
      <c r="C530" s="538"/>
      <c r="D53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0" s="437"/>
      <c r="F530" s="397"/>
      <c r="G530" s="397"/>
      <c r="H530" s="401"/>
      <c r="I530" s="403"/>
      <c r="J530" s="403"/>
      <c r="K530" s="491" t="str">
        <f ca="1">+IF('[1]BROUILLARD DE CAISSE '!$C527="","",SUMIFS(INDIRECT("$K$7:K"&amp;ROW()),INDIRECT("$D$7:D"&amp;ROW()),"="&amp;"Report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0" s="403" t="str">
        <f ca="1">+IF($B530="","",SUMIFS(INDIRECT("$K$7:K"&amp;ROW()),INDIRECT("$B$7:B"&amp;ROW()),Tableau15356789101112131625236924[[#This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0" s="490"/>
    </row>
    <row r="531" spans="1:13" ht="15" x14ac:dyDescent="0.3">
      <c r="A531" s="434"/>
      <c r="B531" s="392"/>
      <c r="C531" s="538"/>
      <c r="D53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1" s="437"/>
      <c r="F531" s="397"/>
      <c r="G531" s="397"/>
      <c r="H531" s="401"/>
      <c r="I531" s="403"/>
      <c r="J531" s="403"/>
      <c r="K531" s="491" t="str">
        <f ca="1">+IF('[1]BROUILLARD DE CAISSE '!$C528="","",SUMIFS(INDIRECT("$K$7:K"&amp;ROW()),INDIRECT("$D$7:D"&amp;ROW()),"="&amp;"Report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1" s="403" t="str">
        <f ca="1">+IF($B531="","",SUMIFS(INDIRECT("$K$7:K"&amp;ROW()),INDIRECT("$B$7:B"&amp;ROW()),Tableau15356789101112131625236924[[#This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1" s="490"/>
    </row>
    <row r="532" spans="1:13" ht="15" x14ac:dyDescent="0.3">
      <c r="A532" s="434"/>
      <c r="B532" s="392"/>
      <c r="C532" s="538"/>
      <c r="D53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2" s="437"/>
      <c r="F532" s="397"/>
      <c r="G532" s="397"/>
      <c r="H532" s="401"/>
      <c r="I532" s="403"/>
      <c r="J532" s="403"/>
      <c r="K532" s="491" t="str">
        <f ca="1">+IF('[1]BROUILLARD DE CAISSE '!$C529="","",SUMIFS(INDIRECT("$K$7:K"&amp;ROW()),INDIRECT("$D$7:D"&amp;ROW()),"="&amp;"Report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2" s="403" t="str">
        <f ca="1">+IF($B532="","",SUMIFS(INDIRECT("$K$7:K"&amp;ROW()),INDIRECT("$B$7:B"&amp;ROW()),Tableau15356789101112131625236924[[#This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2" s="490"/>
    </row>
    <row r="533" spans="1:13" ht="15" x14ac:dyDescent="0.3">
      <c r="A533" s="434"/>
      <c r="B533" s="392"/>
      <c r="C533" s="538"/>
      <c r="D53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3" s="437"/>
      <c r="F533" s="397"/>
      <c r="G533" s="397"/>
      <c r="H533" s="401"/>
      <c r="I533" s="403"/>
      <c r="J533" s="403"/>
      <c r="K533" s="491" t="str">
        <f ca="1">+IF('[1]BROUILLARD DE CAISSE '!$C530="","",SUMIFS(INDIRECT("$K$7:K"&amp;ROW()),INDIRECT("$D$7:D"&amp;ROW()),"="&amp;"Report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3" s="403" t="str">
        <f ca="1">+IF($B533="","",SUMIFS(INDIRECT("$K$7:K"&amp;ROW()),INDIRECT("$B$7:B"&amp;ROW()),Tableau15356789101112131625236924[[#This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3" s="490"/>
    </row>
    <row r="534" spans="1:13" ht="15" x14ac:dyDescent="0.3">
      <c r="A534" s="434"/>
      <c r="B534" s="392"/>
      <c r="C534" s="538"/>
      <c r="D53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4" s="437"/>
      <c r="F534" s="397"/>
      <c r="G534" s="397"/>
      <c r="H534" s="401"/>
      <c r="I534" s="403"/>
      <c r="J534" s="403"/>
      <c r="K534" s="491" t="str">
        <f ca="1">+IF('[1]BROUILLARD DE CAISSE '!$C531="","",SUMIFS(INDIRECT("$K$7:K"&amp;ROW()),INDIRECT("$D$7:D"&amp;ROW()),"="&amp;"Report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4" s="403" t="str">
        <f ca="1">+IF($B534="","",SUMIFS(INDIRECT("$K$7:K"&amp;ROW()),INDIRECT("$B$7:B"&amp;ROW()),Tableau15356789101112131625236924[[#This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4" s="490"/>
    </row>
    <row r="535" spans="1:13" ht="15" x14ac:dyDescent="0.3">
      <c r="A535" s="434"/>
      <c r="B535" s="392"/>
      <c r="C535" s="538"/>
      <c r="D53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5" s="437"/>
      <c r="F535" s="397"/>
      <c r="G535" s="397"/>
      <c r="H535" s="401"/>
      <c r="I535" s="403"/>
      <c r="J535" s="403"/>
      <c r="K535" s="491" t="str">
        <f ca="1">+IF('[1]BROUILLARD DE CAISSE '!$C532="","",SUMIFS(INDIRECT("$K$7:K"&amp;ROW()),INDIRECT("$D$7:D"&amp;ROW()),"="&amp;"Report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5" s="403" t="str">
        <f ca="1">+IF($B535="","",SUMIFS(INDIRECT("$K$7:K"&amp;ROW()),INDIRECT("$B$7:B"&amp;ROW()),Tableau15356789101112131625236924[[#This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5" s="490"/>
    </row>
    <row r="536" spans="1:13" ht="15" x14ac:dyDescent="0.3">
      <c r="A536" s="434"/>
      <c r="B536" s="392"/>
      <c r="C536" s="538"/>
      <c r="D53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6" s="437"/>
      <c r="F536" s="397"/>
      <c r="G536" s="397"/>
      <c r="H536" s="401"/>
      <c r="I536" s="403"/>
      <c r="J536" s="403"/>
      <c r="K536" s="491" t="str">
        <f ca="1">+IF('[1]BROUILLARD DE CAISSE '!$C533="","",SUMIFS(INDIRECT("$K$7:K"&amp;ROW()),INDIRECT("$D$7:D"&amp;ROW()),"="&amp;"Report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6" s="403" t="str">
        <f ca="1">+IF($B536="","",SUMIFS(INDIRECT("$K$7:K"&amp;ROW()),INDIRECT("$B$7:B"&amp;ROW()),Tableau15356789101112131625236924[[#This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6" s="490"/>
    </row>
    <row r="537" spans="1:13" ht="15" x14ac:dyDescent="0.3">
      <c r="A537" s="434"/>
      <c r="B537" s="392"/>
      <c r="C537" s="538"/>
      <c r="D53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7" s="437"/>
      <c r="F537" s="397"/>
      <c r="G537" s="397"/>
      <c r="H537" s="401"/>
      <c r="I537" s="403"/>
      <c r="J537" s="403"/>
      <c r="K537" s="491" t="str">
        <f ca="1">+IF('[1]BROUILLARD DE CAISSE '!$C534="","",SUMIFS(INDIRECT("$K$7:K"&amp;ROW()),INDIRECT("$D$7:D"&amp;ROW()),"="&amp;"Report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7" s="403" t="str">
        <f ca="1">+IF($B537="","",SUMIFS(INDIRECT("$K$7:K"&amp;ROW()),INDIRECT("$B$7:B"&amp;ROW()),Tableau15356789101112131625236924[[#This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7" s="490"/>
    </row>
    <row r="538" spans="1:13" ht="15" x14ac:dyDescent="0.3">
      <c r="A538" s="434"/>
      <c r="B538" s="392"/>
      <c r="C538" s="538"/>
      <c r="D53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8" s="437"/>
      <c r="F538" s="397"/>
      <c r="G538" s="397"/>
      <c r="H538" s="401"/>
      <c r="I538" s="403"/>
      <c r="J538" s="403"/>
      <c r="K538" s="491" t="str">
        <f ca="1">+IF('[1]BROUILLARD DE CAISSE '!$C535="","",SUMIFS(INDIRECT("$K$7:K"&amp;ROW()),INDIRECT("$D$7:D"&amp;ROW()),"="&amp;"Report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8" s="403" t="str">
        <f ca="1">+IF($B538="","",SUMIFS(INDIRECT("$K$7:K"&amp;ROW()),INDIRECT("$B$7:B"&amp;ROW()),Tableau15356789101112131625236924[[#This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8" s="490"/>
    </row>
    <row r="539" spans="1:13" ht="15" x14ac:dyDescent="0.3">
      <c r="A539" s="434"/>
      <c r="B539" s="392"/>
      <c r="C539" s="538"/>
      <c r="D53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39" s="437"/>
      <c r="F539" s="397"/>
      <c r="G539" s="397"/>
      <c r="H539" s="401"/>
      <c r="I539" s="403"/>
      <c r="J539" s="403"/>
      <c r="K539" s="491" t="str">
        <f ca="1">+IF('[1]BROUILLARD DE CAISSE '!$C536="","",SUMIFS(INDIRECT("$K$7:K"&amp;ROW()),INDIRECT("$D$7:D"&amp;ROW()),"="&amp;"Report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39" s="403" t="str">
        <f ca="1">+IF($B539="","",SUMIFS(INDIRECT("$K$7:K"&amp;ROW()),INDIRECT("$B$7:B"&amp;ROW()),Tableau15356789101112131625236924[[#This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39" s="490"/>
    </row>
    <row r="540" spans="1:13" ht="15" x14ac:dyDescent="0.3">
      <c r="A540" s="434"/>
      <c r="B540" s="392"/>
      <c r="C540" s="538"/>
      <c r="D54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0" s="437"/>
      <c r="F540" s="397"/>
      <c r="G540" s="397"/>
      <c r="H540" s="401"/>
      <c r="I540" s="403"/>
      <c r="J540" s="403"/>
      <c r="K540" s="491" t="str">
        <f ca="1">+IF('[1]BROUILLARD DE CAISSE '!$C537="","",SUMIFS(INDIRECT("$K$7:K"&amp;ROW()),INDIRECT("$D$7:D"&amp;ROW()),"="&amp;"Report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0" s="403" t="str">
        <f ca="1">+IF($B540="","",SUMIFS(INDIRECT("$K$7:K"&amp;ROW()),INDIRECT("$B$7:B"&amp;ROW()),Tableau15356789101112131625236924[[#This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0" s="490"/>
    </row>
    <row r="541" spans="1:13" ht="15" x14ac:dyDescent="0.3">
      <c r="A541" s="434"/>
      <c r="B541" s="392"/>
      <c r="C541" s="538"/>
      <c r="D54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1" s="437"/>
      <c r="F541" s="397"/>
      <c r="G541" s="397"/>
      <c r="H541" s="401"/>
      <c r="I541" s="403"/>
      <c r="J541" s="403"/>
      <c r="K541" s="491" t="str">
        <f ca="1">+IF('[1]BROUILLARD DE CAISSE '!$C538="","",SUMIFS(INDIRECT("$K$7:K"&amp;ROW()),INDIRECT("$D$7:D"&amp;ROW()),"="&amp;"Report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1" s="403" t="str">
        <f ca="1">+IF($B541="","",SUMIFS(INDIRECT("$K$7:K"&amp;ROW()),INDIRECT("$B$7:B"&amp;ROW()),Tableau15356789101112131625236924[[#This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1" s="490"/>
    </row>
    <row r="542" spans="1:13" ht="15" x14ac:dyDescent="0.3">
      <c r="A542" s="434"/>
      <c r="B542" s="392"/>
      <c r="C542" s="538"/>
      <c r="D54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2" s="437"/>
      <c r="F542" s="397"/>
      <c r="G542" s="397"/>
      <c r="H542" s="401"/>
      <c r="I542" s="403"/>
      <c r="J542" s="403"/>
      <c r="K542" s="491" t="str">
        <f ca="1">+IF('[1]BROUILLARD DE CAISSE '!$C539="","",SUMIFS(INDIRECT("$K$7:K"&amp;ROW()),INDIRECT("$D$7:D"&amp;ROW()),"="&amp;"Report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2" s="403" t="str">
        <f ca="1">+IF($B542="","",SUMIFS(INDIRECT("$K$7:K"&amp;ROW()),INDIRECT("$B$7:B"&amp;ROW()),Tableau15356789101112131625236924[[#This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2" s="490"/>
    </row>
    <row r="543" spans="1:13" ht="15" x14ac:dyDescent="0.3">
      <c r="A543" s="434"/>
      <c r="B543" s="392"/>
      <c r="C543" s="538"/>
      <c r="D54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3" s="437"/>
      <c r="F543" s="397"/>
      <c r="G543" s="397"/>
      <c r="H543" s="401"/>
      <c r="I543" s="403"/>
      <c r="J543" s="403"/>
      <c r="K543" s="491" t="str">
        <f ca="1">+IF('[1]BROUILLARD DE CAISSE '!$C540="","",SUMIFS(INDIRECT("$K$7:K"&amp;ROW()),INDIRECT("$D$7:D"&amp;ROW()),"="&amp;"Report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3" s="403" t="str">
        <f ca="1">+IF($B543="","",SUMIFS(INDIRECT("$K$7:K"&amp;ROW()),INDIRECT("$B$7:B"&amp;ROW()),Tableau15356789101112131625236924[[#This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3" s="490"/>
    </row>
    <row r="544" spans="1:13" ht="15" x14ac:dyDescent="0.3">
      <c r="A544" s="434"/>
      <c r="B544" s="392"/>
      <c r="C544" s="538"/>
      <c r="D54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4" s="437"/>
      <c r="F544" s="397"/>
      <c r="G544" s="397"/>
      <c r="H544" s="401"/>
      <c r="I544" s="403"/>
      <c r="J544" s="403"/>
      <c r="K544" s="491" t="str">
        <f ca="1">+IF('[1]BROUILLARD DE CAISSE '!$C541="","",SUMIFS(INDIRECT("$K$7:K"&amp;ROW()),INDIRECT("$D$7:D"&amp;ROW()),"="&amp;"Report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4" s="403" t="str">
        <f ca="1">+IF($B544="","",SUMIFS(INDIRECT("$K$7:K"&amp;ROW()),INDIRECT("$B$7:B"&amp;ROW()),Tableau15356789101112131625236924[[#This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4" s="490"/>
    </row>
    <row r="545" spans="1:13" ht="15" x14ac:dyDescent="0.3">
      <c r="A545" s="434"/>
      <c r="B545" s="392"/>
      <c r="C545" s="538"/>
      <c r="D54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5" s="437"/>
      <c r="F545" s="397"/>
      <c r="G545" s="397"/>
      <c r="H545" s="401"/>
      <c r="I545" s="403"/>
      <c r="J545" s="403"/>
      <c r="K545" s="491" t="str">
        <f ca="1">+IF('[1]BROUILLARD DE CAISSE '!$C542="","",SUMIFS(INDIRECT("$K$7:K"&amp;ROW()),INDIRECT("$D$7:D"&amp;ROW()),"="&amp;"Report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5" s="403" t="str">
        <f ca="1">+IF($B545="","",SUMIFS(INDIRECT("$K$7:K"&amp;ROW()),INDIRECT("$B$7:B"&amp;ROW()),Tableau15356789101112131625236924[[#This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5" s="490"/>
    </row>
    <row r="546" spans="1:13" ht="15" x14ac:dyDescent="0.3">
      <c r="A546" s="434"/>
      <c r="B546" s="392"/>
      <c r="C546" s="538"/>
      <c r="D54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6" s="437"/>
      <c r="F546" s="397"/>
      <c r="G546" s="397"/>
      <c r="H546" s="401"/>
      <c r="I546" s="403"/>
      <c r="J546" s="403"/>
      <c r="K546" s="491" t="str">
        <f ca="1">+IF('[1]BROUILLARD DE CAISSE '!$C543="","",SUMIFS(INDIRECT("$K$7:K"&amp;ROW()),INDIRECT("$D$7:D"&amp;ROW()),"="&amp;"Report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6" s="403" t="str">
        <f ca="1">+IF($B546="","",SUMIFS(INDIRECT("$K$7:K"&amp;ROW()),INDIRECT("$B$7:B"&amp;ROW()),Tableau15356789101112131625236924[[#This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6" s="490"/>
    </row>
    <row r="547" spans="1:13" ht="15" x14ac:dyDescent="0.3">
      <c r="A547" s="434"/>
      <c r="B547" s="392"/>
      <c r="C547" s="538"/>
      <c r="D54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7" s="437"/>
      <c r="F547" s="397"/>
      <c r="G547" s="397"/>
      <c r="H547" s="401"/>
      <c r="I547" s="403"/>
      <c r="J547" s="403"/>
      <c r="K547" s="491" t="str">
        <f ca="1">+IF('[1]BROUILLARD DE CAISSE '!$C544="","",SUMIFS(INDIRECT("$K$7:K"&amp;ROW()),INDIRECT("$D$7:D"&amp;ROW()),"="&amp;"Report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7" s="403" t="str">
        <f ca="1">+IF($B547="","",SUMIFS(INDIRECT("$K$7:K"&amp;ROW()),INDIRECT("$B$7:B"&amp;ROW()),Tableau15356789101112131625236924[[#This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7" s="490"/>
    </row>
    <row r="548" spans="1:13" ht="15" x14ac:dyDescent="0.3">
      <c r="A548" s="434"/>
      <c r="B548" s="392"/>
      <c r="C548" s="538"/>
      <c r="D54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8" s="437"/>
      <c r="F548" s="397"/>
      <c r="G548" s="397"/>
      <c r="H548" s="401"/>
      <c r="I548" s="403"/>
      <c r="J548" s="403"/>
      <c r="K548" s="491" t="str">
        <f ca="1">+IF('[1]BROUILLARD DE CAISSE '!$C545="","",SUMIFS(INDIRECT("$K$7:K"&amp;ROW()),INDIRECT("$D$7:D"&amp;ROW()),"="&amp;"Report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8" s="403" t="str">
        <f ca="1">+IF($B548="","",SUMIFS(INDIRECT("$K$7:K"&amp;ROW()),INDIRECT("$B$7:B"&amp;ROW()),Tableau15356789101112131625236924[[#This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8" s="490"/>
    </row>
    <row r="549" spans="1:13" ht="15" x14ac:dyDescent="0.3">
      <c r="A549" s="434"/>
      <c r="B549" s="392"/>
      <c r="C549" s="538"/>
      <c r="D54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49" s="437"/>
      <c r="F549" s="397"/>
      <c r="G549" s="397"/>
      <c r="H549" s="401"/>
      <c r="I549" s="403"/>
      <c r="J549" s="403"/>
      <c r="K549" s="491" t="str">
        <f ca="1">+IF('[1]BROUILLARD DE CAISSE '!$C546="","",SUMIFS(INDIRECT("$K$7:K"&amp;ROW()),INDIRECT("$D$7:D"&amp;ROW()),"="&amp;"Report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49" s="403" t="str">
        <f ca="1">+IF($B549="","",SUMIFS(INDIRECT("$K$7:K"&amp;ROW()),INDIRECT("$B$7:B"&amp;ROW()),Tableau15356789101112131625236924[[#This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49" s="490"/>
    </row>
    <row r="550" spans="1:13" ht="15" x14ac:dyDescent="0.3">
      <c r="A550" s="434"/>
      <c r="B550" s="392"/>
      <c r="C550" s="538"/>
      <c r="D55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0" s="437"/>
      <c r="F550" s="397"/>
      <c r="G550" s="397"/>
      <c r="H550" s="401"/>
      <c r="I550" s="403"/>
      <c r="J550" s="403"/>
      <c r="K550" s="491" t="str">
        <f ca="1">+IF('[1]BROUILLARD DE CAISSE '!$C547="","",SUMIFS(INDIRECT("$K$7:K"&amp;ROW()),INDIRECT("$D$7:D"&amp;ROW()),"="&amp;"Report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0" s="403" t="str">
        <f ca="1">+IF($B550="","",SUMIFS(INDIRECT("$K$7:K"&amp;ROW()),INDIRECT("$B$7:B"&amp;ROW()),Tableau15356789101112131625236924[[#This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0" s="490"/>
    </row>
    <row r="551" spans="1:13" ht="15" x14ac:dyDescent="0.3">
      <c r="A551" s="434"/>
      <c r="B551" s="392"/>
      <c r="C551" s="538"/>
      <c r="D55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1" s="437"/>
      <c r="F551" s="397"/>
      <c r="G551" s="397"/>
      <c r="H551" s="401"/>
      <c r="I551" s="403"/>
      <c r="J551" s="403"/>
      <c r="K551" s="491" t="str">
        <f ca="1">+IF('[1]BROUILLARD DE CAISSE '!$C548="","",SUMIFS(INDIRECT("$K$7:K"&amp;ROW()),INDIRECT("$D$7:D"&amp;ROW()),"="&amp;"Report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1" s="403" t="str">
        <f ca="1">+IF($B551="","",SUMIFS(INDIRECT("$K$7:K"&amp;ROW()),INDIRECT("$B$7:B"&amp;ROW()),Tableau15356789101112131625236924[[#This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1" s="490"/>
    </row>
    <row r="552" spans="1:13" ht="15" x14ac:dyDescent="0.3">
      <c r="A552" s="434"/>
      <c r="B552" s="392"/>
      <c r="C552" s="538"/>
      <c r="D55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2" s="437"/>
      <c r="F552" s="397"/>
      <c r="G552" s="397"/>
      <c r="H552" s="401"/>
      <c r="I552" s="403"/>
      <c r="J552" s="403"/>
      <c r="K552" s="491" t="str">
        <f ca="1">+IF('[1]BROUILLARD DE CAISSE '!$C549="","",SUMIFS(INDIRECT("$K$7:K"&amp;ROW()),INDIRECT("$D$7:D"&amp;ROW()),"="&amp;"Report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2" s="403" t="str">
        <f ca="1">+IF($B552="","",SUMIFS(INDIRECT("$K$7:K"&amp;ROW()),INDIRECT("$B$7:B"&amp;ROW()),Tableau15356789101112131625236924[[#This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2" s="490"/>
    </row>
    <row r="553" spans="1:13" ht="15" x14ac:dyDescent="0.3">
      <c r="A553" s="434"/>
      <c r="B553" s="392"/>
      <c r="C553" s="538"/>
      <c r="D55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3" s="437"/>
      <c r="F553" s="397"/>
      <c r="G553" s="397"/>
      <c r="H553" s="401"/>
      <c r="I553" s="403"/>
      <c r="J553" s="403"/>
      <c r="K553" s="491" t="str">
        <f ca="1">+IF('[1]BROUILLARD DE CAISSE '!$C550="","",SUMIFS(INDIRECT("$K$7:K"&amp;ROW()),INDIRECT("$D$7:D"&amp;ROW()),"="&amp;"Report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3" s="403" t="str">
        <f ca="1">+IF($B553="","",SUMIFS(INDIRECT("$K$7:K"&amp;ROW()),INDIRECT("$B$7:B"&amp;ROW()),Tableau15356789101112131625236924[[#This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3" s="490"/>
    </row>
    <row r="554" spans="1:13" ht="15" x14ac:dyDescent="0.3">
      <c r="A554" s="434"/>
      <c r="B554" s="392"/>
      <c r="C554" s="538"/>
      <c r="D55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4" s="437"/>
      <c r="F554" s="397"/>
      <c r="G554" s="397"/>
      <c r="H554" s="401"/>
      <c r="I554" s="403"/>
      <c r="J554" s="403"/>
      <c r="K554" s="491" t="str">
        <f ca="1">+IF('[1]BROUILLARD DE CAISSE '!$C551="","",SUMIFS(INDIRECT("$K$7:K"&amp;ROW()),INDIRECT("$D$7:D"&amp;ROW()),"="&amp;"Report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4" s="403" t="str">
        <f ca="1">+IF($B554="","",SUMIFS(INDIRECT("$K$7:K"&amp;ROW()),INDIRECT("$B$7:B"&amp;ROW()),Tableau15356789101112131625236924[[#This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4" s="490"/>
    </row>
    <row r="555" spans="1:13" ht="15" x14ac:dyDescent="0.3">
      <c r="A555" s="434"/>
      <c r="B555" s="392"/>
      <c r="C555" s="538"/>
      <c r="D55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5" s="437"/>
      <c r="F555" s="397"/>
      <c r="G555" s="397"/>
      <c r="H555" s="401"/>
      <c r="I555" s="403"/>
      <c r="J555" s="403"/>
      <c r="K555" s="491" t="str">
        <f ca="1">+IF('[1]BROUILLARD DE CAISSE '!$C552="","",SUMIFS(INDIRECT("$K$7:K"&amp;ROW()),INDIRECT("$D$7:D"&amp;ROW()),"="&amp;"Report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5" s="403" t="str">
        <f ca="1">+IF($B555="","",SUMIFS(INDIRECT("$K$7:K"&amp;ROW()),INDIRECT("$B$7:B"&amp;ROW()),Tableau15356789101112131625236924[[#This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5" s="490"/>
    </row>
    <row r="556" spans="1:13" ht="15" x14ac:dyDescent="0.3">
      <c r="A556" s="434"/>
      <c r="B556" s="392"/>
      <c r="C556" s="538"/>
      <c r="D55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6" s="437"/>
      <c r="F556" s="397"/>
      <c r="G556" s="397"/>
      <c r="H556" s="401"/>
      <c r="I556" s="403"/>
      <c r="J556" s="403"/>
      <c r="K556" s="491" t="str">
        <f ca="1">+IF('[1]BROUILLARD DE CAISSE '!$C553="","",SUMIFS(INDIRECT("$K$7:K"&amp;ROW()),INDIRECT("$D$7:D"&amp;ROW()),"="&amp;"Report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6" s="403" t="str">
        <f ca="1">+IF($B556="","",SUMIFS(INDIRECT("$K$7:K"&amp;ROW()),INDIRECT("$B$7:B"&amp;ROW()),Tableau15356789101112131625236924[[#This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6" s="490"/>
    </row>
    <row r="557" spans="1:13" ht="15" x14ac:dyDescent="0.3">
      <c r="A557" s="434"/>
      <c r="B557" s="392"/>
      <c r="C557" s="538"/>
      <c r="D55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7" s="437"/>
      <c r="F557" s="397"/>
      <c r="G557" s="397"/>
      <c r="H557" s="401"/>
      <c r="I557" s="403"/>
      <c r="J557" s="403"/>
      <c r="K557" s="491" t="str">
        <f ca="1">+IF('[1]BROUILLARD DE CAISSE '!$C554="","",SUMIFS(INDIRECT("$K$7:K"&amp;ROW()),INDIRECT("$D$7:D"&amp;ROW()),"="&amp;"Report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7" s="403" t="str">
        <f ca="1">+IF($B557="","",SUMIFS(INDIRECT("$K$7:K"&amp;ROW()),INDIRECT("$B$7:B"&amp;ROW()),Tableau15356789101112131625236924[[#This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7" s="490"/>
    </row>
    <row r="558" spans="1:13" ht="15" x14ac:dyDescent="0.3">
      <c r="A558" s="434"/>
      <c r="B558" s="392"/>
      <c r="C558" s="538"/>
      <c r="D55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8" s="437"/>
      <c r="F558" s="397"/>
      <c r="G558" s="397"/>
      <c r="H558" s="401"/>
      <c r="I558" s="403"/>
      <c r="J558" s="403"/>
      <c r="K558" s="491" t="str">
        <f ca="1">+IF('[1]BROUILLARD DE CAISSE '!$C555="","",SUMIFS(INDIRECT("$K$7:K"&amp;ROW()),INDIRECT("$D$7:D"&amp;ROW()),"="&amp;"Report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8" s="403" t="str">
        <f ca="1">+IF($B558="","",SUMIFS(INDIRECT("$K$7:K"&amp;ROW()),INDIRECT("$B$7:B"&amp;ROW()),Tableau15356789101112131625236924[[#This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8" s="490"/>
    </row>
    <row r="559" spans="1:13" ht="15" x14ac:dyDescent="0.3">
      <c r="A559" s="434"/>
      <c r="B559" s="392"/>
      <c r="C559" s="538"/>
      <c r="D55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59" s="437"/>
      <c r="F559" s="397"/>
      <c r="G559" s="397"/>
      <c r="H559" s="401"/>
      <c r="I559" s="403"/>
      <c r="J559" s="403"/>
      <c r="K559" s="491" t="str">
        <f ca="1">+IF('[1]BROUILLARD DE CAISSE '!$C556="","",SUMIFS(INDIRECT("$K$7:K"&amp;ROW()),INDIRECT("$D$7:D"&amp;ROW()),"="&amp;"Report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59" s="403" t="str">
        <f ca="1">+IF($B559="","",SUMIFS(INDIRECT("$K$7:K"&amp;ROW()),INDIRECT("$B$7:B"&amp;ROW()),Tableau15356789101112131625236924[[#This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59" s="490"/>
    </row>
    <row r="560" spans="1:13" ht="15" x14ac:dyDescent="0.3">
      <c r="A560" s="434"/>
      <c r="B560" s="392"/>
      <c r="C560" s="538"/>
      <c r="D56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0" s="437"/>
      <c r="F560" s="397"/>
      <c r="G560" s="397"/>
      <c r="H560" s="401"/>
      <c r="I560" s="403"/>
      <c r="J560" s="403"/>
      <c r="K560" s="491" t="str">
        <f ca="1">+IF('[1]BROUILLARD DE CAISSE '!$C557="","",SUMIFS(INDIRECT("$K$7:K"&amp;ROW()),INDIRECT("$D$7:D"&amp;ROW()),"="&amp;"Report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0" s="403" t="str">
        <f ca="1">+IF($B560="","",SUMIFS(INDIRECT("$K$7:K"&amp;ROW()),INDIRECT("$B$7:B"&amp;ROW()),Tableau15356789101112131625236924[[#This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0" s="490"/>
    </row>
    <row r="561" spans="1:13" ht="15" x14ac:dyDescent="0.3">
      <c r="A561" s="434"/>
      <c r="B561" s="392"/>
      <c r="C561" s="538"/>
      <c r="D56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1" s="437"/>
      <c r="F561" s="397"/>
      <c r="G561" s="397"/>
      <c r="H561" s="401"/>
      <c r="I561" s="403"/>
      <c r="J561" s="403"/>
      <c r="K561" s="491" t="str">
        <f ca="1">+IF('[1]BROUILLARD DE CAISSE '!$C558="","",SUMIFS(INDIRECT("$K$7:K"&amp;ROW()),INDIRECT("$D$7:D"&amp;ROW()),"="&amp;"Report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1" s="403" t="str">
        <f ca="1">+IF($B561="","",SUMIFS(INDIRECT("$K$7:K"&amp;ROW()),INDIRECT("$B$7:B"&amp;ROW()),Tableau15356789101112131625236924[[#This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1" s="490"/>
    </row>
    <row r="562" spans="1:13" ht="15" x14ac:dyDescent="0.3">
      <c r="A562" s="434"/>
      <c r="B562" s="392"/>
      <c r="C562" s="538"/>
      <c r="D56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2" s="437"/>
      <c r="F562" s="397"/>
      <c r="G562" s="397"/>
      <c r="H562" s="401"/>
      <c r="I562" s="403"/>
      <c r="J562" s="403"/>
      <c r="K562" s="491" t="str">
        <f ca="1">+IF('[1]BROUILLARD DE CAISSE '!$C559="","",SUMIFS(INDIRECT("$K$7:K"&amp;ROW()),INDIRECT("$D$7:D"&amp;ROW()),"="&amp;"Report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2" s="403" t="str">
        <f ca="1">+IF($B562="","",SUMIFS(INDIRECT("$K$7:K"&amp;ROW()),INDIRECT("$B$7:B"&amp;ROW()),Tableau15356789101112131625236924[[#This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2" s="490"/>
    </row>
    <row r="563" spans="1:13" ht="15" x14ac:dyDescent="0.3">
      <c r="A563" s="434"/>
      <c r="B563" s="392"/>
      <c r="C563" s="538"/>
      <c r="D56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3" s="437"/>
      <c r="F563" s="397"/>
      <c r="G563" s="397"/>
      <c r="H563" s="401"/>
      <c r="I563" s="403"/>
      <c r="J563" s="403"/>
      <c r="K563" s="491" t="str">
        <f ca="1">+IF('[1]BROUILLARD DE CAISSE '!$C560="","",SUMIFS(INDIRECT("$K$7:K"&amp;ROW()),INDIRECT("$D$7:D"&amp;ROW()),"="&amp;"Report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3" s="403" t="str">
        <f ca="1">+IF($B563="","",SUMIFS(INDIRECT("$K$7:K"&amp;ROW()),INDIRECT("$B$7:B"&amp;ROW()),Tableau15356789101112131625236924[[#This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3" s="490"/>
    </row>
    <row r="564" spans="1:13" ht="15" x14ac:dyDescent="0.3">
      <c r="A564" s="434"/>
      <c r="B564" s="392"/>
      <c r="C564" s="538"/>
      <c r="D56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4" s="437"/>
      <c r="F564" s="397"/>
      <c r="G564" s="397"/>
      <c r="H564" s="401"/>
      <c r="I564" s="403"/>
      <c r="J564" s="403"/>
      <c r="K564" s="491" t="str">
        <f ca="1">+IF('[1]BROUILLARD DE CAISSE '!$C561="","",SUMIFS(INDIRECT("$K$7:K"&amp;ROW()),INDIRECT("$D$7:D"&amp;ROW()),"="&amp;"Report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4" s="403" t="str">
        <f ca="1">+IF($B564="","",SUMIFS(INDIRECT("$K$7:K"&amp;ROW()),INDIRECT("$B$7:B"&amp;ROW()),Tableau15356789101112131625236924[[#This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4" s="490"/>
    </row>
    <row r="565" spans="1:13" ht="15" x14ac:dyDescent="0.3">
      <c r="A565" s="434"/>
      <c r="B565" s="392"/>
      <c r="C565" s="538"/>
      <c r="D56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5" s="437"/>
      <c r="F565" s="397"/>
      <c r="G565" s="397"/>
      <c r="H565" s="401"/>
      <c r="I565" s="403"/>
      <c r="J565" s="403"/>
      <c r="K565" s="491" t="str">
        <f ca="1">+IF('[1]BROUILLARD DE CAISSE '!$C562="","",SUMIFS(INDIRECT("$K$7:K"&amp;ROW()),INDIRECT("$D$7:D"&amp;ROW()),"="&amp;"Report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5" s="403" t="str">
        <f ca="1">+IF($B565="","",SUMIFS(INDIRECT("$K$7:K"&amp;ROW()),INDIRECT("$B$7:B"&amp;ROW()),Tableau15356789101112131625236924[[#This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5" s="490"/>
    </row>
    <row r="566" spans="1:13" ht="15" x14ac:dyDescent="0.3">
      <c r="A566" s="434"/>
      <c r="B566" s="392"/>
      <c r="C566" s="538"/>
      <c r="D56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6" s="437"/>
      <c r="F566" s="397"/>
      <c r="G566" s="397"/>
      <c r="H566" s="401"/>
      <c r="I566" s="403"/>
      <c r="J566" s="403"/>
      <c r="K566" s="491" t="str">
        <f ca="1">+IF('[1]BROUILLARD DE CAISSE '!$C563="","",SUMIFS(INDIRECT("$K$7:K"&amp;ROW()),INDIRECT("$D$7:D"&amp;ROW()),"="&amp;"Report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6" s="403" t="str">
        <f ca="1">+IF($B566="","",SUMIFS(INDIRECT("$K$7:K"&amp;ROW()),INDIRECT("$B$7:B"&amp;ROW()),Tableau15356789101112131625236924[[#This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6" s="490"/>
    </row>
    <row r="567" spans="1:13" ht="15" x14ac:dyDescent="0.3">
      <c r="A567" s="434"/>
      <c r="B567" s="392"/>
      <c r="C567" s="538"/>
      <c r="D56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7" s="437"/>
      <c r="F567" s="397"/>
      <c r="G567" s="397"/>
      <c r="H567" s="401"/>
      <c r="I567" s="403"/>
      <c r="J567" s="403"/>
      <c r="K567" s="491" t="str">
        <f ca="1">+IF('[1]BROUILLARD DE CAISSE '!$C564="","",SUMIFS(INDIRECT("$K$7:K"&amp;ROW()),INDIRECT("$D$7:D"&amp;ROW()),"="&amp;"Report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7" s="403" t="str">
        <f ca="1">+IF($B567="","",SUMIFS(INDIRECT("$K$7:K"&amp;ROW()),INDIRECT("$B$7:B"&amp;ROW()),Tableau15356789101112131625236924[[#This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7" s="490"/>
    </row>
    <row r="568" spans="1:13" ht="15" x14ac:dyDescent="0.3">
      <c r="A568" s="434"/>
      <c r="B568" s="392"/>
      <c r="C568" s="538"/>
      <c r="D56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8" s="437"/>
      <c r="F568" s="397"/>
      <c r="G568" s="397"/>
      <c r="H568" s="401"/>
      <c r="I568" s="403"/>
      <c r="J568" s="403"/>
      <c r="K568" s="491" t="str">
        <f ca="1">+IF('[1]BROUILLARD DE CAISSE '!$C565="","",SUMIFS(INDIRECT("$K$7:K"&amp;ROW()),INDIRECT("$D$7:D"&amp;ROW()),"="&amp;"Report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8" s="403" t="str">
        <f ca="1">+IF($B568="","",SUMIFS(INDIRECT("$K$7:K"&amp;ROW()),INDIRECT("$B$7:B"&amp;ROW()),Tableau15356789101112131625236924[[#This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8" s="490"/>
    </row>
    <row r="569" spans="1:13" ht="15" x14ac:dyDescent="0.3">
      <c r="A569" s="434"/>
      <c r="B569" s="392"/>
      <c r="C569" s="538"/>
      <c r="D56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69" s="437"/>
      <c r="F569" s="397"/>
      <c r="G569" s="397"/>
      <c r="H569" s="401"/>
      <c r="I569" s="403"/>
      <c r="J569" s="403"/>
      <c r="K569" s="491" t="str">
        <f ca="1">+IF('[1]BROUILLARD DE CAISSE '!$C566="","",SUMIFS(INDIRECT("$K$7:K"&amp;ROW()),INDIRECT("$D$7:D"&amp;ROW()),"="&amp;"Report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69" s="403" t="str">
        <f ca="1">+IF($B569="","",SUMIFS(INDIRECT("$K$7:K"&amp;ROW()),INDIRECT("$B$7:B"&amp;ROW()),Tableau15356789101112131625236924[[#This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69" s="490"/>
    </row>
    <row r="570" spans="1:13" ht="15" x14ac:dyDescent="0.3">
      <c r="A570" s="434"/>
      <c r="B570" s="392"/>
      <c r="C570" s="538"/>
      <c r="D57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0" s="437"/>
      <c r="F570" s="397"/>
      <c r="G570" s="397"/>
      <c r="H570" s="401"/>
      <c r="I570" s="403"/>
      <c r="J570" s="403"/>
      <c r="K570" s="491" t="str">
        <f ca="1">+IF('[1]BROUILLARD DE CAISSE '!$C567="","",SUMIFS(INDIRECT("$K$7:K"&amp;ROW()),INDIRECT("$D$7:D"&amp;ROW()),"="&amp;"Report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0" s="403" t="str">
        <f ca="1">+IF($B570="","",SUMIFS(INDIRECT("$K$7:K"&amp;ROW()),INDIRECT("$B$7:B"&amp;ROW()),Tableau15356789101112131625236924[[#This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0" s="490"/>
    </row>
    <row r="571" spans="1:13" ht="15" x14ac:dyDescent="0.3">
      <c r="A571" s="434"/>
      <c r="B571" s="392"/>
      <c r="C571" s="538"/>
      <c r="D57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1" s="437"/>
      <c r="F571" s="397"/>
      <c r="G571" s="397"/>
      <c r="H571" s="401"/>
      <c r="I571" s="403"/>
      <c r="J571" s="403"/>
      <c r="K571" s="491" t="str">
        <f ca="1">+IF('[1]BROUILLARD DE CAISSE '!$C568="","",SUMIFS(INDIRECT("$K$7:K"&amp;ROW()),INDIRECT("$D$7:D"&amp;ROW()),"="&amp;"Report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1" s="403" t="str">
        <f ca="1">+IF($B571="","",SUMIFS(INDIRECT("$K$7:K"&amp;ROW()),INDIRECT("$B$7:B"&amp;ROW()),Tableau15356789101112131625236924[[#This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1" s="490"/>
    </row>
    <row r="572" spans="1:13" ht="15" x14ac:dyDescent="0.3">
      <c r="A572" s="434"/>
      <c r="B572" s="392"/>
      <c r="C572" s="538"/>
      <c r="D57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2" s="437"/>
      <c r="F572" s="397"/>
      <c r="G572" s="397"/>
      <c r="H572" s="401"/>
      <c r="I572" s="403"/>
      <c r="J572" s="403"/>
      <c r="K572" s="491" t="str">
        <f ca="1">+IF('[1]BROUILLARD DE CAISSE '!$C569="","",SUMIFS(INDIRECT("$K$7:K"&amp;ROW()),INDIRECT("$D$7:D"&amp;ROW()),"="&amp;"Report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2" s="403" t="str">
        <f ca="1">+IF($B572="","",SUMIFS(INDIRECT("$K$7:K"&amp;ROW()),INDIRECT("$B$7:B"&amp;ROW()),Tableau15356789101112131625236924[[#This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2" s="490"/>
    </row>
    <row r="573" spans="1:13" ht="15" x14ac:dyDescent="0.3">
      <c r="A573" s="434"/>
      <c r="B573" s="392"/>
      <c r="C573" s="538"/>
      <c r="D57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3" s="437"/>
      <c r="F573" s="397"/>
      <c r="G573" s="397"/>
      <c r="H573" s="401"/>
      <c r="I573" s="403"/>
      <c r="J573" s="403"/>
      <c r="K573" s="491" t="str">
        <f ca="1">+IF('[1]BROUILLARD DE CAISSE '!$C570="","",SUMIFS(INDIRECT("$K$7:K"&amp;ROW()),INDIRECT("$D$7:D"&amp;ROW()),"="&amp;"Report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3" s="403" t="str">
        <f ca="1">+IF($B573="","",SUMIFS(INDIRECT("$K$7:K"&amp;ROW()),INDIRECT("$B$7:B"&amp;ROW()),Tableau15356789101112131625236924[[#This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3" s="490"/>
    </row>
    <row r="574" spans="1:13" ht="15" x14ac:dyDescent="0.3">
      <c r="A574" s="434"/>
      <c r="B574" s="392"/>
      <c r="C574" s="538"/>
      <c r="D57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4" s="437"/>
      <c r="F574" s="397"/>
      <c r="G574" s="397"/>
      <c r="H574" s="401"/>
      <c r="I574" s="403"/>
      <c r="J574" s="403"/>
      <c r="K574" s="491" t="str">
        <f ca="1">+IF('[1]BROUILLARD DE CAISSE '!$C571="","",SUMIFS(INDIRECT("$K$7:K"&amp;ROW()),INDIRECT("$D$7:D"&amp;ROW()),"="&amp;"Report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4" s="403" t="str">
        <f ca="1">+IF($B574="","",SUMIFS(INDIRECT("$K$7:K"&amp;ROW()),INDIRECT("$B$7:B"&amp;ROW()),Tableau15356789101112131625236924[[#This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4" s="490"/>
    </row>
    <row r="575" spans="1:13" ht="15" x14ac:dyDescent="0.3">
      <c r="A575" s="434"/>
      <c r="B575" s="392"/>
      <c r="C575" s="538"/>
      <c r="D57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5" s="437"/>
      <c r="F575" s="397"/>
      <c r="G575" s="397"/>
      <c r="H575" s="401"/>
      <c r="I575" s="403"/>
      <c r="J575" s="403"/>
      <c r="K575" s="491" t="str">
        <f ca="1">+IF('[1]BROUILLARD DE CAISSE '!$C572="","",SUMIFS(INDIRECT("$K$7:K"&amp;ROW()),INDIRECT("$D$7:D"&amp;ROW()),"="&amp;"Report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5" s="403" t="str">
        <f ca="1">+IF($B575="","",SUMIFS(INDIRECT("$K$7:K"&amp;ROW()),INDIRECT("$B$7:B"&amp;ROW()),Tableau15356789101112131625236924[[#This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5" s="490"/>
    </row>
    <row r="576" spans="1:13" ht="15" x14ac:dyDescent="0.3">
      <c r="A576" s="434"/>
      <c r="B576" s="392"/>
      <c r="C576" s="538"/>
      <c r="D57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6" s="437"/>
      <c r="F576" s="397"/>
      <c r="G576" s="397"/>
      <c r="H576" s="401"/>
      <c r="I576" s="403"/>
      <c r="J576" s="403"/>
      <c r="K576" s="491" t="str">
        <f ca="1">+IF('[1]BROUILLARD DE CAISSE '!$C573="","",SUMIFS(INDIRECT("$K$7:K"&amp;ROW()),INDIRECT("$D$7:D"&amp;ROW()),"="&amp;"Report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6" s="403" t="str">
        <f ca="1">+IF($B576="","",SUMIFS(INDIRECT("$K$7:K"&amp;ROW()),INDIRECT("$B$7:B"&amp;ROW()),Tableau15356789101112131625236924[[#This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6" s="490"/>
    </row>
    <row r="577" spans="1:13" ht="15" x14ac:dyDescent="0.3">
      <c r="A577" s="434"/>
      <c r="B577" s="392"/>
      <c r="C577" s="538"/>
      <c r="D57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7" s="437"/>
      <c r="F577" s="397"/>
      <c r="G577" s="397"/>
      <c r="H577" s="401"/>
      <c r="I577" s="403"/>
      <c r="J577" s="403"/>
      <c r="K577" s="491" t="str">
        <f ca="1">+IF('[1]BROUILLARD DE CAISSE '!$C574="","",SUMIFS(INDIRECT("$K$7:K"&amp;ROW()),INDIRECT("$D$7:D"&amp;ROW()),"="&amp;"Report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7" s="403" t="str">
        <f ca="1">+IF($B577="","",SUMIFS(INDIRECT("$K$7:K"&amp;ROW()),INDIRECT("$B$7:B"&amp;ROW()),Tableau15356789101112131625236924[[#This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7" s="490"/>
    </row>
    <row r="578" spans="1:13" ht="15" x14ac:dyDescent="0.3">
      <c r="A578" s="434"/>
      <c r="B578" s="392"/>
      <c r="C578" s="538"/>
      <c r="D57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8" s="437"/>
      <c r="F578" s="397"/>
      <c r="G578" s="397"/>
      <c r="H578" s="401"/>
      <c r="I578" s="403"/>
      <c r="J578" s="403"/>
      <c r="K578" s="491" t="str">
        <f ca="1">+IF('[1]BROUILLARD DE CAISSE '!$C575="","",SUMIFS(INDIRECT("$K$7:K"&amp;ROW()),INDIRECT("$D$7:D"&amp;ROW()),"="&amp;"Report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8" s="403" t="str">
        <f ca="1">+IF($B578="","",SUMIFS(INDIRECT("$K$7:K"&amp;ROW()),INDIRECT("$B$7:B"&amp;ROW()),Tableau15356789101112131625236924[[#This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8" s="490"/>
    </row>
    <row r="579" spans="1:13" ht="15" x14ac:dyDescent="0.3">
      <c r="A579" s="434"/>
      <c r="B579" s="392"/>
      <c r="C579" s="538"/>
      <c r="D57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79" s="437"/>
      <c r="F579" s="397"/>
      <c r="G579" s="397"/>
      <c r="H579" s="401"/>
      <c r="I579" s="403"/>
      <c r="J579" s="403"/>
      <c r="K579" s="491" t="str">
        <f ca="1">+IF('[1]BROUILLARD DE CAISSE '!$C576="","",SUMIFS(INDIRECT("$K$7:K"&amp;ROW()),INDIRECT("$D$7:D"&amp;ROW()),"="&amp;"Report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79" s="403" t="str">
        <f ca="1">+IF($B579="","",SUMIFS(INDIRECT("$K$7:K"&amp;ROW()),INDIRECT("$B$7:B"&amp;ROW()),Tableau15356789101112131625236924[[#This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79" s="490"/>
    </row>
    <row r="580" spans="1:13" ht="15" x14ac:dyDescent="0.3">
      <c r="A580" s="434"/>
      <c r="B580" s="392"/>
      <c r="C580" s="538"/>
      <c r="D58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0" s="437"/>
      <c r="F580" s="397"/>
      <c r="G580" s="397"/>
      <c r="H580" s="401"/>
      <c r="I580" s="403"/>
      <c r="J580" s="403"/>
      <c r="K580" s="491" t="str">
        <f ca="1">+IF('[1]BROUILLARD DE CAISSE '!$C577="","",SUMIFS(INDIRECT("$K$7:K"&amp;ROW()),INDIRECT("$D$7:D"&amp;ROW()),"="&amp;"Report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0" s="403" t="str">
        <f ca="1">+IF($B580="","",SUMIFS(INDIRECT("$K$7:K"&amp;ROW()),INDIRECT("$B$7:B"&amp;ROW()),Tableau15356789101112131625236924[[#This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0" s="490"/>
    </row>
    <row r="581" spans="1:13" ht="15" x14ac:dyDescent="0.3">
      <c r="A581" s="434"/>
      <c r="B581" s="392"/>
      <c r="C581" s="538"/>
      <c r="D58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1" s="437"/>
      <c r="F581" s="397"/>
      <c r="G581" s="397"/>
      <c r="H581" s="401"/>
      <c r="I581" s="403"/>
      <c r="J581" s="403"/>
      <c r="K581" s="491" t="str">
        <f ca="1">+IF('[1]BROUILLARD DE CAISSE '!$C578="","",SUMIFS(INDIRECT("$K$7:K"&amp;ROW()),INDIRECT("$D$7:D"&amp;ROW()),"="&amp;"Report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1" s="403" t="str">
        <f ca="1">+IF($B581="","",SUMIFS(INDIRECT("$K$7:K"&amp;ROW()),INDIRECT("$B$7:B"&amp;ROW()),Tableau15356789101112131625236924[[#This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1" s="490"/>
    </row>
    <row r="582" spans="1:13" ht="15" x14ac:dyDescent="0.3">
      <c r="A582" s="434"/>
      <c r="B582" s="392"/>
      <c r="C582" s="538"/>
      <c r="D58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2" s="437"/>
      <c r="F582" s="397"/>
      <c r="G582" s="397"/>
      <c r="H582" s="401"/>
      <c r="I582" s="403"/>
      <c r="J582" s="403"/>
      <c r="K582" s="491" t="str">
        <f ca="1">+IF('[1]BROUILLARD DE CAISSE '!$C579="","",SUMIFS(INDIRECT("$K$7:K"&amp;ROW()),INDIRECT("$D$7:D"&amp;ROW()),"="&amp;"Report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2" s="403" t="str">
        <f ca="1">+IF($B582="","",SUMIFS(INDIRECT("$K$7:K"&amp;ROW()),INDIRECT("$B$7:B"&amp;ROW()),Tableau15356789101112131625236924[[#This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2" s="490"/>
    </row>
    <row r="583" spans="1:13" ht="15" x14ac:dyDescent="0.3">
      <c r="A583" s="434"/>
      <c r="B583" s="392"/>
      <c r="C583" s="538"/>
      <c r="D58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3" s="437"/>
      <c r="F583" s="397"/>
      <c r="G583" s="397"/>
      <c r="H583" s="401"/>
      <c r="I583" s="403"/>
      <c r="J583" s="403"/>
      <c r="K583" s="491" t="str">
        <f ca="1">+IF('[1]BROUILLARD DE CAISSE '!$C580="","",SUMIFS(INDIRECT("$K$7:K"&amp;ROW()),INDIRECT("$D$7:D"&amp;ROW()),"="&amp;"Report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3" s="403" t="str">
        <f ca="1">+IF($B583="","",SUMIFS(INDIRECT("$K$7:K"&amp;ROW()),INDIRECT("$B$7:B"&amp;ROW()),Tableau15356789101112131625236924[[#This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3" s="490"/>
    </row>
    <row r="584" spans="1:13" ht="15" x14ac:dyDescent="0.3">
      <c r="A584" s="434"/>
      <c r="B584" s="392"/>
      <c r="C584" s="538"/>
      <c r="D58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4" s="437"/>
      <c r="F584" s="397"/>
      <c r="G584" s="397"/>
      <c r="H584" s="401"/>
      <c r="I584" s="403"/>
      <c r="J584" s="403"/>
      <c r="K584" s="491" t="str">
        <f ca="1">+IF('[1]BROUILLARD DE CAISSE '!$C581="","",SUMIFS(INDIRECT("$K$7:K"&amp;ROW()),INDIRECT("$D$7:D"&amp;ROW()),"="&amp;"Report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4" s="403" t="str">
        <f ca="1">+IF($B584="","",SUMIFS(INDIRECT("$K$7:K"&amp;ROW()),INDIRECT("$B$7:B"&amp;ROW()),Tableau15356789101112131625236924[[#This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4" s="490"/>
    </row>
    <row r="585" spans="1:13" ht="15" x14ac:dyDescent="0.3">
      <c r="A585" s="434"/>
      <c r="B585" s="392"/>
      <c r="C585" s="538"/>
      <c r="D58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5" s="437"/>
      <c r="F585" s="397"/>
      <c r="G585" s="397"/>
      <c r="H585" s="401"/>
      <c r="I585" s="403"/>
      <c r="J585" s="403"/>
      <c r="K585" s="491" t="str">
        <f ca="1">+IF('[1]BROUILLARD DE CAISSE '!$C582="","",SUMIFS(INDIRECT("$K$7:K"&amp;ROW()),INDIRECT("$D$7:D"&amp;ROW()),"="&amp;"Report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5" s="403" t="str">
        <f ca="1">+IF($B585="","",SUMIFS(INDIRECT("$K$7:K"&amp;ROW()),INDIRECT("$B$7:B"&amp;ROW()),Tableau15356789101112131625236924[[#This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5" s="490"/>
    </row>
    <row r="586" spans="1:13" ht="15" x14ac:dyDescent="0.3">
      <c r="A586" s="434"/>
      <c r="B586" s="392"/>
      <c r="C586" s="538"/>
      <c r="D58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6" s="437"/>
      <c r="F586" s="397"/>
      <c r="G586" s="397"/>
      <c r="H586" s="401"/>
      <c r="I586" s="403"/>
      <c r="J586" s="403"/>
      <c r="K586" s="491" t="str">
        <f ca="1">+IF('[1]BROUILLARD DE CAISSE '!$C583="","",SUMIFS(INDIRECT("$K$7:K"&amp;ROW()),INDIRECT("$D$7:D"&amp;ROW()),"="&amp;"Report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6" s="403" t="str">
        <f ca="1">+IF($B586="","",SUMIFS(INDIRECT("$K$7:K"&amp;ROW()),INDIRECT("$B$7:B"&amp;ROW()),Tableau15356789101112131625236924[[#This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6" s="490"/>
    </row>
    <row r="587" spans="1:13" ht="15" x14ac:dyDescent="0.3">
      <c r="A587" s="434"/>
      <c r="B587" s="392"/>
      <c r="C587" s="538"/>
      <c r="D58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7" s="437"/>
      <c r="F587" s="397"/>
      <c r="G587" s="397"/>
      <c r="H587" s="401"/>
      <c r="I587" s="403"/>
      <c r="J587" s="403"/>
      <c r="K587" s="491" t="str">
        <f ca="1">+IF('[1]BROUILLARD DE CAISSE '!$C584="","",SUMIFS(INDIRECT("$K$7:K"&amp;ROW()),INDIRECT("$D$7:D"&amp;ROW()),"="&amp;"Report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7" s="403" t="str">
        <f ca="1">+IF($B587="","",SUMIFS(INDIRECT("$K$7:K"&amp;ROW()),INDIRECT("$B$7:B"&amp;ROW()),Tableau15356789101112131625236924[[#This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7" s="490"/>
    </row>
    <row r="588" spans="1:13" ht="15" x14ac:dyDescent="0.3">
      <c r="A588" s="434"/>
      <c r="B588" s="392"/>
      <c r="C588" s="538"/>
      <c r="D58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8" s="437"/>
      <c r="F588" s="397"/>
      <c r="G588" s="397"/>
      <c r="H588" s="401"/>
      <c r="I588" s="403"/>
      <c r="J588" s="403"/>
      <c r="K588" s="491" t="str">
        <f ca="1">+IF('[1]BROUILLARD DE CAISSE '!$C585="","",SUMIFS(INDIRECT("$K$7:K"&amp;ROW()),INDIRECT("$D$7:D"&amp;ROW()),"="&amp;"Report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8" s="403" t="str">
        <f ca="1">+IF($B588="","",SUMIFS(INDIRECT("$K$7:K"&amp;ROW()),INDIRECT("$B$7:B"&amp;ROW()),Tableau15356789101112131625236924[[#This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8" s="490"/>
    </row>
    <row r="589" spans="1:13" ht="15" x14ac:dyDescent="0.3">
      <c r="A589" s="434"/>
      <c r="B589" s="392"/>
      <c r="C589" s="538"/>
      <c r="D58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89" s="437"/>
      <c r="F589" s="397"/>
      <c r="G589" s="397"/>
      <c r="H589" s="401"/>
      <c r="I589" s="403"/>
      <c r="J589" s="403"/>
      <c r="K589" s="491" t="str">
        <f ca="1">+IF('[1]BROUILLARD DE CAISSE '!$C586="","",SUMIFS(INDIRECT("$K$7:K"&amp;ROW()),INDIRECT("$D$7:D"&amp;ROW()),"="&amp;"Report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89" s="403" t="str">
        <f ca="1">+IF($B589="","",SUMIFS(INDIRECT("$K$7:K"&amp;ROW()),INDIRECT("$B$7:B"&amp;ROW()),Tableau15356789101112131625236924[[#This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89" s="490"/>
    </row>
    <row r="590" spans="1:13" ht="15" x14ac:dyDescent="0.3">
      <c r="A590" s="434"/>
      <c r="B590" s="392"/>
      <c r="C590" s="538"/>
      <c r="D59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0" s="437"/>
      <c r="F590" s="397"/>
      <c r="G590" s="397"/>
      <c r="H590" s="524"/>
      <c r="I590" s="403"/>
      <c r="J590" s="403"/>
      <c r="K590" s="491" t="str">
        <f ca="1">+IF('[1]BROUILLARD DE CAISSE '!$C587="","",SUMIFS(INDIRECT("$K$7:K"&amp;ROW()),INDIRECT("$D$7:D"&amp;ROW()),"="&amp;"Report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0" s="403" t="str">
        <f ca="1">+IF($B590="","",SUMIFS(INDIRECT("$K$7:K"&amp;ROW()),INDIRECT("$B$7:B"&amp;ROW()),Tableau15356789101112131625236924[[#This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0" s="490"/>
    </row>
    <row r="591" spans="1:13" ht="15" x14ac:dyDescent="0.3">
      <c r="A591" s="434"/>
      <c r="B591" s="392"/>
      <c r="C591" s="538"/>
      <c r="D59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1" s="437"/>
      <c r="F591" s="397"/>
      <c r="G591" s="397"/>
      <c r="H591" s="524"/>
      <c r="I591" s="403"/>
      <c r="J591" s="403"/>
      <c r="K591" s="491" t="str">
        <f ca="1">+IF('[1]BROUILLARD DE CAISSE '!$C588="","",SUMIFS(INDIRECT("$K$7:K"&amp;ROW()),INDIRECT("$D$7:D"&amp;ROW()),"="&amp;"Report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1" s="403" t="str">
        <f ca="1">+IF($B591="","",SUMIFS(INDIRECT("$K$7:K"&amp;ROW()),INDIRECT("$B$7:B"&amp;ROW()),Tableau15356789101112131625236924[[#This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1" s="490"/>
    </row>
    <row r="592" spans="1:13" ht="15" x14ac:dyDescent="0.3">
      <c r="A592" s="434"/>
      <c r="B592" s="392"/>
      <c r="C592" s="538"/>
      <c r="D59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2" s="437"/>
      <c r="F592" s="397"/>
      <c r="G592" s="397"/>
      <c r="H592" s="524"/>
      <c r="I592" s="403"/>
      <c r="J592" s="403"/>
      <c r="K592" s="491" t="str">
        <f ca="1">+IF('[1]BROUILLARD DE CAISSE '!$C589="","",SUMIFS(INDIRECT("$K$7:K"&amp;ROW()),INDIRECT("$D$7:D"&amp;ROW()),"="&amp;"Report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2" s="403" t="str">
        <f ca="1">+IF($B592="","",SUMIFS(INDIRECT("$K$7:K"&amp;ROW()),INDIRECT("$B$7:B"&amp;ROW()),Tableau15356789101112131625236924[[#This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2" s="490"/>
    </row>
    <row r="593" spans="1:13" ht="15" x14ac:dyDescent="0.3">
      <c r="A593" s="434"/>
      <c r="B593" s="392"/>
      <c r="C593" s="538"/>
      <c r="D59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3" s="437"/>
      <c r="F593" s="397"/>
      <c r="G593" s="397"/>
      <c r="H593" s="524"/>
      <c r="I593" s="403"/>
      <c r="J593" s="403"/>
      <c r="K593" s="491" t="str">
        <f ca="1">+IF('[1]BROUILLARD DE CAISSE '!$C590="","",SUMIFS(INDIRECT("$K$7:K"&amp;ROW()),INDIRECT("$D$7:D"&amp;ROW()),"="&amp;"Report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3" s="403" t="str">
        <f ca="1">+IF($B593="","",SUMIFS(INDIRECT("$K$7:K"&amp;ROW()),INDIRECT("$B$7:B"&amp;ROW()),Tableau15356789101112131625236924[[#This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3" s="490"/>
    </row>
    <row r="594" spans="1:13" ht="15" x14ac:dyDescent="0.3">
      <c r="A594" s="434"/>
      <c r="B594" s="392"/>
      <c r="C594" s="538"/>
      <c r="D59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4" s="437"/>
      <c r="F594" s="397"/>
      <c r="G594" s="397"/>
      <c r="H594" s="524"/>
      <c r="I594" s="403"/>
      <c r="J594" s="403"/>
      <c r="K594" s="491" t="str">
        <f ca="1">+IF('[1]BROUILLARD DE CAISSE '!$C591="","",SUMIFS(INDIRECT("$K$7:K"&amp;ROW()),INDIRECT("$D$7:D"&amp;ROW()),"="&amp;"Report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4" s="403" t="str">
        <f ca="1">+IF($B594="","",SUMIFS(INDIRECT("$K$7:K"&amp;ROW()),INDIRECT("$B$7:B"&amp;ROW()),Tableau15356789101112131625236924[[#This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4" s="490"/>
    </row>
    <row r="595" spans="1:13" ht="15" x14ac:dyDescent="0.3">
      <c r="A595" s="434"/>
      <c r="B595" s="392"/>
      <c r="C595" s="538"/>
      <c r="D59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5" s="437"/>
      <c r="F595" s="397"/>
      <c r="G595" s="397"/>
      <c r="H595" s="524"/>
      <c r="I595" s="403"/>
      <c r="J595" s="403"/>
      <c r="K595" s="491" t="str">
        <f ca="1">+IF('[1]BROUILLARD DE CAISSE '!$C592="","",SUMIFS(INDIRECT("$K$7:K"&amp;ROW()),INDIRECT("$D$7:D"&amp;ROW()),"="&amp;"Report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5" s="403" t="str">
        <f ca="1">+IF($B595="","",SUMIFS(INDIRECT("$K$7:K"&amp;ROW()),INDIRECT("$B$7:B"&amp;ROW()),Tableau15356789101112131625236924[[#This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5" s="490"/>
    </row>
    <row r="596" spans="1:13" ht="15" x14ac:dyDescent="0.3">
      <c r="A596" s="434"/>
      <c r="B596" s="392"/>
      <c r="C596" s="538"/>
      <c r="D59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6" s="437"/>
      <c r="F596" s="397"/>
      <c r="G596" s="397"/>
      <c r="H596" s="524"/>
      <c r="I596" s="403"/>
      <c r="J596" s="403"/>
      <c r="K596" s="491" t="str">
        <f ca="1">+IF('[1]BROUILLARD DE CAISSE '!$C593="","",SUMIFS(INDIRECT("$K$7:K"&amp;ROW()),INDIRECT("$D$7:D"&amp;ROW()),"="&amp;"Report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6" s="403" t="str">
        <f ca="1">+IF($B596="","",SUMIFS(INDIRECT("$K$7:K"&amp;ROW()),INDIRECT("$B$7:B"&amp;ROW()),Tableau15356789101112131625236924[[#This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6" s="490"/>
    </row>
    <row r="597" spans="1:13" ht="15" x14ac:dyDescent="0.3">
      <c r="A597" s="434"/>
      <c r="B597" s="392"/>
      <c r="C597" s="538"/>
      <c r="D59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7" s="437"/>
      <c r="F597" s="397"/>
      <c r="G597" s="397"/>
      <c r="H597" s="524"/>
      <c r="I597" s="403"/>
      <c r="J597" s="403"/>
      <c r="K597" s="491" t="str">
        <f ca="1">+IF('[1]BROUILLARD DE CAISSE '!$C594="","",SUMIFS(INDIRECT("$K$7:K"&amp;ROW()),INDIRECT("$D$7:D"&amp;ROW()),"="&amp;"Report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7" s="403" t="str">
        <f ca="1">+IF($B597="","",SUMIFS(INDIRECT("$K$7:K"&amp;ROW()),INDIRECT("$B$7:B"&amp;ROW()),Tableau15356789101112131625236924[[#This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7" s="490"/>
    </row>
    <row r="598" spans="1:13" ht="15" x14ac:dyDescent="0.3">
      <c r="A598" s="434"/>
      <c r="B598" s="392"/>
      <c r="C598" s="538"/>
      <c r="D59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8" s="437"/>
      <c r="F598" s="397"/>
      <c r="G598" s="397"/>
      <c r="H598" s="524"/>
      <c r="I598" s="403"/>
      <c r="J598" s="403"/>
      <c r="K598" s="491" t="str">
        <f ca="1">+IF('[1]BROUILLARD DE CAISSE '!$C595="","",SUMIFS(INDIRECT("$K$7:K"&amp;ROW()),INDIRECT("$D$7:D"&amp;ROW()),"="&amp;"Report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8" s="403" t="str">
        <f ca="1">+IF($B598="","",SUMIFS(INDIRECT("$K$7:K"&amp;ROW()),INDIRECT("$B$7:B"&amp;ROW()),Tableau15356789101112131625236924[[#This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8" s="490"/>
    </row>
    <row r="599" spans="1:13" ht="15" x14ac:dyDescent="0.3">
      <c r="A599" s="434"/>
      <c r="B599" s="392"/>
      <c r="C599" s="538"/>
      <c r="D599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599" s="437"/>
      <c r="F599" s="397"/>
      <c r="G599" s="397"/>
      <c r="H599" s="524"/>
      <c r="I599" s="403"/>
      <c r="J599" s="403"/>
      <c r="K599" s="491" t="str">
        <f ca="1">+IF('[1]BROUILLARD DE CAISSE '!$C596="","",SUMIFS(INDIRECT("$K$7:K"&amp;ROW()),INDIRECT("$D$7:D"&amp;ROW()),"="&amp;"Report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599" s="403" t="str">
        <f ca="1">+IF($B599="","",SUMIFS(INDIRECT("$K$7:K"&amp;ROW()),INDIRECT("$B$7:B"&amp;ROW()),Tableau15356789101112131625236924[[#This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599" s="490"/>
    </row>
    <row r="600" spans="1:13" ht="15" x14ac:dyDescent="0.3">
      <c r="A600" s="434"/>
      <c r="B600" s="392"/>
      <c r="C600" s="538"/>
      <c r="D600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0" s="437"/>
      <c r="F600" s="397"/>
      <c r="G600" s="397"/>
      <c r="H600" s="524"/>
      <c r="I600" s="403"/>
      <c r="J600" s="403"/>
      <c r="K600" s="491" t="str">
        <f ca="1">+IF('[1]BROUILLARD DE CAISSE '!$C597="","",SUMIFS(INDIRECT("$K$7:K"&amp;ROW()),INDIRECT("$D$7:D"&amp;ROW()),"="&amp;"Report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0" s="403" t="str">
        <f ca="1">+IF($B600="","",SUMIFS(INDIRECT("$K$7:K"&amp;ROW()),INDIRECT("$B$7:B"&amp;ROW()),Tableau15356789101112131625236924[[#This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0" s="490"/>
    </row>
    <row r="601" spans="1:13" ht="15" x14ac:dyDescent="0.3">
      <c r="A601" s="434"/>
      <c r="B601" s="392"/>
      <c r="C601" s="538"/>
      <c r="D601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1" s="437"/>
      <c r="F601" s="397"/>
      <c r="G601" s="397"/>
      <c r="H601" s="524"/>
      <c r="I601" s="403"/>
      <c r="J601" s="403"/>
      <c r="K601" s="491" t="str">
        <f ca="1">+IF('[1]BROUILLARD DE CAISSE '!$C598="","",SUMIFS(INDIRECT("$K$7:K"&amp;ROW()),INDIRECT("$D$7:D"&amp;ROW()),"="&amp;"Report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1" s="403" t="str">
        <f ca="1">+IF($B601="","",SUMIFS(INDIRECT("$K$7:K"&amp;ROW()),INDIRECT("$B$7:B"&amp;ROW()),Tableau15356789101112131625236924[[#This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1" s="490"/>
    </row>
    <row r="602" spans="1:13" ht="15" x14ac:dyDescent="0.3">
      <c r="A602" s="434"/>
      <c r="B602" s="392"/>
      <c r="C602" s="538"/>
      <c r="D602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2" s="437"/>
      <c r="F602" s="397"/>
      <c r="G602" s="397"/>
      <c r="H602" s="524"/>
      <c r="I602" s="403"/>
      <c r="J602" s="403"/>
      <c r="K602" s="491" t="str">
        <f ca="1">+IF('[1]BROUILLARD DE CAISSE '!$C599="","",SUMIFS(INDIRECT("$K$7:K"&amp;ROW()),INDIRECT("$D$7:D"&amp;ROW()),"="&amp;"Report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2" s="403" t="str">
        <f ca="1">+IF($B602="","",SUMIFS(INDIRECT("$K$7:K"&amp;ROW()),INDIRECT("$B$7:B"&amp;ROW()),Tableau15356789101112131625236924[[#This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2" s="490"/>
    </row>
    <row r="603" spans="1:13" ht="15" x14ac:dyDescent="0.3">
      <c r="A603" s="434"/>
      <c r="B603" s="392"/>
      <c r="C603" s="538"/>
      <c r="D603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3" s="437"/>
      <c r="F603" s="397"/>
      <c r="G603" s="397"/>
      <c r="H603" s="524"/>
      <c r="I603" s="403"/>
      <c r="J603" s="403"/>
      <c r="K603" s="491" t="str">
        <f ca="1">+IF('[1]BROUILLARD DE CAISSE '!$C600="","",SUMIFS(INDIRECT("$K$7:K"&amp;ROW()),INDIRECT("$D$7:D"&amp;ROW()),"="&amp;"Report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3" s="403" t="str">
        <f ca="1">+IF($B603="","",SUMIFS(INDIRECT("$K$7:K"&amp;ROW()),INDIRECT("$B$7:B"&amp;ROW()),Tableau15356789101112131625236924[[#This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3" s="490"/>
    </row>
    <row r="604" spans="1:13" ht="15" x14ac:dyDescent="0.3">
      <c r="A604" s="434"/>
      <c r="B604" s="392"/>
      <c r="C604" s="538"/>
      <c r="D604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4" s="437"/>
      <c r="F604" s="397"/>
      <c r="G604" s="397"/>
      <c r="H604" s="524"/>
      <c r="I604" s="403"/>
      <c r="J604" s="403"/>
      <c r="K604" s="491" t="str">
        <f ca="1">+IF('[1]BROUILLARD DE CAISSE '!$C601="","",SUMIFS(INDIRECT("$K$7:K"&amp;ROW()),INDIRECT("$D$7:D"&amp;ROW()),"="&amp;"Report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4" s="403" t="str">
        <f ca="1">+IF($B604="","",SUMIFS(INDIRECT("$K$7:K"&amp;ROW()),INDIRECT("$B$7:B"&amp;ROW()),Tableau15356789101112131625236924[[#This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4" s="490"/>
    </row>
    <row r="605" spans="1:13" ht="15" x14ac:dyDescent="0.3">
      <c r="A605" s="434"/>
      <c r="B605" s="392"/>
      <c r="C605" s="538"/>
      <c r="D605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5" s="437"/>
      <c r="F605" s="397"/>
      <c r="G605" s="397"/>
      <c r="H605" s="524"/>
      <c r="I605" s="403"/>
      <c r="J605" s="403"/>
      <c r="K605" s="491" t="str">
        <f ca="1">+IF('[1]BROUILLARD DE CAISSE '!$C602="","",SUMIFS(INDIRECT("$K$7:K"&amp;ROW()),INDIRECT("$D$7:D"&amp;ROW()),"="&amp;"Report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5" s="403" t="str">
        <f ca="1">+IF($B605="","",SUMIFS(INDIRECT("$K$7:K"&amp;ROW()),INDIRECT("$B$7:B"&amp;ROW()),Tableau15356789101112131625236924[[#This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5" s="490"/>
    </row>
    <row r="606" spans="1:13" ht="15" x14ac:dyDescent="0.3">
      <c r="A606" s="434"/>
      <c r="B606" s="392"/>
      <c r="C606" s="538"/>
      <c r="D606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6" s="437"/>
      <c r="F606" s="397"/>
      <c r="G606" s="397"/>
      <c r="H606" s="524"/>
      <c r="I606" s="403"/>
      <c r="J606" s="403"/>
      <c r="K606" s="491" t="str">
        <f ca="1">+IF('[1]BROUILLARD DE CAISSE '!$C603="","",SUMIFS(INDIRECT("$K$7:K"&amp;ROW()),INDIRECT("$D$7:D"&amp;ROW()),"="&amp;"Report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6" s="403" t="str">
        <f ca="1">+IF($B606="","",SUMIFS(INDIRECT("$K$7:K"&amp;ROW()),INDIRECT("$B$7:B"&amp;ROW()),Tableau15356789101112131625236924[[#This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6" s="490"/>
    </row>
    <row r="607" spans="1:13" ht="15" x14ac:dyDescent="0.3">
      <c r="A607" s="434"/>
      <c r="B607" s="392"/>
      <c r="C607" s="538"/>
      <c r="D607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7" s="437"/>
      <c r="F607" s="397"/>
      <c r="G607" s="397"/>
      <c r="H607" s="524"/>
      <c r="I607" s="403"/>
      <c r="J607" s="403"/>
      <c r="K607" s="491" t="str">
        <f ca="1">+IF('[1]BROUILLARD DE CAISSE '!$C604="","",SUMIFS(INDIRECT("$K$7:K"&amp;ROW()),INDIRECT("$D$7:D"&amp;ROW()),"="&amp;"Report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7" s="403" t="str">
        <f ca="1">+IF($B607="","",SUMIFS(INDIRECT("$K$7:K"&amp;ROW()),INDIRECT("$B$7:B"&amp;ROW()),Tableau15356789101112131625236924[[#This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7" s="490"/>
    </row>
    <row r="608" spans="1:13" ht="15" x14ac:dyDescent="0.3">
      <c r="A608" s="434"/>
      <c r="B608" s="392"/>
      <c r="C608" s="538"/>
      <c r="D608" s="436" t="str">
        <f>+IF(AND(Tableau15356789101112131625236924[[#This Row],[RECETTE]]&lt;&gt;"",Tableau15356789101112131625236924[[#This Row],[LIBELLE]]="Report du Solde du mois précedent"),"Report à nouveau",IF(Tableau15356789101112131625236924[[#This Row],[RECETTE]]&lt;&gt;"","Entrée",IF(Tableau15356789101112131625236924[[#This Row],[DÉPENSE]]&lt;&gt;"","Sortie","")))</f>
        <v/>
      </c>
      <c r="E608" s="437"/>
      <c r="F608" s="397"/>
      <c r="G608" s="397"/>
      <c r="H608" s="524"/>
      <c r="I608" s="403"/>
      <c r="J608" s="403"/>
      <c r="K608" s="491" t="str">
        <f ca="1">+IF('[1]BROUILLARD DE CAISSE '!$C605="","",SUMIFS(INDIRECT("$K$7:K"&amp;ROW()),INDIRECT("$D$7:D"&amp;ROW()),"="&amp;"Report à nouveau")+SUMIFS(INDIRECT("$K$7:K"&amp;ROW()),INDIRECT("$D$7:D"&amp;ROW()),"="&amp;"Entrée")-SUMIFS(INDIRECT("$L$7:L"&amp;ROW()),INDIRECT("$D$7:D"&amp;ROW()),"="&amp;"Sortie"))</f>
        <v/>
      </c>
      <c r="L608" s="403" t="str">
        <f ca="1">+IF($B608="","",SUMIFS(INDIRECT("$K$7:K"&amp;ROW()),INDIRECT("$B$7:B"&amp;ROW()),Tableau15356789101112131625236924[[#This Row],[ACTIVITES]],INDIRECT("$D$7:D"&amp;ROW()),"="&amp;"Report à nouveau")+SUMIFS(INDIRECT("$K$7:K"&amp;ROW()),INDIRECT("$B$7:B"&amp;ROW()),Tableau15356789101112131625236924[[#This Row],[ACTIVITES]],INDIRECT("$D$7:D"&amp;ROW()),"="&amp;"Entrée")-SUMIFS(INDIRECT("$L$7:L"&amp;ROW()),INDIRECT("$B$7:B"&amp;ROW()),Tableau15356789101112131625236924[[#This Row],[ACTIVITES]],INDIRECT("$D$7:D"&amp;ROW()),"="&amp;"Sortie"))</f>
        <v/>
      </c>
      <c r="M608" s="490"/>
    </row>
  </sheetData>
  <conditionalFormatting sqref="A7:B313 L8:L155 J7:L7 I7:I176 E7:G181 M7:M608 J8:J181 K8:K608 E182:E260 I182:J260 E261:J365 E366:G397 C366:C424 I366:J424 D366:D482 H366:H589 G398 E399:E415 F399:G424">
    <cfRule type="expression" dxfId="14" priority="5" stopIfTrue="1">
      <formula>$I7&lt;&gt;""</formula>
    </cfRule>
  </conditionalFormatting>
  <conditionalFormatting sqref="A99:B99 L99">
    <cfRule type="expression" dxfId="13" priority="4">
      <formula>$M99="FF"</formula>
    </cfRule>
  </conditionalFormatting>
  <conditionalFormatting sqref="C7:D365">
    <cfRule type="expression" dxfId="12" priority="3" stopIfTrue="1">
      <formula>$I7&lt;&gt;""</formula>
    </cfRule>
  </conditionalFormatting>
  <conditionalFormatting sqref="E177:F180">
    <cfRule type="expression" dxfId="11" priority="13" stopIfTrue="1">
      <formula>$I177&lt;&gt;""</formula>
    </cfRule>
    <cfRule type="expression" dxfId="10" priority="14">
      <formula>#REF!="FF"</formula>
    </cfRule>
  </conditionalFormatting>
  <conditionalFormatting sqref="E398:F398">
    <cfRule type="expression" dxfId="9" priority="15">
      <formula>#REF!="FF"</formula>
    </cfRule>
    <cfRule type="expression" dxfId="8" priority="16" stopIfTrue="1">
      <formula>$I398&lt;&gt;""</formula>
    </cfRule>
  </conditionalFormatting>
  <conditionalFormatting sqref="F182:G260">
    <cfRule type="expression" dxfId="7" priority="1" stopIfTrue="1">
      <formula>$I182&lt;&gt;""</formula>
    </cfRule>
  </conditionalFormatting>
  <conditionalFormatting sqref="H7:H260">
    <cfRule type="expression" dxfId="6" priority="7" stopIfTrue="1">
      <formula>$I7&lt;&gt;""</formula>
    </cfRule>
  </conditionalFormatting>
  <conditionalFormatting sqref="I177:I181">
    <cfRule type="expression" dxfId="5" priority="8" stopIfTrue="1">
      <formula>$I177&lt;&gt;""</formula>
    </cfRule>
  </conditionalFormatting>
  <conditionalFormatting sqref="J7:L7 A7:B98 E7:F176 M7:M176 G7:G181 I7:I181 K8:L8 J8:J177 L9:L98 K9:K608 L100:L155 A100:B313 E178 E182:E260 I182:J260 M199:M608 E261:J365 E366:G397 C366:C424 I366:J424 D366:D482 H366:H608 G398 E399:E415 F399:G424 C7:D365 F182:H229 F230:G260 H7 H231:H240 H242:H260">
    <cfRule type="expression" dxfId="4" priority="6">
      <formula>#REF!="FF"</formula>
    </cfRule>
  </conditionalFormatting>
  <conditionalFormatting sqref="N32:N33">
    <cfRule type="expression" dxfId="3" priority="10" stopIfTrue="1">
      <formula>$I31&lt;&gt;""</formula>
    </cfRule>
  </conditionalFormatting>
  <conditionalFormatting sqref="N32:N35">
    <cfRule type="expression" dxfId="2" priority="9">
      <formula>#REF!="FF"</formula>
    </cfRule>
  </conditionalFormatting>
  <conditionalFormatting sqref="N34">
    <cfRule type="expression" dxfId="1" priority="12" stopIfTrue="1">
      <formula>$I32&lt;&gt;""</formula>
    </cfRule>
  </conditionalFormatting>
  <conditionalFormatting sqref="N35">
    <cfRule type="expression" dxfId="0" priority="11" stopIfTrue="1">
      <formula>$I32&lt;&gt;""</formula>
    </cfRule>
  </conditionalFormatting>
  <dataValidations count="2">
    <dataValidation type="list" allowBlank="1" showInputMessage="1" showErrorMessage="1" sqref="H7:H608" xr:uid="{E116D776-5CA2-4EDB-BC49-2F8B45B20D36}">
      <formula1>ID_ENGIN</formula1>
    </dataValidation>
    <dataValidation type="list" allowBlank="1" showInputMessage="1" showErrorMessage="1" sqref="B7:B608" xr:uid="{8A7B4D46-8730-45F2-A390-D0043580517A}">
      <formula1>ACTIVITE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6</vt:i4>
      </vt:variant>
    </vt:vector>
  </HeadingPairs>
  <TitlesOfParts>
    <vt:vector size="18" baseType="lpstr">
      <vt:lpstr>JANVIER </vt:lpstr>
      <vt:lpstr>FEVRIER </vt:lpstr>
      <vt:lpstr>MARS </vt:lpstr>
      <vt:lpstr>AVRIL</vt:lpstr>
      <vt:lpstr>MAI </vt:lpstr>
      <vt:lpstr>JUIN</vt:lpstr>
      <vt:lpstr>JUILLET</vt:lpstr>
      <vt:lpstr>AOUT</vt:lpstr>
      <vt:lpstr>SEPTEMBRE</vt:lpstr>
      <vt:lpstr>OCTOBRE</vt:lpstr>
      <vt:lpstr>NOVEMBRE</vt:lpstr>
      <vt:lpstr>DECEMBRE</vt:lpstr>
      <vt:lpstr>AVRIL!Zone_d_impression</vt:lpstr>
      <vt:lpstr>'FEVRIER '!Zone_d_impression</vt:lpstr>
      <vt:lpstr>'JANVIER '!Zone_d_impression</vt:lpstr>
      <vt:lpstr>JUIN!Zone_d_impression</vt:lpstr>
      <vt:lpstr>'MAI '!Zone_d_impression</vt:lpstr>
      <vt:lpstr>'MARS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a12900</cp:lastModifiedBy>
  <cp:lastPrinted>2025-08-20T17:13:21Z</cp:lastPrinted>
  <dcterms:created xsi:type="dcterms:W3CDTF">2023-12-15T08:20:40Z</dcterms:created>
  <dcterms:modified xsi:type="dcterms:W3CDTF">2026-04-04T19:31:34Z</dcterms:modified>
</cp:coreProperties>
</file>