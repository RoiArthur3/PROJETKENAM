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TA ERP CRM KENAM S\"/>
    </mc:Choice>
  </mc:AlternateContent>
  <xr:revisionPtr revIDLastSave="0" documentId="13_ncr:1_{E2CA0E68-94E6-4A91-B1DE-522ED491CD95}" xr6:coauthVersionLast="47" xr6:coauthVersionMax="47" xr10:uidLastSave="{00000000-0000-0000-0000-000000000000}"/>
  <bookViews>
    <workbookView xWindow="-108" yWindow="-108" windowWidth="23256" windowHeight="12456" firstSheet="1" activeTab="2" xr2:uid="{012EBFC2-BB06-4946-BE6C-5814F34BFC31}"/>
  </bookViews>
  <sheets>
    <sheet name="PARAM" sheetId="2" r:id="rId1"/>
    <sheet name="PCE_G-IMP" sheetId="1" r:id="rId2"/>
    <sheet name="CODES JOURNAUX" sheetId="5" r:id="rId3"/>
    <sheet name="TIERS CLIENTS" sheetId="6" r:id="rId4"/>
    <sheet name="TIERS FOURNISSEURS" sheetId="7" r:id="rId5"/>
    <sheet name="PLAN ANALYTIQUE" sheetId="8" r:id="rId6"/>
    <sheet name="PARC KENAM SERVICE" sheetId="9" r:id="rId7"/>
    <sheet name="PC ANALYTIQUE" sheetId="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0">#REF!</definedName>
    <definedName name="\1">#REF!</definedName>
    <definedName name="\a">#REF!</definedName>
    <definedName name="\b">#REF!</definedName>
    <definedName name="\C">'[1]pages 6'!#REF!</definedName>
    <definedName name="\D">'[1]pages 6'!#REF!</definedName>
    <definedName name="\e">#REF!</definedName>
    <definedName name="\f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s">#REF!</definedName>
    <definedName name="\t">#REF!</definedName>
    <definedName name="\u">#REF!</definedName>
    <definedName name="\z">#REF!</definedName>
    <definedName name="______________tap2">[2]SIMMPC!#REF!</definedName>
    <definedName name="_____________tap2">[2]SIMMPC!#REF!</definedName>
    <definedName name="____________tap2">[2]SIMMPC!#REF!</definedName>
    <definedName name="___________tap2">[2]SIMMPC!#REF!</definedName>
    <definedName name="__________tap2">[2]SIMMPC!#REF!</definedName>
    <definedName name="_________tap2">[2]SIMMPC!#REF!</definedName>
    <definedName name="________CI2" hidden="1">{#N/A,#N/A,FALSE,"vtcshl92";#N/A,#N/A,FALSE,"vtcshl93";#N/A,#N/A,FALSE,"vtcshl94";#N/A,#N/A,FALSE,"vtcshl95";#N/A,#N/A,FALSE,"vtcshl96"}</definedName>
    <definedName name="________tap2">[2]SIMMPC!#REF!</definedName>
    <definedName name="_______tap2">[2]SIMMPC!#REF!</definedName>
    <definedName name="______CI2" hidden="1">{#N/A,#N/A,FALSE,"vtcshl92";#N/A,#N/A,FALSE,"vtcshl93";#N/A,#N/A,FALSE,"vtcshl94";#N/A,#N/A,FALSE,"vtcshl95";#N/A,#N/A,FALSE,"vtcshl96"}</definedName>
    <definedName name="______tap2">[2]SIMMPC!#REF!</definedName>
    <definedName name="_____CI2" hidden="1">{#N/A,#N/A,FALSE,"vtcshl92";#N/A,#N/A,FALSE,"vtcshl93";#N/A,#N/A,FALSE,"vtcshl94";#N/A,#N/A,FALSE,"vtcshl95";#N/A,#N/A,FALSE,"vtcshl96"}</definedName>
    <definedName name="_____tap2">[3]SIMMPC!#REF!</definedName>
    <definedName name="____CI2" hidden="1">{#N/A,#N/A,FALSE,"vtcshl92";#N/A,#N/A,FALSE,"vtcshl93";#N/A,#N/A,FALSE,"vtcshl94";#N/A,#N/A,FALSE,"vtcshl95";#N/A,#N/A,FALSE,"vtcshl96"}</definedName>
    <definedName name="____tap2">[4]SIMMPC!#REF!</definedName>
    <definedName name="___CI2" hidden="1">{#N/A,#N/A,FALSE,"vtcshl92";#N/A,#N/A,FALSE,"vtcshl93";#N/A,#N/A,FALSE,"vtcshl94";#N/A,#N/A,FALSE,"vtcshl95";#N/A,#N/A,FALSE,"vtcshl96"}</definedName>
    <definedName name="___tap2">[3]SIMMPC!#REF!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X" hidden="1">#REF!</definedName>
    <definedName name="__bed53">#REF!</definedName>
    <definedName name="__cav1">#REF!</definedName>
    <definedName name="__CI2" hidden="1">{#N/A,#N/A,FALSE,"vtcshl92";#N/A,#N/A,FALSE,"vtcshl93";#N/A,#N/A,FALSE,"vtcshl94";#N/A,#N/A,FALSE,"vtcshl95";#N/A,#N/A,FALSE,"vtcshl96"}</definedName>
    <definedName name="__COM2">'[5]NORTHERN  AFRICA  DIVISION'!#REF!</definedName>
    <definedName name="__DJI2">'[5]NORTHERN  AFRICA  DIVISION'!#REF!</definedName>
    <definedName name="__EAO2">'[5]NORTHERN  AFRICA  DIVISION'!#REF!</definedName>
    <definedName name="__EAR2">'[5]NORTHERN  AFRICA  DIVISION'!#REF!</definedName>
    <definedName name="__ETH2">'[5]NORTHERN  AFRICA  DIVISION'!#REF!</definedName>
    <definedName name="__KE2">'[5]NORTHERN  AFRICA  DIVISION'!#REF!</definedName>
    <definedName name="__L">'[5]NORTHERN  AFRICA  DIVISION'!#REF!</definedName>
    <definedName name="__MAU2">'[5]NORTHERN  AFRICA  DIVISION'!#REF!</definedName>
    <definedName name="__MD2">'[5]NORTHERN  AFRICA  DIVISION'!#REF!</definedName>
    <definedName name="__MS2">'[5]NORTHERN  AFRICA  DIVISION'!#REF!</definedName>
    <definedName name="__RE2">'[5]NORTHERN  AFRICA  DIVISION'!#REF!</definedName>
    <definedName name="__SEY2">'[5]NORTHERN  AFRICA  DIVISION'!#REF!</definedName>
    <definedName name="__SM2">'[5]NORTHERN  AFRICA  DIVISION'!#REF!</definedName>
    <definedName name="__SOM2">'[5]NORTHERN  AFRICA  DIVISION'!#REF!</definedName>
    <definedName name="__tap2">[6]SIMMPC!#REF!</definedName>
    <definedName name="__tot1">#REF!</definedName>
    <definedName name="__tot2">#REF!</definedName>
    <definedName name="__TZ2">'[5]NORTHERN  AFRICA  DIVISION'!#REF!</definedName>
    <definedName name="__UG2">'[5]NORTHERN  AFRICA  DIVISION'!#REF!</definedName>
    <definedName name="_0_09_84">#REF!</definedName>
    <definedName name="_1">'[5]NORTHERN  AFRICA  DIVISION'!#REF!</definedName>
    <definedName name="_10003">#REF!</definedName>
    <definedName name="_10004">#REF!</definedName>
    <definedName name="_10006">#REF!</definedName>
    <definedName name="_10012">#REF!</definedName>
    <definedName name="_10015">#REF!</definedName>
    <definedName name="_10021">#REF!</definedName>
    <definedName name="_10024">#REF!</definedName>
    <definedName name="_1003">#REF!</definedName>
    <definedName name="_10030">#REF!</definedName>
    <definedName name="_10033">#REF!</definedName>
    <definedName name="_10039">#REF!</definedName>
    <definedName name="_10042">#REF!</definedName>
    <definedName name="_10048">#REF!</definedName>
    <definedName name="_10051">#REF!</definedName>
    <definedName name="_10057">#REF!</definedName>
    <definedName name="_1006">#REF!</definedName>
    <definedName name="_10060">#REF!</definedName>
    <definedName name="_10066">#REF!</definedName>
    <definedName name="_10069">#REF!</definedName>
    <definedName name="_10075">#REF!</definedName>
    <definedName name="_10078">#REF!</definedName>
    <definedName name="_10084">#REF!</definedName>
    <definedName name="_10087">#REF!</definedName>
    <definedName name="_10093">#REF!</definedName>
    <definedName name="_10096">#REF!</definedName>
    <definedName name="_10102">#REF!</definedName>
    <definedName name="_10105">#REF!</definedName>
    <definedName name="_10111">#REF!</definedName>
    <definedName name="_10114">#REF!</definedName>
    <definedName name="_1012">#REF!</definedName>
    <definedName name="_10120">#REF!</definedName>
    <definedName name="_10123">#REF!</definedName>
    <definedName name="_10129">#REF!</definedName>
    <definedName name="_10132">#REF!</definedName>
    <definedName name="_10138">#REF!</definedName>
    <definedName name="_10141">#REF!</definedName>
    <definedName name="_10147">#REF!</definedName>
    <definedName name="_1015">#REF!</definedName>
    <definedName name="_10150">#REF!</definedName>
    <definedName name="_10156">#REF!</definedName>
    <definedName name="_10159">#REF!</definedName>
    <definedName name="_10165">#REF!</definedName>
    <definedName name="_10168">#REF!</definedName>
    <definedName name="_10174">#REF!</definedName>
    <definedName name="_10177">#REF!</definedName>
    <definedName name="_10183">#REF!</definedName>
    <definedName name="_10186">#REF!</definedName>
    <definedName name="_10192">#REF!</definedName>
    <definedName name="_10195">#REF!</definedName>
    <definedName name="_10201">#REF!</definedName>
    <definedName name="_10204">#REF!</definedName>
    <definedName name="_1021">#REF!</definedName>
    <definedName name="_10210">#REF!</definedName>
    <definedName name="_10213">#REF!</definedName>
    <definedName name="_10219">#REF!</definedName>
    <definedName name="_10222">#REF!</definedName>
    <definedName name="_10228">#REF!</definedName>
    <definedName name="_10231">#REF!</definedName>
    <definedName name="_10237">#REF!</definedName>
    <definedName name="_1024">#REF!</definedName>
    <definedName name="_10240">#REF!</definedName>
    <definedName name="_10246">#REF!</definedName>
    <definedName name="_10249">#REF!</definedName>
    <definedName name="_10255">#REF!</definedName>
    <definedName name="_10258">#REF!</definedName>
    <definedName name="_10264">#REF!</definedName>
    <definedName name="_10267">#REF!</definedName>
    <definedName name="_10273">#REF!</definedName>
    <definedName name="_10276">#REF!</definedName>
    <definedName name="_10282">#REF!</definedName>
    <definedName name="_10285">#REF!</definedName>
    <definedName name="_10291">#REF!</definedName>
    <definedName name="_10294">#REF!</definedName>
    <definedName name="_103">#REF!</definedName>
    <definedName name="_1030">#REF!</definedName>
    <definedName name="_10300">#REF!</definedName>
    <definedName name="_10303">#REF!</definedName>
    <definedName name="_10309">#REF!</definedName>
    <definedName name="_10312">#REF!</definedName>
    <definedName name="_10318">#REF!</definedName>
    <definedName name="_10321">#REF!</definedName>
    <definedName name="_10327">#REF!</definedName>
    <definedName name="_1033">#REF!</definedName>
    <definedName name="_10330">#REF!</definedName>
    <definedName name="_10336">#REF!</definedName>
    <definedName name="_10339">#REF!</definedName>
    <definedName name="_10345">#REF!</definedName>
    <definedName name="_10348">#REF!</definedName>
    <definedName name="_10354">#REF!</definedName>
    <definedName name="_10357">#REF!</definedName>
    <definedName name="_10363">#REF!</definedName>
    <definedName name="_10366">#REF!</definedName>
    <definedName name="_10372">#REF!</definedName>
    <definedName name="_10375">#REF!</definedName>
    <definedName name="_10381">#REF!</definedName>
    <definedName name="_10384">#REF!</definedName>
    <definedName name="_1039">#REF!</definedName>
    <definedName name="_10390">#REF!</definedName>
    <definedName name="_10393">#REF!</definedName>
    <definedName name="_10399">#REF!</definedName>
    <definedName name="_10402">#REF!</definedName>
    <definedName name="_10408">#REF!</definedName>
    <definedName name="_10411">#REF!</definedName>
    <definedName name="_10417">#REF!</definedName>
    <definedName name="_1042">#REF!</definedName>
    <definedName name="_10420">#REF!</definedName>
    <definedName name="_10426">#REF!</definedName>
    <definedName name="_10429">#REF!</definedName>
    <definedName name="_10435">#REF!</definedName>
    <definedName name="_10438">#REF!</definedName>
    <definedName name="_10444">#REF!</definedName>
    <definedName name="_10447">#REF!</definedName>
    <definedName name="_10453">#REF!</definedName>
    <definedName name="_10456">#REF!</definedName>
    <definedName name="_10462">#REF!</definedName>
    <definedName name="_10465">#REF!</definedName>
    <definedName name="_10471">#REF!</definedName>
    <definedName name="_10474">#REF!</definedName>
    <definedName name="_1048">#REF!</definedName>
    <definedName name="_10480">#REF!</definedName>
    <definedName name="_10483">#REF!</definedName>
    <definedName name="_10489">#REF!</definedName>
    <definedName name="_10492">#REF!</definedName>
    <definedName name="_10498">#REF!</definedName>
    <definedName name="_10501">#REF!</definedName>
    <definedName name="_10507">#REF!</definedName>
    <definedName name="_1051">#REF!</definedName>
    <definedName name="_10510">#REF!</definedName>
    <definedName name="_10516">#REF!</definedName>
    <definedName name="_10519">#REF!</definedName>
    <definedName name="_10525">#REF!</definedName>
    <definedName name="_10528">#REF!</definedName>
    <definedName name="_10534">#REF!</definedName>
    <definedName name="_10537">#REF!</definedName>
    <definedName name="_10543">#REF!</definedName>
    <definedName name="_10546">#REF!</definedName>
    <definedName name="_10552">#REF!</definedName>
    <definedName name="_10555">#REF!</definedName>
    <definedName name="_10561">#REF!</definedName>
    <definedName name="_10564">#REF!</definedName>
    <definedName name="_1057">#REF!</definedName>
    <definedName name="_10570">#REF!</definedName>
    <definedName name="_10573">#REF!</definedName>
    <definedName name="_10579">#REF!</definedName>
    <definedName name="_10582">#REF!</definedName>
    <definedName name="_10588">#REF!</definedName>
    <definedName name="_10591">#REF!</definedName>
    <definedName name="_10597">#REF!</definedName>
    <definedName name="_106">#REF!</definedName>
    <definedName name="_1060">#REF!</definedName>
    <definedName name="_10600">#REF!</definedName>
    <definedName name="_10606">#REF!</definedName>
    <definedName name="_10609">#REF!</definedName>
    <definedName name="_10615">#REF!</definedName>
    <definedName name="_10618">#REF!</definedName>
    <definedName name="_10624">#REF!</definedName>
    <definedName name="_10627">#REF!</definedName>
    <definedName name="_10633">#REF!</definedName>
    <definedName name="_10636">#REF!</definedName>
    <definedName name="_10642">#REF!</definedName>
    <definedName name="_10645">#REF!</definedName>
    <definedName name="_10651">#REF!</definedName>
    <definedName name="_10654">#REF!</definedName>
    <definedName name="_1066">#REF!</definedName>
    <definedName name="_10660">#REF!</definedName>
    <definedName name="_10663">#REF!</definedName>
    <definedName name="_10669">#REF!</definedName>
    <definedName name="_10672">#REF!</definedName>
    <definedName name="_10678">#REF!</definedName>
    <definedName name="_10681">#REF!</definedName>
    <definedName name="_10687">#REF!</definedName>
    <definedName name="_1069">#REF!</definedName>
    <definedName name="_10690">#REF!</definedName>
    <definedName name="_10691">#REF!</definedName>
    <definedName name="_10696">#REF!</definedName>
    <definedName name="_10699">#REF!</definedName>
    <definedName name="_10705">#REF!</definedName>
    <definedName name="_10708">#REF!</definedName>
    <definedName name="_10714">#REF!</definedName>
    <definedName name="_10717">#REF!</definedName>
    <definedName name="_10723">#REF!</definedName>
    <definedName name="_10726">#REF!</definedName>
    <definedName name="_10732">#REF!</definedName>
    <definedName name="_10735">#REF!</definedName>
    <definedName name="_10741">#REF!</definedName>
    <definedName name="_10744">#REF!</definedName>
    <definedName name="_1075">#REF!</definedName>
    <definedName name="_10750">#REF!</definedName>
    <definedName name="_10753">#REF!</definedName>
    <definedName name="_10759">#REF!</definedName>
    <definedName name="_10762">#REF!</definedName>
    <definedName name="_10768">#REF!</definedName>
    <definedName name="_10771">#REF!</definedName>
    <definedName name="_10777">#REF!</definedName>
    <definedName name="_1078">#REF!</definedName>
    <definedName name="_10780">#REF!</definedName>
    <definedName name="_10786">#REF!</definedName>
    <definedName name="_10789">#REF!</definedName>
    <definedName name="_10795">#REF!</definedName>
    <definedName name="_10798">#REF!</definedName>
    <definedName name="_10804">#REF!</definedName>
    <definedName name="_10807">#REF!</definedName>
    <definedName name="_10813">#REF!</definedName>
    <definedName name="_10816">#REF!</definedName>
    <definedName name="_10822">#REF!</definedName>
    <definedName name="_10825">#REF!</definedName>
    <definedName name="_10831">#REF!</definedName>
    <definedName name="_10834">#REF!</definedName>
    <definedName name="_1084">#REF!</definedName>
    <definedName name="_10840">#REF!</definedName>
    <definedName name="_10843">#REF!</definedName>
    <definedName name="_10849">#REF!</definedName>
    <definedName name="_10852">#REF!</definedName>
    <definedName name="_10858">#REF!</definedName>
    <definedName name="_10861">#REF!</definedName>
    <definedName name="_10867">#REF!</definedName>
    <definedName name="_1087">#REF!</definedName>
    <definedName name="_10870">#REF!</definedName>
    <definedName name="_10876">#REF!</definedName>
    <definedName name="_10879">#REF!</definedName>
    <definedName name="_10885">#REF!</definedName>
    <definedName name="_10888">#REF!</definedName>
    <definedName name="_10894">#REF!</definedName>
    <definedName name="_10897">#REF!</definedName>
    <definedName name="_10903">#REF!</definedName>
    <definedName name="_10906">#REF!</definedName>
    <definedName name="_10912">#REF!</definedName>
    <definedName name="_10915">#REF!</definedName>
    <definedName name="_10921">#REF!</definedName>
    <definedName name="_10924">#REF!</definedName>
    <definedName name="_1093">#REF!</definedName>
    <definedName name="_10930">#REF!</definedName>
    <definedName name="_10933">#REF!</definedName>
    <definedName name="_10939">#REF!</definedName>
    <definedName name="_10942">#REF!</definedName>
    <definedName name="_10948">#REF!</definedName>
    <definedName name="_10951">#REF!</definedName>
    <definedName name="_10957">#REF!</definedName>
    <definedName name="_1096">#REF!</definedName>
    <definedName name="_10960">#REF!</definedName>
    <definedName name="_10966">#REF!</definedName>
    <definedName name="_10969">#REF!</definedName>
    <definedName name="_10975">#REF!</definedName>
    <definedName name="_10978">#REF!</definedName>
    <definedName name="_10984">#REF!</definedName>
    <definedName name="_10987">#REF!</definedName>
    <definedName name="_10993">#REF!</definedName>
    <definedName name="_10996">#REF!</definedName>
    <definedName name="_11002">#REF!</definedName>
    <definedName name="_11005">#REF!</definedName>
    <definedName name="_11011">#REF!</definedName>
    <definedName name="_11014">#REF!</definedName>
    <definedName name="_1102">#REF!</definedName>
    <definedName name="_11020">#REF!</definedName>
    <definedName name="_11023">#REF!</definedName>
    <definedName name="_11029">#REF!</definedName>
    <definedName name="_11032">#REF!</definedName>
    <definedName name="_11038">#REF!</definedName>
    <definedName name="_11041">#REF!</definedName>
    <definedName name="_11047">#REF!</definedName>
    <definedName name="_1105">#REF!</definedName>
    <definedName name="_11050">#REF!</definedName>
    <definedName name="_11056">#REF!</definedName>
    <definedName name="_11059">#REF!</definedName>
    <definedName name="_11065">#REF!</definedName>
    <definedName name="_11068">#REF!</definedName>
    <definedName name="_11074">#REF!</definedName>
    <definedName name="_11077">#REF!</definedName>
    <definedName name="_11083">#REF!</definedName>
    <definedName name="_11086">#REF!</definedName>
    <definedName name="_11092">#REF!</definedName>
    <definedName name="_11095">#REF!</definedName>
    <definedName name="_11101">#REF!</definedName>
    <definedName name="_11104">#REF!</definedName>
    <definedName name="_1111">#REF!</definedName>
    <definedName name="_11110">#REF!</definedName>
    <definedName name="_11113">#REF!</definedName>
    <definedName name="_11119">#REF!</definedName>
    <definedName name="_11122">#REF!</definedName>
    <definedName name="_11128">#REF!</definedName>
    <definedName name="_11131">#REF!</definedName>
    <definedName name="_11137">#REF!</definedName>
    <definedName name="_1114">#REF!</definedName>
    <definedName name="_11140">#REF!</definedName>
    <definedName name="_11146">#REF!</definedName>
    <definedName name="_11149">#REF!</definedName>
    <definedName name="_11155">#REF!</definedName>
    <definedName name="_11158">#REF!</definedName>
    <definedName name="_11164">#REF!</definedName>
    <definedName name="_11167">#REF!</definedName>
    <definedName name="_11173">#REF!</definedName>
    <definedName name="_11176">#REF!</definedName>
    <definedName name="_11182">#REF!</definedName>
    <definedName name="_11185">#REF!</definedName>
    <definedName name="_11191">#REF!</definedName>
    <definedName name="_11194">#REF!</definedName>
    <definedName name="_112">#REF!</definedName>
    <definedName name="_1120">#REF!</definedName>
    <definedName name="_11200">#REF!</definedName>
    <definedName name="_11203">#REF!</definedName>
    <definedName name="_11209">#REF!</definedName>
    <definedName name="_11212">#REF!</definedName>
    <definedName name="_11218">#REF!</definedName>
    <definedName name="_11221">#REF!</definedName>
    <definedName name="_11227">#REF!</definedName>
    <definedName name="_1123">#REF!</definedName>
    <definedName name="_11230">#REF!</definedName>
    <definedName name="_11236">#REF!</definedName>
    <definedName name="_11239">#REF!</definedName>
    <definedName name="_11245">#REF!</definedName>
    <definedName name="_11248">#REF!</definedName>
    <definedName name="_11254">#REF!</definedName>
    <definedName name="_11257">#REF!</definedName>
    <definedName name="_11263">#REF!</definedName>
    <definedName name="_11266">#REF!</definedName>
    <definedName name="_11272">#REF!</definedName>
    <definedName name="_11275">#REF!</definedName>
    <definedName name="_11281">#REF!</definedName>
    <definedName name="_11284">#REF!</definedName>
    <definedName name="_1129">#REF!</definedName>
    <definedName name="_11290">#REF!</definedName>
    <definedName name="_11293">#REF!</definedName>
    <definedName name="_11299">#REF!</definedName>
    <definedName name="_11302">#REF!</definedName>
    <definedName name="_11308">#REF!</definedName>
    <definedName name="_11311">#REF!</definedName>
    <definedName name="_11317">#REF!</definedName>
    <definedName name="_1132">#REF!</definedName>
    <definedName name="_11320">#REF!</definedName>
    <definedName name="_11326">#REF!</definedName>
    <definedName name="_11329">#REF!</definedName>
    <definedName name="_11335">#REF!</definedName>
    <definedName name="_11338">#REF!</definedName>
    <definedName name="_11344">#REF!</definedName>
    <definedName name="_11347">#REF!</definedName>
    <definedName name="_11353">#REF!</definedName>
    <definedName name="_11356">#REF!</definedName>
    <definedName name="_11362">#REF!</definedName>
    <definedName name="_11365">#REF!</definedName>
    <definedName name="_11371">#REF!</definedName>
    <definedName name="_11374">#REF!</definedName>
    <definedName name="_1138">#REF!</definedName>
    <definedName name="_11380">#REF!</definedName>
    <definedName name="_11383">#REF!</definedName>
    <definedName name="_11389">#REF!</definedName>
    <definedName name="_11392">#REF!</definedName>
    <definedName name="_11398">#REF!</definedName>
    <definedName name="_11399">#REF!</definedName>
    <definedName name="_11401">#REF!</definedName>
    <definedName name="_11407">#REF!</definedName>
    <definedName name="_1141">#REF!</definedName>
    <definedName name="_11410">#REF!</definedName>
    <definedName name="_11416">#REF!</definedName>
    <definedName name="_11419">#REF!</definedName>
    <definedName name="_11425">#REF!</definedName>
    <definedName name="_11428">#REF!</definedName>
    <definedName name="_11434">#REF!</definedName>
    <definedName name="_11437">#REF!</definedName>
    <definedName name="_11443">#REF!</definedName>
    <definedName name="_11446">#REF!</definedName>
    <definedName name="_11452">#REF!</definedName>
    <definedName name="_11455">#REF!</definedName>
    <definedName name="_11461">#REF!</definedName>
    <definedName name="_11464">#REF!</definedName>
    <definedName name="_1147">#REF!</definedName>
    <definedName name="_11470">#REF!</definedName>
    <definedName name="_11473">#REF!</definedName>
    <definedName name="_11479">#REF!</definedName>
    <definedName name="_11482">#REF!</definedName>
    <definedName name="_11488">#REF!</definedName>
    <definedName name="_11491">#REF!</definedName>
    <definedName name="_11497">#REF!</definedName>
    <definedName name="_115">#REF!</definedName>
    <definedName name="_1150">#REF!</definedName>
    <definedName name="_11500">#REF!</definedName>
    <definedName name="_11506">#REF!</definedName>
    <definedName name="_11509">#REF!</definedName>
    <definedName name="_11515">#REF!</definedName>
    <definedName name="_11518">#REF!</definedName>
    <definedName name="_11524">#REF!</definedName>
    <definedName name="_11527">#REF!</definedName>
    <definedName name="_11533">#REF!</definedName>
    <definedName name="_11536">#REF!</definedName>
    <definedName name="_11542">#REF!</definedName>
    <definedName name="_11545">#REF!</definedName>
    <definedName name="_11551">#REF!</definedName>
    <definedName name="_11554">#REF!</definedName>
    <definedName name="_1156">#REF!</definedName>
    <definedName name="_11560">#REF!</definedName>
    <definedName name="_11563">#REF!</definedName>
    <definedName name="_11569">#REF!</definedName>
    <definedName name="_11572">#REF!</definedName>
    <definedName name="_11578">#REF!</definedName>
    <definedName name="_11581">#REF!</definedName>
    <definedName name="_11587">#REF!</definedName>
    <definedName name="_1159">#REF!</definedName>
    <definedName name="_11590">#REF!</definedName>
    <definedName name="_11596">#REF!</definedName>
    <definedName name="_11599">#REF!</definedName>
    <definedName name="_11605">#REF!</definedName>
    <definedName name="_11608">#REF!</definedName>
    <definedName name="_11614">#REF!</definedName>
    <definedName name="_11617">#REF!</definedName>
    <definedName name="_11623">#REF!</definedName>
    <definedName name="_11626">#REF!</definedName>
    <definedName name="_11632">#REF!</definedName>
    <definedName name="_11635">#REF!</definedName>
    <definedName name="_11641">#REF!</definedName>
    <definedName name="_11644">#REF!</definedName>
    <definedName name="_1165">#REF!</definedName>
    <definedName name="_11650">#REF!</definedName>
    <definedName name="_11653">#REF!</definedName>
    <definedName name="_11659">#REF!</definedName>
    <definedName name="_11662">#REF!</definedName>
    <definedName name="_11668">#REF!</definedName>
    <definedName name="_11671">#REF!</definedName>
    <definedName name="_11677">#REF!</definedName>
    <definedName name="_1168">#REF!</definedName>
    <definedName name="_11680">#REF!</definedName>
    <definedName name="_11686">#REF!</definedName>
    <definedName name="_11689">#REF!</definedName>
    <definedName name="_11695">#REF!</definedName>
    <definedName name="_11698">#REF!</definedName>
    <definedName name="_11704">#REF!</definedName>
    <definedName name="_11707">#REF!</definedName>
    <definedName name="_11713">#REF!</definedName>
    <definedName name="_11716">#REF!</definedName>
    <definedName name="_11722">#REF!</definedName>
    <definedName name="_11725">#REF!</definedName>
    <definedName name="_11731">#REF!</definedName>
    <definedName name="_11734">#REF!</definedName>
    <definedName name="_1174">#REF!</definedName>
    <definedName name="_11740">#REF!</definedName>
    <definedName name="_11743">#REF!</definedName>
    <definedName name="_11749">#REF!</definedName>
    <definedName name="_11752">#REF!</definedName>
    <definedName name="_11758">#REF!</definedName>
    <definedName name="_11761">#REF!</definedName>
    <definedName name="_11767">#REF!</definedName>
    <definedName name="_1177">#REF!</definedName>
    <definedName name="_11770">#REF!</definedName>
    <definedName name="_11776">#REF!</definedName>
    <definedName name="_11779">#REF!</definedName>
    <definedName name="_11785">#REF!</definedName>
    <definedName name="_11788">#REF!</definedName>
    <definedName name="_11794">#REF!</definedName>
    <definedName name="_11797">#REF!</definedName>
    <definedName name="_11803">#REF!</definedName>
    <definedName name="_11806">#REF!</definedName>
    <definedName name="_11812">#REF!</definedName>
    <definedName name="_11815">#REF!</definedName>
    <definedName name="_11821">#REF!</definedName>
    <definedName name="_11824">#REF!</definedName>
    <definedName name="_1183">#REF!</definedName>
    <definedName name="_11830">#REF!</definedName>
    <definedName name="_11833">#REF!</definedName>
    <definedName name="_11839">#REF!</definedName>
    <definedName name="_11842">#REF!</definedName>
    <definedName name="_11848">#REF!</definedName>
    <definedName name="_11851">#REF!</definedName>
    <definedName name="_11857">#REF!</definedName>
    <definedName name="_1186">#REF!</definedName>
    <definedName name="_11860">#REF!</definedName>
    <definedName name="_11866">#REF!</definedName>
    <definedName name="_11869">#REF!</definedName>
    <definedName name="_11875">#REF!</definedName>
    <definedName name="_11878">#REF!</definedName>
    <definedName name="_11884">#REF!</definedName>
    <definedName name="_11887">#REF!</definedName>
    <definedName name="_11893">#REF!</definedName>
    <definedName name="_11896">#REF!</definedName>
    <definedName name="_11902">#REF!</definedName>
    <definedName name="_11905">#REF!</definedName>
    <definedName name="_11911">#REF!</definedName>
    <definedName name="_11914">#REF!</definedName>
    <definedName name="_1192">#REF!</definedName>
    <definedName name="_11920">#REF!</definedName>
    <definedName name="_11923">#REF!</definedName>
    <definedName name="_11929">#REF!</definedName>
    <definedName name="_11932">#REF!</definedName>
    <definedName name="_11938">#REF!</definedName>
    <definedName name="_11941">#REF!</definedName>
    <definedName name="_11947">#REF!</definedName>
    <definedName name="_1195">#REF!</definedName>
    <definedName name="_11950">#REF!</definedName>
    <definedName name="_11956">#REF!</definedName>
    <definedName name="_11959">#REF!</definedName>
    <definedName name="_11965">#REF!</definedName>
    <definedName name="_11968">#REF!</definedName>
    <definedName name="_11974">#REF!</definedName>
    <definedName name="_11977">#REF!</definedName>
    <definedName name="_11983">#REF!</definedName>
    <definedName name="_11986">#REF!</definedName>
    <definedName name="_11992">#REF!</definedName>
    <definedName name="_11995">#REF!</definedName>
    <definedName name="_12001">#REF!</definedName>
    <definedName name="_12004">#REF!</definedName>
    <definedName name="_1201">#REF!</definedName>
    <definedName name="_12010">#REF!</definedName>
    <definedName name="_12013">#REF!</definedName>
    <definedName name="_12019">#REF!</definedName>
    <definedName name="_12022">#REF!</definedName>
    <definedName name="_12028">#REF!</definedName>
    <definedName name="_12031">#REF!</definedName>
    <definedName name="_12037">#REF!</definedName>
    <definedName name="_1204">#REF!</definedName>
    <definedName name="_12040">#REF!</definedName>
    <definedName name="_12046">#REF!</definedName>
    <definedName name="_12049">#REF!</definedName>
    <definedName name="_12055">#REF!</definedName>
    <definedName name="_12058">#REF!</definedName>
    <definedName name="_12064">#REF!</definedName>
    <definedName name="_12067">#REF!</definedName>
    <definedName name="_12073">#REF!</definedName>
    <definedName name="_12076">#REF!</definedName>
    <definedName name="_12082">#REF!</definedName>
    <definedName name="_12085">#REF!</definedName>
    <definedName name="_12091">#REF!</definedName>
    <definedName name="_12094">#REF!</definedName>
    <definedName name="_121">#REF!</definedName>
    <definedName name="_1210">#REF!</definedName>
    <definedName name="_12100">#REF!</definedName>
    <definedName name="_12103">#REF!</definedName>
    <definedName name="_12109">#REF!</definedName>
    <definedName name="_12112">#REF!</definedName>
    <definedName name="_12118">#REF!</definedName>
    <definedName name="_12121">#REF!</definedName>
    <definedName name="_12127">#REF!</definedName>
    <definedName name="_1213">#REF!</definedName>
    <definedName name="_12130">#REF!</definedName>
    <definedName name="_12136">#REF!</definedName>
    <definedName name="_12139">#REF!</definedName>
    <definedName name="_12145">#REF!</definedName>
    <definedName name="_12148">#REF!</definedName>
    <definedName name="_12154">#REF!</definedName>
    <definedName name="_12157">#REF!</definedName>
    <definedName name="_12163">#REF!</definedName>
    <definedName name="_12166">#REF!</definedName>
    <definedName name="_12172">#REF!</definedName>
    <definedName name="_12175">#REF!</definedName>
    <definedName name="_12181">#REF!</definedName>
    <definedName name="_12184">#REF!</definedName>
    <definedName name="_1219">#REF!</definedName>
    <definedName name="_12190">#REF!</definedName>
    <definedName name="_12193">#REF!</definedName>
    <definedName name="_12199">#REF!</definedName>
    <definedName name="_12202">#REF!</definedName>
    <definedName name="_12208">#REF!</definedName>
    <definedName name="_12211">#REF!</definedName>
    <definedName name="_12217">#REF!</definedName>
    <definedName name="_1222">#REF!</definedName>
    <definedName name="_12220">#REF!</definedName>
    <definedName name="_12226">#REF!</definedName>
    <definedName name="_12229">#REF!</definedName>
    <definedName name="_12235">#REF!</definedName>
    <definedName name="_12238">#REF!</definedName>
    <definedName name="_12244">#REF!</definedName>
    <definedName name="_12247">#REF!</definedName>
    <definedName name="_12253">#REF!</definedName>
    <definedName name="_12256">#REF!</definedName>
    <definedName name="_12262">#REF!</definedName>
    <definedName name="_12265">#REF!</definedName>
    <definedName name="_12271">#REF!</definedName>
    <definedName name="_12274">#REF!</definedName>
    <definedName name="_1228">#REF!</definedName>
    <definedName name="_12280">#REF!</definedName>
    <definedName name="_12283">#REF!</definedName>
    <definedName name="_12289">#REF!</definedName>
    <definedName name="_12292">#REF!</definedName>
    <definedName name="_12298">#REF!</definedName>
    <definedName name="_12301">#REF!</definedName>
    <definedName name="_12307">#REF!</definedName>
    <definedName name="_1231">#REF!</definedName>
    <definedName name="_12310">#REF!</definedName>
    <definedName name="_12316">#REF!</definedName>
    <definedName name="_12319">#REF!</definedName>
    <definedName name="_12325">#REF!</definedName>
    <definedName name="_12328">#REF!</definedName>
    <definedName name="_12334">#REF!</definedName>
    <definedName name="_12337">#REF!</definedName>
    <definedName name="_12343">#REF!</definedName>
    <definedName name="_12346">#REF!</definedName>
    <definedName name="_12352">#REF!</definedName>
    <definedName name="_12355">#REF!</definedName>
    <definedName name="_12361">#REF!</definedName>
    <definedName name="_12364">#REF!</definedName>
    <definedName name="_1237">#REF!</definedName>
    <definedName name="_12370">#REF!</definedName>
    <definedName name="_12373">#REF!</definedName>
    <definedName name="_12379">#REF!</definedName>
    <definedName name="_12382">#REF!</definedName>
    <definedName name="_12388">#REF!</definedName>
    <definedName name="_12391">#REF!</definedName>
    <definedName name="_12397">#REF!</definedName>
    <definedName name="_124">#REF!</definedName>
    <definedName name="_1240">#REF!</definedName>
    <definedName name="_12400">#REF!</definedName>
    <definedName name="_12406">#REF!</definedName>
    <definedName name="_12409">#REF!</definedName>
    <definedName name="_12415">#REF!</definedName>
    <definedName name="_12418">#REF!</definedName>
    <definedName name="_12424">#REF!</definedName>
    <definedName name="_12427">#REF!</definedName>
    <definedName name="_12433">#REF!</definedName>
    <definedName name="_12436">#REF!</definedName>
    <definedName name="_12442">#REF!</definedName>
    <definedName name="_12445">#REF!</definedName>
    <definedName name="_12451">#REF!</definedName>
    <definedName name="_12454">#REF!</definedName>
    <definedName name="_1246">#REF!</definedName>
    <definedName name="_12460">#REF!</definedName>
    <definedName name="_12463">#REF!</definedName>
    <definedName name="_12469">#REF!</definedName>
    <definedName name="_12472">#REF!</definedName>
    <definedName name="_12478">#REF!</definedName>
    <definedName name="_12481">#REF!</definedName>
    <definedName name="_12487">#REF!</definedName>
    <definedName name="_1249">#REF!</definedName>
    <definedName name="_12490">#REF!</definedName>
    <definedName name="_12496">#REF!</definedName>
    <definedName name="_12499">#REF!</definedName>
    <definedName name="_12505">#REF!</definedName>
    <definedName name="_12508">#REF!</definedName>
    <definedName name="_12514">#REF!</definedName>
    <definedName name="_12517">#REF!</definedName>
    <definedName name="_12523">#REF!</definedName>
    <definedName name="_12526">#REF!</definedName>
    <definedName name="_12532">#REF!</definedName>
    <definedName name="_12535">#REF!</definedName>
    <definedName name="_12541">#REF!</definedName>
    <definedName name="_12544">#REF!</definedName>
    <definedName name="_1255">#REF!</definedName>
    <definedName name="_12550">#REF!</definedName>
    <definedName name="_12553">#REF!</definedName>
    <definedName name="_12559">#REF!</definedName>
    <definedName name="_12562">#REF!</definedName>
    <definedName name="_12568">#REF!</definedName>
    <definedName name="_12571">#REF!</definedName>
    <definedName name="_12577">#REF!</definedName>
    <definedName name="_1258">#REF!</definedName>
    <definedName name="_12580">#REF!</definedName>
    <definedName name="_12586">#REF!</definedName>
    <definedName name="_12589">#REF!</definedName>
    <definedName name="_12595">#REF!</definedName>
    <definedName name="_12598">#REF!</definedName>
    <definedName name="_12604">#REF!</definedName>
    <definedName name="_12607">#REF!</definedName>
    <definedName name="_12613">#REF!</definedName>
    <definedName name="_12616">#REF!</definedName>
    <definedName name="_12622">#REF!</definedName>
    <definedName name="_12625">#REF!</definedName>
    <definedName name="_12631">#REF!</definedName>
    <definedName name="_12634">#REF!</definedName>
    <definedName name="_1264">#REF!</definedName>
    <definedName name="_12640">#REF!</definedName>
    <definedName name="_12643">#REF!</definedName>
    <definedName name="_12649">#REF!</definedName>
    <definedName name="_12652">#REF!</definedName>
    <definedName name="_12658">#REF!</definedName>
    <definedName name="_12661">#REF!</definedName>
    <definedName name="_12667">#REF!</definedName>
    <definedName name="_1267">#REF!</definedName>
    <definedName name="_12670">#REF!</definedName>
    <definedName name="_12676">#REF!</definedName>
    <definedName name="_12679">#REF!</definedName>
    <definedName name="_12685">#REF!</definedName>
    <definedName name="_12688">#REF!</definedName>
    <definedName name="_12694">#REF!</definedName>
    <definedName name="_12697">#REF!</definedName>
    <definedName name="_12703">#REF!</definedName>
    <definedName name="_12706">#REF!</definedName>
    <definedName name="_12712">#REF!</definedName>
    <definedName name="_12715">#REF!</definedName>
    <definedName name="_12721">#REF!</definedName>
    <definedName name="_12724">#REF!</definedName>
    <definedName name="_1273">#REF!</definedName>
    <definedName name="_12730">#REF!</definedName>
    <definedName name="_12733">#REF!</definedName>
    <definedName name="_12739">#REF!</definedName>
    <definedName name="_12742">#REF!</definedName>
    <definedName name="_12748">#REF!</definedName>
    <definedName name="_12751">#REF!</definedName>
    <definedName name="_12757">#REF!</definedName>
    <definedName name="_1276">#REF!</definedName>
    <definedName name="_12760">#REF!</definedName>
    <definedName name="_12766">#REF!</definedName>
    <definedName name="_12769">#REF!</definedName>
    <definedName name="_12775">#REF!</definedName>
    <definedName name="_12778">#REF!</definedName>
    <definedName name="_12784">#REF!</definedName>
    <definedName name="_12787">#REF!</definedName>
    <definedName name="_12793">#REF!</definedName>
    <definedName name="_12796">#REF!</definedName>
    <definedName name="_12802">#REF!</definedName>
    <definedName name="_12805">#REF!</definedName>
    <definedName name="_12811">#REF!</definedName>
    <definedName name="_12814">#REF!</definedName>
    <definedName name="_1282">#REF!</definedName>
    <definedName name="_12820">#REF!</definedName>
    <definedName name="_12823">#REF!</definedName>
    <definedName name="_12829">#REF!</definedName>
    <definedName name="_12832">#REF!</definedName>
    <definedName name="_12838">#REF!</definedName>
    <definedName name="_12841">#REF!</definedName>
    <definedName name="_12847">#REF!</definedName>
    <definedName name="_1285">#REF!</definedName>
    <definedName name="_12850">#REF!</definedName>
    <definedName name="_12856">#REF!</definedName>
    <definedName name="_12859">#REF!</definedName>
    <definedName name="_12865">#REF!</definedName>
    <definedName name="_12868">#REF!</definedName>
    <definedName name="_12874">#REF!</definedName>
    <definedName name="_12877">#REF!</definedName>
    <definedName name="_12883">#REF!</definedName>
    <definedName name="_12886">#REF!</definedName>
    <definedName name="_12892">#REF!</definedName>
    <definedName name="_12895">#REF!</definedName>
    <definedName name="_12901">#REF!</definedName>
    <definedName name="_12904">#REF!</definedName>
    <definedName name="_1291">#REF!</definedName>
    <definedName name="_12910">#REF!</definedName>
    <definedName name="_12913">#REF!</definedName>
    <definedName name="_12919">#REF!</definedName>
    <definedName name="_12922">#REF!</definedName>
    <definedName name="_12928">#REF!</definedName>
    <definedName name="_12931">#REF!</definedName>
    <definedName name="_12937">#REF!</definedName>
    <definedName name="_1294">#REF!</definedName>
    <definedName name="_12940">#REF!</definedName>
    <definedName name="_12946">#REF!</definedName>
    <definedName name="_12949">#REF!</definedName>
    <definedName name="_12955">#REF!</definedName>
    <definedName name="_12958">#REF!</definedName>
    <definedName name="_12964">#REF!</definedName>
    <definedName name="_12967">#REF!</definedName>
    <definedName name="_12973">#REF!</definedName>
    <definedName name="_12976">#REF!</definedName>
    <definedName name="_12982">#REF!</definedName>
    <definedName name="_12985">#REF!</definedName>
    <definedName name="_12991">#REF!</definedName>
    <definedName name="_12994">#REF!</definedName>
    <definedName name="_130">#REF!</definedName>
    <definedName name="_1300">#REF!</definedName>
    <definedName name="_13000">#REF!</definedName>
    <definedName name="_13003">#REF!</definedName>
    <definedName name="_13009">#REF!</definedName>
    <definedName name="_13012">#REF!</definedName>
    <definedName name="_13018">#REF!</definedName>
    <definedName name="_13021">#REF!</definedName>
    <definedName name="_13027">#REF!</definedName>
    <definedName name="_1303">#REF!</definedName>
    <definedName name="_13030">#REF!</definedName>
    <definedName name="_13036">#REF!</definedName>
    <definedName name="_13039">#REF!</definedName>
    <definedName name="_13045">#REF!</definedName>
    <definedName name="_13048">#REF!</definedName>
    <definedName name="_13054">#REF!</definedName>
    <definedName name="_13057">#REF!</definedName>
    <definedName name="_13063">#REF!</definedName>
    <definedName name="_13066">#REF!</definedName>
    <definedName name="_13072">#REF!</definedName>
    <definedName name="_13075">#REF!</definedName>
    <definedName name="_13081">#REF!</definedName>
    <definedName name="_13084">#REF!</definedName>
    <definedName name="_1309">#REF!</definedName>
    <definedName name="_13090">#REF!</definedName>
    <definedName name="_13093">#REF!</definedName>
    <definedName name="_13099">#REF!</definedName>
    <definedName name="_13102">#REF!</definedName>
    <definedName name="_13108">#REF!</definedName>
    <definedName name="_13111">#REF!</definedName>
    <definedName name="_13117">#REF!</definedName>
    <definedName name="_1312">#REF!</definedName>
    <definedName name="_13120">#REF!</definedName>
    <definedName name="_13126">#REF!</definedName>
    <definedName name="_13129">#REF!</definedName>
    <definedName name="_13135">#REF!</definedName>
    <definedName name="_13138">#REF!</definedName>
    <definedName name="_13144">#REF!</definedName>
    <definedName name="_13147">#REF!</definedName>
    <definedName name="_13153">#REF!</definedName>
    <definedName name="_13156">#REF!</definedName>
    <definedName name="_13162">#REF!</definedName>
    <definedName name="_13165">#REF!</definedName>
    <definedName name="_13171">#REF!</definedName>
    <definedName name="_13174">#REF!</definedName>
    <definedName name="_1318">#REF!</definedName>
    <definedName name="_13180">#REF!</definedName>
    <definedName name="_13183">#REF!</definedName>
    <definedName name="_13189">#REF!</definedName>
    <definedName name="_13192">#REF!</definedName>
    <definedName name="_13198">#REF!</definedName>
    <definedName name="_13201">#REF!</definedName>
    <definedName name="_13207">#REF!</definedName>
    <definedName name="_1321">#REF!</definedName>
    <definedName name="_13210">#REF!</definedName>
    <definedName name="_13216">#REF!</definedName>
    <definedName name="_13219">#REF!</definedName>
    <definedName name="_13225">#REF!</definedName>
    <definedName name="_13228">#REF!</definedName>
    <definedName name="_13234">#REF!</definedName>
    <definedName name="_13237">#REF!</definedName>
    <definedName name="_13243">#REF!</definedName>
    <definedName name="_13246">#REF!</definedName>
    <definedName name="_13252">#REF!</definedName>
    <definedName name="_13255">#REF!</definedName>
    <definedName name="_13261">#REF!</definedName>
    <definedName name="_13264">#REF!</definedName>
    <definedName name="_1327">#REF!</definedName>
    <definedName name="_13270">#REF!</definedName>
    <definedName name="_13273">#REF!</definedName>
    <definedName name="_13279">#REF!</definedName>
    <definedName name="_13282">#REF!</definedName>
    <definedName name="_13288">#REF!</definedName>
    <definedName name="_13291">#REF!</definedName>
    <definedName name="_13297">#REF!</definedName>
    <definedName name="_133">#REF!</definedName>
    <definedName name="_1330">#REF!</definedName>
    <definedName name="_13300">#REF!</definedName>
    <definedName name="_13306">#REF!</definedName>
    <definedName name="_13309">#REF!</definedName>
    <definedName name="_13315">#REF!</definedName>
    <definedName name="_13318">#REF!</definedName>
    <definedName name="_13324">#REF!</definedName>
    <definedName name="_13327">#REF!</definedName>
    <definedName name="_13333">#REF!</definedName>
    <definedName name="_13336">#REF!</definedName>
    <definedName name="_13342">#REF!</definedName>
    <definedName name="_13345">#REF!</definedName>
    <definedName name="_13351">#REF!</definedName>
    <definedName name="_13354">#REF!</definedName>
    <definedName name="_1336">#REF!</definedName>
    <definedName name="_13360">#REF!</definedName>
    <definedName name="_13363">#REF!</definedName>
    <definedName name="_13369">#REF!</definedName>
    <definedName name="_13372">#REF!</definedName>
    <definedName name="_13378">#REF!</definedName>
    <definedName name="_13381">#REF!</definedName>
    <definedName name="_13387">#REF!</definedName>
    <definedName name="_1339">#REF!</definedName>
    <definedName name="_13390">#REF!</definedName>
    <definedName name="_13396">#REF!</definedName>
    <definedName name="_13399">#REF!</definedName>
    <definedName name="_13405">#REF!</definedName>
    <definedName name="_13408">#REF!</definedName>
    <definedName name="_13414">#REF!</definedName>
    <definedName name="_13417">#REF!</definedName>
    <definedName name="_13423">#REF!</definedName>
    <definedName name="_13426">#REF!</definedName>
    <definedName name="_13432">#REF!</definedName>
    <definedName name="_13435">#REF!</definedName>
    <definedName name="_13441">#REF!</definedName>
    <definedName name="_13444">#REF!</definedName>
    <definedName name="_1345">#REF!</definedName>
    <definedName name="_13450">#REF!</definedName>
    <definedName name="_13453">#REF!</definedName>
    <definedName name="_13459">#REF!</definedName>
    <definedName name="_13462">#REF!</definedName>
    <definedName name="_13468">#REF!</definedName>
    <definedName name="_13471">#REF!</definedName>
    <definedName name="_13477">#REF!</definedName>
    <definedName name="_1348">#REF!</definedName>
    <definedName name="_13480">#REF!</definedName>
    <definedName name="_13486">#REF!</definedName>
    <definedName name="_13489">#REF!</definedName>
    <definedName name="_13495">#REF!</definedName>
    <definedName name="_13498">#REF!</definedName>
    <definedName name="_13504">#REF!</definedName>
    <definedName name="_13507">#REF!</definedName>
    <definedName name="_13513">#REF!</definedName>
    <definedName name="_13516">#REF!</definedName>
    <definedName name="_13522">#REF!</definedName>
    <definedName name="_13525">#REF!</definedName>
    <definedName name="_13531">#REF!</definedName>
    <definedName name="_13534">#REF!</definedName>
    <definedName name="_1354">#REF!</definedName>
    <definedName name="_13540">#REF!</definedName>
    <definedName name="_13543">#REF!</definedName>
    <definedName name="_13549">#REF!</definedName>
    <definedName name="_13552">#REF!</definedName>
    <definedName name="_13558">#REF!</definedName>
    <definedName name="_13561">#REF!</definedName>
    <definedName name="_13567">#REF!</definedName>
    <definedName name="_1357">#REF!</definedName>
    <definedName name="_13570">#REF!</definedName>
    <definedName name="_13576">#REF!</definedName>
    <definedName name="_13579">#REF!</definedName>
    <definedName name="_13585">#REF!</definedName>
    <definedName name="_13588">#REF!</definedName>
    <definedName name="_13594">#REF!</definedName>
    <definedName name="_13597">#REF!</definedName>
    <definedName name="_13603">#REF!</definedName>
    <definedName name="_13606">#REF!</definedName>
    <definedName name="_13612">#REF!</definedName>
    <definedName name="_13615">#REF!</definedName>
    <definedName name="_13621">#REF!</definedName>
    <definedName name="_13624">#REF!</definedName>
    <definedName name="_1363">#REF!</definedName>
    <definedName name="_13630">#REF!</definedName>
    <definedName name="_13633">#REF!</definedName>
    <definedName name="_13639">#REF!</definedName>
    <definedName name="_13642">#REF!</definedName>
    <definedName name="_13648">#REF!</definedName>
    <definedName name="_13651">#REF!</definedName>
    <definedName name="_13657">#REF!</definedName>
    <definedName name="_1366">#REF!</definedName>
    <definedName name="_13660">#REF!</definedName>
    <definedName name="_13666">#REF!</definedName>
    <definedName name="_13669">#REF!</definedName>
    <definedName name="_13675">#REF!</definedName>
    <definedName name="_13678">#REF!</definedName>
    <definedName name="_13684">#REF!</definedName>
    <definedName name="_13687">#REF!</definedName>
    <definedName name="_13693">#REF!</definedName>
    <definedName name="_13696">#REF!</definedName>
    <definedName name="_13702">#REF!</definedName>
    <definedName name="_13705">#REF!</definedName>
    <definedName name="_13711">#REF!</definedName>
    <definedName name="_13714">#REF!</definedName>
    <definedName name="_1372">#REF!</definedName>
    <definedName name="_13720">#REF!</definedName>
    <definedName name="_13723">#REF!</definedName>
    <definedName name="_13729">#REF!</definedName>
    <definedName name="_13732">#REF!</definedName>
    <definedName name="_13738">#REF!</definedName>
    <definedName name="_13741">#REF!</definedName>
    <definedName name="_13747">#REF!</definedName>
    <definedName name="_1375">#REF!</definedName>
    <definedName name="_13750">#REF!</definedName>
    <definedName name="_13756">#REF!</definedName>
    <definedName name="_13759">#REF!</definedName>
    <definedName name="_13765">#REF!</definedName>
    <definedName name="_13768">#REF!</definedName>
    <definedName name="_13774">#REF!</definedName>
    <definedName name="_13777">#REF!</definedName>
    <definedName name="_13783">#REF!</definedName>
    <definedName name="_13786">#REF!</definedName>
    <definedName name="_13792">#REF!</definedName>
    <definedName name="_13795">#REF!</definedName>
    <definedName name="_13801">#REF!</definedName>
    <definedName name="_13804">#REF!</definedName>
    <definedName name="_1381">#REF!</definedName>
    <definedName name="_13810">#REF!</definedName>
    <definedName name="_13813">#REF!</definedName>
    <definedName name="_13819">#REF!</definedName>
    <definedName name="_13822">#REF!</definedName>
    <definedName name="_13828">#REF!</definedName>
    <definedName name="_13831">#REF!</definedName>
    <definedName name="_13837">#REF!</definedName>
    <definedName name="_1384">#REF!</definedName>
    <definedName name="_13840">#REF!</definedName>
    <definedName name="_13846">#REF!</definedName>
    <definedName name="_13849">#REF!</definedName>
    <definedName name="_13855">#REF!</definedName>
    <definedName name="_13858">#REF!</definedName>
    <definedName name="_13864">#REF!</definedName>
    <definedName name="_13867">#REF!</definedName>
    <definedName name="_13873">#REF!</definedName>
    <definedName name="_13876">#REF!</definedName>
    <definedName name="_13882">#REF!</definedName>
    <definedName name="_13885">#REF!</definedName>
    <definedName name="_13891">#REF!</definedName>
    <definedName name="_13894">#REF!</definedName>
    <definedName name="_139">#REF!</definedName>
    <definedName name="_1390">#REF!</definedName>
    <definedName name="_13900">#REF!</definedName>
    <definedName name="_13903">#REF!</definedName>
    <definedName name="_13909">#REF!</definedName>
    <definedName name="_13912">#REF!</definedName>
    <definedName name="_13918">#REF!</definedName>
    <definedName name="_13921">#REF!</definedName>
    <definedName name="_13927">#REF!</definedName>
    <definedName name="_1393">#REF!</definedName>
    <definedName name="_13930">#REF!</definedName>
    <definedName name="_13936">#REF!</definedName>
    <definedName name="_13939">#REF!</definedName>
    <definedName name="_13945">#REF!</definedName>
    <definedName name="_13948">#REF!</definedName>
    <definedName name="_13954">#REF!</definedName>
    <definedName name="_13957">#REF!</definedName>
    <definedName name="_13963">#REF!</definedName>
    <definedName name="_13966">#REF!</definedName>
    <definedName name="_13972">#REF!</definedName>
    <definedName name="_13975">#REF!</definedName>
    <definedName name="_13981">#REF!</definedName>
    <definedName name="_13984">#REF!</definedName>
    <definedName name="_1399">#REF!</definedName>
    <definedName name="_13990">#REF!</definedName>
    <definedName name="_13993">#REF!</definedName>
    <definedName name="_13999">#REF!</definedName>
    <definedName name="_14002">#REF!</definedName>
    <definedName name="_14008">#REF!</definedName>
    <definedName name="_14011">#REF!</definedName>
    <definedName name="_14017">#REF!</definedName>
    <definedName name="_1402">#REF!</definedName>
    <definedName name="_14020">#REF!</definedName>
    <definedName name="_14026">#REF!</definedName>
    <definedName name="_14029">#REF!</definedName>
    <definedName name="_14035">#REF!</definedName>
    <definedName name="_14038">#REF!</definedName>
    <definedName name="_14044">#REF!</definedName>
    <definedName name="_14047">#REF!</definedName>
    <definedName name="_14053">#REF!</definedName>
    <definedName name="_14056">#REF!</definedName>
    <definedName name="_14062">#REF!</definedName>
    <definedName name="_14065">#REF!</definedName>
    <definedName name="_14071">#REF!</definedName>
    <definedName name="_14074">#REF!</definedName>
    <definedName name="_1408">#REF!</definedName>
    <definedName name="_14080">#REF!</definedName>
    <definedName name="_14083">#REF!</definedName>
    <definedName name="_14089">#REF!</definedName>
    <definedName name="_14092">#REF!</definedName>
    <definedName name="_14098">#REF!</definedName>
    <definedName name="_14101">#REF!</definedName>
    <definedName name="_14107">#REF!</definedName>
    <definedName name="_1411">#REF!</definedName>
    <definedName name="_14110">#REF!</definedName>
    <definedName name="_14116">#REF!</definedName>
    <definedName name="_14119">#REF!</definedName>
    <definedName name="_14125">#REF!</definedName>
    <definedName name="_14128">#REF!</definedName>
    <definedName name="_14134">#REF!</definedName>
    <definedName name="_14137">#REF!</definedName>
    <definedName name="_14143">#REF!</definedName>
    <definedName name="_14146">#REF!</definedName>
    <definedName name="_14152">#REF!</definedName>
    <definedName name="_14155">#REF!</definedName>
    <definedName name="_14161">#REF!</definedName>
    <definedName name="_14164">#REF!</definedName>
    <definedName name="_1417">#REF!</definedName>
    <definedName name="_14170">#REF!</definedName>
    <definedName name="_14173">#REF!</definedName>
    <definedName name="_14179">#REF!</definedName>
    <definedName name="_14182">#REF!</definedName>
    <definedName name="_14188">#REF!</definedName>
    <definedName name="_14191">#REF!</definedName>
    <definedName name="_14197">#REF!</definedName>
    <definedName name="_142">#REF!</definedName>
    <definedName name="_1420">#REF!</definedName>
    <definedName name="_14200">#REF!</definedName>
    <definedName name="_14206">#REF!</definedName>
    <definedName name="_14209">#REF!</definedName>
    <definedName name="_14215">#REF!</definedName>
    <definedName name="_14218">#REF!</definedName>
    <definedName name="_14224">#REF!</definedName>
    <definedName name="_14227">#REF!</definedName>
    <definedName name="_14233">#REF!</definedName>
    <definedName name="_14236">#REF!</definedName>
    <definedName name="_14242">#REF!</definedName>
    <definedName name="_14245">#REF!</definedName>
    <definedName name="_14251">#REF!</definedName>
    <definedName name="_14254">#REF!</definedName>
    <definedName name="_1426">#REF!</definedName>
    <definedName name="_14260">#REF!</definedName>
    <definedName name="_14263">#REF!</definedName>
    <definedName name="_14269">#REF!</definedName>
    <definedName name="_14272">#REF!</definedName>
    <definedName name="_14278">#REF!</definedName>
    <definedName name="_14281">#REF!</definedName>
    <definedName name="_14287">#REF!</definedName>
    <definedName name="_1429">#REF!</definedName>
    <definedName name="_14290">#REF!</definedName>
    <definedName name="_14296">#REF!</definedName>
    <definedName name="_14299">#REF!</definedName>
    <definedName name="_14305">#REF!</definedName>
    <definedName name="_14308">#REF!</definedName>
    <definedName name="_14314">#REF!</definedName>
    <definedName name="_14317">#REF!</definedName>
    <definedName name="_14323">#REF!</definedName>
    <definedName name="_14326">#REF!</definedName>
    <definedName name="_14332">#REF!</definedName>
    <definedName name="_14335">#REF!</definedName>
    <definedName name="_14341">#REF!</definedName>
    <definedName name="_14344">#REF!</definedName>
    <definedName name="_1435">#REF!</definedName>
    <definedName name="_14350">#REF!</definedName>
    <definedName name="_14353">#REF!</definedName>
    <definedName name="_14359">#REF!</definedName>
    <definedName name="_14362">#REF!</definedName>
    <definedName name="_14368">#REF!</definedName>
    <definedName name="_14371">#REF!</definedName>
    <definedName name="_14377">#REF!</definedName>
    <definedName name="_1438">#REF!</definedName>
    <definedName name="_14380">#REF!</definedName>
    <definedName name="_14386">#REF!</definedName>
    <definedName name="_14389">#REF!</definedName>
    <definedName name="_14395">#REF!</definedName>
    <definedName name="_14398">#REF!</definedName>
    <definedName name="_14404">#REF!</definedName>
    <definedName name="_14407">#REF!</definedName>
    <definedName name="_14413">#REF!</definedName>
    <definedName name="_14416">#REF!</definedName>
    <definedName name="_14422">#REF!</definedName>
    <definedName name="_14425">#REF!</definedName>
    <definedName name="_14431">#REF!</definedName>
    <definedName name="_14434">#REF!</definedName>
    <definedName name="_1444">#REF!</definedName>
    <definedName name="_14440">#REF!</definedName>
    <definedName name="_14443">#REF!</definedName>
    <definedName name="_14449">#REF!</definedName>
    <definedName name="_14452">#REF!</definedName>
    <definedName name="_14458">#REF!</definedName>
    <definedName name="_14461">#REF!</definedName>
    <definedName name="_14467">#REF!</definedName>
    <definedName name="_1447">#REF!</definedName>
    <definedName name="_14470">#REF!</definedName>
    <definedName name="_14476">#REF!</definedName>
    <definedName name="_14479">#REF!</definedName>
    <definedName name="_14485">#REF!</definedName>
    <definedName name="_14488">#REF!</definedName>
    <definedName name="_14494">#REF!</definedName>
    <definedName name="_14497">#REF!</definedName>
    <definedName name="_14503">#REF!</definedName>
    <definedName name="_14506">#REF!</definedName>
    <definedName name="_14512">#REF!</definedName>
    <definedName name="_14515">#REF!</definedName>
    <definedName name="_14521">#REF!</definedName>
    <definedName name="_14524">#REF!</definedName>
    <definedName name="_1453">#REF!</definedName>
    <definedName name="_14530">#REF!</definedName>
    <definedName name="_14533">#REF!</definedName>
    <definedName name="_14539">#REF!</definedName>
    <definedName name="_14542">#REF!</definedName>
    <definedName name="_14548">#REF!</definedName>
    <definedName name="_14551">#REF!</definedName>
    <definedName name="_14557">#REF!</definedName>
    <definedName name="_1456">#REF!</definedName>
    <definedName name="_14560">#REF!</definedName>
    <definedName name="_14566">#REF!</definedName>
    <definedName name="_14569">#REF!</definedName>
    <definedName name="_14575">#REF!</definedName>
    <definedName name="_14578">#REF!</definedName>
    <definedName name="_14584">#REF!</definedName>
    <definedName name="_14587">#REF!</definedName>
    <definedName name="_14593">#REF!</definedName>
    <definedName name="_14596">#REF!</definedName>
    <definedName name="_14602">#REF!</definedName>
    <definedName name="_14605">#REF!</definedName>
    <definedName name="_14611">#REF!</definedName>
    <definedName name="_14614">#REF!</definedName>
    <definedName name="_1462">#REF!</definedName>
    <definedName name="_14620">#REF!</definedName>
    <definedName name="_14623">#REF!</definedName>
    <definedName name="_14629">#REF!</definedName>
    <definedName name="_14632">#REF!</definedName>
    <definedName name="_14638">#REF!</definedName>
    <definedName name="_14641">#REF!</definedName>
    <definedName name="_14647">#REF!</definedName>
    <definedName name="_1465">#REF!</definedName>
    <definedName name="_14650">#REF!</definedName>
    <definedName name="_14656">#REF!</definedName>
    <definedName name="_14659">#REF!</definedName>
    <definedName name="_14665">#REF!</definedName>
    <definedName name="_14668">#REF!</definedName>
    <definedName name="_14674">#REF!</definedName>
    <definedName name="_14677">#REF!</definedName>
    <definedName name="_14683">#REF!</definedName>
    <definedName name="_14686">#REF!</definedName>
    <definedName name="_14692">#REF!</definedName>
    <definedName name="_14695">#REF!</definedName>
    <definedName name="_14701">#REF!</definedName>
    <definedName name="_14704">#REF!</definedName>
    <definedName name="_1471">#REF!</definedName>
    <definedName name="_14710">#REF!</definedName>
    <definedName name="_14713">#REF!</definedName>
    <definedName name="_14719">#REF!</definedName>
    <definedName name="_14722">#REF!</definedName>
    <definedName name="_14728">#REF!</definedName>
    <definedName name="_14731">#REF!</definedName>
    <definedName name="_14737">#REF!</definedName>
    <definedName name="_1474">#REF!</definedName>
    <definedName name="_14740">#REF!</definedName>
    <definedName name="_14746">#REF!</definedName>
    <definedName name="_14749">#REF!</definedName>
    <definedName name="_14755">#REF!</definedName>
    <definedName name="_14758">#REF!</definedName>
    <definedName name="_14764">#REF!</definedName>
    <definedName name="_14767">#REF!</definedName>
    <definedName name="_14773">#REF!</definedName>
    <definedName name="_14776">#REF!</definedName>
    <definedName name="_14782">#REF!</definedName>
    <definedName name="_14785">#REF!</definedName>
    <definedName name="_14791">#REF!</definedName>
    <definedName name="_14794">#REF!</definedName>
    <definedName name="_148">#REF!</definedName>
    <definedName name="_1480">#REF!</definedName>
    <definedName name="_14800">#REF!</definedName>
    <definedName name="_14803">#REF!</definedName>
    <definedName name="_14809">#REF!</definedName>
    <definedName name="_14812">#REF!</definedName>
    <definedName name="_14818">#REF!</definedName>
    <definedName name="_14821">#REF!</definedName>
    <definedName name="_14827">#REF!</definedName>
    <definedName name="_1483">#REF!</definedName>
    <definedName name="_14830">#REF!</definedName>
    <definedName name="_14836">#REF!</definedName>
    <definedName name="_14839">#REF!</definedName>
    <definedName name="_14845">#REF!</definedName>
    <definedName name="_14848">#REF!</definedName>
    <definedName name="_14854">#REF!</definedName>
    <definedName name="_14857">#REF!</definedName>
    <definedName name="_14863">#REF!</definedName>
    <definedName name="_14866">#REF!</definedName>
    <definedName name="_14872">#REF!</definedName>
    <definedName name="_14875">#REF!</definedName>
    <definedName name="_14881">#REF!</definedName>
    <definedName name="_14884">#REF!</definedName>
    <definedName name="_1489">#REF!</definedName>
    <definedName name="_14890">#REF!</definedName>
    <definedName name="_14893">#REF!</definedName>
    <definedName name="_14899">#REF!</definedName>
    <definedName name="_14902">#REF!</definedName>
    <definedName name="_14908">#REF!</definedName>
    <definedName name="_14911">#REF!</definedName>
    <definedName name="_14917">#REF!</definedName>
    <definedName name="_1492">#REF!</definedName>
    <definedName name="_14920">#REF!</definedName>
    <definedName name="_14926">#REF!</definedName>
    <definedName name="_14929">#REF!</definedName>
    <definedName name="_14935">#REF!</definedName>
    <definedName name="_14938">#REF!</definedName>
    <definedName name="_14944">#REF!</definedName>
    <definedName name="_14947">#REF!</definedName>
    <definedName name="_14953">#REF!</definedName>
    <definedName name="_14956">#REF!</definedName>
    <definedName name="_14962">#REF!</definedName>
    <definedName name="_14965">#REF!</definedName>
    <definedName name="_14971">#REF!</definedName>
    <definedName name="_14974">#REF!</definedName>
    <definedName name="_1498">#REF!</definedName>
    <definedName name="_14980">#REF!</definedName>
    <definedName name="_14983">#REF!</definedName>
    <definedName name="_14989">#REF!</definedName>
    <definedName name="_14992">#REF!</definedName>
    <definedName name="_14998">#REF!</definedName>
    <definedName name="_15001">#REF!</definedName>
    <definedName name="_15007">#REF!</definedName>
    <definedName name="_1501">#REF!</definedName>
    <definedName name="_15010">#REF!</definedName>
    <definedName name="_15016">#REF!</definedName>
    <definedName name="_15019">#REF!</definedName>
    <definedName name="_15025">#REF!</definedName>
    <definedName name="_15028">#REF!</definedName>
    <definedName name="_15034">#REF!</definedName>
    <definedName name="_15037">#REF!</definedName>
    <definedName name="_15043">#REF!</definedName>
    <definedName name="_15046">#REF!</definedName>
    <definedName name="_15052">#REF!</definedName>
    <definedName name="_15055">#REF!</definedName>
    <definedName name="_15061">#REF!</definedName>
    <definedName name="_15064">#REF!</definedName>
    <definedName name="_1507">#REF!</definedName>
    <definedName name="_15070">#REF!</definedName>
    <definedName name="_15073">#REF!</definedName>
    <definedName name="_15079">#REF!</definedName>
    <definedName name="_15082">#REF!</definedName>
    <definedName name="_15088">#REF!</definedName>
    <definedName name="_15091">#REF!</definedName>
    <definedName name="_15097">#REF!</definedName>
    <definedName name="_151">#REF!</definedName>
    <definedName name="_1510">#REF!</definedName>
    <definedName name="_15100">#REF!</definedName>
    <definedName name="_15106">#REF!</definedName>
    <definedName name="_15109">#REF!</definedName>
    <definedName name="_15115">#REF!</definedName>
    <definedName name="_15118">#REF!</definedName>
    <definedName name="_15124">#REF!</definedName>
    <definedName name="_15127">#REF!</definedName>
    <definedName name="_15133">#REF!</definedName>
    <definedName name="_15136">#REF!</definedName>
    <definedName name="_15142">#REF!</definedName>
    <definedName name="_15145">#REF!</definedName>
    <definedName name="_15151">#REF!</definedName>
    <definedName name="_15154">#REF!</definedName>
    <definedName name="_1516">#REF!</definedName>
    <definedName name="_15160">#REF!</definedName>
    <definedName name="_15163">#REF!</definedName>
    <definedName name="_15169">#REF!</definedName>
    <definedName name="_15172">#REF!</definedName>
    <definedName name="_15178">#REF!</definedName>
    <definedName name="_15181">#REF!</definedName>
    <definedName name="_15187">#REF!</definedName>
    <definedName name="_1519">#REF!</definedName>
    <definedName name="_15190">#REF!</definedName>
    <definedName name="_15196">#REF!</definedName>
    <definedName name="_15199">#REF!</definedName>
    <definedName name="_15205">#REF!</definedName>
    <definedName name="_15208">#REF!</definedName>
    <definedName name="_15214">#REF!</definedName>
    <definedName name="_15217">#REF!</definedName>
    <definedName name="_15223">#REF!</definedName>
    <definedName name="_15226">#REF!</definedName>
    <definedName name="_15232">#REF!</definedName>
    <definedName name="_15235">#REF!</definedName>
    <definedName name="_15241">#REF!</definedName>
    <definedName name="_152415">#REF!</definedName>
    <definedName name="_15244">#REF!</definedName>
    <definedName name="_1525">#REF!</definedName>
    <definedName name="_15250">#REF!</definedName>
    <definedName name="_15253">#REF!</definedName>
    <definedName name="_15259">#REF!</definedName>
    <definedName name="_15262">#REF!</definedName>
    <definedName name="_15268">#REF!</definedName>
    <definedName name="_15271">#REF!</definedName>
    <definedName name="_15277">#REF!</definedName>
    <definedName name="_1528">#REF!</definedName>
    <definedName name="_15280">#REF!</definedName>
    <definedName name="_15286">#REF!</definedName>
    <definedName name="_15289">#REF!</definedName>
    <definedName name="_15295">#REF!</definedName>
    <definedName name="_15298">#REF!</definedName>
    <definedName name="_15304">#REF!</definedName>
    <definedName name="_15307">#REF!</definedName>
    <definedName name="_15313">#REF!</definedName>
    <definedName name="_15316">#REF!</definedName>
    <definedName name="_15322">#REF!</definedName>
    <definedName name="_15325">#REF!</definedName>
    <definedName name="_15331">#REF!</definedName>
    <definedName name="_15334">#REF!</definedName>
    <definedName name="_1534">#REF!</definedName>
    <definedName name="_15340">#REF!</definedName>
    <definedName name="_15343">#REF!</definedName>
    <definedName name="_15349">#REF!</definedName>
    <definedName name="_15352">#REF!</definedName>
    <definedName name="_15358">#REF!</definedName>
    <definedName name="_15361">#REF!</definedName>
    <definedName name="_15367">#REF!</definedName>
    <definedName name="_1537">#REF!</definedName>
    <definedName name="_15370">#REF!</definedName>
    <definedName name="_15376">#REF!</definedName>
    <definedName name="_15379">#REF!</definedName>
    <definedName name="_15385">#REF!</definedName>
    <definedName name="_15388">#REF!</definedName>
    <definedName name="_15394">#REF!</definedName>
    <definedName name="_15397">#REF!</definedName>
    <definedName name="_15403">#REF!</definedName>
    <definedName name="_15406">#REF!</definedName>
    <definedName name="_15412">#REF!</definedName>
    <definedName name="_15415">#REF!</definedName>
    <definedName name="_15421">#REF!</definedName>
    <definedName name="_15424">#REF!</definedName>
    <definedName name="_1543">#REF!</definedName>
    <definedName name="_15430">#REF!</definedName>
    <definedName name="_15433">#REF!</definedName>
    <definedName name="_15439">#REF!</definedName>
    <definedName name="_15442">#REF!</definedName>
    <definedName name="_1546">#REF!</definedName>
    <definedName name="_1552">#REF!</definedName>
    <definedName name="_1555">#REF!</definedName>
    <definedName name="_1561">#REF!</definedName>
    <definedName name="_1564">#REF!</definedName>
    <definedName name="_157">#REF!</definedName>
    <definedName name="_1570">#REF!</definedName>
    <definedName name="_1573">#REF!</definedName>
    <definedName name="_1579">#REF!</definedName>
    <definedName name="_1582">#REF!</definedName>
    <definedName name="_1588">#REF!</definedName>
    <definedName name="_1591">#REF!</definedName>
    <definedName name="_1597">#REF!</definedName>
    <definedName name="_160">#REF!</definedName>
    <definedName name="_1600">#REF!</definedName>
    <definedName name="_1606">#REF!</definedName>
    <definedName name="_1609">#REF!</definedName>
    <definedName name="_1615">#REF!</definedName>
    <definedName name="_1618">#REF!</definedName>
    <definedName name="_1624">#REF!</definedName>
    <definedName name="_1627">#REF!</definedName>
    <definedName name="_1633">#REF!</definedName>
    <definedName name="_1636">#REF!</definedName>
    <definedName name="_1642">#REF!</definedName>
    <definedName name="_1645">#REF!</definedName>
    <definedName name="_1651">#REF!</definedName>
    <definedName name="_1654">#REF!</definedName>
    <definedName name="_166">#REF!</definedName>
    <definedName name="_1660">#REF!</definedName>
    <definedName name="_1663">#REF!</definedName>
    <definedName name="_1669">#REF!</definedName>
    <definedName name="_1672">#REF!</definedName>
    <definedName name="_1678">#REF!</definedName>
    <definedName name="_1681">#REF!</definedName>
    <definedName name="_1687">#REF!</definedName>
    <definedName name="_169">#REF!</definedName>
    <definedName name="_1690">#REF!</definedName>
    <definedName name="_1696">#REF!</definedName>
    <definedName name="_1699">#REF!</definedName>
    <definedName name="_1705">#REF!</definedName>
    <definedName name="_1708">#REF!</definedName>
    <definedName name="_1714">#REF!</definedName>
    <definedName name="_1717">#REF!</definedName>
    <definedName name="_1723">#REF!</definedName>
    <definedName name="_1726">#REF!</definedName>
    <definedName name="_1732">#REF!</definedName>
    <definedName name="_1735">#REF!</definedName>
    <definedName name="_1741">#REF!</definedName>
    <definedName name="_1744">#REF!</definedName>
    <definedName name="_175">#REF!</definedName>
    <definedName name="_1750">#REF!</definedName>
    <definedName name="_1753">#REF!</definedName>
    <definedName name="_1759">#REF!</definedName>
    <definedName name="_1762">#REF!</definedName>
    <definedName name="_1768">#REF!</definedName>
    <definedName name="_1771">#REF!</definedName>
    <definedName name="_1777">#REF!</definedName>
    <definedName name="_178">#REF!</definedName>
    <definedName name="_1780">#REF!</definedName>
    <definedName name="_1786">#REF!</definedName>
    <definedName name="_1789">#REF!</definedName>
    <definedName name="_1795">#REF!</definedName>
    <definedName name="_1798">#REF!</definedName>
    <definedName name="_1804">#REF!</definedName>
    <definedName name="_1807">#REF!</definedName>
    <definedName name="_1813">#REF!</definedName>
    <definedName name="_1816">#REF!</definedName>
    <definedName name="_1822">#REF!</definedName>
    <definedName name="_1825">#REF!</definedName>
    <definedName name="_1831">#REF!</definedName>
    <definedName name="_1834">#REF!</definedName>
    <definedName name="_184">#REF!</definedName>
    <definedName name="_1840">#REF!</definedName>
    <definedName name="_1843">#REF!</definedName>
    <definedName name="_1849">#REF!</definedName>
    <definedName name="_1852">#REF!</definedName>
    <definedName name="_1858">#REF!</definedName>
    <definedName name="_1861">#REF!</definedName>
    <definedName name="_1867">#REF!</definedName>
    <definedName name="_187">#REF!</definedName>
    <definedName name="_1870">#REF!</definedName>
    <definedName name="_1876">#REF!</definedName>
    <definedName name="_1879">#REF!</definedName>
    <definedName name="_1885">#REF!</definedName>
    <definedName name="_1888">#REF!</definedName>
    <definedName name="_1894">#REF!</definedName>
    <definedName name="_1897">#REF!</definedName>
    <definedName name="_1903">#REF!</definedName>
    <definedName name="_1906">#REF!</definedName>
    <definedName name="_1912">#REF!</definedName>
    <definedName name="_1915">#REF!</definedName>
    <definedName name="_1921">#REF!</definedName>
    <definedName name="_1924">#REF!</definedName>
    <definedName name="_193">#REF!</definedName>
    <definedName name="_1930">#REF!</definedName>
    <definedName name="_1933">#REF!</definedName>
    <definedName name="_1939">#REF!</definedName>
    <definedName name="_1942">#REF!</definedName>
    <definedName name="_1948">#REF!</definedName>
    <definedName name="_1951">#REF!</definedName>
    <definedName name="_1957">#REF!</definedName>
    <definedName name="_196">#REF!</definedName>
    <definedName name="_1960">#REF!</definedName>
    <definedName name="_1966">#REF!</definedName>
    <definedName name="_1969">#REF!</definedName>
    <definedName name="_1975">#REF!</definedName>
    <definedName name="_1978">#REF!</definedName>
    <definedName name="_1984">#REF!</definedName>
    <definedName name="_1987">#REF!</definedName>
    <definedName name="_1993">#REF!</definedName>
    <definedName name="_1996">#REF!</definedName>
    <definedName name="_2">'[5]NORTHERN  AFRICA  DIVISION'!#REF!</definedName>
    <definedName name="_2002">#REF!</definedName>
    <definedName name="_2005">#REF!</definedName>
    <definedName name="_2011">#REF!</definedName>
    <definedName name="_2014">#REF!</definedName>
    <definedName name="_202">#REF!</definedName>
    <definedName name="_2020">#REF!</definedName>
    <definedName name="_2023">#REF!</definedName>
    <definedName name="_2029">#REF!</definedName>
    <definedName name="_2032">#REF!</definedName>
    <definedName name="_2038">#REF!</definedName>
    <definedName name="_2041">#REF!</definedName>
    <definedName name="_2047">#REF!</definedName>
    <definedName name="_205">#REF!</definedName>
    <definedName name="_2050">#REF!</definedName>
    <definedName name="_2056">#REF!</definedName>
    <definedName name="_2059">#REF!</definedName>
    <definedName name="_2065">#REF!</definedName>
    <definedName name="_2068">#REF!</definedName>
    <definedName name="_2074">#REF!</definedName>
    <definedName name="_2077">#REF!</definedName>
    <definedName name="_2083">#REF!</definedName>
    <definedName name="_2086">#REF!</definedName>
    <definedName name="_2092">#REF!</definedName>
    <definedName name="_2095">#REF!</definedName>
    <definedName name="_2101">#REF!</definedName>
    <definedName name="_2104">#REF!</definedName>
    <definedName name="_211">#REF!</definedName>
    <definedName name="_2110">#REF!</definedName>
    <definedName name="_2113">#REF!</definedName>
    <definedName name="_2119">#REF!</definedName>
    <definedName name="_2122">#REF!</definedName>
    <definedName name="_2128">#REF!</definedName>
    <definedName name="_2131">#REF!</definedName>
    <definedName name="_2137">#REF!</definedName>
    <definedName name="_214">#REF!</definedName>
    <definedName name="_2140">#REF!</definedName>
    <definedName name="_2146">#REF!</definedName>
    <definedName name="_2149">#REF!</definedName>
    <definedName name="_2155">#REF!</definedName>
    <definedName name="_2158">#REF!</definedName>
    <definedName name="_2164">#REF!</definedName>
    <definedName name="_2167">#REF!</definedName>
    <definedName name="_2173">#REF!</definedName>
    <definedName name="_2176">#REF!</definedName>
    <definedName name="_2182">#REF!</definedName>
    <definedName name="_2185">#REF!</definedName>
    <definedName name="_2191">#REF!</definedName>
    <definedName name="_2194">#REF!</definedName>
    <definedName name="_22">#REF!</definedName>
    <definedName name="_220">#REF!</definedName>
    <definedName name="_2200">#REF!</definedName>
    <definedName name="_2203">#REF!</definedName>
    <definedName name="_2209">#REF!</definedName>
    <definedName name="_2212">#REF!</definedName>
    <definedName name="_2218">#REF!</definedName>
    <definedName name="_2221">#REF!</definedName>
    <definedName name="_2227">#REF!</definedName>
    <definedName name="_223">#REF!</definedName>
    <definedName name="_2230">#REF!</definedName>
    <definedName name="_2236">#REF!</definedName>
    <definedName name="_2239">#REF!</definedName>
    <definedName name="_2245">#REF!</definedName>
    <definedName name="_2248">#REF!</definedName>
    <definedName name="_2254">#REF!</definedName>
    <definedName name="_2257">#REF!</definedName>
    <definedName name="_2263">#REF!</definedName>
    <definedName name="_2266">#REF!</definedName>
    <definedName name="_2272">#REF!</definedName>
    <definedName name="_2275">#REF!</definedName>
    <definedName name="_2281">#REF!</definedName>
    <definedName name="_2284">#REF!</definedName>
    <definedName name="_229">#REF!</definedName>
    <definedName name="_2290">#REF!</definedName>
    <definedName name="_2293">#REF!</definedName>
    <definedName name="_2299">#REF!</definedName>
    <definedName name="_2302">#REF!</definedName>
    <definedName name="_2308">#REF!</definedName>
    <definedName name="_2311">#REF!</definedName>
    <definedName name="_2317">#REF!</definedName>
    <definedName name="_232">#REF!</definedName>
    <definedName name="_2320">#REF!</definedName>
    <definedName name="_2326">#REF!</definedName>
    <definedName name="_2329">#REF!</definedName>
    <definedName name="_2335">#REF!</definedName>
    <definedName name="_2338">#REF!</definedName>
    <definedName name="_2344">#REF!</definedName>
    <definedName name="_2347">#REF!</definedName>
    <definedName name="_2353">#REF!</definedName>
    <definedName name="_2356">#REF!</definedName>
    <definedName name="_2362">#REF!</definedName>
    <definedName name="_2365">#REF!</definedName>
    <definedName name="_2371">#REF!</definedName>
    <definedName name="_2374">#REF!</definedName>
    <definedName name="_238">#REF!</definedName>
    <definedName name="_2380">#REF!</definedName>
    <definedName name="_2383">#REF!</definedName>
    <definedName name="_2389">#REF!</definedName>
    <definedName name="_2392">#REF!</definedName>
    <definedName name="_2398">#REF!</definedName>
    <definedName name="_2401">#REF!</definedName>
    <definedName name="_2407">#REF!</definedName>
    <definedName name="_241">#REF!</definedName>
    <definedName name="_2410">#REF!</definedName>
    <definedName name="_2416">#REF!</definedName>
    <definedName name="_2419">#REF!</definedName>
    <definedName name="_2425">#REF!</definedName>
    <definedName name="_2428">#REF!</definedName>
    <definedName name="_2434">#REF!</definedName>
    <definedName name="_2437">#REF!</definedName>
    <definedName name="_2443">#REF!</definedName>
    <definedName name="_2446">#REF!</definedName>
    <definedName name="_2452">#REF!</definedName>
    <definedName name="_2455">#REF!</definedName>
    <definedName name="_2461">#REF!</definedName>
    <definedName name="_2464">#REF!</definedName>
    <definedName name="_247">#REF!</definedName>
    <definedName name="_2470">#REF!</definedName>
    <definedName name="_2473">#REF!</definedName>
    <definedName name="_2479">#REF!</definedName>
    <definedName name="_2482">#REF!</definedName>
    <definedName name="_2488">#REF!</definedName>
    <definedName name="_2491">#REF!</definedName>
    <definedName name="_2497">#REF!</definedName>
    <definedName name="_250">#REF!</definedName>
    <definedName name="_2500">#REF!</definedName>
    <definedName name="_2506">#REF!</definedName>
    <definedName name="_2509">#REF!</definedName>
    <definedName name="_2515">#REF!</definedName>
    <definedName name="_2518">#REF!</definedName>
    <definedName name="_2524">#REF!</definedName>
    <definedName name="_2527">#REF!</definedName>
    <definedName name="_2533">#REF!</definedName>
    <definedName name="_2536">#REF!</definedName>
    <definedName name="_2542">#REF!</definedName>
    <definedName name="_2545">#REF!</definedName>
    <definedName name="_2551">#REF!</definedName>
    <definedName name="_2554">#REF!</definedName>
    <definedName name="_256">#REF!</definedName>
    <definedName name="_2560">#REF!</definedName>
    <definedName name="_2563">#REF!</definedName>
    <definedName name="_2569">#REF!</definedName>
    <definedName name="_2572">#REF!</definedName>
    <definedName name="_2578">#REF!</definedName>
    <definedName name="_2581">#REF!</definedName>
    <definedName name="_2587">#REF!</definedName>
    <definedName name="_259">#REF!</definedName>
    <definedName name="_2590">#REF!</definedName>
    <definedName name="_2596">#REF!</definedName>
    <definedName name="_2599">#REF!</definedName>
    <definedName name="_26">#REF!</definedName>
    <definedName name="_2605">#REF!</definedName>
    <definedName name="_2608">#REF!</definedName>
    <definedName name="_2614">#REF!</definedName>
    <definedName name="_2617">#REF!</definedName>
    <definedName name="_2623">#REF!</definedName>
    <definedName name="_2626">#REF!</definedName>
    <definedName name="_2632">#REF!</definedName>
    <definedName name="_2635">#REF!</definedName>
    <definedName name="_2641">#REF!</definedName>
    <definedName name="_2644">#REF!</definedName>
    <definedName name="_265">#REF!</definedName>
    <definedName name="_2650">#REF!</definedName>
    <definedName name="_2653">#REF!</definedName>
    <definedName name="_2659">#REF!</definedName>
    <definedName name="_2662">#REF!</definedName>
    <definedName name="_2668">#REF!</definedName>
    <definedName name="_2671">#REF!</definedName>
    <definedName name="_2677">#REF!</definedName>
    <definedName name="_268">#REF!</definedName>
    <definedName name="_2680">#REF!</definedName>
    <definedName name="_2686">#REF!</definedName>
    <definedName name="_2689">#REF!</definedName>
    <definedName name="_2695">#REF!</definedName>
    <definedName name="_2698">#REF!</definedName>
    <definedName name="_2704">#REF!</definedName>
    <definedName name="_2707">#REF!</definedName>
    <definedName name="_2713">#REF!</definedName>
    <definedName name="_2716">#REF!</definedName>
    <definedName name="_2722">#REF!</definedName>
    <definedName name="_2725">#REF!</definedName>
    <definedName name="_2731">#REF!</definedName>
    <definedName name="_2734">#REF!</definedName>
    <definedName name="_274">#REF!</definedName>
    <definedName name="_2740">#REF!</definedName>
    <definedName name="_2743">#REF!</definedName>
    <definedName name="_2749">#REF!</definedName>
    <definedName name="_2752">#REF!</definedName>
    <definedName name="_2758">#REF!</definedName>
    <definedName name="_2761">#REF!</definedName>
    <definedName name="_2767">#REF!</definedName>
    <definedName name="_277">#REF!</definedName>
    <definedName name="_2770">#REF!</definedName>
    <definedName name="_2776">#REF!</definedName>
    <definedName name="_2779">#REF!</definedName>
    <definedName name="_2785">#REF!</definedName>
    <definedName name="_2788">#REF!</definedName>
    <definedName name="_2794">#REF!</definedName>
    <definedName name="_2797">#REF!</definedName>
    <definedName name="_2803">#REF!</definedName>
    <definedName name="_2806">#REF!</definedName>
    <definedName name="_2812">#REF!</definedName>
    <definedName name="_2815">#REF!</definedName>
    <definedName name="_2821">#REF!</definedName>
    <definedName name="_2824">#REF!</definedName>
    <definedName name="_283">#REF!</definedName>
    <definedName name="_2830">#REF!</definedName>
    <definedName name="_2833">#REF!</definedName>
    <definedName name="_2839">#REF!</definedName>
    <definedName name="_2842">#REF!</definedName>
    <definedName name="_2848">#REF!</definedName>
    <definedName name="_2851">#REF!</definedName>
    <definedName name="_2857">#REF!</definedName>
    <definedName name="_286">#REF!</definedName>
    <definedName name="_2860">#REF!</definedName>
    <definedName name="_2866">#REF!</definedName>
    <definedName name="_2869">#REF!</definedName>
    <definedName name="_2875">#REF!</definedName>
    <definedName name="_2878">#REF!</definedName>
    <definedName name="_2884">#REF!</definedName>
    <definedName name="_2887">#REF!</definedName>
    <definedName name="_2893">#REF!</definedName>
    <definedName name="_2896">#REF!</definedName>
    <definedName name="_2902">#REF!</definedName>
    <definedName name="_2905">#REF!</definedName>
    <definedName name="_2911">#REF!</definedName>
    <definedName name="_2914">#REF!</definedName>
    <definedName name="_292">#REF!</definedName>
    <definedName name="_2920">#REF!</definedName>
    <definedName name="_2923">#REF!</definedName>
    <definedName name="_2929">#REF!</definedName>
    <definedName name="_2932">#REF!</definedName>
    <definedName name="_2938">#REF!</definedName>
    <definedName name="_2941">#REF!</definedName>
    <definedName name="_2947">#REF!</definedName>
    <definedName name="_295">#REF!</definedName>
    <definedName name="_2950">#REF!</definedName>
    <definedName name="_2956">#REF!</definedName>
    <definedName name="_2959">#REF!</definedName>
    <definedName name="_2965">#REF!</definedName>
    <definedName name="_2968">#REF!</definedName>
    <definedName name="_2974">#REF!</definedName>
    <definedName name="_2977">#REF!</definedName>
    <definedName name="_2983">#REF!</definedName>
    <definedName name="_2986">#REF!</definedName>
    <definedName name="_2992">#REF!</definedName>
    <definedName name="_2995">#REF!</definedName>
    <definedName name="_30_cl">#REF!</definedName>
    <definedName name="_3001">#REF!</definedName>
    <definedName name="_3004">#REF!</definedName>
    <definedName name="_301">#REF!</definedName>
    <definedName name="_3010">#REF!</definedName>
    <definedName name="_3013">#REF!</definedName>
    <definedName name="_3019">#REF!</definedName>
    <definedName name="_3022">#REF!</definedName>
    <definedName name="_3028">#REF!</definedName>
    <definedName name="_3031">#REF!</definedName>
    <definedName name="_3037">#REF!</definedName>
    <definedName name="_304">#REF!</definedName>
    <definedName name="_3040">#REF!</definedName>
    <definedName name="_3046">#REF!</definedName>
    <definedName name="_3049">#REF!</definedName>
    <definedName name="_3055">#REF!</definedName>
    <definedName name="_3058">#REF!</definedName>
    <definedName name="_3064">#REF!</definedName>
    <definedName name="_3067">#REF!</definedName>
    <definedName name="_3073">#REF!</definedName>
    <definedName name="_3076">#REF!</definedName>
    <definedName name="_3082">#REF!</definedName>
    <definedName name="_3085">#REF!</definedName>
    <definedName name="_3091">#REF!</definedName>
    <definedName name="_3094">#REF!</definedName>
    <definedName name="_31">#REF!</definedName>
    <definedName name="_310">#REF!</definedName>
    <definedName name="_3100">#REF!</definedName>
    <definedName name="_3103">#REF!</definedName>
    <definedName name="_3109">#REF!</definedName>
    <definedName name="_3112">#REF!</definedName>
    <definedName name="_3118">#REF!</definedName>
    <definedName name="_3121">#REF!</definedName>
    <definedName name="_3127">#REF!</definedName>
    <definedName name="_313">#REF!</definedName>
    <definedName name="_3130">#REF!</definedName>
    <definedName name="_3136">#REF!</definedName>
    <definedName name="_3139">#REF!</definedName>
    <definedName name="_3145">#REF!</definedName>
    <definedName name="_3148">#REF!</definedName>
    <definedName name="_3154">#REF!</definedName>
    <definedName name="_3157">#REF!</definedName>
    <definedName name="_3163">#REF!</definedName>
    <definedName name="_3166">#REF!</definedName>
    <definedName name="_3172">#REF!</definedName>
    <definedName name="_3175">#REF!</definedName>
    <definedName name="_3181">#REF!</definedName>
    <definedName name="_3184">#REF!</definedName>
    <definedName name="_319">#REF!</definedName>
    <definedName name="_3190">#REF!</definedName>
    <definedName name="_3193">#REF!</definedName>
    <definedName name="_3199">#REF!</definedName>
    <definedName name="_3202">#REF!</definedName>
    <definedName name="_3208">#REF!</definedName>
    <definedName name="_3211">#REF!</definedName>
    <definedName name="_3217">#REF!</definedName>
    <definedName name="_322">#REF!</definedName>
    <definedName name="_3220">#REF!</definedName>
    <definedName name="_3226">#REF!</definedName>
    <definedName name="_3229">#REF!</definedName>
    <definedName name="_3235">#REF!</definedName>
    <definedName name="_3238">#REF!</definedName>
    <definedName name="_3244">#REF!</definedName>
    <definedName name="_3247">#REF!</definedName>
    <definedName name="_3253">#REF!</definedName>
    <definedName name="_3256">#REF!</definedName>
    <definedName name="_3262">#REF!</definedName>
    <definedName name="_3265">#REF!</definedName>
    <definedName name="_3271">#REF!</definedName>
    <definedName name="_3274">#REF!</definedName>
    <definedName name="_328">#REF!</definedName>
    <definedName name="_3280">#REF!</definedName>
    <definedName name="_3283">#REF!</definedName>
    <definedName name="_3289">#REF!</definedName>
    <definedName name="_3292">#REF!</definedName>
    <definedName name="_3298">#REF!</definedName>
    <definedName name="_3301">#REF!</definedName>
    <definedName name="_3307">#REF!</definedName>
    <definedName name="_331">#REF!</definedName>
    <definedName name="_3310">#REF!</definedName>
    <definedName name="_3316">#REF!</definedName>
    <definedName name="_3319">#REF!</definedName>
    <definedName name="_3325">#REF!</definedName>
    <definedName name="_3328">#REF!</definedName>
    <definedName name="_3334">#REF!</definedName>
    <definedName name="_3337">#REF!</definedName>
    <definedName name="_3343">#REF!</definedName>
    <definedName name="_3346">#REF!</definedName>
    <definedName name="_3352">#REF!</definedName>
    <definedName name="_3355">#REF!</definedName>
    <definedName name="_3361">#REF!</definedName>
    <definedName name="_3364">#REF!</definedName>
    <definedName name="_337">#REF!</definedName>
    <definedName name="_3370">#REF!</definedName>
    <definedName name="_3373">#REF!</definedName>
    <definedName name="_3379">#REF!</definedName>
    <definedName name="_3382">#REF!</definedName>
    <definedName name="_3388">#REF!</definedName>
    <definedName name="_3391">#REF!</definedName>
    <definedName name="_3397">#REF!</definedName>
    <definedName name="_34">#REF!</definedName>
    <definedName name="_340">#REF!</definedName>
    <definedName name="_3400">#REF!</definedName>
    <definedName name="_3406">#REF!</definedName>
    <definedName name="_3409">#REF!</definedName>
    <definedName name="_3415">#REF!</definedName>
    <definedName name="_3418">#REF!</definedName>
    <definedName name="_3424">#REF!</definedName>
    <definedName name="_3427">#REF!</definedName>
    <definedName name="_3433">#REF!</definedName>
    <definedName name="_3436">#REF!</definedName>
    <definedName name="_3442">#REF!</definedName>
    <definedName name="_3445">#REF!</definedName>
    <definedName name="_3451">#REF!</definedName>
    <definedName name="_3454">#REF!</definedName>
    <definedName name="_346">#REF!</definedName>
    <definedName name="_3460">#REF!</definedName>
    <definedName name="_3463">#REF!</definedName>
    <definedName name="_3469">#REF!</definedName>
    <definedName name="_3472">#REF!</definedName>
    <definedName name="_3478">#REF!</definedName>
    <definedName name="_3481">#REF!</definedName>
    <definedName name="_3487">#REF!</definedName>
    <definedName name="_349">#REF!</definedName>
    <definedName name="_3490">#REF!</definedName>
    <definedName name="_3496">#REF!</definedName>
    <definedName name="_3499">#REF!</definedName>
    <definedName name="_3505">#REF!</definedName>
    <definedName name="_3508">#REF!</definedName>
    <definedName name="_3514">#REF!</definedName>
    <definedName name="_3517">#REF!</definedName>
    <definedName name="_3523">#REF!</definedName>
    <definedName name="_3526">#REF!</definedName>
    <definedName name="_3532">#REF!</definedName>
    <definedName name="_3535">#REF!</definedName>
    <definedName name="_3541">#REF!</definedName>
    <definedName name="_3544">#REF!</definedName>
    <definedName name="_355">#REF!</definedName>
    <definedName name="_3550">#REF!</definedName>
    <definedName name="_3553">#REF!</definedName>
    <definedName name="_3559">#REF!</definedName>
    <definedName name="_3562">#REF!</definedName>
    <definedName name="_3568">#REF!</definedName>
    <definedName name="_3571">#REF!</definedName>
    <definedName name="_3577">#REF!</definedName>
    <definedName name="_358">#REF!</definedName>
    <definedName name="_3580">#REF!</definedName>
    <definedName name="_3586">#REF!</definedName>
    <definedName name="_3589">#REF!</definedName>
    <definedName name="_3595">#REF!</definedName>
    <definedName name="_3598">#REF!</definedName>
    <definedName name="_3604">#REF!</definedName>
    <definedName name="_3607">#REF!</definedName>
    <definedName name="_3613">#REF!</definedName>
    <definedName name="_3616">#REF!</definedName>
    <definedName name="_3622">#REF!</definedName>
    <definedName name="_3625">#REF!</definedName>
    <definedName name="_3631">#REF!</definedName>
    <definedName name="_3634">#REF!</definedName>
    <definedName name="_364">#REF!</definedName>
    <definedName name="_3640">#REF!</definedName>
    <definedName name="_3643">#REF!</definedName>
    <definedName name="_3649">#REF!</definedName>
    <definedName name="_3652">#REF!</definedName>
    <definedName name="_3658">#REF!</definedName>
    <definedName name="_3661">#REF!</definedName>
    <definedName name="_3667">#REF!</definedName>
    <definedName name="_367">#REF!</definedName>
    <definedName name="_3670">#REF!</definedName>
    <definedName name="_3676">#REF!</definedName>
    <definedName name="_3679">#REF!</definedName>
    <definedName name="_3685">#REF!</definedName>
    <definedName name="_3688">#REF!</definedName>
    <definedName name="_3694">#REF!</definedName>
    <definedName name="_3697">#REF!</definedName>
    <definedName name="_3703">#REF!</definedName>
    <definedName name="_3706">#REF!</definedName>
    <definedName name="_3712">#REF!</definedName>
    <definedName name="_3715">#REF!</definedName>
    <definedName name="_3721">#REF!</definedName>
    <definedName name="_3724">#REF!</definedName>
    <definedName name="_373">#REF!</definedName>
    <definedName name="_3730">#REF!</definedName>
    <definedName name="_3733">#REF!</definedName>
    <definedName name="_3739">#REF!</definedName>
    <definedName name="_3742">#REF!</definedName>
    <definedName name="_3748">#REF!</definedName>
    <definedName name="_3751">#REF!</definedName>
    <definedName name="_3757">#REF!</definedName>
    <definedName name="_376">#REF!</definedName>
    <definedName name="_3760">#REF!</definedName>
    <definedName name="_3766">#REF!</definedName>
    <definedName name="_3769">#REF!</definedName>
    <definedName name="_3775">#REF!</definedName>
    <definedName name="_3778">#REF!</definedName>
    <definedName name="_3784">#REF!</definedName>
    <definedName name="_3787">#REF!</definedName>
    <definedName name="_3793">#REF!</definedName>
    <definedName name="_3796">#REF!</definedName>
    <definedName name="_3802">#REF!</definedName>
    <definedName name="_3805">#REF!</definedName>
    <definedName name="_3811">#REF!</definedName>
    <definedName name="_3814">#REF!</definedName>
    <definedName name="_382">#REF!</definedName>
    <definedName name="_3820">#REF!</definedName>
    <definedName name="_3823">#REF!</definedName>
    <definedName name="_3829">#REF!</definedName>
    <definedName name="_3832">#REF!</definedName>
    <definedName name="_3838">#REF!</definedName>
    <definedName name="_3841">#REF!</definedName>
    <definedName name="_3847">#REF!</definedName>
    <definedName name="_385">#REF!</definedName>
    <definedName name="_3850">#REF!</definedName>
    <definedName name="_3856">#REF!</definedName>
    <definedName name="_3859">#REF!</definedName>
    <definedName name="_3865">#REF!</definedName>
    <definedName name="_3868">#REF!</definedName>
    <definedName name="_3874">#REF!</definedName>
    <definedName name="_3877">#REF!</definedName>
    <definedName name="_3883">#REF!</definedName>
    <definedName name="_3886">#REF!</definedName>
    <definedName name="_3892">#REF!</definedName>
    <definedName name="_3895">#REF!</definedName>
    <definedName name="_3901">#REF!</definedName>
    <definedName name="_3904">#REF!</definedName>
    <definedName name="_391">#REF!</definedName>
    <definedName name="_3910">#REF!</definedName>
    <definedName name="_3913">#REF!</definedName>
    <definedName name="_3919">#REF!</definedName>
    <definedName name="_3922">#REF!</definedName>
    <definedName name="_3928">#REF!</definedName>
    <definedName name="_3931">#REF!</definedName>
    <definedName name="_3937">#REF!</definedName>
    <definedName name="_394">#REF!</definedName>
    <definedName name="_3940">#REF!</definedName>
    <definedName name="_3946">#REF!</definedName>
    <definedName name="_3949">#REF!</definedName>
    <definedName name="_3955">#REF!</definedName>
    <definedName name="_3958">#REF!</definedName>
    <definedName name="_3964">#REF!</definedName>
    <definedName name="_3967">#REF!</definedName>
    <definedName name="_3973">#REF!</definedName>
    <definedName name="_3976">#REF!</definedName>
    <definedName name="_3982">#REF!</definedName>
    <definedName name="_3985">#REF!</definedName>
    <definedName name="_3991">#REF!</definedName>
    <definedName name="_3994">#REF!</definedName>
    <definedName name="_40">#REF!</definedName>
    <definedName name="_400">#REF!</definedName>
    <definedName name="_4000">#REF!</definedName>
    <definedName name="_4003">#REF!</definedName>
    <definedName name="_4009">#REF!</definedName>
    <definedName name="_4012">#REF!</definedName>
    <definedName name="_4018">#REF!</definedName>
    <definedName name="_4021">#REF!</definedName>
    <definedName name="_4027">#REF!</definedName>
    <definedName name="_403">#REF!</definedName>
    <definedName name="_4030">#REF!</definedName>
    <definedName name="_4036">#REF!</definedName>
    <definedName name="_4039">#REF!</definedName>
    <definedName name="_4045">#REF!</definedName>
    <definedName name="_4048">#REF!</definedName>
    <definedName name="_4054">#REF!</definedName>
    <definedName name="_4057">#REF!</definedName>
    <definedName name="_4063">#REF!</definedName>
    <definedName name="_4066">#REF!</definedName>
    <definedName name="_4072">#REF!</definedName>
    <definedName name="_4075">#REF!</definedName>
    <definedName name="_4081">#REF!</definedName>
    <definedName name="_4084">#REF!</definedName>
    <definedName name="_409">#REF!</definedName>
    <definedName name="_4090">#REF!</definedName>
    <definedName name="_4093">#REF!</definedName>
    <definedName name="_4099">#REF!</definedName>
    <definedName name="_4102">#REF!</definedName>
    <definedName name="_4108">#REF!</definedName>
    <definedName name="_4111">#REF!</definedName>
    <definedName name="_4117">#REF!</definedName>
    <definedName name="_412">#REF!</definedName>
    <definedName name="_4120">#REF!</definedName>
    <definedName name="_4126">#REF!</definedName>
    <definedName name="_4129">#REF!</definedName>
    <definedName name="_4135">#REF!</definedName>
    <definedName name="_4138">#REF!</definedName>
    <definedName name="_4144">#REF!</definedName>
    <definedName name="_4147">#REF!</definedName>
    <definedName name="_4153">#REF!</definedName>
    <definedName name="_4156">#REF!</definedName>
    <definedName name="_4162">#REF!</definedName>
    <definedName name="_4165">#REF!</definedName>
    <definedName name="_4171">#REF!</definedName>
    <definedName name="_4174">#REF!</definedName>
    <definedName name="_418">#REF!</definedName>
    <definedName name="_4180">#REF!</definedName>
    <definedName name="_4183">#REF!</definedName>
    <definedName name="_4189">#REF!</definedName>
    <definedName name="_4192">#REF!</definedName>
    <definedName name="_4198">#REF!</definedName>
    <definedName name="_4201">#REF!</definedName>
    <definedName name="_4207">#REF!</definedName>
    <definedName name="_421">#REF!</definedName>
    <definedName name="_4210">#REF!</definedName>
    <definedName name="_4216">#REF!</definedName>
    <definedName name="_4219">#REF!</definedName>
    <definedName name="_4225">#REF!</definedName>
    <definedName name="_4228">#REF!</definedName>
    <definedName name="_4234">#REF!</definedName>
    <definedName name="_4237">#REF!</definedName>
    <definedName name="_4243">#REF!</definedName>
    <definedName name="_4246">#REF!</definedName>
    <definedName name="_4252">#REF!</definedName>
    <definedName name="_4255">#REF!</definedName>
    <definedName name="_4261">#REF!</definedName>
    <definedName name="_4264">#REF!</definedName>
    <definedName name="_427">#REF!</definedName>
    <definedName name="_4270">#REF!</definedName>
    <definedName name="_4273">#REF!</definedName>
    <definedName name="_4279">#REF!</definedName>
    <definedName name="_4282">#REF!</definedName>
    <definedName name="_4288">#REF!</definedName>
    <definedName name="_4291">#REF!</definedName>
    <definedName name="_4297">#REF!</definedName>
    <definedName name="_43">#REF!</definedName>
    <definedName name="_430">#REF!</definedName>
    <definedName name="_4300">#REF!</definedName>
    <definedName name="_4306">#REF!</definedName>
    <definedName name="_4309">#REF!</definedName>
    <definedName name="_4315">#REF!</definedName>
    <definedName name="_4318">#REF!</definedName>
    <definedName name="_4324">#REF!</definedName>
    <definedName name="_4327">#REF!</definedName>
    <definedName name="_4333">#REF!</definedName>
    <definedName name="_4336">#REF!</definedName>
    <definedName name="_4342">#REF!</definedName>
    <definedName name="_4345">#REF!</definedName>
    <definedName name="_4351">#REF!</definedName>
    <definedName name="_4354">#REF!</definedName>
    <definedName name="_436">#REF!</definedName>
    <definedName name="_4360">#REF!</definedName>
    <definedName name="_4363">#REF!</definedName>
    <definedName name="_4369">#REF!</definedName>
    <definedName name="_4372">#REF!</definedName>
    <definedName name="_4378">#REF!</definedName>
    <definedName name="_4381">#REF!</definedName>
    <definedName name="_4387">#REF!</definedName>
    <definedName name="_439">#REF!</definedName>
    <definedName name="_4390">#REF!</definedName>
    <definedName name="_4396">#REF!</definedName>
    <definedName name="_4399">#REF!</definedName>
    <definedName name="_4405">#REF!</definedName>
    <definedName name="_4408">#REF!</definedName>
    <definedName name="_4414">#REF!</definedName>
    <definedName name="_4417">#REF!</definedName>
    <definedName name="_4423">#REF!</definedName>
    <definedName name="_4426">#REF!</definedName>
    <definedName name="_4432">#REF!</definedName>
    <definedName name="_4435">#REF!</definedName>
    <definedName name="_4441">#REF!</definedName>
    <definedName name="_4444">#REF!</definedName>
    <definedName name="_445">#REF!</definedName>
    <definedName name="_4450">#REF!</definedName>
    <definedName name="_4453">#REF!</definedName>
    <definedName name="_4459">#REF!</definedName>
    <definedName name="_4462">#REF!</definedName>
    <definedName name="_4468">#REF!</definedName>
    <definedName name="_4471">#REF!</definedName>
    <definedName name="_4477">#REF!</definedName>
    <definedName name="_448">#REF!</definedName>
    <definedName name="_4480">#REF!</definedName>
    <definedName name="_4486">#REF!</definedName>
    <definedName name="_4489">#REF!</definedName>
    <definedName name="_4495">#REF!</definedName>
    <definedName name="_4498">#REF!</definedName>
    <definedName name="_4504">#REF!</definedName>
    <definedName name="_4507">#REF!</definedName>
    <definedName name="_4513">#REF!</definedName>
    <definedName name="_4516">#REF!</definedName>
    <definedName name="_4522">#REF!</definedName>
    <definedName name="_4525">#REF!</definedName>
    <definedName name="_4531">#REF!</definedName>
    <definedName name="_4534">#REF!</definedName>
    <definedName name="_454">#REF!</definedName>
    <definedName name="_4540">#REF!</definedName>
    <definedName name="_4543">#REF!</definedName>
    <definedName name="_4549">#REF!</definedName>
    <definedName name="_4552">#REF!</definedName>
    <definedName name="_4558">#REF!</definedName>
    <definedName name="_4561">#REF!</definedName>
    <definedName name="_4567">#REF!</definedName>
    <definedName name="_457">#REF!</definedName>
    <definedName name="_4570">#REF!</definedName>
    <definedName name="_4576">#REF!</definedName>
    <definedName name="_4579">#REF!</definedName>
    <definedName name="_4585">#REF!</definedName>
    <definedName name="_4588">#REF!</definedName>
    <definedName name="_4594">#REF!</definedName>
    <definedName name="_4597">#REF!</definedName>
    <definedName name="_4603">#REF!</definedName>
    <definedName name="_4606">#REF!</definedName>
    <definedName name="_4612">#REF!</definedName>
    <definedName name="_4615">#REF!</definedName>
    <definedName name="_4621">#REF!</definedName>
    <definedName name="_4624">#REF!</definedName>
    <definedName name="_463">#REF!</definedName>
    <definedName name="_4630">#REF!</definedName>
    <definedName name="_4633">#REF!</definedName>
    <definedName name="_4639">#REF!</definedName>
    <definedName name="_4642">#REF!</definedName>
    <definedName name="_4648">#REF!</definedName>
    <definedName name="_4651">#REF!</definedName>
    <definedName name="_4657">#REF!</definedName>
    <definedName name="_466">#REF!</definedName>
    <definedName name="_4660">#REF!</definedName>
    <definedName name="_4666">#REF!</definedName>
    <definedName name="_4669">#REF!</definedName>
    <definedName name="_4675">#REF!</definedName>
    <definedName name="_4678">#REF!</definedName>
    <definedName name="_4684">#REF!</definedName>
    <definedName name="_4687">#REF!</definedName>
    <definedName name="_4693">#REF!</definedName>
    <definedName name="_4696">#REF!</definedName>
    <definedName name="_4702">#REF!</definedName>
    <definedName name="_4705">#REF!</definedName>
    <definedName name="_4711">#REF!</definedName>
    <definedName name="_4714">#REF!</definedName>
    <definedName name="_472">#REF!</definedName>
    <definedName name="_4720">#REF!</definedName>
    <definedName name="_4723">#REF!</definedName>
    <definedName name="_4729">#REF!</definedName>
    <definedName name="_4732">#REF!</definedName>
    <definedName name="_4738">#REF!</definedName>
    <definedName name="_4741">#REF!</definedName>
    <definedName name="_4747">#REF!</definedName>
    <definedName name="_475">#REF!</definedName>
    <definedName name="_4750">#REF!</definedName>
    <definedName name="_4756">#REF!</definedName>
    <definedName name="_4759">#REF!</definedName>
    <definedName name="_4765">#REF!</definedName>
    <definedName name="_4768">#REF!</definedName>
    <definedName name="_4774">#REF!</definedName>
    <definedName name="_4777">#REF!</definedName>
    <definedName name="_4783">#REF!</definedName>
    <definedName name="_4786">#REF!</definedName>
    <definedName name="_4792">#REF!</definedName>
    <definedName name="_4795">#REF!</definedName>
    <definedName name="_4801">#REF!</definedName>
    <definedName name="_4804">#REF!</definedName>
    <definedName name="_481">#REF!</definedName>
    <definedName name="_4810">#REF!</definedName>
    <definedName name="_4813">#REF!</definedName>
    <definedName name="_4819">#REF!</definedName>
    <definedName name="_4822">#REF!</definedName>
    <definedName name="_4828">#REF!</definedName>
    <definedName name="_4831">#REF!</definedName>
    <definedName name="_4837">#REF!</definedName>
    <definedName name="_484">#REF!</definedName>
    <definedName name="_4840">#REF!</definedName>
    <definedName name="_4846">#REF!</definedName>
    <definedName name="_4849">#REF!</definedName>
    <definedName name="_4855">#REF!</definedName>
    <definedName name="_4858">#REF!</definedName>
    <definedName name="_4864">#REF!</definedName>
    <definedName name="_4867">#REF!</definedName>
    <definedName name="_4873">#REF!</definedName>
    <definedName name="_4876">#REF!</definedName>
    <definedName name="_4882">#REF!</definedName>
    <definedName name="_4885">#REF!</definedName>
    <definedName name="_4891">#REF!</definedName>
    <definedName name="_4894">#REF!</definedName>
    <definedName name="_49">#REF!</definedName>
    <definedName name="_490">#REF!</definedName>
    <definedName name="_4900">#REF!</definedName>
    <definedName name="_4903">#REF!</definedName>
    <definedName name="_4909">#REF!</definedName>
    <definedName name="_4912">#REF!</definedName>
    <definedName name="_4918">#REF!</definedName>
    <definedName name="_4921">#REF!</definedName>
    <definedName name="_4927">#REF!</definedName>
    <definedName name="_493">#REF!</definedName>
    <definedName name="_4930">#REF!</definedName>
    <definedName name="_4936">#REF!</definedName>
    <definedName name="_4939">#REF!</definedName>
    <definedName name="_4945">#REF!</definedName>
    <definedName name="_4948">#REF!</definedName>
    <definedName name="_4954">#REF!</definedName>
    <definedName name="_4957">#REF!</definedName>
    <definedName name="_4963">#REF!</definedName>
    <definedName name="_4966">#REF!</definedName>
    <definedName name="_4972">#REF!</definedName>
    <definedName name="_4975">#REF!</definedName>
    <definedName name="_4981">#REF!</definedName>
    <definedName name="_4984">#REF!</definedName>
    <definedName name="_499">#REF!</definedName>
    <definedName name="_4990">#REF!</definedName>
    <definedName name="_4993">#REF!</definedName>
    <definedName name="_4999">#REF!</definedName>
    <definedName name="_5002">#REF!</definedName>
    <definedName name="_5008">#REF!</definedName>
    <definedName name="_5011">#REF!</definedName>
    <definedName name="_5017">#REF!</definedName>
    <definedName name="_502">#REF!</definedName>
    <definedName name="_5020">#REF!</definedName>
    <definedName name="_5026">#REF!</definedName>
    <definedName name="_5029">#REF!</definedName>
    <definedName name="_5035">#REF!</definedName>
    <definedName name="_5038">#REF!</definedName>
    <definedName name="_5044">#REF!</definedName>
    <definedName name="_5047">#REF!</definedName>
    <definedName name="_5053">#REF!</definedName>
    <definedName name="_5056">#REF!</definedName>
    <definedName name="_5062">#REF!</definedName>
    <definedName name="_5065">#REF!</definedName>
    <definedName name="_5071">#REF!</definedName>
    <definedName name="_5074">#REF!</definedName>
    <definedName name="_508">#REF!</definedName>
    <definedName name="_5080">#REF!</definedName>
    <definedName name="_5083">#REF!</definedName>
    <definedName name="_5089">#REF!</definedName>
    <definedName name="_5092">#REF!</definedName>
    <definedName name="_5098">#REF!</definedName>
    <definedName name="_5101">#REF!</definedName>
    <definedName name="_5107">#REF!</definedName>
    <definedName name="_511">#REF!</definedName>
    <definedName name="_5110">#REF!</definedName>
    <definedName name="_5116">#REF!</definedName>
    <definedName name="_5119">#REF!</definedName>
    <definedName name="_5125">#REF!</definedName>
    <definedName name="_5128">#REF!</definedName>
    <definedName name="_5134">#REF!</definedName>
    <definedName name="_5137">#REF!</definedName>
    <definedName name="_5143">#REF!</definedName>
    <definedName name="_5146">#REF!</definedName>
    <definedName name="_5152">#REF!</definedName>
    <definedName name="_5155">#REF!</definedName>
    <definedName name="_5161">#REF!</definedName>
    <definedName name="_5164">#REF!</definedName>
    <definedName name="_517">#REF!</definedName>
    <definedName name="_5170">#REF!</definedName>
    <definedName name="_5173">#REF!</definedName>
    <definedName name="_5179">#REF!</definedName>
    <definedName name="_5182">#REF!</definedName>
    <definedName name="_5188">#REF!</definedName>
    <definedName name="_5191">#REF!</definedName>
    <definedName name="_5197">#REF!</definedName>
    <definedName name="_52">#REF!</definedName>
    <definedName name="_520">#REF!</definedName>
    <definedName name="_5200">#REF!</definedName>
    <definedName name="_5206">#REF!</definedName>
    <definedName name="_5209">#REF!</definedName>
    <definedName name="_5215">#REF!</definedName>
    <definedName name="_5218">#REF!</definedName>
    <definedName name="_5224">#REF!</definedName>
    <definedName name="_5227">#REF!</definedName>
    <definedName name="_5233">#REF!</definedName>
    <definedName name="_5236">#REF!</definedName>
    <definedName name="_5242">#REF!</definedName>
    <definedName name="_5245">#REF!</definedName>
    <definedName name="_5251">#REF!</definedName>
    <definedName name="_5254">#REF!</definedName>
    <definedName name="_526">#REF!</definedName>
    <definedName name="_5260">#REF!</definedName>
    <definedName name="_5263">#REF!</definedName>
    <definedName name="_5269">#REF!</definedName>
    <definedName name="_5272">#REF!</definedName>
    <definedName name="_5278">#REF!</definedName>
    <definedName name="_5281">#REF!</definedName>
    <definedName name="_5287">#REF!</definedName>
    <definedName name="_529">#REF!</definedName>
    <definedName name="_5290">#REF!</definedName>
    <definedName name="_5296">#REF!</definedName>
    <definedName name="_5299">#REF!</definedName>
    <definedName name="_5305">#REF!</definedName>
    <definedName name="_5308">#REF!</definedName>
    <definedName name="_5314">#REF!</definedName>
    <definedName name="_5317">#REF!</definedName>
    <definedName name="_5323">#REF!</definedName>
    <definedName name="_5326">#REF!</definedName>
    <definedName name="_5332">#REF!</definedName>
    <definedName name="_5335">#REF!</definedName>
    <definedName name="_5341">#REF!</definedName>
    <definedName name="_5344">#REF!</definedName>
    <definedName name="_535">#REF!</definedName>
    <definedName name="_5350">#REF!</definedName>
    <definedName name="_5353">#REF!</definedName>
    <definedName name="_5359">#REF!</definedName>
    <definedName name="_5362">#REF!</definedName>
    <definedName name="_5368">#REF!</definedName>
    <definedName name="_5371">#REF!</definedName>
    <definedName name="_5377">#REF!</definedName>
    <definedName name="_538">#REF!</definedName>
    <definedName name="_5380">#REF!</definedName>
    <definedName name="_5386">#REF!</definedName>
    <definedName name="_5389">#REF!</definedName>
    <definedName name="_5395">#REF!</definedName>
    <definedName name="_5398">#REF!</definedName>
    <definedName name="_5404">#REF!</definedName>
    <definedName name="_5407">#REF!</definedName>
    <definedName name="_5413">#REF!</definedName>
    <definedName name="_5416">#REF!</definedName>
    <definedName name="_5422">#REF!</definedName>
    <definedName name="_5425">#REF!</definedName>
    <definedName name="_5431">#REF!</definedName>
    <definedName name="_5434">#REF!</definedName>
    <definedName name="_544">#REF!</definedName>
    <definedName name="_5440">#REF!</definedName>
    <definedName name="_5443">#REF!</definedName>
    <definedName name="_5449">#REF!</definedName>
    <definedName name="_5452">#REF!</definedName>
    <definedName name="_5458">#REF!</definedName>
    <definedName name="_5461">#REF!</definedName>
    <definedName name="_5467">#REF!</definedName>
    <definedName name="_547">#REF!</definedName>
    <definedName name="_5470">#REF!</definedName>
    <definedName name="_5476">#REF!</definedName>
    <definedName name="_5479">#REF!</definedName>
    <definedName name="_5485">#REF!</definedName>
    <definedName name="_5488">#REF!</definedName>
    <definedName name="_5494">#REF!</definedName>
    <definedName name="_5497">#REF!</definedName>
    <definedName name="_5503">#REF!</definedName>
    <definedName name="_5506">#REF!</definedName>
    <definedName name="_5512">#REF!</definedName>
    <definedName name="_5515">#REF!</definedName>
    <definedName name="_5521">#REF!</definedName>
    <definedName name="_5524">#REF!</definedName>
    <definedName name="_553">#REF!</definedName>
    <definedName name="_5530">#REF!</definedName>
    <definedName name="_5533">#REF!</definedName>
    <definedName name="_5539">#REF!</definedName>
    <definedName name="_5542">#REF!</definedName>
    <definedName name="_5548">#REF!</definedName>
    <definedName name="_5551">#REF!</definedName>
    <definedName name="_5557">#REF!</definedName>
    <definedName name="_556">#REF!</definedName>
    <definedName name="_5560">#REF!</definedName>
    <definedName name="_5566">#REF!</definedName>
    <definedName name="_5569">#REF!</definedName>
    <definedName name="_5575">#REF!</definedName>
    <definedName name="_5578">#REF!</definedName>
    <definedName name="_5584">#REF!</definedName>
    <definedName name="_5587">#REF!</definedName>
    <definedName name="_5593">#REF!</definedName>
    <definedName name="_5596">#REF!</definedName>
    <definedName name="_5602">#REF!</definedName>
    <definedName name="_5605">#REF!</definedName>
    <definedName name="_5611">#REF!</definedName>
    <definedName name="_5614">#REF!</definedName>
    <definedName name="_562">#REF!</definedName>
    <definedName name="_5620">#REF!</definedName>
    <definedName name="_5623">#REF!</definedName>
    <definedName name="_5629">#REF!</definedName>
    <definedName name="_5632">#REF!</definedName>
    <definedName name="_5638">#REF!</definedName>
    <definedName name="_5641">#REF!</definedName>
    <definedName name="_5647">#REF!</definedName>
    <definedName name="_565">#REF!</definedName>
    <definedName name="_5650">#REF!</definedName>
    <definedName name="_5656">#REF!</definedName>
    <definedName name="_5659">#REF!</definedName>
    <definedName name="_5665">#REF!</definedName>
    <definedName name="_5668">#REF!</definedName>
    <definedName name="_5674">#REF!</definedName>
    <definedName name="_5677">#REF!</definedName>
    <definedName name="_5683">#REF!</definedName>
    <definedName name="_5686">#REF!</definedName>
    <definedName name="_5692">#REF!</definedName>
    <definedName name="_5695">#REF!</definedName>
    <definedName name="_5701">#REF!</definedName>
    <definedName name="_5704">#REF!</definedName>
    <definedName name="_571">#REF!</definedName>
    <definedName name="_5710">#REF!</definedName>
    <definedName name="_5713">#REF!</definedName>
    <definedName name="_5719">#REF!</definedName>
    <definedName name="_5722">#REF!</definedName>
    <definedName name="_5728">#REF!</definedName>
    <definedName name="_5731">#REF!</definedName>
    <definedName name="_5737">#REF!</definedName>
    <definedName name="_574">#REF!</definedName>
    <definedName name="_5740">#REF!</definedName>
    <definedName name="_5746">#REF!</definedName>
    <definedName name="_5749">#REF!</definedName>
    <definedName name="_5755">#REF!</definedName>
    <definedName name="_5758">#REF!</definedName>
    <definedName name="_5764">#REF!</definedName>
    <definedName name="_5767">#REF!</definedName>
    <definedName name="_5773">#REF!</definedName>
    <definedName name="_5776">#REF!</definedName>
    <definedName name="_5782">#REF!</definedName>
    <definedName name="_5785">#REF!</definedName>
    <definedName name="_5791">#REF!</definedName>
    <definedName name="_5794">#REF!</definedName>
    <definedName name="_58">#REF!</definedName>
    <definedName name="_580">#REF!</definedName>
    <definedName name="_5800">#REF!</definedName>
    <definedName name="_5803">#REF!</definedName>
    <definedName name="_5809">#REF!</definedName>
    <definedName name="_5812">#REF!</definedName>
    <definedName name="_5818">#REF!</definedName>
    <definedName name="_5821">#REF!</definedName>
    <definedName name="_5827">#REF!</definedName>
    <definedName name="_583">#REF!</definedName>
    <definedName name="_5830">#REF!</definedName>
    <definedName name="_5836">#REF!</definedName>
    <definedName name="_5839">#REF!</definedName>
    <definedName name="_5845">#REF!</definedName>
    <definedName name="_5848">#REF!</definedName>
    <definedName name="_5854">#REF!</definedName>
    <definedName name="_5857">#REF!</definedName>
    <definedName name="_5863">#REF!</definedName>
    <definedName name="_5866">#REF!</definedName>
    <definedName name="_5872">#REF!</definedName>
    <definedName name="_5875">#REF!</definedName>
    <definedName name="_5881">#REF!</definedName>
    <definedName name="_5884">#REF!</definedName>
    <definedName name="_589">#REF!</definedName>
    <definedName name="_5890">#REF!</definedName>
    <definedName name="_5893">#REF!</definedName>
    <definedName name="_5899">#REF!</definedName>
    <definedName name="_5902">#REF!</definedName>
    <definedName name="_5908">#REF!</definedName>
    <definedName name="_5911">#REF!</definedName>
    <definedName name="_5917">#REF!</definedName>
    <definedName name="_592">#REF!</definedName>
    <definedName name="_5920">#REF!</definedName>
    <definedName name="_5926">#REF!</definedName>
    <definedName name="_5929">#REF!</definedName>
    <definedName name="_5935">#REF!</definedName>
    <definedName name="_5938">#REF!</definedName>
    <definedName name="_5944">#REF!</definedName>
    <definedName name="_5947">#REF!</definedName>
    <definedName name="_5953">#REF!</definedName>
    <definedName name="_5956">#REF!</definedName>
    <definedName name="_5962">#REF!</definedName>
    <definedName name="_5965">#REF!</definedName>
    <definedName name="_5971">#REF!</definedName>
    <definedName name="_5974">#REF!</definedName>
    <definedName name="_598">#REF!</definedName>
    <definedName name="_5980">#REF!</definedName>
    <definedName name="_5983">#REF!</definedName>
    <definedName name="_5989">#REF!</definedName>
    <definedName name="_5992">#REF!</definedName>
    <definedName name="_5998">#REF!</definedName>
    <definedName name="_6001">#REF!</definedName>
    <definedName name="_6007">#REF!</definedName>
    <definedName name="_601">#REF!</definedName>
    <definedName name="_6010">#REF!</definedName>
    <definedName name="_6016">#REF!</definedName>
    <definedName name="_6019">#REF!</definedName>
    <definedName name="_6025">#REF!</definedName>
    <definedName name="_6028">#REF!</definedName>
    <definedName name="_6034">#REF!</definedName>
    <definedName name="_6037">#REF!</definedName>
    <definedName name="_6043">#REF!</definedName>
    <definedName name="_6046">#REF!</definedName>
    <definedName name="_6052">#REF!</definedName>
    <definedName name="_6055">#REF!</definedName>
    <definedName name="_6061">#REF!</definedName>
    <definedName name="_6064">#REF!</definedName>
    <definedName name="_607">#REF!</definedName>
    <definedName name="_6070">#REF!</definedName>
    <definedName name="_6073">#REF!</definedName>
    <definedName name="_6079">#REF!</definedName>
    <definedName name="_6082">#REF!</definedName>
    <definedName name="_6088">#REF!</definedName>
    <definedName name="_6091">#REF!</definedName>
    <definedName name="_6097">#REF!</definedName>
    <definedName name="_61">#REF!</definedName>
    <definedName name="_610">#REF!</definedName>
    <definedName name="_6100">#REF!</definedName>
    <definedName name="_6106">#REF!</definedName>
    <definedName name="_6109">#REF!</definedName>
    <definedName name="_6115">#REF!</definedName>
    <definedName name="_6118">#REF!</definedName>
    <definedName name="_6124">#REF!</definedName>
    <definedName name="_6127">#REF!</definedName>
    <definedName name="_6133">#REF!</definedName>
    <definedName name="_6136">#REF!</definedName>
    <definedName name="_6142">#REF!</definedName>
    <definedName name="_6145">#REF!</definedName>
    <definedName name="_6151">#REF!</definedName>
    <definedName name="_6154">#REF!</definedName>
    <definedName name="_616">#REF!</definedName>
    <definedName name="_6160">#REF!</definedName>
    <definedName name="_6163">#REF!</definedName>
    <definedName name="_6169">#REF!</definedName>
    <definedName name="_6172">#REF!</definedName>
    <definedName name="_6178">#REF!</definedName>
    <definedName name="_6181">#REF!</definedName>
    <definedName name="_6187">#REF!</definedName>
    <definedName name="_619">#REF!</definedName>
    <definedName name="_6190">#REF!</definedName>
    <definedName name="_6196">#REF!</definedName>
    <definedName name="_6199">#REF!</definedName>
    <definedName name="_6205">#REF!</definedName>
    <definedName name="_6208">#REF!</definedName>
    <definedName name="_6214">#REF!</definedName>
    <definedName name="_6217">#REF!</definedName>
    <definedName name="_6223">#REF!</definedName>
    <definedName name="_6226">#REF!</definedName>
    <definedName name="_6232">#REF!</definedName>
    <definedName name="_6235">#REF!</definedName>
    <definedName name="_6241">#REF!</definedName>
    <definedName name="_6244">#REF!</definedName>
    <definedName name="_625">#REF!</definedName>
    <definedName name="_6250">#REF!</definedName>
    <definedName name="_6253">#REF!</definedName>
    <definedName name="_6259">#REF!</definedName>
    <definedName name="_6262">#REF!</definedName>
    <definedName name="_6268">#REF!</definedName>
    <definedName name="_6271">#REF!</definedName>
    <definedName name="_6277">#REF!</definedName>
    <definedName name="_628">#REF!</definedName>
    <definedName name="_6280">#REF!</definedName>
    <definedName name="_6286">#REF!</definedName>
    <definedName name="_6289">#REF!</definedName>
    <definedName name="_6295">#REF!</definedName>
    <definedName name="_6298">#REF!</definedName>
    <definedName name="_6304">#REF!</definedName>
    <definedName name="_6307">#REF!</definedName>
    <definedName name="_6313">#REF!</definedName>
    <definedName name="_6316">#REF!</definedName>
    <definedName name="_6322">#REF!</definedName>
    <definedName name="_6325">#REF!</definedName>
    <definedName name="_6331">#REF!</definedName>
    <definedName name="_6334">#REF!</definedName>
    <definedName name="_634">#REF!</definedName>
    <definedName name="_6340">#REF!</definedName>
    <definedName name="_6343">#REF!</definedName>
    <definedName name="_6349">#REF!</definedName>
    <definedName name="_6352">#REF!</definedName>
    <definedName name="_6358">#REF!</definedName>
    <definedName name="_6361">#REF!</definedName>
    <definedName name="_6367">#REF!</definedName>
    <definedName name="_637">#REF!</definedName>
    <definedName name="_6370">#REF!</definedName>
    <definedName name="_6376">#REF!</definedName>
    <definedName name="_6379">#REF!</definedName>
    <definedName name="_6385">#REF!</definedName>
    <definedName name="_6388">#REF!</definedName>
    <definedName name="_6394">#REF!</definedName>
    <definedName name="_6397">#REF!</definedName>
    <definedName name="_6403">#REF!</definedName>
    <definedName name="_6406">#REF!</definedName>
    <definedName name="_6412">#REF!</definedName>
    <definedName name="_6415">#REF!</definedName>
    <definedName name="_6421">#REF!</definedName>
    <definedName name="_6424">#REF!</definedName>
    <definedName name="_643">#REF!</definedName>
    <definedName name="_6430">#REF!</definedName>
    <definedName name="_6433">#REF!</definedName>
    <definedName name="_6439">#REF!</definedName>
    <definedName name="_644">#REF!</definedName>
    <definedName name="_6442">#REF!</definedName>
    <definedName name="_6448">#REF!</definedName>
    <definedName name="_6451">#REF!</definedName>
    <definedName name="_6457">#REF!</definedName>
    <definedName name="_646">#REF!</definedName>
    <definedName name="_6460">#REF!</definedName>
    <definedName name="_6466">#REF!</definedName>
    <definedName name="_6469">#REF!</definedName>
    <definedName name="_6475">#REF!</definedName>
    <definedName name="_6478">#REF!</definedName>
    <definedName name="_6484">#REF!</definedName>
    <definedName name="_6487">#REF!</definedName>
    <definedName name="_6493">#REF!</definedName>
    <definedName name="_6496">#REF!</definedName>
    <definedName name="_65">#REF!</definedName>
    <definedName name="_6502">#REF!</definedName>
    <definedName name="_6505">#REF!</definedName>
    <definedName name="_6511">#REF!</definedName>
    <definedName name="_6514">#REF!</definedName>
    <definedName name="_652">#REF!</definedName>
    <definedName name="_6520">#REF!</definedName>
    <definedName name="_6523">#REF!</definedName>
    <definedName name="_6529">#REF!</definedName>
    <definedName name="_6532">#REF!</definedName>
    <definedName name="_6538">#REF!</definedName>
    <definedName name="_6541">#REF!</definedName>
    <definedName name="_6547">#REF!</definedName>
    <definedName name="_655">#REF!</definedName>
    <definedName name="_6550">#REF!</definedName>
    <definedName name="_6556">#REF!</definedName>
    <definedName name="_6559">#REF!</definedName>
    <definedName name="_6565">#REF!</definedName>
    <definedName name="_6568">#REF!</definedName>
    <definedName name="_6574">#REF!</definedName>
    <definedName name="_6577">#REF!</definedName>
    <definedName name="_6583">#REF!</definedName>
    <definedName name="_6586">#REF!</definedName>
    <definedName name="_6592">#REF!</definedName>
    <definedName name="_6595">#REF!</definedName>
    <definedName name="_6601">#REF!</definedName>
    <definedName name="_6604">#REF!</definedName>
    <definedName name="_661">#REF!</definedName>
    <definedName name="_6610">#REF!</definedName>
    <definedName name="_6613">#REF!</definedName>
    <definedName name="_6619">#REF!</definedName>
    <definedName name="_6622">#REF!</definedName>
    <definedName name="_6628">#REF!</definedName>
    <definedName name="_6631">#REF!</definedName>
    <definedName name="_6637">#REF!</definedName>
    <definedName name="_664">#REF!</definedName>
    <definedName name="_6640">#REF!</definedName>
    <definedName name="_6646">#REF!</definedName>
    <definedName name="_6649">#REF!</definedName>
    <definedName name="_6655">#REF!</definedName>
    <definedName name="_6658">#REF!</definedName>
    <definedName name="_6664">#REF!</definedName>
    <definedName name="_6667">#REF!</definedName>
    <definedName name="_6673">#REF!</definedName>
    <definedName name="_6676">#REF!</definedName>
    <definedName name="_6682">#REF!</definedName>
    <definedName name="_6685">#REF!</definedName>
    <definedName name="_6691">#REF!</definedName>
    <definedName name="_6694">#REF!</definedName>
    <definedName name="_67">#REF!</definedName>
    <definedName name="_670">#REF!</definedName>
    <definedName name="_6700">#REF!</definedName>
    <definedName name="_6703">#REF!</definedName>
    <definedName name="_6709">#REF!</definedName>
    <definedName name="_6712">#REF!</definedName>
    <definedName name="_6718">#REF!</definedName>
    <definedName name="_6721">#REF!</definedName>
    <definedName name="_6727">#REF!</definedName>
    <definedName name="_673">#REF!</definedName>
    <definedName name="_6730">#REF!</definedName>
    <definedName name="_6736">#REF!</definedName>
    <definedName name="_6739">#REF!</definedName>
    <definedName name="_6745">#REF!</definedName>
    <definedName name="_6748">#REF!</definedName>
    <definedName name="_6754">#REF!</definedName>
    <definedName name="_6757">#REF!</definedName>
    <definedName name="_6763">#REF!</definedName>
    <definedName name="_6766">#REF!</definedName>
    <definedName name="_6772">#REF!</definedName>
    <definedName name="_6775">#REF!</definedName>
    <definedName name="_6781">#REF!</definedName>
    <definedName name="_6784">#REF!</definedName>
    <definedName name="_679">#REF!</definedName>
    <definedName name="_6790">#REF!</definedName>
    <definedName name="_6793">#REF!</definedName>
    <definedName name="_6799">#REF!</definedName>
    <definedName name="_6802">#REF!</definedName>
    <definedName name="_6808">#REF!</definedName>
    <definedName name="_6811">#REF!</definedName>
    <definedName name="_6817">#REF!</definedName>
    <definedName name="_682">#REF!</definedName>
    <definedName name="_6820">#REF!</definedName>
    <definedName name="_6826">#REF!</definedName>
    <definedName name="_6829">#REF!</definedName>
    <definedName name="_6835">#REF!</definedName>
    <definedName name="_6838">#REF!</definedName>
    <definedName name="_6844">#REF!</definedName>
    <definedName name="_6847">#REF!</definedName>
    <definedName name="_6853">#REF!</definedName>
    <definedName name="_6856">#REF!</definedName>
    <definedName name="_6862">#REF!</definedName>
    <definedName name="_6865">#REF!</definedName>
    <definedName name="_6871">#REF!</definedName>
    <definedName name="_6874">#REF!</definedName>
    <definedName name="_688">#REF!</definedName>
    <definedName name="_6880">#REF!</definedName>
    <definedName name="_6883">#REF!</definedName>
    <definedName name="_6889">#REF!</definedName>
    <definedName name="_6892">#REF!</definedName>
    <definedName name="_6898">#REF!</definedName>
    <definedName name="_6901">#REF!</definedName>
    <definedName name="_6907">#REF!</definedName>
    <definedName name="_691">#REF!</definedName>
    <definedName name="_6910">#REF!</definedName>
    <definedName name="_6916">#REF!</definedName>
    <definedName name="_6919">#REF!</definedName>
    <definedName name="_6925">#REF!</definedName>
    <definedName name="_6928">#REF!</definedName>
    <definedName name="_6934">#REF!</definedName>
    <definedName name="_6937">#REF!</definedName>
    <definedName name="_6943">#REF!</definedName>
    <definedName name="_6946">#REF!</definedName>
    <definedName name="_6952">#REF!</definedName>
    <definedName name="_6955">#REF!</definedName>
    <definedName name="_6961">#REF!</definedName>
    <definedName name="_6964">#REF!</definedName>
    <definedName name="_697">#REF!</definedName>
    <definedName name="_6970">#REF!</definedName>
    <definedName name="_6973">#REF!</definedName>
    <definedName name="_6979">#REF!</definedName>
    <definedName name="_6982">#REF!</definedName>
    <definedName name="_6988">#REF!</definedName>
    <definedName name="_6991">#REF!</definedName>
    <definedName name="_6997">#REF!</definedName>
    <definedName name="_70">#REF!</definedName>
    <definedName name="_700">#REF!</definedName>
    <definedName name="_7000">#REF!</definedName>
    <definedName name="_7006">#REF!</definedName>
    <definedName name="_7009">#REF!</definedName>
    <definedName name="_7015">#REF!</definedName>
    <definedName name="_7018">#REF!</definedName>
    <definedName name="_7024">#REF!</definedName>
    <definedName name="_7027">#REF!</definedName>
    <definedName name="_7033">#REF!</definedName>
    <definedName name="_7036">#REF!</definedName>
    <definedName name="_7042">#REF!</definedName>
    <definedName name="_7045">#REF!</definedName>
    <definedName name="_7051">#REF!</definedName>
    <definedName name="_7054">#REF!</definedName>
    <definedName name="_706">#REF!</definedName>
    <definedName name="_7060">#REF!</definedName>
    <definedName name="_7063">#REF!</definedName>
    <definedName name="_7069">#REF!</definedName>
    <definedName name="_7072">#REF!</definedName>
    <definedName name="_7078">#REF!</definedName>
    <definedName name="_7081">#REF!</definedName>
    <definedName name="_7087">#REF!</definedName>
    <definedName name="_709">#REF!</definedName>
    <definedName name="_7090">#REF!</definedName>
    <definedName name="_7096">#REF!</definedName>
    <definedName name="_7099">#REF!</definedName>
    <definedName name="_7105">#REF!</definedName>
    <definedName name="_7108">#REF!</definedName>
    <definedName name="_7114">#REF!</definedName>
    <definedName name="_7117">#REF!</definedName>
    <definedName name="_7123">#REF!</definedName>
    <definedName name="_7126">#REF!</definedName>
    <definedName name="_7132">#REF!</definedName>
    <definedName name="_7135">#REF!</definedName>
    <definedName name="_7141">#REF!</definedName>
    <definedName name="_7144">#REF!</definedName>
    <definedName name="_715">#REF!</definedName>
    <definedName name="_7150">#REF!</definedName>
    <definedName name="_7153">#REF!</definedName>
    <definedName name="_7159">#REF!</definedName>
    <definedName name="_7162">#REF!</definedName>
    <definedName name="_7168">#REF!</definedName>
    <definedName name="_7171">#REF!</definedName>
    <definedName name="_7177">#REF!</definedName>
    <definedName name="_718">#REF!</definedName>
    <definedName name="_7180">#REF!</definedName>
    <definedName name="_7186">#REF!</definedName>
    <definedName name="_7189">#REF!</definedName>
    <definedName name="_7195">#REF!</definedName>
    <definedName name="_7198">#REF!</definedName>
    <definedName name="_7204">#REF!</definedName>
    <definedName name="_7207">#REF!</definedName>
    <definedName name="_7213">#REF!</definedName>
    <definedName name="_7216">#REF!</definedName>
    <definedName name="_7222">#REF!</definedName>
    <definedName name="_7225">#REF!</definedName>
    <definedName name="_7231">#REF!</definedName>
    <definedName name="_7234">#REF!</definedName>
    <definedName name="_724">#REF!</definedName>
    <definedName name="_7240">#REF!</definedName>
    <definedName name="_7243">#REF!</definedName>
    <definedName name="_7249">#REF!</definedName>
    <definedName name="_7252">#REF!</definedName>
    <definedName name="_7258">#REF!</definedName>
    <definedName name="_7261">#REF!</definedName>
    <definedName name="_7267">#REF!</definedName>
    <definedName name="_727">#REF!</definedName>
    <definedName name="_7270">#REF!</definedName>
    <definedName name="_7276">#REF!</definedName>
    <definedName name="_7279">#REF!</definedName>
    <definedName name="_7285">#REF!</definedName>
    <definedName name="_7288">#REF!</definedName>
    <definedName name="_7294">#REF!</definedName>
    <definedName name="_7297">#REF!</definedName>
    <definedName name="_7303">#REF!</definedName>
    <definedName name="_7306">#REF!</definedName>
    <definedName name="_7312">#REF!</definedName>
    <definedName name="_7315">#REF!</definedName>
    <definedName name="_7321">#REF!</definedName>
    <definedName name="_7324">#REF!</definedName>
    <definedName name="_733">#REF!</definedName>
    <definedName name="_7330">#REF!</definedName>
    <definedName name="_7333">#REF!</definedName>
    <definedName name="_7339">#REF!</definedName>
    <definedName name="_7342">#REF!</definedName>
    <definedName name="_7348">#REF!</definedName>
    <definedName name="_7351">#REF!</definedName>
    <definedName name="_7357">#REF!</definedName>
    <definedName name="_736">#REF!</definedName>
    <definedName name="_7360">#REF!</definedName>
    <definedName name="_7366">#REF!</definedName>
    <definedName name="_7369">#REF!</definedName>
    <definedName name="_7375">#REF!</definedName>
    <definedName name="_7378">#REF!</definedName>
    <definedName name="_7384">#REF!</definedName>
    <definedName name="_7387">#REF!</definedName>
    <definedName name="_7393">#REF!</definedName>
    <definedName name="_7396">#REF!</definedName>
    <definedName name="_7402">#REF!</definedName>
    <definedName name="_7405">#REF!</definedName>
    <definedName name="_7411">#REF!</definedName>
    <definedName name="_7414">#REF!</definedName>
    <definedName name="_742">#REF!</definedName>
    <definedName name="_7420">#REF!</definedName>
    <definedName name="_7423">#REF!</definedName>
    <definedName name="_7429">#REF!</definedName>
    <definedName name="_7432">#REF!</definedName>
    <definedName name="_7438">#REF!</definedName>
    <definedName name="_7441">#REF!</definedName>
    <definedName name="_7447">#REF!</definedName>
    <definedName name="_745">#REF!</definedName>
    <definedName name="_7450">#REF!</definedName>
    <definedName name="_7456">#REF!</definedName>
    <definedName name="_7459">#REF!</definedName>
    <definedName name="_7465">#REF!</definedName>
    <definedName name="_7468">#REF!</definedName>
    <definedName name="_7474">#REF!</definedName>
    <definedName name="_7477">#REF!</definedName>
    <definedName name="_7483">#REF!</definedName>
    <definedName name="_7486">#REF!</definedName>
    <definedName name="_7492">#REF!</definedName>
    <definedName name="_7495">#REF!</definedName>
    <definedName name="_7501">#REF!</definedName>
    <definedName name="_7504">#REF!</definedName>
    <definedName name="_751">#REF!</definedName>
    <definedName name="_7510">#REF!</definedName>
    <definedName name="_7513">#REF!</definedName>
    <definedName name="_7519">#REF!</definedName>
    <definedName name="_7522">#REF!</definedName>
    <definedName name="_7528">#REF!</definedName>
    <definedName name="_7531">#REF!</definedName>
    <definedName name="_7537">#REF!</definedName>
    <definedName name="_754">#REF!</definedName>
    <definedName name="_7540">#REF!</definedName>
    <definedName name="_7546">#REF!</definedName>
    <definedName name="_7549">#REF!</definedName>
    <definedName name="_7555">#REF!</definedName>
    <definedName name="_7558">#REF!</definedName>
    <definedName name="_7564">#REF!</definedName>
    <definedName name="_7567">#REF!</definedName>
    <definedName name="_7573">#REF!</definedName>
    <definedName name="_7576">#REF!</definedName>
    <definedName name="_7582">#REF!</definedName>
    <definedName name="_7585">#REF!</definedName>
    <definedName name="_7591">#REF!</definedName>
    <definedName name="_7594">#REF!</definedName>
    <definedName name="_76">#REF!</definedName>
    <definedName name="_760">#REF!</definedName>
    <definedName name="_7600">#REF!</definedName>
    <definedName name="_7603">#REF!</definedName>
    <definedName name="_7609">#REF!</definedName>
    <definedName name="_7612">#REF!</definedName>
    <definedName name="_7618">#REF!</definedName>
    <definedName name="_7621">#REF!</definedName>
    <definedName name="_7627">#REF!</definedName>
    <definedName name="_763">#REF!</definedName>
    <definedName name="_7630">#REF!</definedName>
    <definedName name="_7636">#REF!</definedName>
    <definedName name="_7639">#REF!</definedName>
    <definedName name="_7645">#REF!</definedName>
    <definedName name="_7648">#REF!</definedName>
    <definedName name="_7654">#REF!</definedName>
    <definedName name="_7657">#REF!</definedName>
    <definedName name="_7663">#REF!</definedName>
    <definedName name="_7666">#REF!</definedName>
    <definedName name="_7672">#REF!</definedName>
    <definedName name="_7675">#REF!</definedName>
    <definedName name="_7681">#REF!</definedName>
    <definedName name="_7684">#REF!</definedName>
    <definedName name="_769">#REF!</definedName>
    <definedName name="_7690">#REF!</definedName>
    <definedName name="_7693">#REF!</definedName>
    <definedName name="_7699">#REF!</definedName>
    <definedName name="_7702">#REF!</definedName>
    <definedName name="_7708">#REF!</definedName>
    <definedName name="_7711">#REF!</definedName>
    <definedName name="_7717">#REF!</definedName>
    <definedName name="_772">#REF!</definedName>
    <definedName name="_7720">#REF!</definedName>
    <definedName name="_7726">#REF!</definedName>
    <definedName name="_7729">#REF!</definedName>
    <definedName name="_7735">#REF!</definedName>
    <definedName name="_7738">#REF!</definedName>
    <definedName name="_7744">#REF!</definedName>
    <definedName name="_7747">#REF!</definedName>
    <definedName name="_7753">#REF!</definedName>
    <definedName name="_7756">#REF!</definedName>
    <definedName name="_7762">#REF!</definedName>
    <definedName name="_7765">#REF!</definedName>
    <definedName name="_7771">#REF!</definedName>
    <definedName name="_7774">#REF!</definedName>
    <definedName name="_778">#REF!</definedName>
    <definedName name="_7780">#REF!</definedName>
    <definedName name="_7783">#REF!</definedName>
    <definedName name="_7789">#REF!</definedName>
    <definedName name="_7792">#REF!</definedName>
    <definedName name="_7798">#REF!</definedName>
    <definedName name="_7801">#REF!</definedName>
    <definedName name="_7807">#REF!</definedName>
    <definedName name="_781">#REF!</definedName>
    <definedName name="_7810">#REF!</definedName>
    <definedName name="_7816">#REF!</definedName>
    <definedName name="_7819">#REF!</definedName>
    <definedName name="_7825">#REF!</definedName>
    <definedName name="_7828">#REF!</definedName>
    <definedName name="_7834">#REF!</definedName>
    <definedName name="_7837">#REF!</definedName>
    <definedName name="_7843">#REF!</definedName>
    <definedName name="_7846">#REF!</definedName>
    <definedName name="_7852">#REF!</definedName>
    <definedName name="_7855">#REF!</definedName>
    <definedName name="_7861">#REF!</definedName>
    <definedName name="_7864">#REF!</definedName>
    <definedName name="_787">#REF!</definedName>
    <definedName name="_7870">#REF!</definedName>
    <definedName name="_7873">#REF!</definedName>
    <definedName name="_7879">#REF!</definedName>
    <definedName name="_7882">#REF!</definedName>
    <definedName name="_7888">#REF!</definedName>
    <definedName name="_7891">#REF!</definedName>
    <definedName name="_7897">#REF!</definedName>
    <definedName name="_79">#REF!</definedName>
    <definedName name="_790">#REF!</definedName>
    <definedName name="_7900">#REF!</definedName>
    <definedName name="_7906">#REF!</definedName>
    <definedName name="_7909">#REF!</definedName>
    <definedName name="_7915">#REF!</definedName>
    <definedName name="_7918">#REF!</definedName>
    <definedName name="_7924">#REF!</definedName>
    <definedName name="_7927">#REF!</definedName>
    <definedName name="_7933">#REF!</definedName>
    <definedName name="_7936">#REF!</definedName>
    <definedName name="_7942">#REF!</definedName>
    <definedName name="_7945">#REF!</definedName>
    <definedName name="_7951">#REF!</definedName>
    <definedName name="_7954">#REF!</definedName>
    <definedName name="_796">#REF!</definedName>
    <definedName name="_7960">#REF!</definedName>
    <definedName name="_7963">#REF!</definedName>
    <definedName name="_7969">#REF!</definedName>
    <definedName name="_7972">#REF!</definedName>
    <definedName name="_7978">#REF!</definedName>
    <definedName name="_7981">#REF!</definedName>
    <definedName name="_7987">#REF!</definedName>
    <definedName name="_799">#REF!</definedName>
    <definedName name="_7990">#REF!</definedName>
    <definedName name="_7996">#REF!</definedName>
    <definedName name="_7999">#REF!</definedName>
    <definedName name="_8005">#REF!</definedName>
    <definedName name="_8008">#REF!</definedName>
    <definedName name="_8014">#REF!</definedName>
    <definedName name="_8017">#REF!</definedName>
    <definedName name="_8023">#REF!</definedName>
    <definedName name="_8026">#REF!</definedName>
    <definedName name="_8032">#REF!</definedName>
    <definedName name="_8035">#REF!</definedName>
    <definedName name="_8041">#REF!</definedName>
    <definedName name="_8044">#REF!</definedName>
    <definedName name="_805">#REF!</definedName>
    <definedName name="_8050">#REF!</definedName>
    <definedName name="_8053">#REF!</definedName>
    <definedName name="_8059">#REF!</definedName>
    <definedName name="_8062">#REF!</definedName>
    <definedName name="_8068">#REF!</definedName>
    <definedName name="_8071">#REF!</definedName>
    <definedName name="_8077">#REF!</definedName>
    <definedName name="_808">#REF!</definedName>
    <definedName name="_8080">#REF!</definedName>
    <definedName name="_8086">#REF!</definedName>
    <definedName name="_8089">#REF!</definedName>
    <definedName name="_8095">#REF!</definedName>
    <definedName name="_8098">#REF!</definedName>
    <definedName name="_8104">#REF!</definedName>
    <definedName name="_8107">#REF!</definedName>
    <definedName name="_8113">#REF!</definedName>
    <definedName name="_8116">#REF!</definedName>
    <definedName name="_8122">#REF!</definedName>
    <definedName name="_8125">#REF!</definedName>
    <definedName name="_8131">#REF!</definedName>
    <definedName name="_8134">#REF!</definedName>
    <definedName name="_814">#REF!</definedName>
    <definedName name="_8140">#REF!</definedName>
    <definedName name="_8143">#REF!</definedName>
    <definedName name="_8149">#REF!</definedName>
    <definedName name="_8152">#REF!</definedName>
    <definedName name="_8158">#REF!</definedName>
    <definedName name="_8161">#REF!</definedName>
    <definedName name="_8167">#REF!</definedName>
    <definedName name="_817">#REF!</definedName>
    <definedName name="_8170">#REF!</definedName>
    <definedName name="_8176">#REF!</definedName>
    <definedName name="_8179">#REF!</definedName>
    <definedName name="_8185">#REF!</definedName>
    <definedName name="_8188">#REF!</definedName>
    <definedName name="_8194">#REF!</definedName>
    <definedName name="_8197">#REF!</definedName>
    <definedName name="_8203">#REF!</definedName>
    <definedName name="_8206">#REF!</definedName>
    <definedName name="_8212">#REF!</definedName>
    <definedName name="_8215">#REF!</definedName>
    <definedName name="_8221">#REF!</definedName>
    <definedName name="_8224">#REF!</definedName>
    <definedName name="_823">#REF!</definedName>
    <definedName name="_8230">#REF!</definedName>
    <definedName name="_8233">#REF!</definedName>
    <definedName name="_8239">#REF!</definedName>
    <definedName name="_8242">#REF!</definedName>
    <definedName name="_8248">#REF!</definedName>
    <definedName name="_8251">#REF!</definedName>
    <definedName name="_8257">#REF!</definedName>
    <definedName name="_826">#REF!</definedName>
    <definedName name="_8260">#REF!</definedName>
    <definedName name="_8266">#REF!</definedName>
    <definedName name="_8269">#REF!</definedName>
    <definedName name="_8275">#REF!</definedName>
    <definedName name="_8278">#REF!</definedName>
    <definedName name="_8284">#REF!</definedName>
    <definedName name="_8287">#REF!</definedName>
    <definedName name="_8293">#REF!</definedName>
    <definedName name="_8296">#REF!</definedName>
    <definedName name="_8302">#REF!</definedName>
    <definedName name="_8305">#REF!</definedName>
    <definedName name="_8311">#REF!</definedName>
    <definedName name="_8314">#REF!</definedName>
    <definedName name="_832">#REF!</definedName>
    <definedName name="_8320">#REF!</definedName>
    <definedName name="_8323">#REF!</definedName>
    <definedName name="_8329">#REF!</definedName>
    <definedName name="_8332">#REF!</definedName>
    <definedName name="_8338">#REF!</definedName>
    <definedName name="_8341">#REF!</definedName>
    <definedName name="_8347">#REF!</definedName>
    <definedName name="_835">#REF!</definedName>
    <definedName name="_8350">#REF!</definedName>
    <definedName name="_8356">#REF!</definedName>
    <definedName name="_8359">#REF!</definedName>
    <definedName name="_8365">#REF!</definedName>
    <definedName name="_8368">#REF!</definedName>
    <definedName name="_8374">#REF!</definedName>
    <definedName name="_8377">#REF!</definedName>
    <definedName name="_8383">#REF!</definedName>
    <definedName name="_8386">#REF!</definedName>
    <definedName name="_8392">#REF!</definedName>
    <definedName name="_8395">#REF!</definedName>
    <definedName name="_8401">#REF!</definedName>
    <definedName name="_8404">#REF!</definedName>
    <definedName name="_841">#REF!</definedName>
    <definedName name="_8410">#REF!</definedName>
    <definedName name="_8413">#REF!</definedName>
    <definedName name="_8419">#REF!</definedName>
    <definedName name="_8422">#REF!</definedName>
    <definedName name="_8428">#REF!</definedName>
    <definedName name="_8431">#REF!</definedName>
    <definedName name="_8437">#REF!</definedName>
    <definedName name="_844">#REF!</definedName>
    <definedName name="_8440">#REF!</definedName>
    <definedName name="_8446">#REF!</definedName>
    <definedName name="_8449">#REF!</definedName>
    <definedName name="_8455">#REF!</definedName>
    <definedName name="_8458">#REF!</definedName>
    <definedName name="_8464">#REF!</definedName>
    <definedName name="_8467">#REF!</definedName>
    <definedName name="_8473">#REF!</definedName>
    <definedName name="_8476">#REF!</definedName>
    <definedName name="_8482">#REF!</definedName>
    <definedName name="_8485">#REF!</definedName>
    <definedName name="_8491">#REF!</definedName>
    <definedName name="_8494">#REF!</definedName>
    <definedName name="_85">#REF!</definedName>
    <definedName name="_850">#REF!</definedName>
    <definedName name="_8500">#REF!</definedName>
    <definedName name="_8503">#REF!</definedName>
    <definedName name="_8509">#REF!</definedName>
    <definedName name="_8512">#REF!</definedName>
    <definedName name="_8518">#REF!</definedName>
    <definedName name="_8521">#REF!</definedName>
    <definedName name="_8527">#REF!</definedName>
    <definedName name="_853">#REF!</definedName>
    <definedName name="_8530">#REF!</definedName>
    <definedName name="_8536">#REF!</definedName>
    <definedName name="_8539">#REF!</definedName>
    <definedName name="_8545">#REF!</definedName>
    <definedName name="_8548">#REF!</definedName>
    <definedName name="_8554">#REF!</definedName>
    <definedName name="_8557">#REF!</definedName>
    <definedName name="_8563">#REF!</definedName>
    <definedName name="_8566">#REF!</definedName>
    <definedName name="_8572">#REF!</definedName>
    <definedName name="_8575">#REF!</definedName>
    <definedName name="_8581">#REF!</definedName>
    <definedName name="_8584">#REF!</definedName>
    <definedName name="_859">#REF!</definedName>
    <definedName name="_8590">#REF!</definedName>
    <definedName name="_8593">#REF!</definedName>
    <definedName name="_8599">#REF!</definedName>
    <definedName name="_8602">#REF!</definedName>
    <definedName name="_8608">#REF!</definedName>
    <definedName name="_8611">#REF!</definedName>
    <definedName name="_8617">#REF!</definedName>
    <definedName name="_862">#REF!</definedName>
    <definedName name="_8620">#REF!</definedName>
    <definedName name="_8626">#REF!</definedName>
    <definedName name="_8629">#REF!</definedName>
    <definedName name="_8635">#REF!</definedName>
    <definedName name="_8638">#REF!</definedName>
    <definedName name="_8644">#REF!</definedName>
    <definedName name="_8647">#REF!</definedName>
    <definedName name="_8653">#REF!</definedName>
    <definedName name="_8656">#REF!</definedName>
    <definedName name="_8662">#REF!</definedName>
    <definedName name="_8665">#REF!</definedName>
    <definedName name="_8671">#REF!</definedName>
    <definedName name="_8674">#REF!</definedName>
    <definedName name="_868">#REF!</definedName>
    <definedName name="_8680">#REF!</definedName>
    <definedName name="_8683">#REF!</definedName>
    <definedName name="_8689">#REF!</definedName>
    <definedName name="_8692">#REF!</definedName>
    <definedName name="_8698">#REF!</definedName>
    <definedName name="_8701">#REF!</definedName>
    <definedName name="_8707">#REF!</definedName>
    <definedName name="_871">#REF!</definedName>
    <definedName name="_8710">#REF!</definedName>
    <definedName name="_8716">#REF!</definedName>
    <definedName name="_8719">#REF!</definedName>
    <definedName name="_8725">#REF!</definedName>
    <definedName name="_8728">#REF!</definedName>
    <definedName name="_8734">#REF!</definedName>
    <definedName name="_8737">#REF!</definedName>
    <definedName name="_8743">#REF!</definedName>
    <definedName name="_8746">#REF!</definedName>
    <definedName name="_8752">#REF!</definedName>
    <definedName name="_8755">#REF!</definedName>
    <definedName name="_8761">#REF!</definedName>
    <definedName name="_8764">#REF!</definedName>
    <definedName name="_877">#REF!</definedName>
    <definedName name="_8770">#REF!</definedName>
    <definedName name="_8773">#REF!</definedName>
    <definedName name="_8779">#REF!</definedName>
    <definedName name="_8782">#REF!</definedName>
    <definedName name="_8788">#REF!</definedName>
    <definedName name="_8791">#REF!</definedName>
    <definedName name="_8797">#REF!</definedName>
    <definedName name="_88">#REF!</definedName>
    <definedName name="_880">#REF!</definedName>
    <definedName name="_8800">#REF!</definedName>
    <definedName name="_8806">#REF!</definedName>
    <definedName name="_8809">#REF!</definedName>
    <definedName name="_8815">#REF!</definedName>
    <definedName name="_8818">#REF!</definedName>
    <definedName name="_8824">#REF!</definedName>
    <definedName name="_8827">#REF!</definedName>
    <definedName name="_8833">#REF!</definedName>
    <definedName name="_8836">#REF!</definedName>
    <definedName name="_8842">#REF!</definedName>
    <definedName name="_8845">#REF!</definedName>
    <definedName name="_8851">#REF!</definedName>
    <definedName name="_8854">#REF!</definedName>
    <definedName name="_886">#REF!</definedName>
    <definedName name="_8860">#REF!</definedName>
    <definedName name="_8863">#REF!</definedName>
    <definedName name="_8869">#REF!</definedName>
    <definedName name="_8872">#REF!</definedName>
    <definedName name="_8878">#REF!</definedName>
    <definedName name="_8881">#REF!</definedName>
    <definedName name="_8887">#REF!</definedName>
    <definedName name="_889">#REF!</definedName>
    <definedName name="_8890">#REF!</definedName>
    <definedName name="_8896">#REF!</definedName>
    <definedName name="_8899">#REF!</definedName>
    <definedName name="_8905">#REF!</definedName>
    <definedName name="_8908">#REF!</definedName>
    <definedName name="_8914">#REF!</definedName>
    <definedName name="_8917">#REF!</definedName>
    <definedName name="_8923">#REF!</definedName>
    <definedName name="_8926">#REF!</definedName>
    <definedName name="_8932">#REF!</definedName>
    <definedName name="_8935">#REF!</definedName>
    <definedName name="_8941">#REF!</definedName>
    <definedName name="_8944">#REF!</definedName>
    <definedName name="_895">#REF!</definedName>
    <definedName name="_8950">#REF!</definedName>
    <definedName name="_8953">#REF!</definedName>
    <definedName name="_8959">#REF!</definedName>
    <definedName name="_8962">#REF!</definedName>
    <definedName name="_8968">#REF!</definedName>
    <definedName name="_8971">#REF!</definedName>
    <definedName name="_8977">#REF!</definedName>
    <definedName name="_898">#REF!</definedName>
    <definedName name="_8980">#REF!</definedName>
    <definedName name="_8986">#REF!</definedName>
    <definedName name="_8989">#REF!</definedName>
    <definedName name="_8995">#REF!</definedName>
    <definedName name="_8998">#REF!</definedName>
    <definedName name="_9004">#REF!</definedName>
    <definedName name="_9007">#REF!</definedName>
    <definedName name="_9013">#REF!</definedName>
    <definedName name="_9016">#REF!</definedName>
    <definedName name="_9022">#REF!</definedName>
    <definedName name="_9025">#REF!</definedName>
    <definedName name="_9031">#REF!</definedName>
    <definedName name="_9034">#REF!</definedName>
    <definedName name="_904">#REF!</definedName>
    <definedName name="_9040">#REF!</definedName>
    <definedName name="_9043">#REF!</definedName>
    <definedName name="_9049">#REF!</definedName>
    <definedName name="_9052">#REF!</definedName>
    <definedName name="_9058">#REF!</definedName>
    <definedName name="_9061">#REF!</definedName>
    <definedName name="_9067">#REF!</definedName>
    <definedName name="_907">#REF!</definedName>
    <definedName name="_9070">#REF!</definedName>
    <definedName name="_9076">#REF!</definedName>
    <definedName name="_9079">#REF!</definedName>
    <definedName name="_9085">#REF!</definedName>
    <definedName name="_9088">#REF!</definedName>
    <definedName name="_9094">#REF!</definedName>
    <definedName name="_9097">#REF!</definedName>
    <definedName name="_9103">#REF!</definedName>
    <definedName name="_9106">#REF!</definedName>
    <definedName name="_9112">#REF!</definedName>
    <definedName name="_9115">#REF!</definedName>
    <definedName name="_9121">#REF!</definedName>
    <definedName name="_9124">#REF!</definedName>
    <definedName name="_913">#REF!</definedName>
    <definedName name="_9130">#REF!</definedName>
    <definedName name="_9133">#REF!</definedName>
    <definedName name="_9139">#REF!</definedName>
    <definedName name="_9142">#REF!</definedName>
    <definedName name="_9148">#REF!</definedName>
    <definedName name="_9151">#REF!</definedName>
    <definedName name="_9157">#REF!</definedName>
    <definedName name="_916">#REF!</definedName>
    <definedName name="_9160">#REF!</definedName>
    <definedName name="_9166">#REF!</definedName>
    <definedName name="_9169">#REF!</definedName>
    <definedName name="_9175">#REF!</definedName>
    <definedName name="_9178">#REF!</definedName>
    <definedName name="_9184">#REF!</definedName>
    <definedName name="_9187">#REF!</definedName>
    <definedName name="_9193">#REF!</definedName>
    <definedName name="_9196">#REF!</definedName>
    <definedName name="_9202">#REF!</definedName>
    <definedName name="_9205">#REF!</definedName>
    <definedName name="_9211">#REF!</definedName>
    <definedName name="_9214">#REF!</definedName>
    <definedName name="_922">#REF!</definedName>
    <definedName name="_9220">#REF!</definedName>
    <definedName name="_9223">#REF!</definedName>
    <definedName name="_9229">#REF!</definedName>
    <definedName name="_9232">#REF!</definedName>
    <definedName name="_9238">#REF!</definedName>
    <definedName name="_9241">#REF!</definedName>
    <definedName name="_9247">#REF!</definedName>
    <definedName name="_925">#REF!</definedName>
    <definedName name="_9250">#REF!</definedName>
    <definedName name="_9256">#REF!</definedName>
    <definedName name="_9259">#REF!</definedName>
    <definedName name="_9265">#REF!</definedName>
    <definedName name="_9268">#REF!</definedName>
    <definedName name="_9274">#REF!</definedName>
    <definedName name="_9277">#REF!</definedName>
    <definedName name="_9283">#REF!</definedName>
    <definedName name="_9286">#REF!</definedName>
    <definedName name="_9292">#REF!</definedName>
    <definedName name="_9295">#REF!</definedName>
    <definedName name="_9301">#REF!</definedName>
    <definedName name="_9304">#REF!</definedName>
    <definedName name="_931">#REF!</definedName>
    <definedName name="_9310">#REF!</definedName>
    <definedName name="_9313">#REF!</definedName>
    <definedName name="_9319">#REF!</definedName>
    <definedName name="_9322">#REF!</definedName>
    <definedName name="_9328">#REF!</definedName>
    <definedName name="_9331">#REF!</definedName>
    <definedName name="_9337">#REF!</definedName>
    <definedName name="_934">#REF!</definedName>
    <definedName name="_9340">#REF!</definedName>
    <definedName name="_9346">#REF!</definedName>
    <definedName name="_9349">#REF!</definedName>
    <definedName name="_9355">#REF!</definedName>
    <definedName name="_9358">#REF!</definedName>
    <definedName name="_9364">#REF!</definedName>
    <definedName name="_9367">#REF!</definedName>
    <definedName name="_9373">#REF!</definedName>
    <definedName name="_9376">#REF!</definedName>
    <definedName name="_9382">#REF!</definedName>
    <definedName name="_9385">#REF!</definedName>
    <definedName name="_9391">#REF!</definedName>
    <definedName name="_9394">#REF!</definedName>
    <definedName name="_94">#REF!</definedName>
    <definedName name="_940">#REF!</definedName>
    <definedName name="_9400">#REF!</definedName>
    <definedName name="_9403">#REF!</definedName>
    <definedName name="_9409">#REF!</definedName>
    <definedName name="_9412">#REF!</definedName>
    <definedName name="_9418">#REF!</definedName>
    <definedName name="_9421">#REF!</definedName>
    <definedName name="_9427">#REF!</definedName>
    <definedName name="_943">#REF!</definedName>
    <definedName name="_9430">#REF!</definedName>
    <definedName name="_9436">#REF!</definedName>
    <definedName name="_9439">#REF!</definedName>
    <definedName name="_9445">#REF!</definedName>
    <definedName name="_9448">#REF!</definedName>
    <definedName name="_9454">#REF!</definedName>
    <definedName name="_9457">#REF!</definedName>
    <definedName name="_9463">#REF!</definedName>
    <definedName name="_9466">#REF!</definedName>
    <definedName name="_9472">#REF!</definedName>
    <definedName name="_9475">#REF!</definedName>
    <definedName name="_9481">#REF!</definedName>
    <definedName name="_9484">#REF!</definedName>
    <definedName name="_949">#REF!</definedName>
    <definedName name="_9490">#REF!</definedName>
    <definedName name="_9493">#REF!</definedName>
    <definedName name="_9499">#REF!</definedName>
    <definedName name="_9502">#REF!</definedName>
    <definedName name="_9508">#REF!</definedName>
    <definedName name="_9511">#REF!</definedName>
    <definedName name="_9517">#REF!</definedName>
    <definedName name="_952">#REF!</definedName>
    <definedName name="_9520">#REF!</definedName>
    <definedName name="_9526">#REF!</definedName>
    <definedName name="_9529">#REF!</definedName>
    <definedName name="_9535">#REF!</definedName>
    <definedName name="_9538">#REF!</definedName>
    <definedName name="_9544">#REF!</definedName>
    <definedName name="_9547">#REF!</definedName>
    <definedName name="_9553">#REF!</definedName>
    <definedName name="_9556">#REF!</definedName>
    <definedName name="_9557">#REF!</definedName>
    <definedName name="_9562">#REF!</definedName>
    <definedName name="_9565">#REF!</definedName>
    <definedName name="_9571">#REF!</definedName>
    <definedName name="_9574">#REF!</definedName>
    <definedName name="_958">#REF!</definedName>
    <definedName name="_9580">#REF!</definedName>
    <definedName name="_9583">#REF!</definedName>
    <definedName name="_9589">#REF!</definedName>
    <definedName name="_9592">#REF!</definedName>
    <definedName name="_9598">#REF!</definedName>
    <definedName name="_9601">#REF!</definedName>
    <definedName name="_9607">#REF!</definedName>
    <definedName name="_961">#REF!</definedName>
    <definedName name="_9610">#REF!</definedName>
    <definedName name="_9616">#REF!</definedName>
    <definedName name="_9619">#REF!</definedName>
    <definedName name="_9625">#REF!</definedName>
    <definedName name="_9628">#REF!</definedName>
    <definedName name="_9634">#REF!</definedName>
    <definedName name="_9637">#REF!</definedName>
    <definedName name="_9643">#REF!</definedName>
    <definedName name="_9646">#REF!</definedName>
    <definedName name="_9652">#REF!</definedName>
    <definedName name="_9655">#REF!</definedName>
    <definedName name="_9661">#REF!</definedName>
    <definedName name="_9664">#REF!</definedName>
    <definedName name="_967">#REF!</definedName>
    <definedName name="_9670">#REF!</definedName>
    <definedName name="_9673">#REF!</definedName>
    <definedName name="_9679">#REF!</definedName>
    <definedName name="_9682">#REF!</definedName>
    <definedName name="_9688">#REF!</definedName>
    <definedName name="_9691">#REF!</definedName>
    <definedName name="_9697">#REF!</definedName>
    <definedName name="_97">#REF!</definedName>
    <definedName name="_970">#REF!</definedName>
    <definedName name="_9700">#REF!</definedName>
    <definedName name="_9706">#REF!</definedName>
    <definedName name="_9709">#REF!</definedName>
    <definedName name="_9715">#REF!</definedName>
    <definedName name="_9718">#REF!</definedName>
    <definedName name="_9724">#REF!</definedName>
    <definedName name="_9727">#REF!</definedName>
    <definedName name="_9733">#REF!</definedName>
    <definedName name="_9736">#REF!</definedName>
    <definedName name="_9742">#REF!</definedName>
    <definedName name="_9745">#REF!</definedName>
    <definedName name="_9751">#REF!</definedName>
    <definedName name="_9754">#REF!</definedName>
    <definedName name="_976">#REF!</definedName>
    <definedName name="_9760">#REF!</definedName>
    <definedName name="_9763">#REF!</definedName>
    <definedName name="_9769">#REF!</definedName>
    <definedName name="_9772">#REF!</definedName>
    <definedName name="_9778">#REF!</definedName>
    <definedName name="_9781">#REF!</definedName>
    <definedName name="_9787">#REF!</definedName>
    <definedName name="_979">#REF!</definedName>
    <definedName name="_9790">#REF!</definedName>
    <definedName name="_9796">#REF!</definedName>
    <definedName name="_9799">#REF!</definedName>
    <definedName name="_9805">#REF!</definedName>
    <definedName name="_9808">#REF!</definedName>
    <definedName name="_9814">#REF!</definedName>
    <definedName name="_9817">#REF!</definedName>
    <definedName name="_9823">#REF!</definedName>
    <definedName name="_9826">#REF!</definedName>
    <definedName name="_9832">#REF!</definedName>
    <definedName name="_9835">#REF!</definedName>
    <definedName name="_9841">#REF!</definedName>
    <definedName name="_9844">#REF!</definedName>
    <definedName name="_985">#REF!</definedName>
    <definedName name="_9850">#REF!</definedName>
    <definedName name="_9853">#REF!</definedName>
    <definedName name="_9859">#REF!</definedName>
    <definedName name="_9862">#REF!</definedName>
    <definedName name="_9868">#REF!</definedName>
    <definedName name="_9871">#REF!</definedName>
    <definedName name="_9877">#REF!</definedName>
    <definedName name="_988">#REF!</definedName>
    <definedName name="_9880">#REF!</definedName>
    <definedName name="_9886">#REF!</definedName>
    <definedName name="_9889">#REF!</definedName>
    <definedName name="_9895">#REF!</definedName>
    <definedName name="_9898">#REF!</definedName>
    <definedName name="_9904">#REF!</definedName>
    <definedName name="_9907">#REF!</definedName>
    <definedName name="_9913">#REF!</definedName>
    <definedName name="_9916">#REF!</definedName>
    <definedName name="_9922">#REF!</definedName>
    <definedName name="_9925">#REF!</definedName>
    <definedName name="_9931">#REF!</definedName>
    <definedName name="_9934">#REF!</definedName>
    <definedName name="_994">#REF!</definedName>
    <definedName name="_9940">#REF!</definedName>
    <definedName name="_9943">#REF!</definedName>
    <definedName name="_9949">#REF!</definedName>
    <definedName name="_9952">#REF!</definedName>
    <definedName name="_9958">#REF!</definedName>
    <definedName name="_9961">#REF!</definedName>
    <definedName name="_9967">#REF!</definedName>
    <definedName name="_997">#REF!</definedName>
    <definedName name="_9970">#REF!</definedName>
    <definedName name="_9976">#REF!</definedName>
    <definedName name="_9979">#REF!</definedName>
    <definedName name="_9985">#REF!</definedName>
    <definedName name="_9988">#REF!</definedName>
    <definedName name="_9994">#REF!</definedName>
    <definedName name="_9997">#REF!</definedName>
    <definedName name="_bed53">#REF!</definedName>
    <definedName name="_cav1">#REF!</definedName>
    <definedName name="_centreImpot">"CENTRE DES IMPOTS DE "</definedName>
    <definedName name="_CI2" hidden="1">{#N/A,#N/A,FALSE,"vtcshl92";#N/A,#N/A,FALSE,"vtcshl93";#N/A,#N/A,FALSE,"vtcshl94";#N/A,#N/A,FALSE,"vtcshl95";#N/A,#N/A,FALSE,"vtcshl96"}</definedName>
    <definedName name="_COM2">'[5]NORTHERN  AFRICA  DIVISION'!#REF!</definedName>
    <definedName name="_dAn">" 2017"</definedName>
    <definedName name="_dDeb">" 01/01/2017"</definedName>
    <definedName name="_dFin">" 31/12/2017"</definedName>
    <definedName name="_DJI2">'[5]NORTHERN  AFRICA  DIVISION'!#REF!</definedName>
    <definedName name="_Duree">"Durée (en mois) 12"</definedName>
    <definedName name="_EAO2">'[5]NORTHERN  AFRICA  DIVISION'!#REF!</definedName>
    <definedName name="_EAR2">'[5]NORTHERN  AFRICA  DIVISION'!#REF!</definedName>
    <definedName name="_ees1" hidden="1">{#N/A,#N/A,FALSE,"Détail"}</definedName>
    <definedName name="_ees2" hidden="1">{#N/A,#N/A,FALSE,"Détail"}</definedName>
    <definedName name="_ETH2">'[5]NORTHERN  AFRICA  DIVISION'!#REF!</definedName>
    <definedName name="_ExerClos">"Exercice clos le 31/12/2017"</definedName>
    <definedName name="_ExerClot">"  31/12/2017"</definedName>
    <definedName name="_ExerFin">" 31/12/2017"</definedName>
    <definedName name="_ExerFin1">" 31/12/2016"</definedName>
    <definedName name="_insae">" "</definedName>
    <definedName name="_KE2">'[5]NORTHERN  AFRICA  DIVISION'!#REF!</definedName>
    <definedName name="_Key1" hidden="1">#REF!</definedName>
    <definedName name="_Key2" hidden="1">#REF!</definedName>
    <definedName name="_L">'[5]NORTHERN  AFRICA  DIVISION'!#REF!</definedName>
    <definedName name="_MAU2">'[5]NORTHERN  AFRICA  DIVISION'!#REF!</definedName>
    <definedName name="_MD2">'[5]NORTHERN  AFRICA  DIVISION'!#REF!</definedName>
    <definedName name="_Mois">12</definedName>
    <definedName name="_MS2">'[5]NORTHERN  AFRICA  DIVISION'!#REF!</definedName>
    <definedName name="_nbMois">12</definedName>
    <definedName name="_nCompletPays">"REPUBLIQUE DU BENIN"</definedName>
    <definedName name="_nSo">" "</definedName>
    <definedName name="_Order1" hidden="1">0</definedName>
    <definedName name="_Order2" hidden="1">0</definedName>
    <definedName name="_Pays">"REPUBLIQUE DU BENIN"</definedName>
    <definedName name="_R65555">[7]BI!$R$6</definedName>
    <definedName name="_RE2">'[5]NORTHERN  AFRICA  DIVISION'!#REF!</definedName>
    <definedName name="_regCom">" "</definedName>
    <definedName name="_SEY2">'[5]NORTHERN  AFRICA  DIVISION'!#REF!</definedName>
    <definedName name="_sigle">" "</definedName>
    <definedName name="_SM2">'[5]NORTHERN  AFRICA  DIVISION'!#REF!</definedName>
    <definedName name="_soAdr">" "</definedName>
    <definedName name="_soAg1">" "</definedName>
    <definedName name="_soAg2">" "</definedName>
    <definedName name="_SOCIETE">'[8]A Lire'!#REF!</definedName>
    <definedName name="_soId">" "</definedName>
    <definedName name="_SOM2">'[5]NORTHERN  AFRICA  DIVISION'!#REF!</definedName>
    <definedName name="_soNom">" "</definedName>
    <definedName name="_soNumFisc">" "</definedName>
    <definedName name="_Sort" hidden="1">#REF!</definedName>
    <definedName name="_soSigle">" "</definedName>
    <definedName name="_sTabExer">"Tableau financiers au 31/12/2017"</definedName>
    <definedName name="_tap2">[3]SIMMPC!#REF!</definedName>
    <definedName name="_tot1">#REF!</definedName>
    <definedName name="_tot2">#REF!</definedName>
    <definedName name="_TZ2">'[5]NORTHERN  AFRICA  DIVISION'!#REF!</definedName>
    <definedName name="_UG2">'[5]NORTHERN  AFRICA  DIVISION'!#REF!</definedName>
    <definedName name="_URGENCE">'[9]A Lire'!$B$2:$B$4</definedName>
    <definedName name="_Ville">"CENTRE DES IMPÔTS DE COTONOU"</definedName>
    <definedName name="A">#REF!</definedName>
    <definedName name="aaa">#REF!</definedName>
    <definedName name="aaaaaa">#REF!</definedName>
    <definedName name="aaaaaaa">#REF!</definedName>
    <definedName name="ab">#REF!</definedName>
    <definedName name="AI">#REF!</definedName>
    <definedName name="AIRSI">#REF!</definedName>
    <definedName name="alcr">#REF!</definedName>
    <definedName name="AOUT">#REF!</definedName>
    <definedName name="AS">#REF!</definedName>
    <definedName name="AS2DocOpenMode" hidden="1">"AS2DocumentEdit"</definedName>
    <definedName name="AS2HasNoAutoHeaderFooter" hidden="1">" "</definedName>
    <definedName name="au_col">#REF!</definedName>
    <definedName name="AVRIL">#REF!</definedName>
    <definedName name="AVRL">#REF!</definedName>
    <definedName name="B">'[5]NORTHERN  AFRICA  DIVISION'!#REF!</definedName>
    <definedName name="B.G.">#REF!</definedName>
    <definedName name="_xlnm.Database">#REF!</definedName>
    <definedName name="bb">#REF!</definedName>
    <definedName name="BDTED">#REF!</definedName>
    <definedName name="Beg_Bal">#REF!</definedName>
    <definedName name="BFESQ">[10]Volumes!#REF!</definedName>
    <definedName name="BGFC">#REF!</definedName>
    <definedName name="BI">#REF!</definedName>
    <definedName name="BIC">#REF!</definedName>
    <definedName name="BICPGAZ">#REF!</definedName>
    <definedName name="biere">#REF!</definedName>
    <definedName name="BIL">#REF!</definedName>
    <definedName name="BILA">#REF!</definedName>
    <definedName name="Bilan">#REF!</definedName>
    <definedName name="Bilan_data">#REF!</definedName>
    <definedName name="Bilan_Détails">#REF!</definedName>
    <definedName name="Bilan_Structure">#REF!</definedName>
    <definedName name="Bilan1">#REF!</definedName>
    <definedName name="BLACKI">#REF!</definedName>
    <definedName name="BNC">#REF!</definedName>
    <definedName name="BOF">#REF!</definedName>
    <definedName name="BOOF">#REF!</definedName>
    <definedName name="BOOOF">#REF!</definedName>
    <definedName name="BOOOOF">#REF!</definedName>
    <definedName name="BOOOOOF">#REF!</definedName>
    <definedName name="BOOOOOOF">#REF!</definedName>
    <definedName name="budget">#N/A</definedName>
    <definedName name="budget09">#N/A</definedName>
    <definedName name="C_">'[5]NORTHERN  AFRICA  DIVISION'!#REF!</definedName>
    <definedName name="C_C">'[11]Liste tiers'!$G$2:$G$4</definedName>
    <definedName name="CA">[12]Volumes!#REF!</definedName>
    <definedName name="CALC_CPTE_TVA">#REF!</definedName>
    <definedName name="CAN">#REF!</definedName>
    <definedName name="CANAL">#REF!</definedName>
    <definedName name="CANAUX">#REF!</definedName>
    <definedName name="casses">[13]SIMHL!#REF!</definedName>
    <definedName name="Categ">#REF!</definedName>
    <definedName name="CATXMQ">#REF!</definedName>
    <definedName name="cb">#REF!</definedName>
    <definedName name="cbg">#REF!</definedName>
    <definedName name="cbgr">#REF!</definedName>
    <definedName name="Cbox_BNC">#REF!</definedName>
    <definedName name="cbr">#REF!</definedName>
    <definedName name="ccc">'[14]Bal_XMQ anc'!$C$3:$C$1121</definedName>
    <definedName name="CCRSRH">#REF!</definedName>
    <definedName name="cd">#REF!</definedName>
    <definedName name="CDECADE">#REF!</definedName>
    <definedName name="ce">'[15]RATIO BG 2007'!$R$7:$R$18</definedName>
    <definedName name="Cel_Lock">#REF!</definedName>
    <definedName name="Cel_Lock_B">#REF!</definedName>
    <definedName name="Cel_Lock_E">#REF!</definedName>
    <definedName name="Cel_Lock_MPC">#REF!</definedName>
    <definedName name="Cel_Lock_R">#REF!</definedName>
    <definedName name="CESDIV">[16]SIMHL!$Q$4</definedName>
    <definedName name="cessdiv">[13]SIMHL!#REF!</definedName>
    <definedName name="cesspub">[13]SIMHL!#REF!</definedName>
    <definedName name="CF">#REF!</definedName>
    <definedName name="cfb">#REF!</definedName>
    <definedName name="Charges_Mois">#REF!</definedName>
    <definedName name="CHGM">'[15]RATIO BG 2007'!$V$7:$V$18</definedName>
    <definedName name="CHPM">'[15]RATIO BG 2007'!$X$7:$X$18</definedName>
    <definedName name="CI" hidden="1">{#N/A,#N/A,FALSE,"vtcshl92";#N/A,#N/A,FALSE,"vtcshl93";#N/A,#N/A,FALSE,"vtcshl94";#N/A,#N/A,FALSE,"vtcshl95";#N/A,#N/A,FALSE,"vtcshl96"}</definedName>
    <definedName name="CIB">#REF!</definedName>
    <definedName name="civcum96">#REF!</definedName>
    <definedName name="cl">#REF!</definedName>
    <definedName name="CLE">#REF!</definedName>
    <definedName name="Clé_Actif">[17]Bal_Bilan!$E$3:$E$1206</definedName>
    <definedName name="Clé_Passif">[17]Bal_Bilan!$F$3:$F$1206</definedName>
    <definedName name="Cle_XMq">[18]Bal_XMQ!$E$4:$E$446</definedName>
    <definedName name="Clé_XMQ">[19]Bal_XMQ_Reporting_N_V!$J$9:$J$3001</definedName>
    <definedName name="Clé_XMQ_2">'[19]Bal_XMQ_Reporting_N-1_VII'!$G$9:$G$3001</definedName>
    <definedName name="Clé_XMQ1">[20]Bal_XMQ!$E$4:$E$484</definedName>
    <definedName name="Clé_XMQ2">[20]Bal_XMQ!$E$4:$E$484</definedName>
    <definedName name="CLEP">#REF!</definedName>
    <definedName name="clp">#REF!</definedName>
    <definedName name="clx">[21]Bal_XMQ!$E$4:$E$504</definedName>
    <definedName name="CLXM">[21]Bal_XMQ!$E$4:$E$504</definedName>
    <definedName name="CMOIS">#REF!</definedName>
    <definedName name="CMOIS1">#REF!</definedName>
    <definedName name="Cod_art">#REF!</definedName>
    <definedName name="Code_Emprunt">'[11]Liste tiers'!$K$2:$K$75</definedName>
    <definedName name="codext">#N/A</definedName>
    <definedName name="COL">#REF!</definedName>
    <definedName name="Coller_Formu_Bilan">#REF!</definedName>
    <definedName name="Coller_Formu_XMQ">#REF!</definedName>
    <definedName name="ColumnList">[22]Pres!$N$54:$N$61</definedName>
    <definedName name="COMINFO">[23]COMINFO!$E$1:$M$1725</definedName>
    <definedName name="compar">[24]XMCONSO!$A$1:$O$72</definedName>
    <definedName name="Con_art">#REF!</definedName>
    <definedName name="Condensé_Mois">#REF!</definedName>
    <definedName name="Contenance">[11]Liste_EMB!$J$2:$J$49</definedName>
    <definedName name="COP">#REF!</definedName>
    <definedName name="Copier_Formu_Bilan">#REF!</definedName>
    <definedName name="Copier_Formu_XMQ">#REF!</definedName>
    <definedName name="copier_XMQ">[25]Bal_XMQ!#REF!</definedName>
    <definedName name="COV">'[5]NORTHERN  AFRICA  DIVISION'!#REF!</definedName>
    <definedName name="CPTE_TVA">#REF!,#REF!,#REF!,#REF!,#REF!,#REF!</definedName>
    <definedName name="cr" hidden="1">{#N/A,#N/A,FALSE,"vtcshl92";#N/A,#N/A,FALSE,"vtcshl93";#N/A,#N/A,FALSE,"vtcshl94";#N/A,#N/A,FALSE,"vtcshl95";#N/A,#N/A,FALSE,"vtcshl96"}</definedName>
    <definedName name="CRD">[21]Bal_XMQ!$D$4:$D$504</definedName>
    <definedName name="CREDIT_BIC">#REF!,#REF!,#REF!,#REF!,#REF!,#REF!</definedName>
    <definedName name="Crédit_P">[26]Bal_Bilan!$E$5:$E$288</definedName>
    <definedName name="Crédit_XMQ">[17]Bal_XMQ!$D$3:$D$1233</definedName>
    <definedName name="Crédit_XMQ_2">'[19]Bal_XMQ_Reporting_N-1_VII'!#REF!</definedName>
    <definedName name="Crédit_XMQ2">[20]Bal_XMQ!$D$4:$D$484</definedName>
    <definedName name="_xlnm.Criteria">#REF!</definedName>
    <definedName name="cssep">#REF!</definedName>
    <definedName name="CtnFExt">'[27]Autres Hypothèses'!$E$37</definedName>
    <definedName name="CtnFLBg">'[27]Autres Hypothèses'!$E$42</definedName>
    <definedName name="CtnFLBi">'[27]Autres Hypothèses'!$E$41</definedName>
    <definedName name="CtnFMBi">'[27]Autres Hypothèses'!$E$36</definedName>
    <definedName name="CtnFSuBg">'[27]Autres Hypothèses'!$E$38</definedName>
    <definedName name="cum_9610">#REF!</definedName>
    <definedName name="cumciv">#REF!</definedName>
    <definedName name="cumciv96">#REF!</definedName>
    <definedName name="cumciv97">#REF!</definedName>
    <definedName name="CurrentYear">#REF!</definedName>
    <definedName name="cv">#REF!</definedName>
    <definedName name="cvr">#REF!</definedName>
    <definedName name="d">#REF!</definedName>
    <definedName name="Data">#REF!</definedName>
    <definedName name="datcha">#REF!</definedName>
    <definedName name="Date_d">'[28]EN TETE'!$H$3</definedName>
    <definedName name="Date_f">'[28]EN TETE'!$K$3</definedName>
    <definedName name="Date_Paie">#REF!</definedName>
    <definedName name="Date_Paiement">DATE(YEAR(Début_Prêt),MONTH(Début_Prêt)+Payment_Number,DAY(Début_Prêt))</definedName>
    <definedName name="DATEJ">#REF!</definedName>
    <definedName name="Dates">#REF!</definedName>
    <definedName name="Datesenganaiseffeccadirect" hidden="1">#REF!</definedName>
    <definedName name="DBT">#REF!</definedName>
    <definedName name="DBUT">#REF!</definedName>
    <definedName name="dce">#REF!</definedName>
    <definedName name="ddd">#REF!</definedName>
    <definedName name="ddddd">#REF!</definedName>
    <definedName name="DDE">#REF!</definedName>
    <definedName name="DE">#REF!</definedName>
    <definedName name="DEB">[21]Bal_XMQ!$C$4:$C$504</definedName>
    <definedName name="Débit_P">[26]Bal_Bilan!$D$5:$D$288</definedName>
    <definedName name="Débit_XMQ">[17]Bal_XMQ!$C$3:$C$1233</definedName>
    <definedName name="Débit_XMQ_2">'[19]Bal_XMQ_Reporting_N-1_VII'!#REF!</definedName>
    <definedName name="Débit_XMQ2">[20]Bal_XMQ!$C$4:$C$484</definedName>
    <definedName name="DEBUT">#REF!</definedName>
    <definedName name="Début_Prêt">#REF!</definedName>
    <definedName name="DEC">#REF!</definedName>
    <definedName name="DECA1">#REF!</definedName>
    <definedName name="DECA2">#REF!</definedName>
    <definedName name="DECA3">#REF!</definedName>
    <definedName name="DECEMBRE">#REF!</definedName>
    <definedName name="Décor">#REF!</definedName>
    <definedName name="Depart">#REF!</definedName>
    <definedName name="depart.">#REF!</definedName>
    <definedName name="der_trim95">#REF!</definedName>
    <definedName name="Dernière_Ligne">IF(Valeurs_Entrées,Ligne_EnTête+Nbre_de_Paiements,Ligne_EnTête)</definedName>
    <definedName name="det">'[29]Plan Comptable XMQ'!$A$4:$D$10079</definedName>
    <definedName name="Devise">'[11]Liste tiers'!$H$2:$H$15</definedName>
    <definedName name="dfeddddd">[30]Bal_XMQ!#REF!</definedName>
    <definedName name="DFF">#REF!</definedName>
    <definedName name="DI.07.01___PROJET_GPAO___MISE_EN_PLACE">#REF!</definedName>
    <definedName name="DI.07.02___PROJET_GPAO___MISE_EN_PLACE_BASE_DE_DONNEES_TECHNIQUES">#REF!</definedName>
    <definedName name="DKGHSDL">[22]Pres!$A$60</definedName>
    <definedName name="DLSAD">[22]Pres!$A$60</definedName>
    <definedName name="Données">#REF!</definedName>
    <definedName name="DRH.08.01_Gérer_La_mutuelle_SABC">#REF!</definedName>
    <definedName name="DROIT_ACCI">#REF!</definedName>
    <definedName name="ds">[22]Pres!$A$56</definedName>
    <definedName name="DSdDSFs">[10]Volumes!#REF!</definedName>
    <definedName name="DSFO">[10]Volumes!#REF!</definedName>
    <definedName name="DSI">#REF!</definedName>
    <definedName name="Durée_Prêt">#REF!</definedName>
    <definedName name="E">'[5]NORTHERN  AFRICA  DIVISION'!#REF!</definedName>
    <definedName name="ECART">#REF!</definedName>
    <definedName name="ECHEANCIER">#N/A</definedName>
    <definedName name="ECHEANCIERE">#N/A</definedName>
    <definedName name="ECTB">#REF!</definedName>
    <definedName name="ECTBG">#REF!</definedName>
    <definedName name="ee">'[29]Plan Comptable XMQ'!$A$4:$D$10079</definedName>
    <definedName name="ees" hidden="1">{#N/A,#N/A,FALSE,"Détail"}</definedName>
    <definedName name="Effcadirectdatesnaiseng" hidden="1">#REF!</definedName>
    <definedName name="EffectifCadredeDirection" hidden="1">#REF!</definedName>
    <definedName name="em">#REF!</definedName>
    <definedName name="EMB">#REF!</definedName>
    <definedName name="EMBAL">#REF!</definedName>
    <definedName name="Emballages_mens">#REF!</definedName>
    <definedName name="Emballages_Mensuel">#REF!</definedName>
    <definedName name="Emballages_synth">#REF!</definedName>
    <definedName name="Emballages_Synthèse">#REF!</definedName>
    <definedName name="End_Bal">#REF!</definedName>
    <definedName name="Ent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>#REF!</definedName>
    <definedName name="EQUIPE">#REF!</definedName>
    <definedName name="EQUIPE1">#REF!</definedName>
    <definedName name="EQUIPES">[10]Volumes!#REF!</definedName>
    <definedName name="ER">'[5]NORTHERN  AFRICA  DIVISION'!#REF!</definedName>
    <definedName name="es">#REF!</definedName>
    <definedName name="ESRIMM">[10]Volumes!#REF!</definedName>
    <definedName name="ESRTSQ">#REF!</definedName>
    <definedName name="Estim">[10]Volumes!#REF!</definedName>
    <definedName name="Estim_Equipes">#REF!</definedName>
    <definedName name="ESTIM2013">[10]Volumes!#REF!</definedName>
    <definedName name="ESTIM6">#REF!</definedName>
    <definedName name="ESTIMA">#REF!</definedName>
    <definedName name="ESTIME">#REF!</definedName>
    <definedName name="estimm">[10]Volumes!#REF!</definedName>
    <definedName name="ESTIMMMMMMMM">[10]Volumes!#REF!</definedName>
    <definedName name="Extra_Pay">#REF!</definedName>
    <definedName name="_xlnm.Extract">#REF!</definedName>
    <definedName name="ezcd">#REF!</definedName>
    <definedName name="EZEEE">[30]Bal_XMQ!#REF!</definedName>
    <definedName name="F">[25]Bal_XMQ!#REF!</definedName>
    <definedName name="F10_data5">[31]Base!#REF!</definedName>
    <definedName name="F70_data1">#REF!</definedName>
    <definedName name="F70_data2">[31]Data!#REF!</definedName>
    <definedName name="F70_data3">[31]Data!#REF!</definedName>
    <definedName name="F70_data4">[31]Data!#REF!</definedName>
    <definedName name="F8_">#REF!</definedName>
    <definedName name="FACTURE">#N/A</definedName>
    <definedName name="fd">#REF!</definedName>
    <definedName name="FDF">#REF!</definedName>
    <definedName name="FDFFFFF">[32]Bal_XMQ!#REF!</definedName>
    <definedName name="fds">#REF!</definedName>
    <definedName name="FEV">#REF!</definedName>
    <definedName name="FEVRIER">#REF!</definedName>
    <definedName name="FFHF">[10]Volumes!#REF!</definedName>
    <definedName name="FFV">#REF!</definedName>
    <definedName name="FGFF">[33]Bal_XMQ!#REF!</definedName>
    <definedName name="fgfg">'[34]mvt clas.2'!#REF!</definedName>
    <definedName name="FIN">#REF!</definedName>
    <definedName name="_xlnm.Recorder">#REF!</definedName>
    <definedName name="For_art.">#REF!</definedName>
    <definedName name="FrCond">'[27]Autres Hypothèses'!$E$50</definedName>
    <definedName name="FRE">[35]Production!$B$106</definedName>
    <definedName name="FREI">[35]Production!$A$106</definedName>
    <definedName name="freintesB.G.">[36]Production!$B$106</definedName>
    <definedName name="freintesBier">[36]Production!$A$106</definedName>
    <definedName name="FRIGE">#N/A</definedName>
    <definedName name="FRIGO">#N/A</definedName>
    <definedName name="fsfsd">#REF!</definedName>
    <definedName name="Full_Print">#REF!</definedName>
    <definedName name="g">#REF!</definedName>
    <definedName name="GFR">[37]Volumes!#REF!</definedName>
    <definedName name="gg">'[34]mvt clas.2'!#REF!</definedName>
    <definedName name="gm">#REF!</definedName>
    <definedName name="GrandTotal">#N/A</definedName>
    <definedName name="GRATUITS">#REF!</definedName>
    <definedName name="gratuitsBG">'[38]Autres Hypothèses'!$E$24</definedName>
    <definedName name="gratuitsBier">'[38]Autres Hypothèses'!$E$23</definedName>
    <definedName name="gratuitsEaux">'[38]Autres Hypothèses'!$E$25</definedName>
    <definedName name="gratuitsNégoce">'[38]Autres Hypothèses'!$E$26</definedName>
    <definedName name="h">[30]Bal_XMQ!#REF!</definedName>
    <definedName name="Header_Row">ROW(#REF!)</definedName>
    <definedName name="HGM">'[15]RATIO BG 2007'!$U$7:$U$18</definedName>
    <definedName name="hlsep">#REF!</definedName>
    <definedName name="HPM">'[15]RATIO BG 2007'!$W$7:$W$18</definedName>
    <definedName name="HPN">'[15]RATIO BG 2007'!$W$7:$W$30</definedName>
    <definedName name="htsep">#REF!</definedName>
    <definedName name="I">#REF!</definedName>
    <definedName name="_xlnm.Print_Titles" localSheetId="1">'PCE_G-IMP'!$1:$1</definedName>
    <definedName name="_xlnm.Print_Titles">#REF!</definedName>
    <definedName name="Impression_Entière">#REF!</definedName>
    <definedName name="INDINJKFD">[5]CapeVerde!#REF!</definedName>
    <definedName name="Input_Area">'[39]Weekly Analysis - Rafik'!$B$1:$AX$255</definedName>
    <definedName name="Int">#REF!</definedName>
    <definedName name="Interest_Rate">#REF!</definedName>
    <definedName name="Intérêt_Total">#REF!</definedName>
    <definedName name="Intérêts_Cumulés">#REF!</definedName>
    <definedName name="Inves">'[40]Inventaire Total'!#REF!</definedName>
    <definedName name="invides9712">'[40]Inventaire Total'!#REF!</definedName>
    <definedName name="IRC">#REF!</definedName>
    <definedName name="IRVM">#REF!</definedName>
    <definedName name="ITS">#REF!</definedName>
    <definedName name="J">'[5]NORTHERN  AFRICA  DIVISION'!#REF!</definedName>
    <definedName name="JA">#REF!</definedName>
    <definedName name="JANV">#REF!</definedName>
    <definedName name="JANVIER">#REF!</definedName>
    <definedName name="JCBHASHC">[22]Pres!$A$54</definedName>
    <definedName name="JJ">[33]Bal_XMQ!#REF!</definedName>
    <definedName name="jjs" hidden="1">{#N/A,#N/A,FALSE,"Détail"}</definedName>
    <definedName name="JUILLET">#REF!</definedName>
    <definedName name="Juillet_C">#REF!</definedName>
    <definedName name="Juillet_M">#REF!</definedName>
    <definedName name="JUIN">#REF!</definedName>
    <definedName name="K">'[5]NORTHERN  AFRICA  DIVISION'!#REF!</definedName>
    <definedName name="Last_Row">#N/A</definedName>
    <definedName name="LBV">'[41]LBV HL 2004'!$A$1:$O$40</definedName>
    <definedName name="lib_art">#REF!</definedName>
    <definedName name="LIBMOIS">#REF!</definedName>
    <definedName name="LIGB1">#REF!</definedName>
    <definedName name="LIGB10">#REF!</definedName>
    <definedName name="LIGB11">#REF!</definedName>
    <definedName name="LIGB12">#REF!</definedName>
    <definedName name="LIGB2">#REF!</definedName>
    <definedName name="LIGB3">#REF!</definedName>
    <definedName name="LIGB4">#REF!</definedName>
    <definedName name="LIGB5">#REF!</definedName>
    <definedName name="LIGB6">#REF!</definedName>
    <definedName name="LIGB7">#REF!</definedName>
    <definedName name="LIGB8">#REF!</definedName>
    <definedName name="LIGB9">#REF!</definedName>
    <definedName name="LIGBG1">#REF!</definedName>
    <definedName name="LIGBG10">#REF!</definedName>
    <definedName name="LIGBG11">#REF!</definedName>
    <definedName name="LIGBG12">#REF!</definedName>
    <definedName name="LIGBG2">#REF!</definedName>
    <definedName name="LIGBG3">#REF!</definedName>
    <definedName name="LIGBG4">#REF!</definedName>
    <definedName name="LIGBG5">#REF!</definedName>
    <definedName name="LIGBG6">#REF!</definedName>
    <definedName name="LIGBG7">#REF!</definedName>
    <definedName name="LIGBG8">#REF!</definedName>
    <definedName name="LIGBG9">#REF!</definedName>
    <definedName name="Ligne_EnTête">ROW(#REF!)</definedName>
    <definedName name="LIste_Catégorie">[11]Liste_Inv!$N$4:$N$23</definedName>
    <definedName name="Liste_Entité_XMQ">[11]Liste_Entité!$E$2:$E$65</definedName>
    <definedName name="Liste_Famille">[11]Liste_Inv!$K$4:$K$35</definedName>
    <definedName name="Liste_Raison">[11]Liste_Inv!$H$4:$H$18</definedName>
    <definedName name="listeCodeEmploi">#REF!</definedName>
    <definedName name="ListeMoisex">#REF!</definedName>
    <definedName name="lm">[32]Bal_XMQ!#REF!</definedName>
    <definedName name="Loan_Amount">#REF!</definedName>
    <definedName name="Loan_Start">#REF!</definedName>
    <definedName name="Loan_Years">#REF!</definedName>
    <definedName name="LstCompte">#REF!</definedName>
    <definedName name="M">'[5]NORTHERN  AFRICA  DIVISION'!#REF!</definedName>
    <definedName name="M_02">#REF!</definedName>
    <definedName name="MAI">#REF!</definedName>
    <definedName name="MARS">#REF!</definedName>
    <definedName name="MAT">[13]SIMHL!#REF!</definedName>
    <definedName name="MATERIEL">#REF!</definedName>
    <definedName name="May" hidden="1">{"Prev_tréso",#N/A,TRUE,"PRev treso";"Chiffre d'affaires",#N/A,TRUE,"Prev_CA";"Accises",#N/A,TRUE,"Accises";"Dep_courantes",#N/A,TRUE,"Dep_cour_98"}</definedName>
    <definedName name="MENU">#REF!</definedName>
    <definedName name="mm">#REF!</definedName>
    <definedName name="mmm" hidden="1">{"Prev_tréso",#N/A,TRUE,"PRev treso";"Chiffre d'affaires",#N/A,TRUE,"Prev_CA";"Accises",#N/A,TRUE,"Accises";"Dep_courantes",#N/A,TRUE,"Dep_cour_98"}</definedName>
    <definedName name="mmmmmm">#REF!</definedName>
    <definedName name="MOIS">#REF!</definedName>
    <definedName name="Mois_01">#REF!</definedName>
    <definedName name="Mois_02">#REF!</definedName>
    <definedName name="Mois_03">#REF!</definedName>
    <definedName name="Mois_04">#REF!</definedName>
    <definedName name="Mois_05">#REF!</definedName>
    <definedName name="Mois_06">#REF!</definedName>
    <definedName name="Mois_07">#REF!</definedName>
    <definedName name="Mois_08">#REF!</definedName>
    <definedName name="Mois_09">#REF!</definedName>
    <definedName name="Mois_10">#REF!</definedName>
    <definedName name="Mois_11">#REF!</definedName>
    <definedName name="Mois_12">#REF!</definedName>
    <definedName name="MOIS1">#REF!</definedName>
    <definedName name="Mois10">#REF!</definedName>
    <definedName name="Mois11">#REF!</definedName>
    <definedName name="Mois12">#REF!</definedName>
    <definedName name="Mois2">#REF!</definedName>
    <definedName name="Mois3">#REF!</definedName>
    <definedName name="Mois4">#REF!</definedName>
    <definedName name="Mois5">#REF!</definedName>
    <definedName name="Mois6">#REF!</definedName>
    <definedName name="Mois7">#REF!</definedName>
    <definedName name="Mois8">#REF!</definedName>
    <definedName name="Mois9">#REF!</definedName>
    <definedName name="moise10">#REF!</definedName>
    <definedName name="moise11">#REF!</definedName>
    <definedName name="moise12">#REF!</definedName>
    <definedName name="Moise4">#REF!</definedName>
    <definedName name="moise6">#REF!</definedName>
    <definedName name="moise7">#REF!</definedName>
    <definedName name="moise9">#REF!</definedName>
    <definedName name="Monnaie">#REF!</definedName>
    <definedName name="monrujuh">#REF!</definedName>
    <definedName name="Montant_Prêt">#REF!</definedName>
    <definedName name="Month">#REF!</definedName>
    <definedName name="MPC">#REF!</definedName>
    <definedName name="n">[42]Bal_XMQ!$C$36:$C$716</definedName>
    <definedName name="NBJRC">#REF!</definedName>
    <definedName name="NBJRS">#REF!</definedName>
    <definedName name="Nbre_de_Paiements">MATCH(0.01,Solde_Final,-1)+1</definedName>
    <definedName name="Nbre_Pmt">#REF!</definedName>
    <definedName name="Nbre_Pmt_Par_An">#REF!</definedName>
    <definedName name="NOMENCLATURE">[43]NOMENCLATURE!$A$1:$IV$65536</definedName>
    <definedName name="NOV">#REF!</definedName>
    <definedName name="NOVEMBRE">#REF!</definedName>
    <definedName name="Num_Pmt_Per_Year">#REF!</definedName>
    <definedName name="Number_of_Payments">#N/A</definedName>
    <definedName name="Numero_immo">OFFSET(#REF!,,,COUNTA(#REF!))</definedName>
    <definedName name="numFisc">" "</definedName>
    <definedName name="O">#REF!</definedName>
    <definedName name="OCT">#REF!</definedName>
    <definedName name="OCTOBRE">#REF!</definedName>
    <definedName name="OrdP">#REF!</definedName>
    <definedName name="OrdPrdt">#REF!</definedName>
    <definedName name="Ordre">#REF!</definedName>
    <definedName name="P">[37]Volumes!#REF!</definedName>
    <definedName name="PADE">[13]SIMHL!#REF!</definedName>
    <definedName name="PARAMETRES">#REF!</definedName>
    <definedName name="PATCOM">#REF!</definedName>
    <definedName name="Pay_Date">#REF!</definedName>
    <definedName name="Pay_Num">#REF!</definedName>
    <definedName name="Payment_Date">#N/A</definedName>
    <definedName name="Payment_Needed">"Paiement dû"</definedName>
    <definedName name="PC_BILAN">[44]PC_Bilan!$A$3:$E$10184</definedName>
    <definedName name="PC_XMQ">[45]PC_XMQ!$A$2:$D$10139</definedName>
    <definedName name="pleins9712">'[40]Inventaire Total'!#REF!</definedName>
    <definedName name="pm">#REF!</definedName>
    <definedName name="Pmt_Mensuel_Programmé">#REF!</definedName>
    <definedName name="Pmt_Programmé">#REF!</definedName>
    <definedName name="Pmt_Supplémentaire">#REF!</definedName>
    <definedName name="Pmt_Total">#REF!</definedName>
    <definedName name="Pmts_Supplémentaires_Programmés">#REF!</definedName>
    <definedName name="po">[25]RdM_ITS!$F$9:$F$9,[25]RdM_ITS!$F$12:$F$12,[25]RdM_ITS!$F$17:$F$17,[25]RdM_ITS!$F$62:$F$62,[25]RdM_ITS!$F$67:$F$67,[25]RdM_ITS!$F$83:$F$83,[25]RdM_ITS!$F$88:$F$88,[25]RdM_ITS!$F$93,[25]RdM_ITS!$F$111,[25]RdM_ITS!$F$24,[25]RdM_ITS!$F$27,[25]RdM_ITS!$F$32</definedName>
    <definedName name="POG">'[46]POG HL 2004'!$A$1:$O$41</definedName>
    <definedName name="poid3">[47]Feuil8!#REF!</definedName>
    <definedName name="PosFExt">'[27]Autres Hypothèses'!$G$37</definedName>
    <definedName name="PosFLBg">'[27]Autres Hypothèses'!$G$42</definedName>
    <definedName name="PosFSuBg">'[27]Autres Hypothèses'!$G$38</definedName>
    <definedName name="PPA">#REF!</definedName>
    <definedName name="PREL_JECASI">#REF!</definedName>
    <definedName name="PRIME">#REF!</definedName>
    <definedName name="Princ">#REF!</definedName>
    <definedName name="PRINCIPAL">#REF!</definedName>
    <definedName name="Print_Area_Reset">#N/A</definedName>
    <definedName name="PrintRange1">SetPrintRange("Chart of Accounts","F",2,"J")</definedName>
    <definedName name="PrintRange2">SetPrintRange("Account Balances","F",2,"J")</definedName>
    <definedName name="PrintRange6">SetPrintRange("Debtors Inquiry","F",2,"L")</definedName>
    <definedName name="PrintRange8">SetPrintRange("P&amp;L Forecast","F",2,"T")</definedName>
    <definedName name="PrintRange9">SetPrintRange("Trial Balance","F",2,"M")</definedName>
    <definedName name="PrkFExt">'[27]Autres Hypothèses'!$F$37</definedName>
    <definedName name="PrkFLbg">'[27]Autres Hypothèses'!$F$42</definedName>
    <definedName name="PrkFLBi">'[27]Autres Hypothèses'!$F$41</definedName>
    <definedName name="PrkFMBi">'[27]Autres Hypothèses'!$F$36</definedName>
    <definedName name="PrkFSuBg">'[27]Autres Hypothèses'!$F$38</definedName>
    <definedName name="PRMP1">#REF!</definedName>
    <definedName name="PRMP2">#REF!</definedName>
    <definedName name="Prod_Tei">#REF!</definedName>
    <definedName name="Prod_Teinte">#REF!</definedName>
    <definedName name="Production">#REF!</definedName>
    <definedName name="pu">[25]Bal_XMQ!#REF!</definedName>
    <definedName name="Q">#REF!</definedName>
    <definedName name="QFQ">#REF!</definedName>
    <definedName name="qq">[48]Bal_XMQ!$C$4:$C$526</definedName>
    <definedName name="Quarter">#REF!</definedName>
    <definedName name="R_">'[5]NORTHERN  AFRICA  DIVISION'!#REF!</definedName>
    <definedName name="range1">#REF!</definedName>
    <definedName name="RAP">#REF!</definedName>
    <definedName name="rder">[21]RdM_ITS!$F$9:$F$9,[21]RdM_ITS!$F$12:$F$12,[21]RdM_ITS!$F$17:$F$17,[21]RdM_ITS!$F$47:$F$47,[21]RdM_ITS!$F$52:$F$52,[21]RdM_ITS!$F$57:$F$57,[21]RdM_ITS!$F$62:$F$62,[21]RdM_ITS!$F$67,[21]RdM_ITS!$F$72,[21]RdM_ITS!$F$24,[21]RdM_ITS!$F$27,[21]RdM_ITS!$F$32</definedName>
    <definedName name="RDT">[21]RdM_ITS!$F$9:$F$9,[21]RdM_ITS!$F$12:$F$12,[21]RdM_ITS!$F$17:$F$17,[21]RdM_ITS!$F$47:$F$47,[21]RdM_ITS!$F$52:$F$52,[21]RdM_ITS!$F$57:$F$57,[21]RdM_ITS!$F$62:$F$62,[21]RdM_ITS!$F$67,[21]RdM_ITS!$F$72,[21]RdM_ITS!$F$24,[21]RdM_ITS!$F$27,[21]RdM_ITS!$F$32</definedName>
    <definedName name="RE">'[5]NORTHERN  AFRICA  DIVISION'!#REF!</definedName>
    <definedName name="Recherches">[22]Pres!$H$53:$AA$68</definedName>
    <definedName name="RED">[49]RdM_ITS!$F$9:$F$9,[49]RdM_ITS!$F$12:$F$12,[49]RdM_ITS!$F$17:$F$17,[49]RdM_ITS!$F$47:$F$47,[49]RdM_ITS!$F$52:$F$52,[49]RdM_ITS!$F$57:$F$57,[49]RdM_ITS!$F$62:$F$62,[49]RdM_ITS!$F$67,[49]RdM_ITS!$F$72,[49]RdM_ITS!$F$24,[49]RdM_ITS!$F$27,[49]RdM_ITS!$F$32</definedName>
    <definedName name="Red_ITS_Data">[50]RdM_ITS!$F$9:$F$9,[50]RdM_ITS!#REF!,[50]RdM_ITS!#REF!,[50]RdM_ITS!#REF!,[50]RdM_ITS!#REF!,[50]RdM_ITS!#REF!,[50]RdM_ITS!#REF!,[50]RdM_ITS!#REF!,[50]RdM_ITS!#REF!,[50]RdM_ITS!$F$23,[50]RdM_ITS!#REF!,[50]RdM_ITS!#REF!</definedName>
    <definedName name="Red_ITS_Data1">[51]RdM_ITS!$F$9:$F$9,[51]RdM_ITS!#REF!,[51]RdM_ITS!#REF!,[51]RdM_ITS!#REF!,[51]RdM_ITS!#REF!,[51]RdM_ITS!#REF!,[51]RdM_ITS!#REF!,[51]RdM_ITS!#REF!,[51]RdM_ITS!#REF!,[51]RdM_ITS!$F$23,[51]RdM_ITS!#REF!,[51]RdM_ITS!#REF!</definedName>
    <definedName name="Red_ITS_Data2">[20]RdM_ITS!$F$9:$F$9,[20]RdM_ITS!#REF!,[20]RdM_ITS!#REF!,[20]RdM_ITS!#REF!,[20]RdM_ITS!#REF!,[20]RdM_ITS!#REF!,[20]RdM_ITS!#REF!,[20]RdM_ITS!#REF!,[20]RdM_ITS!#REF!,[20]RdM_ITS!$F$23,[20]RdM_ITS!#REF!,[20]RdM_ITS!#REF!</definedName>
    <definedName name="refExpatrie">#REF!</definedName>
    <definedName name="refNationalite">#REF!</definedName>
    <definedName name="refRegime301">#REF!</definedName>
    <definedName name="refSexe">#REF!</definedName>
    <definedName name="refSituationFamille">#REF!</definedName>
    <definedName name="Region">#REF!</definedName>
    <definedName name="RegionList">#REF!</definedName>
    <definedName name="RegLab">#REF!</definedName>
    <definedName name="RegNum">#REF!</definedName>
    <definedName name="regnum2">[22]Pres!$A$60</definedName>
    <definedName name="REGUL">#REF!</definedName>
    <definedName name="Reimbursement">"Remboursement"</definedName>
    <definedName name="Réinit_Zone_Impression">OFFSET(Impression_Entière,0,0,Dernière_Ligne)</definedName>
    <definedName name="REP">#REF!</definedName>
    <definedName name="Répartion_charges">#REF!</definedName>
    <definedName name="REPO1">#REF!</definedName>
    <definedName name="RER">#REF!</definedName>
    <definedName name="ResInput">#REF!</definedName>
    <definedName name="RetenuBIC">'[38]Autres Hypothèses'!$E$21</definedName>
    <definedName name="ristb">#REF!</definedName>
    <definedName name="ristBG">'[38]Autres Hypothèses'!$E$9</definedName>
    <definedName name="ristbgr">#REF!</definedName>
    <definedName name="ristbier">'[38]Autres Hypothèses'!$E$8</definedName>
    <definedName name="ristEaux">'[38]Autres Hypothèses'!$E$10</definedName>
    <definedName name="ristgr">#REF!</definedName>
    <definedName name="ristnégoce">'[38]Autres Hypothèses'!$E$11</definedName>
    <definedName name="ristPet">'[27]Autres Hypothèses'!$E$10</definedName>
    <definedName name="RUB_EFP">'[52]RUBRIQUE ETAT'!$C$2:$C$104</definedName>
    <definedName name="Rubrique_Bilan_Actif">[11]Bal_Bilan!$BS$10:$BS$2500</definedName>
    <definedName name="Rubrique_Bilan_Actif_2">[19]Bal_Bilan_Reporting_N_IV!$BM$9:$BM$2500</definedName>
    <definedName name="Rubrique_Bilan_Actif_3">'[19]Bal_Bilan_Reporting_N-1_VI'!$BS$9:$BS$2500</definedName>
    <definedName name="Rubrique_Bilan_Passif">[19]Bal_Bilan_Reporting_N_IV!$BO$9:$BO$2500</definedName>
    <definedName name="Rubrique_Bilan_Passif_2">'[19]Bal_Bilan_Reporting_N-1_VI'!$BU$9:$BU$2500</definedName>
    <definedName name="Rubrique_XMQ">[11]Bal_XMQ!$J$10:$J$459</definedName>
    <definedName name="s" hidden="1">{"Prev_tréso",#N/A,TRUE,"PRev treso";"Chiffre d'affaires",#N/A,TRUE,"Prev_CA";"Accises",#N/A,TRUE,"Accises";"Dep_courantes",#N/A,TRUE,"Dep_cour_98"}</definedName>
    <definedName name="SC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dsddsdsd">[53]Bal_XMQ!#REF!</definedName>
    <definedName name="SECURITE">[13]SIMHL!#REF!</definedName>
    <definedName name="SEPT">#REF!</definedName>
    <definedName name="SEPTEMBRE">#REF!</definedName>
    <definedName name="ServicesAssiette">#REF!</definedName>
    <definedName name="SOL">#REF!</definedName>
    <definedName name="solde">[54]Bal_Bilan!$C$4:$C$551</definedName>
    <definedName name="Solde_Actif">[19]Bal_Bilan_Reporting_N_IV!$BN$9:$BN$2500</definedName>
    <definedName name="Solde_Actif_2">'[19]Bal_Bilan_Reporting_N-1_VI'!$BT$9:$BT$2500</definedName>
    <definedName name="Solde_Crédit">[17]Bal_Bilan!$D$3:$D$873</definedName>
    <definedName name="Solde_Débit">[17]Bal_Bilan!$C$3:$C$873</definedName>
    <definedName name="Solde_Départ">#REF!</definedName>
    <definedName name="Solde_Final">#REF!</definedName>
    <definedName name="Solde_Passif">[19]Bal_Bilan_Reporting_N_IV!$BP$9:$BQ$2500</definedName>
    <definedName name="Solde_Passif_2">'[19]Bal_Bilan_Reporting_N-1_VI'!$BV$9:$BV$2500</definedName>
    <definedName name="Solde_XMQ">[19]Bal_XMQ_Reporting_N_V!$G$9:$G$3001</definedName>
    <definedName name="Solde_XMQ_2">'[19]Bal_XMQ_Reporting_N-1_VII'!$D$9:$D$3001</definedName>
    <definedName name="SPRITE">#REF!</definedName>
    <definedName name="SQSssass">[5]CapeVerde!#REF!</definedName>
    <definedName name="SRTIE">#REF!</definedName>
    <definedName name="SSASASDASD">[5]CapeVerde!#REF!</definedName>
    <definedName name="ssSAS">[5]CapeVerde!#REF!</definedName>
    <definedName name="sssss">[55]SIMMPC!#REF!</definedName>
    <definedName name="sv">'[56]mvt clas.2'!#REF!</definedName>
    <definedName name="T">[37]Volumes!#REF!</definedName>
    <definedName name="T_ASSUR">#REF!</definedName>
    <definedName name="TABGRADE">[57]Job!$A$6:$B$104</definedName>
    <definedName name="TAP">[55]SIMMPC!#REF!</definedName>
    <definedName name="TAP_">#REF!</definedName>
    <definedName name="TAPE">#REF!</definedName>
    <definedName name="TATSB">[58]Volumes!#REF!</definedName>
    <definedName name="tattamama">#REF!</definedName>
    <definedName name="TAU">[10]Volumes!#REF!</definedName>
    <definedName name="TAUEMP">[58]Volumes!#REF!</definedName>
    <definedName name="TAUEMP1">[59]Volumes!#REF!</definedName>
    <definedName name="TAURIST">[58]Volumes!#REF!</definedName>
    <definedName name="TAUSBIER">[58]Volumes!#REF!</definedName>
    <definedName name="TAUX">[36]Production!$B$10</definedName>
    <definedName name="Taux_Intérêt">#REF!</definedName>
    <definedName name="Taux_Intérêt_Programmé">#REF!</definedName>
    <definedName name="TAUXG">[60]Production!$A$10</definedName>
    <definedName name="tauxGratB.G.">[61]Production!$B$10</definedName>
    <definedName name="tauxGratB.G.1">[62]Production!$B$10</definedName>
    <definedName name="tauxGratBier">[63]Production!$A$10</definedName>
    <definedName name="tauxImpot">0</definedName>
    <definedName name="TAUXR">[58]Volumes!#REF!</definedName>
    <definedName name="tauxRistB.G.">[64]Volumes!#REF!</definedName>
    <definedName name="tauxRistBier">[64]Volumes!#REF!</definedName>
    <definedName name="tauxRistEMP">[64]Volumes!#REF!</definedName>
    <definedName name="tauxTSBbg">[64]Volumes!#REF!</definedName>
    <definedName name="tauxTSBbier">[64]Volumes!#REF!</definedName>
    <definedName name="TAUXTSBIER">[65]Volumes!#REF!</definedName>
    <definedName name="tauxTVA">'[63]Volumes et CA'!$A$811</definedName>
    <definedName name="TCA">#REF!</definedName>
    <definedName name="tcb">[37]Volumes!#REF!</definedName>
    <definedName name="team">[57]New_List!$D$3:$D$469</definedName>
    <definedName name="Tec" hidden="1">{"Prev_tréso",#N/A,TRUE,"PRev treso";"Chiffre d'affaires",#N/A,TRUE,"Prev_CA";"Accises",#N/A,TRUE,"Accises";"Dep_courantes",#N/A,TRUE,"Dep_cour_98"}</definedName>
    <definedName name="TEP">#REF!</definedName>
    <definedName name="TETT">#REF!</definedName>
    <definedName name="Tiers_CC">#REF!</definedName>
    <definedName name="Tiers_Emprunts">#REF!</definedName>
    <definedName name="TITRE">#REF!</definedName>
    <definedName name="tm">'[15]RATIO BG 2007'!$Q$7:$Q$18</definedName>
    <definedName name="TOB">#REF!</definedName>
    <definedName name="too">#REF!</definedName>
    <definedName name="TOP">#REF!</definedName>
    <definedName name="tot_2000">[66]vtes_année_2000!$T$1:$T$65536</definedName>
    <definedName name="tot_2001">[66]vtes_année_2001!$T$1:$T$65536</definedName>
    <definedName name="tot_97">#REF!</definedName>
    <definedName name="tot_98">#REF!</definedName>
    <definedName name="TOTAL">#REF!</definedName>
    <definedName name="Total_budget">'[57]2003actual'!$BL$1:$BL$65536</definedName>
    <definedName name="TOTAL_CPTE_TVA_COLL">SUM(#REF!)</definedName>
    <definedName name="TOTAL_CPTE_TVA_DED">SUM(#REF!)</definedName>
    <definedName name="Total_forcast">'[57]2003actual'!$BM$1:$BM$65536</definedName>
    <definedName name="TOTAL_FRIGOS_BIERE_ET_BG___41">#REF!</definedName>
    <definedName name="Total_Interest">#REF!</definedName>
    <definedName name="Total_paid">'[57]2003actual'!$BO$1:$BO$65536</definedName>
    <definedName name="Total_Pay">#REF!</definedName>
    <definedName name="Total_Payment">#N/A</definedName>
    <definedName name="Total_pending">'[57]2003actual'!$BN$1:$BN$65536</definedName>
    <definedName name="TOTAL_TX">[67]Saisie!#REF!</definedName>
    <definedName name="TOTAL2">#REF!</definedName>
    <definedName name="total3">[47]Feuil8!#REF!</definedName>
    <definedName name="TOTALE">[68]SYNTBG!#REF!</definedName>
    <definedName name="TOTALES">[68]SYNTBG!#REF!</definedName>
    <definedName name="TotalM_1">#REF!</definedName>
    <definedName name="TralAA">[57]ADDIS!$O$3:$O$217</definedName>
    <definedName name="TralK">[57]Komb!$N$3:$N$136</definedName>
    <definedName name="TralSM">'[57]S&amp;M'!$P$3:$P$150</definedName>
    <definedName name="TRAV1">#REF!</definedName>
    <definedName name="TRAV2">#REF!</definedName>
    <definedName name="TRAV3">#REF!</definedName>
    <definedName name="TRESO">[69]RdM_ITS!$F$9:$F$9,[69]RdM_ITS!$F$12:$F$12,[69]RdM_ITS!$F$17:$F$17,[69]RdM_ITS!$F$47:$F$47,[69]RdM_ITS!$F$52:$F$52,[69]RdM_ITS!$F$57:$F$57,[69]RdM_ITS!$F$62:$F$62,[69]RdM_ITS!$F$67,[69]RdM_ITS!$F$72,[69]RdM_ITS!$F$24,[69]RdM_ITS!$F$27,[69]RdM_ITS!$F$32</definedName>
    <definedName name="TRM">#N/A</definedName>
    <definedName name="TSBBG">'[38]Autres Hypothèses'!$E$16</definedName>
    <definedName name="TSBBIER">'[38]Autres Hypothèses'!$E$15</definedName>
    <definedName name="TSBBOISENERG">'[70]Autres Hypothèses'!$E$16</definedName>
    <definedName name="TSBEAUGAZ">'[38]Autres Hypothèses'!$E$17</definedName>
    <definedName name="TSBEAUX">'[38]Autres Hypothèses'!$E$18</definedName>
    <definedName name="TSBEN">'[71]Autres Hypothèses'!#REF!</definedName>
    <definedName name="TSBENER">'[71]Autres Hypothèses'!#REF!</definedName>
    <definedName name="TSBNEGOCE">'[38]Autres Hypothèses'!$E$19</definedName>
    <definedName name="TSC">#REF!</definedName>
    <definedName name="TSCT">#REF!</definedName>
    <definedName name="TT">[68]SYNTBG!#REF!</definedName>
    <definedName name="ttt">[55]SIMMPC!#REF!</definedName>
    <definedName name="TTVA">'[60]Volumes et CA'!$A$811</definedName>
    <definedName name="TURE">[10]Volumes!#REF!</definedName>
    <definedName name="tva">'[72]Autres Hypothèses'!$E$13</definedName>
    <definedName name="TVA_DED">#REF!</definedName>
    <definedName name="TVA_VERSO_PAGE1">#REF!</definedName>
    <definedName name="TVA_VERSO_PAGE2">#REF!</definedName>
    <definedName name="TVA_VERSO_PAGE3">#REF!</definedName>
    <definedName name="TVA_VERSO_PAGE4">#REF!</definedName>
    <definedName name="TVA_VERSO_PAGE5">#REF!</definedName>
    <definedName name="TVA_VERSO_PAGE6">#REF!</definedName>
    <definedName name="TXSDXX">[10]Volumes!#REF!</definedName>
    <definedName name="TXX">[10]Volumes!#REF!</definedName>
    <definedName name="Type">'[11]Liste tiers'!$F$2:$F$6</definedName>
    <definedName name="Type_CC">#REF!</definedName>
    <definedName name="u">[25]RdM_ITS!$F$9:$F$9,[25]RdM_ITS!$F$12:$F$12,[25]RdM_ITS!$F$17:$F$17,[25]RdM_ITS!$F$62:$F$62,[25]RdM_ITS!$F$67:$F$67,[25]RdM_ITS!$F$83:$F$83,[25]RdM_ITS!$F$88:$F$88,[25]RdM_ITS!$F$93,[25]RdM_ITS!$F$111,[25]RdM_ITS!$F$24,[25]RdM_ITS!$F$27,[25]RdM_ITS!$F$32</definedName>
    <definedName name="Un">[57]New_List!$H$3:$H$469</definedName>
    <definedName name="Unif">[57]Unif!$A$6:$AG$104</definedName>
    <definedName name="Unif_Res">[57]New_List!$AY$3:$AY$469</definedName>
    <definedName name="UnifAA">[57]ADDIS!$AB$3:$AB$217</definedName>
    <definedName name="UnifK">[57]Komb!$AA$3:$AA$141</definedName>
    <definedName name="Uniform">[57]Unif_UP!$A$1:$E$38</definedName>
    <definedName name="UnifSM">'[57]S&amp;M'!$AC$3:$AC$150</definedName>
    <definedName name="v">[73]Bal_XMQ!$E$4:$E$618</definedName>
    <definedName name="Valeurs_Entrées">IF(Montant_Prêt*Taux_Intérêt*Durée_Prêt*Début_Prêt&gt;0,1,0)</definedName>
    <definedName name="Values_Entered">#N/A</definedName>
    <definedName name="VCWD">#REF!</definedName>
    <definedName name="ventcas">#REF!</definedName>
    <definedName name="VENTES">#REF!</definedName>
    <definedName name="Ventes_par_Canal">#REF!</definedName>
    <definedName name="VFRSR">#REF!</definedName>
    <definedName name="vides9712">'[40]Inventaire Total'!#REF!</definedName>
    <definedName name="VIN_MOIS">'[74]SAISIE VIN'!#REF!</definedName>
    <definedName name="vinr">#REF!</definedName>
    <definedName name="VINS">[75]saisie!$J$163</definedName>
    <definedName name="VOL_PROD">'[76]CODIF FICHES PRODUIT'!$A$7:$N$70</definedName>
    <definedName name="VVV">'[77]CODIF FICHES PRODUIT'!$A$7:$N$67</definedName>
    <definedName name="vvvvvvv">[48]Bal_XMQ!$D$4:$D$526</definedName>
    <definedName name="W">[55]SIMMPC!#REF!</definedName>
    <definedName name="WawsSsS">[5]CapeVerde!#REF!</definedName>
    <definedName name="Week52.5">[78]Month!$B$213</definedName>
    <definedName name="wrn.Aging._.and._.Trend._.Analysis." hidden="1">{#N/A,#N/A,FALSE,"Aging Summary";#N/A,#N/A,FALSE,"Ratio Analysis";#N/A,#N/A,FALSE,"Test 120 Day Accts";#N/A,#N/A,FALSE,"Tickmarks"}</definedName>
    <definedName name="wrn.edvtcshl." hidden="1">{#N/A,#N/A,FALSE,"vtcshl92";#N/A,#N/A,FALSE,"vtcshl93";#N/A,#N/A,FALSE,"vtcshl94";#N/A,#N/A,FALSE,"vtcshl95";#N/A,#N/A,FALSE,"vtcshl96"}</definedName>
    <definedName name="wrn.Treso._.prévi." hidden="1">{"Prev_tréso",#N/A,TRUE,"PRev treso";"Chiffre d'affaires",#N/A,TRUE,"Prev_CA";"Accises",#N/A,TRUE,"Accises";"Dep_courantes",#N/A,TRUE,"Dep_cour_98"}</definedName>
    <definedName name="wrn.unitcase." hidden="1">{#N/A,#N/A,FALSE,"REPORTpg1";#N/A,#N/A,FALSE,"REPORTpg2";#N/A,#N/A,FALSE,"REPORTpg3"}</definedName>
    <definedName name="wrn.VENTES._.CUMULEES.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hidden="1">{#N/A,#N/A,FALSE,"Détail"}</definedName>
    <definedName name="wrn.Xmq._.Détaillé." hidden="1">{#N/A,#N/A,FALSE,"Détail"}</definedName>
    <definedName name="wrn.Xmq._.Détaillé.2" hidden="1">{#N/A,#N/A,FALSE,"Détail"}</definedName>
    <definedName name="wrn.Xmq.1" hidden="1">{#N/A,#N/A,FALSE,"Détail"}</definedName>
    <definedName name="wrrn.Xmq._.Détaillé.1" hidden="1">{#N/A,#N/A,FALSE,"Détail"}</definedName>
    <definedName name="WVWVW">#REF!</definedName>
    <definedName name="WWW">#REF!</definedName>
    <definedName name="x">[73]Bal_XMQ!$D$4:$D$618</definedName>
    <definedName name="xf">'[56]mvt clas.2'!#REF!</definedName>
    <definedName name="xg">'[56]mvt clas.2'!#REF!</definedName>
    <definedName name="xmcivil">#REF!</definedName>
    <definedName name="xmm">#REF!</definedName>
    <definedName name="xmm04">#REF!</definedName>
    <definedName name="xmm07">#REF!</definedName>
    <definedName name="xmm12">#REF!</definedName>
    <definedName name="XMQ">#REF!</definedName>
    <definedName name="XMQ_data">#REF!</definedName>
    <definedName name="XMQ_data1">#REF!</definedName>
    <definedName name="xmq04">#REF!</definedName>
    <definedName name="xmq07">#REF!</definedName>
    <definedName name="xmq12">#REF!</definedName>
    <definedName name="xs">'[56]mvt clas.2'!#REF!</definedName>
    <definedName name="XSSRR">#REF!</definedName>
    <definedName name="xt">'[56]mvt clas.2'!#REF!</definedName>
    <definedName name="xw">'[56]mvt clas.2'!#REF!</definedName>
    <definedName name="xx">#REF!</definedName>
    <definedName name="XXL">[79]Bal_XMQ!$C$4:$C$1758</definedName>
    <definedName name="xxx">[79]Bal_XMQ!$D$4:$D$1758</definedName>
    <definedName name="xxxxxxxxxxxxx">[37]Volumes!#REF!</definedName>
    <definedName name="y">#REF!</definedName>
    <definedName name="Yes" hidden="1">#REF!</definedName>
    <definedName name="YTRE">#REF!</definedName>
    <definedName name="zd">#REF!</definedName>
    <definedName name="ZEV">#REF!</definedName>
    <definedName name="ZIM">#REF!</definedName>
    <definedName name="ZONE">#REF!</definedName>
    <definedName name="Zone_impres_MI">[80]SYNTBG!#REF!</definedName>
    <definedName name="ZonePrdt">#REF!</definedName>
    <definedName name="zszcvz">#REF!</definedName>
    <definedName name="ZZZZZZZZZZZZZZZZZ">[13]SIMHL!#REF!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C32" i="7" l="1"/>
  <c r="C31" i="7"/>
  <c r="C30" i="7"/>
  <c r="C29" i="7"/>
  <c r="C28" i="7"/>
  <c r="C27" i="7"/>
  <c r="C26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5" i="7"/>
  <c r="C6" i="7"/>
  <c r="C7" i="7"/>
  <c r="E63" i="8" l="1"/>
  <c r="A44" i="9" l="1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C6" i="6" l="1"/>
  <c r="C7" i="6"/>
  <c r="C8" i="6"/>
  <c r="C9" i="6"/>
  <c r="C10" i="6"/>
  <c r="C11" i="6"/>
  <c r="C12" i="6"/>
  <c r="C13" i="6"/>
  <c r="C14" i="6"/>
  <c r="C5" i="6"/>
  <c r="A252" i="3" l="1" a="1"/>
  <c r="A252" i="3" s="1"/>
  <c r="A248" i="3" a="1"/>
  <c r="A24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2" authorId="0" shapeId="0" xr:uid="{271344D4-69E3-4A20-917F-28AAA863A8B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i/>
            <sz val="8"/>
            <color indexed="10"/>
            <rFont val="Tahoma"/>
            <family val="2"/>
          </rPr>
          <t>FAMILLE D'OBJET DE COUT;
CRITERE OU DIMENSION SELON LAQUELLE LES COUTS SONT ANALYSE ET REPARTIS</t>
        </r>
        <r>
          <rPr>
            <sz val="9"/>
            <color indexed="81"/>
            <rFont val="Tahoma"/>
            <family val="2"/>
          </rPr>
          <t xml:space="preserve">
EX: 
PLAN OU AXE ANALYTIQUE 
PAR NATURE; PAR CENTRE DE COUT; PAR XT OU SCE; PAR PROJET OU MARCHE</t>
        </r>
      </text>
    </comment>
    <comment ref="B2" authorId="0" shapeId="0" xr:uid="{65EB31AD-C979-4571-B999-11F6128357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i/>
            <sz val="8"/>
            <color indexed="10"/>
            <rFont val="Tahoma"/>
            <family val="2"/>
          </rPr>
          <t>OBJET DE COUT OU CENTRE DE GESTION:
TOUT ELEMENT POUR LEQUEL ON SOUHAITE MESURE LE COUT</t>
        </r>
        <r>
          <rPr>
            <sz val="9"/>
            <color indexed="81"/>
            <rFont val="Tahoma"/>
            <family val="2"/>
          </rPr>
          <t xml:space="preserve">
EX:
ACTIVITE; PROJET; MARCHE; METIER; FONCTION; SERVICE; PRODUIT...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<sst xmlns="http://schemas.openxmlformats.org/spreadsheetml/2006/main" count="1708" uniqueCount="1018">
  <si>
    <t>COMPTE</t>
  </si>
  <si>
    <t>INTITULÉ</t>
  </si>
  <si>
    <t xml:space="preserve">TYPE </t>
  </si>
  <si>
    <t>CAPITAL SOUSCRIT, NON APPELÉ</t>
  </si>
  <si>
    <t>G</t>
  </si>
  <si>
    <t>CAPITAL SOUSCRIT, APPELÉ, VERSÉ</t>
  </si>
  <si>
    <t>PRIMES D'ÉMISSION</t>
  </si>
  <si>
    <t>RÉSERVE LÉGALE</t>
  </si>
  <si>
    <t>REPORT À NOUVEAU (BÉNÉFICE)</t>
  </si>
  <si>
    <t>PERTE NETTE À REPORTER</t>
  </si>
  <si>
    <t>RÉSULTAT NET : BÉNÉFICE</t>
  </si>
  <si>
    <t>RÉSULTAT NET : PERTE</t>
  </si>
  <si>
    <t>SUBVENTIONS D'INVESTISSEMENT</t>
  </si>
  <si>
    <t>EMPRUNTS BANCAIRES</t>
  </si>
  <si>
    <t>DETTES DE LOCATION ACQUISITION</t>
  </si>
  <si>
    <t>DÉPÔTS ET CAUTIONNEMENTS REÇUS</t>
  </si>
  <si>
    <t>PROVISION POUR PENSION+ENG RETRAITE</t>
  </si>
  <si>
    <t>LOGICIELS ET SITES INTERNET</t>
  </si>
  <si>
    <t>TERRAINS BÂTIMENTS INDUSTRIELS</t>
  </si>
  <si>
    <t>TERRAINS NUS</t>
  </si>
  <si>
    <t>BÂTIMENTS ADMINISTRATIFS &amp; COMMERCIAUX</t>
  </si>
  <si>
    <t xml:space="preserve">AUTRES AMENAGEMENTS DE BUREAUX </t>
  </si>
  <si>
    <t>MATÉRIEL INDUSTRIEL (ATELIER)</t>
  </si>
  <si>
    <t>ENGINS DE CHANTIER</t>
  </si>
  <si>
    <t>MATÉRIEL DE BUREAU &amp; INFORMATIQUE</t>
  </si>
  <si>
    <t>MOBILIER DE BUREAU</t>
  </si>
  <si>
    <t xml:space="preserve">MATÉRIEL ROULANT DE PRODUCTION	</t>
  </si>
  <si>
    <t>MATÉRIEL ROULANT D'ASSISTANCE PRODUCTION</t>
  </si>
  <si>
    <t>VÉHICULES ADMINISTRATIFS &amp; DE LIAISON</t>
  </si>
  <si>
    <t>DÉPÔTS ET CAUTIONS VERSÉS (LOYERS)</t>
  </si>
  <si>
    <t>DÉPÔTS POUR TÉLÉPHONE/EAU/ÉLEC</t>
  </si>
  <si>
    <t>STOCK MATIÈRES PREMIÈRES (BTP)</t>
  </si>
  <si>
    <t>STOCK PIÈCES DÉTACHÉES (GARAGE)</t>
  </si>
  <si>
    <t>STOCK FOURNITURES DE BUREAU</t>
  </si>
  <si>
    <t>DÉPRÉCIATION DES STOCKS</t>
  </si>
  <si>
    <t>FOURNISSEURS D'EXPLOITATION</t>
  </si>
  <si>
    <t>FOURNISSEURS SOUS-TRAITANTS</t>
  </si>
  <si>
    <t>FOURNISSEURS SOUS-TRAITANTS-OCCASIONNEL</t>
  </si>
  <si>
    <t>FOURNISSEURS, FACTURES NON PARVENUES</t>
  </si>
  <si>
    <t>AVANCES ET ACOMPTES VERSÉS</t>
  </si>
  <si>
    <t>CLIENTS (FACTURÉS)</t>
  </si>
  <si>
    <t>CLIENTS DOUTEUX</t>
  </si>
  <si>
    <t>PERSONNEL, RÉMUNÉRATIONS DUES</t>
  </si>
  <si>
    <t>PRESTATIONS FAMILIALES</t>
  </si>
  <si>
    <t>ACCIDENTS DE TRAVAIL</t>
  </si>
  <si>
    <t>SÉCURITÉ SOCIALE (CNPS)</t>
  </si>
  <si>
    <t>ÉTAT, IMPÔTS SUR BÉNÉFICES</t>
  </si>
  <si>
    <t>ÉTAT, TVA FACTURÉE</t>
  </si>
  <si>
    <t>ÉTAT, TVA DUE</t>
  </si>
  <si>
    <t>ÉTAT, TVA RÉCUPÉRABLE SUR ACHATS</t>
  </si>
  <si>
    <t>ÉTAT, TVA RÉCUPÉRABLE SUR TRANSPORT</t>
  </si>
  <si>
    <t xml:space="preserve">ETAT, TVA RECUPERABLE SUR SCES EXT ET AUTRES CHARGES </t>
  </si>
  <si>
    <t>ETAT, TVA RECUPERABLE SUR SCES FACTURES NON PARVENUES</t>
  </si>
  <si>
    <t>ETAT, TVA TRANSFEREE PAR D AUTRES ENTITE</t>
  </si>
  <si>
    <t>ETAT, AUTRES TAXES SUR LE CHIFFRE D'AFFAIRE</t>
  </si>
  <si>
    <t>ASSOCIÉS, COMPTES COURANTS (DG)</t>
  </si>
  <si>
    <t>COMPTES COURANTS (FAMILLE/TIERS)</t>
  </si>
  <si>
    <t>BDU</t>
  </si>
  <si>
    <t>NSIA</t>
  </si>
  <si>
    <t>VIREMENTS DE FONDS B/C OU C/B</t>
  </si>
  <si>
    <t>VIREMENTS DE FONDS B/B OU C/C</t>
  </si>
  <si>
    <t>ACHATS MARCHANDISES (NÉGOCE)</t>
  </si>
  <si>
    <t>ACHATS MATÉRIAUX BTP</t>
  </si>
  <si>
    <t>VARIATION STOCKS MARCHANDISES</t>
  </si>
  <si>
    <t>CARBURANT MATÉRIEL ROULANT</t>
  </si>
  <si>
    <t>CARBURANT VÉHICULES TOURISME</t>
  </si>
  <si>
    <t>LOCATIONS MATÉRIEL TP (SOUS-TRAITANCE)</t>
  </si>
  <si>
    <t>FRAIS ACCESSOIRES (DOUANE/TRANSIT)</t>
  </si>
  <si>
    <t>VOYAGES ET DÉPLACEMENTS</t>
  </si>
  <si>
    <t>MAINTENANCE PRÉVENTIVE (SANTÉ)</t>
  </si>
  <si>
    <t>AUTRES FRAIS BANCAIRES</t>
  </si>
  <si>
    <t>FRAIS DE FORMATION DU PERSONNEL</t>
  </si>
  <si>
    <t>MISSIONS &amp; RÉCEPTIONS</t>
  </si>
  <si>
    <t>PATENTE LICENCES &amp; TAXES ANNEXES</t>
  </si>
  <si>
    <t>AUTRES IMPOTS ET TAXES DIRECT-TSE</t>
  </si>
  <si>
    <t>IMPOTS ET TAXES INDIRECTS</t>
  </si>
  <si>
    <t>PENALITES D'ASSIETTE, IMPOTS DIRECTS</t>
  </si>
  <si>
    <t>PENALITES D'ASSIETTE, IMPOTS INDIRECTS</t>
  </si>
  <si>
    <t>PENALITES DE RECOUVVREMENT, IMPOTS DIRECTS</t>
  </si>
  <si>
    <t>PENALITES DE RECOUVVREMENT, IMPOTS INDIRECTS</t>
  </si>
  <si>
    <t>AUTRES PENALITES ET AMENDES FISCALES</t>
  </si>
  <si>
    <t>VC CESSIONS COURANTES IMMO INCORPO</t>
  </si>
  <si>
    <t>VC CESSIONS COURANTES IMMO CORPO</t>
  </si>
  <si>
    <t>PERTE  DE CHANGE/CREANCES ET DETTES CIALES</t>
  </si>
  <si>
    <t>PENALITES ET AMENDES PENALES</t>
  </si>
  <si>
    <t>INDEMNITES DE FONCTION ET AUTRES REMUNERATIONS</t>
  </si>
  <si>
    <t>DONS</t>
  </si>
  <si>
    <t>MECENAT</t>
  </si>
  <si>
    <t>PERTES &amp; VOLS (DÉMARQUE)</t>
  </si>
  <si>
    <t>CHARGES POUR DEPRECIATION SUR CREANCES</t>
  </si>
  <si>
    <t>APPOINTEMENTS SALAIRES ET COMMISSIONS</t>
  </si>
  <si>
    <t>PRIMES ET GRATIFICATIONS</t>
  </si>
  <si>
    <t>CONGES PAYES</t>
  </si>
  <si>
    <t>INDEMNITES DE PREAVIS, DE LICENCIEMENT ET DE RECHERCHE D'EMBAUCHE</t>
  </si>
  <si>
    <t>INDEMNITES DE MALADIE VERSEES AUX TRAVAILLEURS</t>
  </si>
  <si>
    <t>SUPPLEMENT FAMILIAL</t>
  </si>
  <si>
    <t>AVANTAGES EN NATURE</t>
  </si>
  <si>
    <t>AUTRES REMUNERATIONS DIRECTES</t>
  </si>
  <si>
    <t>INDEMNITES DE LOGEMENT</t>
  </si>
  <si>
    <t>INDEMNITES DE REPRESENTATION</t>
  </si>
  <si>
    <t>INDEMNITES D'EXPATRIATION</t>
  </si>
  <si>
    <t xml:space="preserve">INDEMNITES DE TRANSPORT </t>
  </si>
  <si>
    <t>AUTRES INDEMNITES ET AVANTAGES DIVERS</t>
  </si>
  <si>
    <t>INTÉRÊTS /EMPRUNTS AUPRES ETS CREDIT</t>
  </si>
  <si>
    <t>INTERETS DANS LES LOYERS DE LOCATION ACQUISITION/CB MOBILIER</t>
  </si>
  <si>
    <t>INTERETS BANCAIRES+OPE FINANCEMENT</t>
  </si>
  <si>
    <t>ESCOMPTES DES EFFETS DE COMMERCE</t>
  </si>
  <si>
    <t>PERTES DE CHANGE FINANCIERES</t>
  </si>
  <si>
    <t>PÉNALITÉS ET AMENDES</t>
  </si>
  <si>
    <t>DOTATION AMORTISSEMENT IMMO INCORPORELLES</t>
  </si>
  <si>
    <t>DOTATION AMORTISSEMENT IMMO CORPORELLES</t>
  </si>
  <si>
    <t>DOTATIONS AUX PROVISIONS POUR RISQUES ET CHARGES</t>
  </si>
  <si>
    <t>DOTATIONS AUX DEPRECIATIONS DES IMMOBILISATIONS INCORPO</t>
  </si>
  <si>
    <t>DOTATIONS AUX DEPRECIATIONS DES IMMOBILISATIONS CORPO</t>
  </si>
  <si>
    <t>DOTATIONS AUX DEPRECIATIONS DES IMMO FINANCIERES</t>
  </si>
  <si>
    <t>PRESTATIONS LOGISTIQUES</t>
  </si>
  <si>
    <t>REVENUS LOCATIFS (SCI)</t>
  </si>
  <si>
    <t>VENTES ACCESSOIRES</t>
  </si>
  <si>
    <t>VARIATION STOCKS EN-COURS</t>
  </si>
  <si>
    <t>AUTRES PRODUITS DIVERS</t>
  </si>
  <si>
    <t>INTERETS DE PRETS</t>
  </si>
  <si>
    <t>INTERETS/CREANCES DIVERSES</t>
  </si>
  <si>
    <t>ESCOMPTES OBTENUS</t>
  </si>
  <si>
    <t>INTERETS DANS LES LOYERS DE LOCATION DE LOCATION-FINANCEMENT</t>
  </si>
  <si>
    <t>GAINS DE CHANGE FINANCIERS</t>
  </si>
  <si>
    <t>REPRISES DE CHARGES_RISQUES FINANCIERS</t>
  </si>
  <si>
    <t>REPRISES DE CHARGES_TITRES DE PLACEMENT</t>
  </si>
  <si>
    <t xml:space="preserve">TRANSFERTS DE CHARGES D'EXPLOITATION </t>
  </si>
  <si>
    <t>TRANSFERTS DE CHARGES FINANCIERS</t>
  </si>
  <si>
    <t>VALEUR COMPTABLE CESSION IMMO</t>
  </si>
  <si>
    <t>PRODUIT CESSION IMMO</t>
  </si>
  <si>
    <t>CHARGES HAO (SINISTRES)</t>
  </si>
  <si>
    <t>PRODUITS HAO</t>
  </si>
  <si>
    <t>IMPÔT SUR LE RÉSULTAT</t>
  </si>
  <si>
    <t>RAPPEL D'IMPOTS SUR RESULTATS ANTERIEURS</t>
  </si>
  <si>
    <t>IMPOT MINIMUM FORFAITAIRE (I.M.F)</t>
  </si>
  <si>
    <t>DEGREVEMENTS ET ANNULATIONS D'IMPOTS/RESULTATS ANTERIEURS</t>
  </si>
  <si>
    <t xml:space="preserve">PARAMETRES </t>
  </si>
  <si>
    <t>KENAM SERVICES</t>
  </si>
  <si>
    <t>PCE_TIERS</t>
  </si>
  <si>
    <t>Pour piloter efficacement **KENAM SERVICES** (la Chimère), vous ne pouvez pas vous contenter d'une comptabilité générale. Vous devez "découper" l'animal pour voir quel organe est malade.</t>
  </si>
  <si>
    <t>Voici l'architecture des **3 AXES ANALYTIQUES** indispensables pour votre logiciel ou votre reporting Excel.</t>
  </si>
  <si>
    <t>---</t>
  </si>
  <si>
    <t>### AXE 1 : LES PÔLES D'ACTIVITÉ (MACRO-ANALYSE)</t>
  </si>
  <si>
    <t>*C'est le découpage des "Têtes de la Chimère". Il permet de savoir quel MÉTIER gagne de l'argent.*</t>
  </si>
  <si>
    <t xml:space="preserve"> CODE SECTION </t>
  </si>
  <si>
    <t xml:space="preserve"> LIBELLÉ PÔLE </t>
  </si>
  <si>
    <t xml:space="preserve"> PROFIL SYSTÉMIQUE </t>
  </si>
  <si>
    <t xml:space="preserve"> OBJECTIF DU SUIVI </t>
  </si>
  <si>
    <t xml:space="preserve"> :--- </t>
  </si>
  <si>
    <t xml:space="preserve"> **100** </t>
  </si>
  <si>
    <t xml:space="preserve"> **LOGISTIQUE &amp; TRANSPORT** </t>
  </si>
  <si>
    <t xml:space="preserve"> **L'ATHLÈTE** </t>
  </si>
  <si>
    <t xml:space="preserve"> Rentabilité des camions/engins loués ou propres. </t>
  </si>
  <si>
    <t xml:space="preserve"> **200** </t>
  </si>
  <si>
    <t xml:space="preserve"> **BTP &amp; TRAVAUX** </t>
  </si>
  <si>
    <t xml:space="preserve"> **LE TRANSFORMATEUR** </t>
  </si>
  <si>
    <t xml:space="preserve"> Rentabilité par Chantier (Marge sur travaux). </t>
  </si>
  <si>
    <t xml:space="preserve"> **300** </t>
  </si>
  <si>
    <t xml:space="preserve"> **NÉGOCE &amp; COMMERCE** </t>
  </si>
  <si>
    <t xml:space="preserve"> **LE COLIBRI** </t>
  </si>
  <si>
    <t xml:space="preserve"> Marge commerciale sur les ventes de produits. </t>
  </si>
  <si>
    <t xml:space="preserve"> **400** </t>
  </si>
  <si>
    <t xml:space="preserve"> **IMMOBILIER (SCI)** </t>
  </si>
  <si>
    <t xml:space="preserve"> **LE RENTIER** </t>
  </si>
  <si>
    <t xml:space="preserve"> Cash-flow des loyers (Couverture emprunts). </t>
  </si>
  <si>
    <t xml:space="preserve"> **900** </t>
  </si>
  <si>
    <t xml:space="preserve"> **STRUCTURE &amp; SIÈGE** </t>
  </si>
  <si>
    <t xml:space="preserve"> **LE CERVEAU** </t>
  </si>
  <si>
    <t xml:space="preserve"> Poids des frais généraux à répartir. </t>
  </si>
  <si>
    <t xml:space="preserve"> **999** </t>
  </si>
  <si>
    <t xml:space="preserve"> **HORS EXPLOITATION** </t>
  </si>
  <si>
    <t xml:space="preserve"> **LE PARASITE** </t>
  </si>
  <si>
    <t xml:space="preserve"> Isoler les dépenses Famille/Groupe pour ne pas fausser le reste. </t>
  </si>
  <si>
    <t>### AXE 2 : LES CENTRES DE COÛTS (MICRO-ANALYSE)</t>
  </si>
  <si>
    <t>*C'est le détail "Chirurgical". C'est ici que vous utilisez vos codes engins.*</t>
  </si>
  <si>
    <t>#### SOUS-AXE 100 (Détail Logistique)</t>
  </si>
  <si>
    <t>*   `MAT_LOURD` : Engins TP (Pelles, Bull, Grue).</t>
  </si>
  <si>
    <t>*   `MAT_TRANS` : Camions (Bennes, Plateaux, Citernes).</t>
  </si>
  <si>
    <t>*   `MAT_EXT` : Locations externes (Lasso, Diongo) -&gt; *Pour voir si la sous-traitance est rentable.*</t>
  </si>
  <si>
    <t>#### SOUS-AXE 200 (Détail Chantiers BTP)</t>
  </si>
  <si>
    <t>*Il faut créer un code par PROJET.*</t>
  </si>
  <si>
    <t>*   `CH_NASSIAN` : Chantier Nassian.</t>
  </si>
  <si>
    <t>*   `CH_ABIDJAN` : Chantier Abidjan.</t>
  </si>
  <si>
    <t>*   `CH_DIVERS` : Petits travaux.</t>
  </si>
  <si>
    <t>#### SOUS-AXE 900 (Détail Structure)</t>
  </si>
  <si>
    <t>*   `DIR_GEN` : Direction Générale (DG).</t>
  </si>
  <si>
    <t>*   `ADMIN` : Compta, RH, Secrétariat.</t>
  </si>
  <si>
    <t>*   `PARC_AUTO` : Véhicules de liaison (Suzuki).</t>
  </si>
  <si>
    <t>### AXE 3 : LES ZONES GÉOGRAPHIQUES (LE TERRAIN)</t>
  </si>
  <si>
    <t>*Kenam semble avoir des activités dispersées. Le coût de gestion à Abidjan n'est pas le même qu'à l'intérieur.*</t>
  </si>
  <si>
    <t xml:space="preserve"> CODE ZONE </t>
  </si>
  <si>
    <t xml:space="preserve"> LIBELLÉ </t>
  </si>
  <si>
    <t xml:space="preserve"> POURQUOI ? </t>
  </si>
  <si>
    <t xml:space="preserve"> **Z01** </t>
  </si>
  <si>
    <t xml:space="preserve"> **ABIDJAN** </t>
  </si>
  <si>
    <t xml:space="preserve"> Base arrière. </t>
  </si>
  <si>
    <t xml:space="preserve"> **Z02** </t>
  </si>
  <si>
    <t xml:space="preserve"> **NORD (Korhogo/Ferké)** </t>
  </si>
  <si>
    <t xml:space="preserve"> Zone logistique forte. </t>
  </si>
  <si>
    <t xml:space="preserve"> **Z03** </t>
  </si>
  <si>
    <t xml:space="preserve"> **EST (Nassian/Bouna)** </t>
  </si>
  <si>
    <t xml:space="preserve"> Zone chantier isolée (Coût d'approche élevé). </t>
  </si>
  <si>
    <t xml:space="preserve"> **Z04** </t>
  </si>
  <si>
    <t xml:space="preserve"> **CENTRE (Bouaké)** </t>
  </si>
  <si>
    <t xml:space="preserve"> Zone de transit. </t>
  </si>
  <si>
    <t>### COMMENT CROISER CES AXES ? (LA MATRICE DE DÉCISION)</t>
  </si>
  <si>
    <t>Quand vous saisissez une pièce, vous devez répondre à 3 questions :</t>
  </si>
  <si>
    <t>**EXEMPLE 1 : Achat d'une pièce pour la Pelle 330 qui travaille à Nassian.**</t>
  </si>
  <si>
    <t>1.  **Nature (Quoi ?) :** `624200` (Maintenance Curative) / Tag `TECH`.</t>
  </si>
  <si>
    <t>2.  **Axe 1 (Métier ?) :** `100` (Logistique/Engin).</t>
  </si>
  <si>
    <t>3.  **Axe 2 (Qui ?) :** `PELLE_330`.</t>
  </si>
  <si>
    <t>4.  **Axe 3 (Où ?) :** `Z03` (Nassian).</t>
  </si>
  <si>
    <t>**EXEMPLE 2 : Achat de Ciment pour construire une villa à Abidjan.**</t>
  </si>
  <si>
    <t>1.  **Nature :** `602100` (Achat Matériaux) / Tag `MAT`.</t>
  </si>
  <si>
    <t>2.  **Axe 1 :** `200` (BTP).</t>
  </si>
  <si>
    <t>3.  **Axe 2 :** `CH_VILLA_X`.</t>
  </si>
  <si>
    <t>4.  **Axe 3 :** `Z01` (Abidjan).</t>
  </si>
  <si>
    <t>**EXEMPLE 3 : Frais funérailles.**</t>
  </si>
  <si>
    <t>1.  **Nature :** `462000` (Compte Courant) / Tag `PERSO`.</t>
  </si>
  <si>
    <t>2.  **Axe 1 :** `999` (Hors Expl).</t>
  </si>
  <si>
    <t>3.  **Axe 2 :** `FAMILLE`.</t>
  </si>
  <si>
    <t>4.  **Axe 3 :** `AUCUN`.</t>
  </si>
  <si>
    <t>### LE TABLEAU DE BORD DE RENTABILITÉ ANALYTIQUE (LE BUT ULTIME)</t>
  </si>
  <si>
    <t>Grâce à ces axes, vous pouvez sortir ce tableau automatique pour la Directrice :</t>
  </si>
  <si>
    <t xml:space="preserve"> ANALYSE PAR ENGIN (P&amp;L) </t>
  </si>
  <si>
    <t xml:space="preserve"> REVENUS (Facturation) </t>
  </si>
  <si>
    <t xml:space="preserve"> (-) GASOIL </t>
  </si>
  <si>
    <t xml:space="preserve"> (-) PANNES </t>
  </si>
  <si>
    <t xml:space="preserve"> (-) CHAUFFEUR </t>
  </si>
  <si>
    <t xml:space="preserve"> = RÉSULTAT NET </t>
  </si>
  <si>
    <t xml:space="preserve"> :---: </t>
  </si>
  <si>
    <t xml:space="preserve"> **PELLE 330** </t>
  </si>
  <si>
    <t xml:space="preserve"> 5.000.000 </t>
  </si>
  <si>
    <t xml:space="preserve"> (1.500.000) </t>
  </si>
  <si>
    <t xml:space="preserve"> (2.000.000) </t>
  </si>
  <si>
    <t xml:space="preserve"> (300.000) </t>
  </si>
  <si>
    <t xml:space="preserve"> **+ 1.200.000** </t>
  </si>
  <si>
    <t xml:space="preserve"> **GRUE 6245** </t>
  </si>
  <si>
    <t xml:space="preserve"> 1.000.000 </t>
  </si>
  <si>
    <t xml:space="preserve"> (500.000) </t>
  </si>
  <si>
    <t xml:space="preserve"> (800.000) </t>
  </si>
  <si>
    <t xml:space="preserve"> (200.000) </t>
  </si>
  <si>
    <t xml:space="preserve"> **?? - 500.000** </t>
  </si>
  <si>
    <t>*Verdict immédiat : La Grue travaille à perte, il faut l'arrêter ou la réparer définitivement.*</t>
  </si>
  <si>
    <t>C'est la mise en œuvre technique finale. **Sage 100 Comptabilité i7** (et versions supérieures) est très puissant car il permet de gérer jusqu'à 11 plans analytiques.</t>
  </si>
  <si>
    <t>Pour **KENAM SERVICES** (La Chimère), je vous recommande d'utiliser une **ARCHITECTURE À 2 PLANS**. Cela vous permettra de sortir des états "Par Métier" (Macro) et "Par Engin/Chantier" (Micro) sans tout mélanger.</t>
  </si>
  <si>
    <t>Voici le paramétrage exact à faire dans : **Structure &gt; Plans Analytiques**.</t>
  </si>
  <si>
    <t>### PLAN ANALYTIQUE N°1 : LES PÔLES D'ACTIVITÉ (MACRO)</t>
  </si>
  <si>
    <t>*Ce plan sert à répondre à la question : "Quel métier gagne de l'argent ?"*</t>
  </si>
  <si>
    <t>**Paramétrage :**</t>
  </si>
  <si>
    <t>*   **Intitulé du Plan :** MÉTIERS / PÔLES</t>
  </si>
  <si>
    <t>*   **Obligatoire :** OUI (À la saisie des classes 6 et 7).</t>
  </si>
  <si>
    <t>**LES SECTIONS (CODES) :**</t>
  </si>
  <si>
    <t xml:space="preserve"> INTITULÉ </t>
  </si>
  <si>
    <t xml:space="preserve"> NATURE DE L'ACTIVITÉ </t>
  </si>
  <si>
    <t xml:space="preserve"> L'Athlète (Vente de transport/loc). </t>
  </si>
  <si>
    <t xml:space="preserve"> Le Transformateur (Chantiers). </t>
  </si>
  <si>
    <t xml:space="preserve"> **NÉGOCE QUINCAILLERIE** </t>
  </si>
  <si>
    <t xml:space="preserve"> Le Colibri (Achat/Revente matériaux). </t>
  </si>
  <si>
    <t xml:space="preserve"> Le Rentier (Gestion locative). </t>
  </si>
  <si>
    <t xml:space="preserve"> **ADMIN &amp; STRUCTURE** </t>
  </si>
  <si>
    <t xml:space="preserve"> Le Siège (Charges communes). </t>
  </si>
  <si>
    <t xml:space="preserve"> Famille / Interco / Divers. </t>
  </si>
  <si>
    <t>### PLAN ANALYTIQUE N°2 : LES CENTRES DE COÛTS (MICRO)</t>
  </si>
  <si>
    <t>*Ce plan sert à répondre à la question : "Qui a consommé le gasoil ?"*</t>
  </si>
  <si>
    <t>*   **Intitulé du Plan :** ENGINS / CHANTIERS</t>
  </si>
  <si>
    <t>*   **Obligatoire :** OUI.</t>
  </si>
  <si>
    <t>Voici la liste des sections à créer dans Sage, regroupées pour la clarté :</t>
  </si>
  <si>
    <t>#### A. DÉTAIL LOGISTIQUE (Pour le Pôle 100)</t>
  </si>
  <si>
    <t>*Codification : Type (1 Lettre) + Numéro.*</t>
  </si>
  <si>
    <t>*   **P_330** : Pelle Caterpillar 330</t>
  </si>
  <si>
    <t>*   **P_325** : Pelle Caterpillar 325</t>
  </si>
  <si>
    <t>*   **P_D7R** : Bulldozer D7R</t>
  </si>
  <si>
    <t>*   **P_GRUE** : Grue 6245</t>
  </si>
  <si>
    <t>*   **P_DIV** : Autres Engins TP (Compacteur, Bétonnière)</t>
  </si>
  <si>
    <t>*   **T_BEN** : Camions Bennes (Regroupés ou détail T_BEN_1492...)</t>
  </si>
  <si>
    <t>*   **T_PLA** : Camions Plateaux</t>
  </si>
  <si>
    <t>*   **T_CIT** : Camions Citernes</t>
  </si>
  <si>
    <t>*   **T_EXT** : Locations Externes (Lasso, Diongo...) -&gt; *Important pour voir le coût sous-traitance.*</t>
  </si>
  <si>
    <t>#### B. DÉTAIL BTP (Pour le Pôle 200)</t>
  </si>
  <si>
    <t>*Codification : C (Chantier) + Ville.*</t>
  </si>
  <si>
    <t>*   **C_NASSIAN** : Chantiers Zone Nassian</t>
  </si>
  <si>
    <t>*   **C_ABIDJAN** : Chantiers Zone Abidjan</t>
  </si>
  <si>
    <t>*   **C_KORHOGO** : Chantiers Zone Nord</t>
  </si>
  <si>
    <t>*   **C_DIVERS** : Petits travaux / Maintenance</t>
  </si>
  <si>
    <t>#### C. DÉTAIL QUINCAILLERIE (Pour le Pôle 300)</t>
  </si>
  <si>
    <t>*Codification : N (Négoce) + Famille.*</t>
  </si>
  <si>
    <t>*   **N_GROS** : Gros Œuvre (Ciment, Fer, Sable)</t>
  </si>
  <si>
    <t>*   **N_SEC** : Second Œuvre (Carreaux, Peinture)</t>
  </si>
  <si>
    <t>*   **N_ELEC** : Électricité / Plomberie</t>
  </si>
  <si>
    <t>*   **N_DIV** : Outillage et Divers</t>
  </si>
  <si>
    <t>#### D. DÉTAIL IMMOBILIER (Pour le Pôle 400)</t>
  </si>
  <si>
    <t>*Codification : I (Immo) + Nom.*</t>
  </si>
  <si>
    <t>*   **I_SIEGE** : Bâtiment Siège (SCI)</t>
  </si>
  <si>
    <t>*   **I_LOCATIF** : Biens mis en location tiers</t>
  </si>
  <si>
    <t>#### E. DÉTAIL STRUCTURE &amp; HORS EXPL (Pour Pôles 900/999)</t>
  </si>
  <si>
    <t>*   **S_DG** : Direction Générale (Voiture DG, Frais DG)</t>
  </si>
  <si>
    <t>*   **S_ADMIN** : Services Administratifs</t>
  </si>
  <si>
    <t>*   **S_AUTO** : Véhicules de service (Suzuki, Cars personnel)</t>
  </si>
  <si>
    <t>*   **H_FAM** : Dépenses Famille</t>
  </si>
  <si>
    <t>*   **H_GRP** : Ham Group / Autres sociétés</t>
  </si>
  <si>
    <t>### COMMENT SAISIR DANS SAGE (L'ASTUCE DU GRILLE)</t>
  </si>
  <si>
    <t>Quand vous saisissez une facture (Ex: Achat de Ciment pour la Quincaillerie) :</t>
  </si>
  <si>
    <t>1.  **Compte Général :** `601100` (Achat Marchandises).</t>
  </si>
  <si>
    <t>2.  **Sage ouvre la fenêtre Analytique.**</t>
  </si>
  <si>
    <t>3.  **Plan 1 (MÉTIER) :** Sélectionnez `300` (QUINCAILLERIE).</t>
  </si>
  <si>
    <t>4.  **Plan 2 (DÉTAIL) :** Sélectionnez `N_GROS` (Ciment/Fer).</t>
  </si>
  <si>
    <t>**Résultat :**</t>
  </si>
  <si>
    <t>Vous pourrez sortir deux types de Grands Livres Analytiques :</t>
  </si>
  <si>
    <t>1.  **Un P&amp;L par Métier :** "La Quincaillerie gagne-t-elle de l'argent ?"</t>
  </si>
  <si>
    <t>2.  **Un P&amp;L par Famille produit :** "Gagne-t-on plus sur le Ciment ou sur la Peinture ?"</t>
  </si>
  <si>
    <t>### PARAMÉTRAGE DES OD ANALYTIQUES (LES CLÉS)</t>
  </si>
  <si>
    <t>Dans Sage i7, configurez des **modèles de grille** pour les charges communes (Loyer Siège, Électricité, Salaire Comptable).</t>
  </si>
  <si>
    <t>*   **Modèle "FRAIS_SIEGE" :**</t>
  </si>
  <si>
    <t xml:space="preserve">    *   10% sur `100` (Logistique)</t>
  </si>
  <si>
    <t xml:space="preserve">    *   10% sur `200` (BTP)</t>
  </si>
  <si>
    <t xml:space="preserve">    *   10% sur `300` (Négoce)</t>
  </si>
  <si>
    <t xml:space="preserve">    *   70% sur `900` (Reste en Structure)</t>
  </si>
  <si>
    <t>Cela évite de réfléchir à chaque facture de la CIE. Vous appliquez la grille, et Sage éclate la dépense sur les différents métiers.</t>
  </si>
  <si>
    <t>C'est normal, c'est une notion de Contrôle de Gestion un peu subtile. Je vais vous l'expliquer avec une image très simple : L'IMAGE DES 3 BOUTIQUES ET DU GARDIEN.</t>
  </si>
  <si>
    <t>Imaginez que KENAM est un grand terrain avec 3 petites boutiques dessus et 1 gardien à l'entrée.</t>
  </si>
  <si>
    <t>Boutique A (Logistique) : Elle vend du transport.</t>
  </si>
  <si>
    <t>Boutique B (BTP) : Elle vend des maisons.</t>
  </si>
  <si>
    <t>Boutique C (Négoce) : Elle vend du ciment.</t>
  </si>
  <si>
    <t>Le Gardien (Structure/Siège) : Il surveille tout le monde, mais il ne vend rien. Il coûte cher (Salaire).</t>
  </si>
  <si>
    <t>1. CE QUE VEUT DIRE "AFFECTER DIRECTEMENT"</t>
  </si>
  <si>
    <t>C'est rendre à César ce qui est à César.</t>
  </si>
  <si>
    <t>Si la Boutique A (Logistique) achète du gasoil, c'est SA dépense.</t>
  </si>
  <si>
    <t>Si le Comptable passe 80% de sa journée à saisir les factures de la Boutique A, alors 80% de son salaire est une dépense de la Boutique A.</t>
  </si>
  <si>
    <t>Pourquoi ? Parce que si on ferme la Boutique A, on n'aura plus besoin d'acheter ce gasoil et on pourra peut-être licencier ce comptable (ou réduire son temps).</t>
  </si>
  <si>
    <t>-&gt; C'est une charge liée à l'activité.</t>
  </si>
  <si>
    <t>2. CE QUE VEUT DIRE "SECTION 900 COMME POUBELLE ASSUMÉE"</t>
  </si>
  <si>
    <t>C'est le coût du Gardien (Le Siège).</t>
  </si>
  <si>
    <t>Le Gardien surveille les 3 boutiques.</t>
  </si>
  <si>
    <t>Est-ce qu'on doit diviser son salaire en 3 et dire que la Boutique A doit payer un bout, la B un bout, et la C un bout ?</t>
  </si>
  <si>
    <t>MA RECOMMANDATION : NON.</t>
  </si>
  <si>
    <t>Pourquoi ne pas répartir ?</t>
  </si>
  <si>
    <t>Parce que si la Boutique A fait faillite et ferme, le Gardien est toujours là. Son coût ne baisse pas. Le DG est toujours là. Le Loyer du siège est toujours là.</t>
  </si>
  <si>
    <t>Si vous mettez le coût du gardien dans les comptes de la Boutique A, vous allez croire que la Boutique A perd de l'argent, alors qu'en fait, elle gagne de l'argent, mais elle est juste "écrasée" par le poids du gardien.</t>
  </si>
  <si>
    <t>Donc : On laisse tout le coût du Gardien, du DG, du Loyer Siège dans la section 900 (STRUCTURE). On ne le mélange pas.</t>
  </si>
  <si>
    <t>3. LE RÉSULTAT FINAL (LA COMPARAISON DANS EXCEL)</t>
  </si>
  <si>
    <t>Voici le tableau que vous devez présenter. C'est ça la "Sagesse".</t>
  </si>
  <si>
    <t>Il y a deux niveaux de vérité :</t>
  </si>
  <si>
    <t>NIVEAU 1 : La Vérité du Terrain (Marge Contributive)</t>
  </si>
  <si>
    <t>La Logistique a-t-elle gagné de l'argent ? OUI.</t>
  </si>
  <si>
    <t>Le BTP a-t-il gagné de l'argent ? OUI.</t>
  </si>
  <si>
    <t>NIVEAU 2 : La Vérité de l'Entreprise (Résultat Net)</t>
  </si>
  <si>
    <t>Est-ce que l'argent gagné par le terrain suffit à payer le Gardien (Siège) ?</t>
  </si>
  <si>
    <t>EXEMPLE CHIFFRÉ (Regardez bien la différence) :</t>
  </si>
  <si>
    <t>RUBRIQUE</t>
  </si>
  <si>
    <t>LOGISTIQUE (100)</t>
  </si>
  <si>
    <t>BTP (200)</t>
  </si>
  <si>
    <t>NÉGOCE (300)</t>
  </si>
  <si>
    <t>STRUCTURE (900)</t>
  </si>
  <si>
    <t>TOTAL KENAM</t>
  </si>
  <si>
    <t>CHIFFRE D'AFFAIRES</t>
  </si>
  <si>
    <t>50 M</t>
  </si>
  <si>
    <t>30 M</t>
  </si>
  <si>
    <t>20 M</t>
  </si>
  <si>
    <t>-</t>
  </si>
  <si>
    <t>100 M</t>
  </si>
  <si>
    <t>(-) Coûts Directs (Gasoil/Achats)</t>
  </si>
  <si>
    <t>(30 M)</t>
  </si>
  <si>
    <t>(20 M)</t>
  </si>
  <si>
    <t>(15 M)</t>
  </si>
  <si>
    <t>(65 M)</t>
  </si>
  <si>
    <t>(-) Coûts Affectés (Comptable dédié)</t>
  </si>
  <si>
    <t>(5 M)</t>
  </si>
  <si>
    <t>+ 15 M</t>
  </si>
  <si>
    <t>+ 10 M</t>
  </si>
  <si>
    <t>+ 5 M</t>
  </si>
  <si>
    <t>+ 30 M</t>
  </si>
  <si>
    <t>C'est bien ! Chaque métier gagne.</t>
  </si>
  <si>
    <t>(-) COÛT STRUCTURE (Le Gardien)</t>
  </si>
  <si>
    <t>(35 M)</t>
  </si>
  <si>
    <t>(Loyer Siège, DG, Élec bureau)</t>
  </si>
  <si>
    <t>?? - 5 M</t>
  </si>
  <si>
    <t>L'ANALYSE QUE VOUS FEREZ :</t>
  </si>
  <si>
    <t>Si vous aviez réparti les 35 Millions de structure sur les métiers, tous les métiers auraient l'air déficitaires. Vous diriez : "Tout va mal, arrêtons la logistique".</t>
  </si>
  <si>
    <t>Avec ma méthode (ce tableau), vous dites :</t>
  </si>
  <si>
    <t>Les Métiers sont bons (Ils dégagent 30 Millions de marge ensemble).</t>
  </si>
  <si>
    <t>Le Siège est TROP LOURD (Il coûte 35 Millions).</t>
  </si>
  <si>
    <t>Décision : Il ne faut pas fermer la logistique, il faut déménager le siège ou réduire les frais du DG !</t>
  </si>
  <si>
    <t>C'est ça, la méthode "Semi-Analytique". On sépare la performance des Muscles (Métiers) du poids du Squelette (Structure).</t>
  </si>
  <si>
    <t>C'est très simple et cela se fait en **3 ÉTAPES** dans votre paramétrage SAGE i7 (ou votre Excel).</t>
  </si>
  <si>
    <t>L'objectif est d'empêcher le mélange toxique entre les "Coûts Directs" (Métier) et les "Coûts de Structure" (Siège).</t>
  </si>
  <si>
    <t>### ÉTAPE 1 : INTERDIRE LA RÉPARTITION AUTOMATIQUE (OD ANALYTIQUE)</t>
  </si>
  <si>
    <t>Dans beaucoup de logiciels, on crée des clés automatiques (ex: "Dès que je saisis de l'électricité, mets 33% partout"). **NE FAITES PAS ÇA.**</t>
  </si>
  <si>
    <t>*   **Action :** Supprimez ou désactivez les grilles de répartition automatique dans Sage pour les comptes de structure (Loyer, DG, Honoraires).</t>
  </si>
  <si>
    <t>*   **Règle :** Chaque facture doit être analysée.</t>
  </si>
  <si>
    <t>### ÉTAPE 2 : LA SAISIE AU RÉEL (LE TRI QUOTIDIEN)</t>
  </si>
  <si>
    <t>Formez votre comptable à se poser la question **"QUI ?"** à chaque facture.</t>
  </si>
  <si>
    <t>**SCÉNARIO A : Facture CIE de l'Atelier Mécanique**</t>
  </si>
  <si>
    <t>*   *Question :* Qui consomme ? L'Atelier (Logistique).</t>
  </si>
  <si>
    <t>*   *Saisie Sage :* Compte 6051 -&gt; Section Analytique **`100` (LOGISTIQUE)**.</t>
  </si>
  <si>
    <t>*   *Pourquoi ?* C'est un coût direct.</t>
  </si>
  <si>
    <t>**SCÉNARIO B : Facture CIE du Siège Social (Bureaux)**</t>
  </si>
  <si>
    <t>*   *Question :* Qui consomme ? Les bureaux de tout le monde.</t>
  </si>
  <si>
    <t>*   *Saisie Sage :* Compte 6051 -&gt; Section Analytique **`900` (STRUCTURE)**.</t>
  </si>
  <si>
    <t>*   *Pourquoi ?* C'est le "Gardien". On ne divise pas.</t>
  </si>
  <si>
    <t>**SCÉNARIO C : Salaire du Chauffeur**</t>
  </si>
  <si>
    <t>*   *Saisie :* Section **`100` (LOGISTIQUE)**.</t>
  </si>
  <si>
    <t>**SCÉNARIO D : Salaire du DG**</t>
  </si>
  <si>
    <t>*   *Saisie :* Section **`900` (STRUCTURE)**.</t>
  </si>
  <si>
    <t>### ÉTAPE 3 : LE REPORTING (LE TABLEAU EXCEL FINAL)</t>
  </si>
  <si>
    <t>À la fin du mois, vous sortez la **"Balance Analytique"** de Sage.</t>
  </si>
  <si>
    <t>Vous aurez :</t>
  </si>
  <si>
    <t>*   Solde Section 100</t>
  </si>
  <si>
    <t>*   Solde Section 200</t>
  </si>
  <si>
    <t>*   Solde Section 300</t>
  </si>
  <si>
    <t>*   Solde Section 900</t>
  </si>
  <si>
    <t>Vous ouvrez votre fichier Excel **`REPORTING_CONTROLE_GESTION`** et vous remplissez ce petit tableau de synthèse (celui que je vous ai montré juste avant).</t>
  </si>
  <si>
    <t>1.  **Ligne "MARGE CONTRIBUTIVE" :** Vous copiez les résultats des sections 100, 200, 300.</t>
  </si>
  <si>
    <t xml:space="preserve">    *   *Si c'est positif :* Bravo les gars du terrain !</t>
  </si>
  <si>
    <t xml:space="preserve">    *   *Si c'est négatif :* Problème technique (Vol, Panne, Prix de vente trop bas).</t>
  </si>
  <si>
    <t>2.  **Ligne "COÛT STRUCTURE" :** Vous copiez le résultat de la section 900.</t>
  </si>
  <si>
    <t xml:space="preserve">    *   *Analyse :* Est-ce que ce montant est couvert par la marge des autres ?</t>
  </si>
  <si>
    <t>### RÉSUMÉ DE LA MISE EN PLACE</t>
  </si>
  <si>
    <t>1.  **Dans SAGE :** Créez la section `900`.</t>
  </si>
  <si>
    <t>2.  **Au bureau :** Dites au comptable : *"Si tu sais exactement pour quel chantier c'est, tu mets le code chantier. Si c'est pour le bureau ou le chef, tu mets 900."*</t>
  </si>
  <si>
    <t>3.  **Fin de mois :** Vous regardez si la somme des marges chantiers est plus grande que le coût du 900.</t>
  </si>
  <si>
    <t>C'est la méthode la plus robuste pour piloter une PME diversifiée sans usine à gaz.</t>
  </si>
  <si>
    <t>C'est la question ultime du Contrôleur de Gestion. Le tableau Excel ne sert à rien si on ne prend pas de décision derrière.</t>
  </si>
  <si>
    <t>Quand vous comparez la **Marge des Métiers (100+200+300)** avec le **Coût du Siège (900)**, vous n'avez que **3 SCÉNARIOS POSSIBLES**.</t>
  </si>
  <si>
    <t>Voici le **PROTOCOLE D'INTERVENTION** pour chacun de ces cas. C'est ce que vous devez dire à la Directrice.</t>
  </si>
  <si>
    <t>### SCÉNARIO 1 : L'OBÉSITÉ DU SIÈGE (Le cas le plus fréquent)</t>
  </si>
  <si>
    <t>*Situation :*</t>
  </si>
  <si>
    <t>*   Les Métiers gagnent de l'argent (**+ 30 Millions**).</t>
  </si>
  <si>
    <t>*   La Structure (900) coûte trop cher (**- 35 Millions**).</t>
  </si>
  <si>
    <t>*   **Résultat Net : - 5 Millions.**</t>
  </si>
  <si>
    <t>**?? DIAGNOSTIC SYSTÉMIQUE :**</t>
  </si>
  <si>
    <t>Les muscles sont forts, mais le squelette est trop lourd. L'entreprise est écrasée par son propre poids (Loyer prestigieux, Salaire DG trop élevé, trop de secrétaires, trop d'électricité de bureau).</t>
  </si>
  <si>
    <t>**?? L'ACTION À PRENDRE (ORDONNANCE) :**</t>
  </si>
  <si>
    <t>Ne touchez surtout pas aux chantiers ! Ne baissez pas le salaire des chauffeurs !</t>
  </si>
  <si>
    <t>1.  **Régime Sévère pour le Siège :** On coupe dans la section 900.</t>
  </si>
  <si>
    <t xml:space="preserve">    *   Déménager dans des bureaux moins chers.</t>
  </si>
  <si>
    <t xml:space="preserve">    *   Réduire les frais de mission/réception (`STRUCT`).</t>
  </si>
  <si>
    <t xml:space="preserve">    *   Limiter les véhicules de fonction administratifs.</t>
  </si>
  <si>
    <t>2.  **Message à la DG :** *"Madame, vos équipes travaillent bien, elles gagnent 30M. Mais votre bureau coûte 35M. C'est le train de vie du siège qui tue la rentabilité."*</t>
  </si>
  <si>
    <t>### SCÉNARIO 2 : L'ATROPHIE MUSCULAIRE (Le cas technique)</t>
  </si>
  <si>
    <t>*   Les Métiers perdent de l'argent ou gagnent peu (**+ 5 Millions**).</t>
  </si>
  <si>
    <t>*   La Structure est raisonnable (**- 10 Millions**).</t>
  </si>
  <si>
    <t>Le squelette est léger, mais les muscles sont malades. Même si le siège coûtait 0, l'entreprise serait à peine rentable. Le problème est sur le terrain.</t>
  </si>
  <si>
    <t>**?? L'ACTION À PRENDRE (CHIRURGIE) :**</t>
  </si>
  <si>
    <t>Ne licenciez pas la comptable ! Le problème est technique.</t>
  </si>
  <si>
    <t>1.  **Audit des sections 100/200 :** Regardez quel engin consomme trop (`EXT_MALADIE`).</t>
  </si>
  <si>
    <t>2.  **Audit des Ventes :** Vendons-nous à perte ? (Prix trop bas).</t>
  </si>
  <si>
    <t>3.  **Audit du Vol :** Y a-t-il du coulage de gasoil ?</t>
  </si>
  <si>
    <t>4.  **Message à la DG :** *"Madame, le siège ne coûte rien. Le problème est que nos camions ne rapportent pas assez pour payer le gasoil et les chauffeurs. Il faut revoir nos prix ou réparer les machines."*</t>
  </si>
  <si>
    <t>### SCÉNARIO 3 : LA BONNE SANTÉ (L'Équilibre)</t>
  </si>
  <si>
    <t>*   Les Métiers gagnent beaucoup (**+ 40 Millions**).</t>
  </si>
  <si>
    <t>*   La Structure coûte ce qu'elle doit (**- 20 Millions**).</t>
  </si>
  <si>
    <t>*   **Résultat Net : + 20 Millions.**</t>
  </si>
  <si>
    <t>L'organisme est sain. Les muscles portent le squelette et il reste de l'énergie.</t>
  </si>
  <si>
    <t>**?? L'ACTION À PRENDRE (CROISSANCE) :**</t>
  </si>
  <si>
    <t>C'est le moment d'investir (`CAPEX`) ou de constituer des réserves.</t>
  </si>
  <si>
    <t>1.  **Créer de la Graisse (Réserve) :** Garder du cash pour les coups durs.</t>
  </si>
  <si>
    <t>2.  **Muscler le jeu :** Acheter une nouvelle pelle ou un nouveau camion pour augmenter encore la marge contributive.</t>
  </si>
  <si>
    <t>### LE TABLEAU DE BORD DÉCISIONNEL (RÉSUMÉ)</t>
  </si>
  <si>
    <t>Imprimez ceci pour vos réunions mensuelles.</t>
  </si>
  <si>
    <t>| SI MARGE MÉTIERS... | ET SI COÛT STRUCTURE... | ALORS LE PROBLÈME EST : | QUI DOIT AGIR ? |</t>
  </si>
  <si>
    <t>| :--- | :--- | :--- | :--- |</t>
  </si>
  <si>
    <t>| **FAIBLE / NÉGATIVE** | **FAIBLE** | **Problème Technique** (Pannes, Vols, Prix bas). | Le Chef de Chantier / Chef de Parc. |</t>
  </si>
  <si>
    <t>| **FORTE (Positive)** | **TRÈS ÉLEVÉE** | **Problème de Train de vie** (Luxe, Gaspillage Siège). | La Direction Générale. |</t>
  </si>
  <si>
    <t>| **FAIBLE** | **TRÈS ÉLEVÉE** | **URGENCE VITALE** (Faillite imminente). | Tout le monde. |</t>
  </si>
  <si>
    <t>C'est ça la puissance de la méthode : **Identifier LE COUPABLE.**</t>
  </si>
  <si>
    <t>Est-ce le Terrain (Opérations) ou le Bureau (Structure) ?</t>
  </si>
  <si>
    <t>Tant que vous mélangez les deux, vous ne pouvez pas savoir qui engueuler.</t>
  </si>
  <si>
    <t>CODE_JX</t>
  </si>
  <si>
    <t>CODE</t>
  </si>
  <si>
    <t>TYPE</t>
  </si>
  <si>
    <t>AH</t>
  </si>
  <si>
    <t>ACHAT</t>
  </si>
  <si>
    <t>IM</t>
  </si>
  <si>
    <t>IMMOBILISATION</t>
  </si>
  <si>
    <t>VT</t>
  </si>
  <si>
    <t>VENTE</t>
  </si>
  <si>
    <t>CA</t>
  </si>
  <si>
    <t>CAISSE</t>
  </si>
  <si>
    <t>PA</t>
  </si>
  <si>
    <t>OD PAIE</t>
  </si>
  <si>
    <t>OD</t>
  </si>
  <si>
    <t>OPERATIONS DIVERSES</t>
  </si>
  <si>
    <t>OD IMPOTS &amp; TAXES</t>
  </si>
  <si>
    <t>AM</t>
  </si>
  <si>
    <t>OD AMORTISSEMENT</t>
  </si>
  <si>
    <t>CLIENTS</t>
  </si>
  <si>
    <t>INTITULE</t>
  </si>
  <si>
    <t>NUM_CT</t>
  </si>
  <si>
    <t>NUM_CG</t>
  </si>
  <si>
    <t>PFO CONSTRUCTION</t>
  </si>
  <si>
    <t>KOIRA BTP</t>
  </si>
  <si>
    <t>KOIRA SA</t>
  </si>
  <si>
    <t>FOURNISSEURS</t>
  </si>
  <si>
    <t>CIE</t>
  </si>
  <si>
    <t>SODECI</t>
  </si>
  <si>
    <t>FOURNISSEURS DIVERS</t>
  </si>
  <si>
    <t>PLAN ANALYTIQUE</t>
  </si>
  <si>
    <t>ENTITE</t>
  </si>
  <si>
    <t>AFRIK BETON</t>
  </si>
  <si>
    <t>BETEC-CI</t>
  </si>
  <si>
    <t>SCORE</t>
  </si>
  <si>
    <t>SOGENA</t>
  </si>
  <si>
    <t>ETS. MSSZ</t>
  </si>
  <si>
    <t>KHALIF INGENIERIE</t>
  </si>
  <si>
    <t>KEDA CERAMIC</t>
  </si>
  <si>
    <t>CLIENTS DIVERS</t>
  </si>
  <si>
    <t>ACTIVITE</t>
  </si>
  <si>
    <t>LOGISTIQUE</t>
  </si>
  <si>
    <t>QUINCALLERIE</t>
  </si>
  <si>
    <t>N°</t>
  </si>
  <si>
    <t>MATERIEL/ENGIN/VEHICULE</t>
  </si>
  <si>
    <t xml:space="preserve">MARQUE </t>
  </si>
  <si>
    <t>IMMATRICULATION</t>
  </si>
  <si>
    <t>CHAUFFEUR
NOM-PRENOM</t>
  </si>
  <si>
    <t>CONTACT</t>
  </si>
  <si>
    <t>AFFECTATION</t>
  </si>
  <si>
    <t>STATUTS</t>
  </si>
  <si>
    <t>CAMION</t>
  </si>
  <si>
    <t xml:space="preserve">AUTO-BETONNIERE </t>
  </si>
  <si>
    <t>MERLO</t>
  </si>
  <si>
    <t>C 311 551</t>
  </si>
  <si>
    <t xml:space="preserve">EDGAR BENOIT OWELL </t>
  </si>
  <si>
    <t>07 49 91 66 93</t>
  </si>
  <si>
    <t>GARAGE</t>
  </si>
  <si>
    <t>ATTENTE D'OPERATION</t>
  </si>
  <si>
    <t>BENNE 12 ROUES</t>
  </si>
  <si>
    <t>HOWO</t>
  </si>
  <si>
    <t>38061WWCI01</t>
  </si>
  <si>
    <t>KONATE KARIM</t>
  </si>
  <si>
    <t>07 79 30 95 52</t>
  </si>
  <si>
    <t>NASSIAN/KAFOLO/TEHINI</t>
  </si>
  <si>
    <t>OPERATIONNEL</t>
  </si>
  <si>
    <t>38063WWCI01</t>
  </si>
  <si>
    <t>COULIBALY AMADOU</t>
  </si>
  <si>
    <t>07 88 04 33 61</t>
  </si>
  <si>
    <t>38062WWCI01</t>
  </si>
  <si>
    <t>DJIRE OUMAR</t>
  </si>
  <si>
    <t>07 69 60 24 19</t>
  </si>
  <si>
    <t>AA-951-EL01</t>
  </si>
  <si>
    <t>DIARRASSOUBA ADAMA</t>
  </si>
  <si>
    <t>05 74 93 4 858</t>
  </si>
  <si>
    <t>AA-047-JZ01</t>
  </si>
  <si>
    <t>SAWADOGO ADAMA</t>
  </si>
  <si>
    <t xml:space="preserve">07 08 98 25 14 </t>
  </si>
  <si>
    <t>KORHOGO/BOUNDIALY</t>
  </si>
  <si>
    <t>AA-954-EL01</t>
  </si>
  <si>
    <t>COULIBALY LACINA</t>
  </si>
  <si>
    <t>07 58 94 42 72</t>
  </si>
  <si>
    <t>DONGFENG</t>
  </si>
  <si>
    <t>1492WWCI01</t>
  </si>
  <si>
    <t>BACHIROU OLADEME YAYA (AZIZ)</t>
  </si>
  <si>
    <t>07 58 74 50 69</t>
  </si>
  <si>
    <t>BENNE 10 ROUES</t>
  </si>
  <si>
    <t>SHACMAN</t>
  </si>
  <si>
    <t>2732WW CI01</t>
  </si>
  <si>
    <t>NEANT</t>
  </si>
  <si>
    <t>MAINTENANCE EN VUE</t>
  </si>
  <si>
    <t>MACHINE</t>
  </si>
  <si>
    <t>BULDOZER</t>
  </si>
  <si>
    <t>CAT</t>
  </si>
  <si>
    <t>D7G</t>
  </si>
  <si>
    <t>MAINTENACE EN COURS</t>
  </si>
  <si>
    <t>D7R</t>
  </si>
  <si>
    <t>SEBOKO ISSAKA</t>
  </si>
  <si>
    <t>05 04 42 8 879</t>
  </si>
  <si>
    <t>SOUBRE</t>
  </si>
  <si>
    <t>CAMION GRUE</t>
  </si>
  <si>
    <t>RENAULT</t>
  </si>
  <si>
    <t>126JN01</t>
  </si>
  <si>
    <t>ATTENTE DE DOC ET OPERATION</t>
  </si>
  <si>
    <t xml:space="preserve">DAF XF </t>
  </si>
  <si>
    <t>6245 JL01</t>
  </si>
  <si>
    <t>DAO YACOUBA</t>
  </si>
  <si>
    <t>01 72 47 46 47</t>
  </si>
  <si>
    <t>ABIDJAN</t>
  </si>
  <si>
    <t>CAR</t>
  </si>
  <si>
    <t xml:space="preserve">CAR DE RAMASSAGE </t>
  </si>
  <si>
    <t>TATA</t>
  </si>
  <si>
    <t>AA 152 SY 01</t>
  </si>
  <si>
    <t>TRAORE ADAMA</t>
  </si>
  <si>
    <t>07 48 32 85 64</t>
  </si>
  <si>
    <t>AA 183 SY 01</t>
  </si>
  <si>
    <t>TRAORE ABOU</t>
  </si>
  <si>
    <t>07 48 70 71 70</t>
  </si>
  <si>
    <t>CHARGEUSE</t>
  </si>
  <si>
    <t>956 C</t>
  </si>
  <si>
    <t>KAMARA MOHAMED</t>
  </si>
  <si>
    <t>07 58 27 77 40</t>
  </si>
  <si>
    <t>NASSIAN/KONG</t>
  </si>
  <si>
    <t>CITERNE A EAU</t>
  </si>
  <si>
    <t>8207EJ01</t>
  </si>
  <si>
    <t>KAMBIRE JEAN</t>
  </si>
  <si>
    <t>05 76 83 67 48</t>
  </si>
  <si>
    <t>JAC</t>
  </si>
  <si>
    <t>3337GP01</t>
  </si>
  <si>
    <t>HAMIDOU DJIGUEMBE</t>
  </si>
  <si>
    <t>01 42 17 96 45</t>
  </si>
  <si>
    <t>2875 FA01</t>
  </si>
  <si>
    <t>DAO ISMAEL</t>
  </si>
  <si>
    <t>05 75 63 79 86</t>
  </si>
  <si>
    <t>KONG</t>
  </si>
  <si>
    <t>SINOTRUCK</t>
  </si>
  <si>
    <t>9077 JG01</t>
  </si>
  <si>
    <t>BAMBA BOUAKE</t>
  </si>
  <si>
    <t>05 05 32 47 49</t>
  </si>
  <si>
    <t>KORHOGO/BOUNDIALI</t>
  </si>
  <si>
    <t>COMPACTEUR</t>
  </si>
  <si>
    <t>BOMAG</t>
  </si>
  <si>
    <t>BW120/0061</t>
  </si>
  <si>
    <t>ODIENNE</t>
  </si>
  <si>
    <t>CAMIONNETTE</t>
  </si>
  <si>
    <t>DOUBLE CABINE</t>
  </si>
  <si>
    <t>KIA</t>
  </si>
  <si>
    <t>51WWCI01</t>
  </si>
  <si>
    <t>YANKINE OUSMANE</t>
  </si>
  <si>
    <t>07 09 61 41 92</t>
  </si>
  <si>
    <t>MAINTENANCE BOUAKE</t>
  </si>
  <si>
    <t>52WWCI01</t>
  </si>
  <si>
    <t>SANOGO MOUSTAPHA</t>
  </si>
  <si>
    <t>07 59 46 81 92</t>
  </si>
  <si>
    <t>FOTON</t>
  </si>
  <si>
    <t>AA-725-JS01</t>
  </si>
  <si>
    <t>KONE SEKOU</t>
  </si>
  <si>
    <t>07 79 22 35 79</t>
  </si>
  <si>
    <t>GRADER/NIVELLEUSE</t>
  </si>
  <si>
    <t>140K</t>
  </si>
  <si>
    <t>MAINTENANCE EN COURS</t>
  </si>
  <si>
    <t>HYACE</t>
  </si>
  <si>
    <t>NISSAN</t>
  </si>
  <si>
    <t>1704LY01</t>
  </si>
  <si>
    <t>OUATTARA VAMARA</t>
  </si>
  <si>
    <t>05 76 19 10 34</t>
  </si>
  <si>
    <t>PELLE A CHENILLE</t>
  </si>
  <si>
    <t xml:space="preserve">320 D </t>
  </si>
  <si>
    <t>330 C</t>
  </si>
  <si>
    <t>325 CL</t>
  </si>
  <si>
    <t>325 C</t>
  </si>
  <si>
    <t>PLATEAU</t>
  </si>
  <si>
    <t>AA294KG01</t>
  </si>
  <si>
    <t>KONE MORY</t>
  </si>
  <si>
    <t>01 03 57 40 14</t>
  </si>
  <si>
    <t>AA730LE03</t>
  </si>
  <si>
    <t>SANOGO BASSIDIKI</t>
  </si>
  <si>
    <t>07 88 27 68 21</t>
  </si>
  <si>
    <t>AA-890-TA</t>
  </si>
  <si>
    <t>AA407KY01</t>
  </si>
  <si>
    <t>SOUMAHORO SOULEYMANE</t>
  </si>
  <si>
    <t>07 09 86 76 01</t>
  </si>
  <si>
    <t xml:space="preserve">                                                                  </t>
  </si>
  <si>
    <t>AA624GS01</t>
  </si>
  <si>
    <t>DAO SOUMAHILA</t>
  </si>
  <si>
    <t>07 07 22 00 66</t>
  </si>
  <si>
    <t>VEHICULE TOURISME</t>
  </si>
  <si>
    <t>SUZUKI</t>
  </si>
  <si>
    <t>VALENO</t>
  </si>
  <si>
    <t>AA-089-BQ</t>
  </si>
  <si>
    <t>KONATE HABIB MORY</t>
  </si>
  <si>
    <t>07 05 06 73 23</t>
  </si>
  <si>
    <t>LIAISON</t>
  </si>
  <si>
    <t>OPERATIONNELLE</t>
  </si>
  <si>
    <t>TRACTOPELLE</t>
  </si>
  <si>
    <t>420 F</t>
  </si>
  <si>
    <t>COULIBALY ZAKARIA</t>
  </si>
  <si>
    <t>01 50 14 24 88</t>
  </si>
  <si>
    <t>PICK UP</t>
  </si>
  <si>
    <t>TOYOTA</t>
  </si>
  <si>
    <t>4X4 HILUX</t>
  </si>
  <si>
    <t xml:space="preserve">AB 484 AN </t>
  </si>
  <si>
    <t>FOFANA MEMA</t>
  </si>
  <si>
    <t>05 45 96 60 41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</si>
  <si>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</si>
  <si>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NOUVELLE</t>
  </si>
  <si>
    <t>CATERPILLAR</t>
  </si>
  <si>
    <t>DESIRE</t>
  </si>
  <si>
    <t>2686 LX 01</t>
  </si>
  <si>
    <t>AKANIE KONAN</t>
  </si>
  <si>
    <t>05 94 83 53 01</t>
  </si>
  <si>
    <t>ADMIN</t>
  </si>
  <si>
    <t>CODE PROJET</t>
  </si>
  <si>
    <t>PROJET/CHANTIER</t>
  </si>
  <si>
    <t>654R8002</t>
  </si>
  <si>
    <t>VRD UNIVERSITE ODIENNE TX</t>
  </si>
  <si>
    <t>006G4101</t>
  </si>
  <si>
    <t>ATELIER SONGON CHARGES ACT LOCAT°</t>
  </si>
  <si>
    <t>007G4101</t>
  </si>
  <si>
    <t>ATELIER DIVO CHARGE ACT LOC EXT</t>
  </si>
  <si>
    <t>009G4101</t>
  </si>
  <si>
    <t>ATELIER BOUAKE CHARGE ACT LOCAT° EXT</t>
  </si>
  <si>
    <t>010G4101</t>
  </si>
  <si>
    <t>ATELIER COTIERE CHARGES ACT LOCAT° EXT</t>
  </si>
  <si>
    <t>011G4101</t>
  </si>
  <si>
    <t>ATELIER DABAKALA CHARGRES ACT LOC E</t>
  </si>
  <si>
    <t>015G3114</t>
  </si>
  <si>
    <t>ATELIER KONG CHARGE ACT LOCATION</t>
  </si>
  <si>
    <t>015G4101</t>
  </si>
  <si>
    <t>ATELIER KONG CHARGE ACT LOCAT° EXT</t>
  </si>
  <si>
    <t>016G4101</t>
  </si>
  <si>
    <t>ATELIER BINGERVILLE SM LOCATION EXTERNES</t>
  </si>
  <si>
    <t>017G4101</t>
  </si>
  <si>
    <t>ATELIER PETIT NASS. KT SM LOCAT°</t>
  </si>
  <si>
    <t>018G4101</t>
  </si>
  <si>
    <t>ATELIER KORHOGO SM LOCATION EXTERNES</t>
  </si>
  <si>
    <t>019G3110</t>
  </si>
  <si>
    <t>ATELIER ODIENNE CHARGE FG PRESTATAIRE</t>
  </si>
  <si>
    <t>019G4101</t>
  </si>
  <si>
    <t>ATELIER ODIENNE CHARGE ACT LOC EXT</t>
  </si>
  <si>
    <t>019R4101</t>
  </si>
  <si>
    <t>021G4101</t>
  </si>
  <si>
    <t>SNA PEDRO SOUBRE LOCATION EXTERNE</t>
  </si>
  <si>
    <t>022G4101</t>
  </si>
  <si>
    <t>SOUBRE LOCATION EXTERNES POUR LE SE</t>
  </si>
  <si>
    <t>170R2101</t>
  </si>
  <si>
    <t>FERMETURE AKOUEDO-TX REMOD V. P. CANNIVEAUX</t>
  </si>
  <si>
    <t>251B0206</t>
  </si>
  <si>
    <t>VILLA 20 GROS ŒUVRE MACONNERIE</t>
  </si>
  <si>
    <t>252B0209</t>
  </si>
  <si>
    <t>REHAB. TOUR C GROS ŒUVRE M. OE</t>
  </si>
  <si>
    <t>252B0402</t>
  </si>
  <si>
    <t>REHAB. TOUR C CHARPENTE COUVERTURE M</t>
  </si>
  <si>
    <t>255R1001</t>
  </si>
  <si>
    <t>TX PROLONGEMENT BD MITTERAND-INST ENTREP</t>
  </si>
  <si>
    <t>255R8002</t>
  </si>
  <si>
    <t>TX PROLONGEMENT BD MITTERAND-TX MAD ENGIN</t>
  </si>
  <si>
    <t>257B0001</t>
  </si>
  <si>
    <t>COMPLEXE RES KONG RES KONG GLE FRS</t>
  </si>
  <si>
    <t>257B0003</t>
  </si>
  <si>
    <t>COMPLEXE RES KONG GLE INST CHANT</t>
  </si>
  <si>
    <t>257B0005</t>
  </si>
  <si>
    <t>COMPLEXE RES. KONG GLE</t>
  </si>
  <si>
    <t>257B0101</t>
  </si>
  <si>
    <t>COMPLEXE RESIDENTIEL-KONG-AMENAGEMENT EXT TERRASSEMENT</t>
  </si>
  <si>
    <t>257B0104</t>
  </si>
  <si>
    <t>COMPLEXE RESIDENTIEL KONG-VRD VOIRIE CHE</t>
  </si>
  <si>
    <t>257B0105</t>
  </si>
  <si>
    <t>COMPLEXE RES KONG AMENAGT EX RESEA E</t>
  </si>
  <si>
    <t>257B0109</t>
  </si>
  <si>
    <t>COMPLEXE RES. KONG AMENGT EXT P</t>
  </si>
  <si>
    <t>257B0200</t>
  </si>
  <si>
    <t>COMPLEXE RESIDENTIEL-KONG GROS ŒUVRE GL</t>
  </si>
  <si>
    <t>257B0203</t>
  </si>
  <si>
    <t>COMPLEXE RESIDENTIEL KONG-GROS ŒUVRE FONDATION</t>
  </si>
  <si>
    <t>257B0206</t>
  </si>
  <si>
    <t>COMPLEXE RES. KONG GROS ŒUVRE MACO</t>
  </si>
  <si>
    <t>257B0207</t>
  </si>
  <si>
    <t>COMPLEXE RESIDENTIEL KONG-GROS ŒUVRE M.O</t>
  </si>
  <si>
    <t>257B0209</t>
  </si>
  <si>
    <t>COMPLEXE RESIDENTIEL-KONG-GROS ŒUVRE DRAINAGE</t>
  </si>
  <si>
    <t>257B0403</t>
  </si>
  <si>
    <t>COMPLEXE RESIDENTIEL KONG-CHARPENTE COUVERTURE BOIS-05 VILLAS FAMILLE</t>
  </si>
  <si>
    <t>257B0504</t>
  </si>
  <si>
    <t>COMPLEXE RES. KONG REVT FASCADES M.</t>
  </si>
  <si>
    <t>257B0801</t>
  </si>
  <si>
    <t>COMPLEXE RES. KONG CLOISON DOUBLAGE</t>
  </si>
  <si>
    <t>261B0200</t>
  </si>
  <si>
    <t>MUSEE DE COCODY GROS ŒUVRE GL</t>
  </si>
  <si>
    <t>305R8002</t>
  </si>
  <si>
    <t>ROUTE DABAKALA-KONG TX MAD ENGIN</t>
  </si>
  <si>
    <t>305R9012</t>
  </si>
  <si>
    <t>ROUTE DABAKALA-KONG TX S-T</t>
  </si>
  <si>
    <t>332R8002</t>
  </si>
  <si>
    <t>PEAGE ROUTIER DIVO TX ENGIN LOCAT°</t>
  </si>
  <si>
    <t>335R8002</t>
  </si>
  <si>
    <t>COT GB LOT 5 TX ENGIN LOCATION</t>
  </si>
  <si>
    <t>342R8002</t>
  </si>
  <si>
    <t>COMPLEXE RESIDENTIEL-KONG TX</t>
  </si>
  <si>
    <t>348R8002</t>
  </si>
  <si>
    <t>TX BITUMAGE PETIT NASSIAN-KAFOLO-TEHINI-MAD ENGIN</t>
  </si>
  <si>
    <t>356R1005</t>
  </si>
  <si>
    <t>RENF RTE KORHOGO-BO INST CENT ENR</t>
  </si>
  <si>
    <t>444B0003</t>
  </si>
  <si>
    <t>UNIVERSITE D ODIENNE GL INSTALL° CH</t>
  </si>
  <si>
    <t>444B0200</t>
  </si>
  <si>
    <t>UNIVERSITE D ODIENNE GROS ŒUVRE</t>
  </si>
  <si>
    <t>654R7007</t>
  </si>
  <si>
    <t>VRD UNIVERSITE ODIENNE FRS CH BUS</t>
  </si>
  <si>
    <t>742RCA01</t>
  </si>
  <si>
    <t>CARRIERE ODIENNE INSTALLATIONS CARR</t>
  </si>
  <si>
    <t>950B0003</t>
  </si>
  <si>
    <t>ATM MENUISERIE EXTERIEURE-ASSINIE</t>
  </si>
  <si>
    <t>020G4101</t>
  </si>
  <si>
    <t>ATELIER TEHINI-BOUNA LOCATION EXTERNES PO</t>
  </si>
  <si>
    <t>SONGON</t>
  </si>
  <si>
    <t>211R3002</t>
  </si>
  <si>
    <t>KOUTO-NIELLE-NBEMGUE_LOCATION EXTERNE</t>
  </si>
  <si>
    <t>211R2009</t>
  </si>
  <si>
    <t>KOUTO-NIELLE_TRAVAUX COFFRAGE</t>
  </si>
  <si>
    <t>AGBOVILLE</t>
  </si>
  <si>
    <t>LAGUNA GOLF</t>
  </si>
  <si>
    <t>257B1102</t>
  </si>
  <si>
    <t>COMPLEXE RES. KONG REVT DUR</t>
  </si>
  <si>
    <t>662RFC07</t>
  </si>
  <si>
    <t>ROUTE TEHNI-BOUNA FC-MATERIELS ET</t>
  </si>
  <si>
    <t>444B1802</t>
  </si>
  <si>
    <t>UNIVERSITE D'ODIENNE DEBOURS CENT</t>
  </si>
  <si>
    <t>Total</t>
  </si>
  <si>
    <t>F1</t>
  </si>
  <si>
    <t>Levage &amp; Terrassement (Engin TP)</t>
  </si>
  <si>
    <t>F2</t>
  </si>
  <si>
    <t>F3</t>
  </si>
  <si>
    <t>F4</t>
  </si>
  <si>
    <t>Petit Matériel et Outillage</t>
  </si>
  <si>
    <t>FAMILLE</t>
  </si>
  <si>
    <t>DESIGNATION</t>
  </si>
  <si>
    <t>MATERIEL/ENGIN</t>
  </si>
  <si>
    <t>MARQUE</t>
  </si>
  <si>
    <t>AUTO-BETONNIERE</t>
  </si>
  <si>
    <t>DAF XF</t>
  </si>
  <si>
    <t>320 D</t>
  </si>
  <si>
    <t>CAR DE RAMASSAGE</t>
  </si>
  <si>
    <t>BALENO</t>
  </si>
  <si>
    <t>AB 484 AN</t>
  </si>
  <si>
    <t>Véhicule de Liaison ( Tourisme Service)</t>
  </si>
  <si>
    <t>Transport &amp; Logistique (Camion, Transport Pers., Mini bus, Pickup,)</t>
  </si>
  <si>
    <t>INDUSTRAP</t>
  </si>
  <si>
    <t>SPRIINT TECH</t>
  </si>
  <si>
    <t>RIMCO-SETACI</t>
  </si>
  <si>
    <t>ISIS</t>
  </si>
  <si>
    <t>PETRO IVOIRE SA</t>
  </si>
  <si>
    <t>SBEM-CI</t>
  </si>
  <si>
    <t>BUREAU VERITAS</t>
  </si>
  <si>
    <t>ETUDE ME COULIBALY EDITH-SYLVIANE-NOTAIRE</t>
  </si>
  <si>
    <t>HONDA</t>
  </si>
  <si>
    <t>GEOLOSYST</t>
  </si>
  <si>
    <t>JEAN-PIERRE CONSULTING CONTINENTAL</t>
  </si>
  <si>
    <t>BATILUXE PLUS</t>
  </si>
  <si>
    <t>E.BAAG</t>
  </si>
  <si>
    <t>AKWABA TRANSPORT</t>
  </si>
  <si>
    <t>AFRICAUTO</t>
  </si>
  <si>
    <t>TRACTAFRIC MOTORS</t>
  </si>
  <si>
    <t>SAKO B. MAMADOU</t>
  </si>
  <si>
    <t>MTN</t>
  </si>
  <si>
    <t>GAP</t>
  </si>
  <si>
    <t xml:space="preserve">CFAO </t>
  </si>
  <si>
    <t>ANDA GONG CHENG JI XIE SARL</t>
  </si>
  <si>
    <t>XUGONG COTE D' IVOIRE SARL</t>
  </si>
  <si>
    <t>YDOIA SARL</t>
  </si>
  <si>
    <t>SINAI SERVICES</t>
  </si>
  <si>
    <t>PCE_GL</t>
  </si>
  <si>
    <t>SÉCURITÉ SOCIALE (CNAM-CMU)</t>
  </si>
  <si>
    <t>CHARGES SOCIALES SUR REMUNERATION DU PERSONNEL NATIONAL-CNPS</t>
  </si>
  <si>
    <t>CHARGES SOCIALES SUR REMUNERATION DU PERSONNEL NATIONAL-CNAM</t>
  </si>
  <si>
    <t>ETAT,IMPOT/SALAIRES-PART EMPLOYEUR</t>
  </si>
  <si>
    <t>TAXES SUR APPOINTEMENTS ET SALAIRES</t>
  </si>
  <si>
    <t>TAXES D'APPRENTISSAGES (TA)</t>
  </si>
  <si>
    <t>FORMATION PROFESSIONNELLE CONTINUE (FPC)</t>
  </si>
  <si>
    <t>PERSONNEL, AVANCES</t>
  </si>
  <si>
    <t>PERSONNEL, ACOMPTES</t>
  </si>
  <si>
    <t>PERSONNEL, FRAIS PROFESSIONNELS AVANCES</t>
  </si>
  <si>
    <t>DELEGUES DU PERSONNEL</t>
  </si>
  <si>
    <t>DROITS DE DOUANE</t>
  </si>
  <si>
    <t xml:space="preserve">AUTRES IMPOTS ET TAXES </t>
  </si>
  <si>
    <t>ÉTAT, TVA RÉCUPÉRABLE SUR IMMOBILISATIONS</t>
  </si>
  <si>
    <t>IMPOT GENERAL SUR LE REVENU</t>
  </si>
  <si>
    <t xml:space="preserve">IMPOTS SUR SALAIRES </t>
  </si>
  <si>
    <t>CONTRIBUTION NATIONALE</t>
  </si>
  <si>
    <t>AUTRES IMPOTS ET CONTRIBUTIONS</t>
  </si>
  <si>
    <t xml:space="preserve">CREDITEURS DIVERS </t>
  </si>
  <si>
    <t xml:space="preserve">DÉBITEURS DIVERS </t>
  </si>
  <si>
    <t xml:space="preserve">CAISSE SIÈGE </t>
  </si>
  <si>
    <t>TRANSPORTS ADMINISTRATIFS</t>
  </si>
  <si>
    <t>PERSONNEL INTERIMAIRE</t>
  </si>
  <si>
    <t>PERSONNEL DETACHE OU PRETE A L ENTITE</t>
  </si>
  <si>
    <t>IMPOTS FONCIERS ET TAXES ANNEXES</t>
  </si>
  <si>
    <t>ASSURANCES RISQUES D'EXPLOITATION</t>
  </si>
  <si>
    <t>FOURNITURES NON STOCKABLES -EAU</t>
  </si>
  <si>
    <t>FOURNITURES NON STOCKABLES - ELECTRICITÉ</t>
  </si>
  <si>
    <t>FOURNITURES D'ENTRETIEN NON STOCKABLES</t>
  </si>
  <si>
    <t>FOURNITURES DE BUREAU NON STOCKABLES</t>
  </si>
  <si>
    <t>ACHATS DE PETIT MATÉRIEL ET OUTILLAGE</t>
  </si>
  <si>
    <t>ACHATS D'ÉTUDES ET PRESTATIONS DE SERVICES</t>
  </si>
  <si>
    <t>RABAIS, REMISES ET RISTOURNES OBTENUS (NON VENTILÉS)</t>
  </si>
  <si>
    <t>EMBALLAGES RÉCUPÉRABLES NON IDENTIFIABLES</t>
  </si>
  <si>
    <t>EMBALLAGES À USAGE MIXTE</t>
  </si>
  <si>
    <t>TRANSPORTS ENTRE ÉTABLISSEMENTS OU CHANTIERS</t>
  </si>
  <si>
    <t>LOCATIONS DE TERRAINS</t>
  </si>
  <si>
    <t>LOCATIONS DE BÂTIMENTS</t>
  </si>
  <si>
    <t>LOCATIONS DE MATÉRIELS ET OUTILLAGES</t>
  </si>
  <si>
    <t>MALIS SUR EMBALLAGES</t>
  </si>
  <si>
    <t>LOCATIONS D'EMBALLAGES</t>
  </si>
  <si>
    <t>FERMAGES ET LOYERS DU FONCIER</t>
  </si>
  <si>
    <t>LOCATIONS ET CHARGES LOCATIVES DIVERSES</t>
  </si>
  <si>
    <t>CRÉDIT-BAIL IMMOBILIER</t>
  </si>
  <si>
    <t>CRÉDIT-BAIL MOBILIER</t>
  </si>
  <si>
    <t>LOCATION VENTE</t>
  </si>
  <si>
    <t>AUTRES CONTRATS DE LOCATION ACQUISITION</t>
  </si>
  <si>
    <t>ENTRETIEN ET RÉPARATIONS DES BIENS IMMOBILIERS</t>
  </si>
  <si>
    <t>AUTRES ENTRETIENS ET RÉPARATIONS</t>
  </si>
  <si>
    <t>ASSURANCES MULTIRISQUES</t>
  </si>
  <si>
    <t>ASSURANCES MATÉRIEL DE TRANSPORT</t>
  </si>
  <si>
    <t>ASSURANCES RESPONSABILITÉ DU PRODUCTEUR</t>
  </si>
  <si>
    <t>ASSURANCES INSOLVABILITÉ CLIENTS</t>
  </si>
  <si>
    <t>ASSURANCES TRANSPORT SUR VENTES</t>
  </si>
  <si>
    <t>AUTRES PRIMES D'ASSURANCES</t>
  </si>
  <si>
    <t>ÉTUDES ET RECHERCHES</t>
  </si>
  <si>
    <t>DOCUMENTATION GÉNÉRALE</t>
  </si>
  <si>
    <t>DOCUMENTATION TECHNIQUE</t>
  </si>
  <si>
    <t>ANNONCES, INSERTIONS</t>
  </si>
  <si>
    <t>CATALOGUES, IMPRIMÉS PUBLICITAIRES</t>
  </si>
  <si>
    <t>ÉCHANTILLONS</t>
  </si>
  <si>
    <t>FOIRES ET EXPOSITIONS</t>
  </si>
  <si>
    <t>PUBLICATIONS</t>
  </si>
  <si>
    <t>CADEAUX À LA CLIENTÈLE</t>
  </si>
  <si>
    <t>FRAIS DE COLLOQUES, SÉMINAIRES, CONFÉRENCES</t>
  </si>
  <si>
    <t>AUTRES CHARGES DE PUBLICITÉ ET RELATIONS PUBLIQUES</t>
  </si>
  <si>
    <t>FRAIS DE TÉLÉPHONE</t>
  </si>
  <si>
    <t>FRAIS DE TÉLEX</t>
  </si>
  <si>
    <t>FRAIS DE TÉLÉCOPIE</t>
  </si>
  <si>
    <t>AUTRES FRAIS DE TÉLÉCOMMUNICATIONS</t>
  </si>
  <si>
    <t>FRAIS SUR TITRES (VENTE, GARDE)</t>
  </si>
  <si>
    <t>FRAIS SUR EFFETS</t>
  </si>
  <si>
    <t>LOCATION DE COFFRES</t>
  </si>
  <si>
    <t>COMMISSIONS FINANCEMENT - AFFACTURAGE</t>
  </si>
  <si>
    <t>COMMISSIONS SUR CARTES DE CRÉDIT</t>
  </si>
  <si>
    <t>FRAIS D'ÉMISSION D'EMPRUNTS</t>
  </si>
  <si>
    <t>FRAIS SUR INSTRUMENTS MONNAIE ÉLECTRONIQUE</t>
  </si>
  <si>
    <t>COMMISSIONS ET COURTAGES SUR VENTES</t>
  </si>
  <si>
    <t>HONORAIRES DES PROFESSIONS RÉGLEMENTÉES</t>
  </si>
  <si>
    <t>FRAIS D'ACTES ET DE CONTENTIEUX</t>
  </si>
  <si>
    <t>RÉMUNÉRATIONS DU FACTOR</t>
  </si>
  <si>
    <t>RÉMUNÉRATIONS DES AUTRES PRESTATAIRES DE SERVICES</t>
  </si>
  <si>
    <t>DIVERS FRAIS</t>
  </si>
  <si>
    <t>REDEVANCES POUR BREVETS, LICENCES</t>
  </si>
  <si>
    <t>REDEVANCES POUR LOGICIELS</t>
  </si>
  <si>
    <t>REDEVANCES POUR MARQUES</t>
  </si>
  <si>
    <t>REDEVANCES POUR SITES INTERNET</t>
  </si>
  <si>
    <t>REDEVANCES POUR CONCESSIONS, DROITS ET VALEURS SIMILAIRES</t>
  </si>
  <si>
    <t>COTISATIONS</t>
  </si>
  <si>
    <t>CONCOURS DIVERS</t>
  </si>
  <si>
    <t>605100</t>
  </si>
  <si>
    <t>605200</t>
  </si>
  <si>
    <t>605300</t>
  </si>
  <si>
    <t>605400</t>
  </si>
  <si>
    <t>605500</t>
  </si>
  <si>
    <t>605600</t>
  </si>
  <si>
    <t>605700</t>
  </si>
  <si>
    <t>605900</t>
  </si>
  <si>
    <t>608200</t>
  </si>
  <si>
    <t>608300</t>
  </si>
  <si>
    <t>608900</t>
  </si>
  <si>
    <t>618100</t>
  </si>
  <si>
    <t>618200</t>
  </si>
  <si>
    <t>618300</t>
  </si>
  <si>
    <t>622100</t>
  </si>
  <si>
    <t>622200</t>
  </si>
  <si>
    <t>622300</t>
  </si>
  <si>
    <t>622400</t>
  </si>
  <si>
    <t>622500</t>
  </si>
  <si>
    <t>622600</t>
  </si>
  <si>
    <t>622800</t>
  </si>
  <si>
    <t>623200</t>
  </si>
  <si>
    <t>623300</t>
  </si>
  <si>
    <t>623400</t>
  </si>
  <si>
    <t>623800</t>
  </si>
  <si>
    <t>624100</t>
  </si>
  <si>
    <t>624200</t>
  </si>
  <si>
    <t>624300</t>
  </si>
  <si>
    <t>624800</t>
  </si>
  <si>
    <t>625100</t>
  </si>
  <si>
    <t>625200</t>
  </si>
  <si>
    <t>625300</t>
  </si>
  <si>
    <t>625400</t>
  </si>
  <si>
    <t>625500</t>
  </si>
  <si>
    <t>625700</t>
  </si>
  <si>
    <t>625800</t>
  </si>
  <si>
    <t>626100</t>
  </si>
  <si>
    <t>626500</t>
  </si>
  <si>
    <t>626600</t>
  </si>
  <si>
    <t>627100</t>
  </si>
  <si>
    <t>627200</t>
  </si>
  <si>
    <t>627300</t>
  </si>
  <si>
    <t>627400</t>
  </si>
  <si>
    <t>627500</t>
  </si>
  <si>
    <t>627600</t>
  </si>
  <si>
    <t>627700</t>
  </si>
  <si>
    <t>627800</t>
  </si>
  <si>
    <t>628100</t>
  </si>
  <si>
    <t>628200</t>
  </si>
  <si>
    <t>628300</t>
  </si>
  <si>
    <t>628800</t>
  </si>
  <si>
    <t>631100</t>
  </si>
  <si>
    <t>631200</t>
  </si>
  <si>
    <t>631300</t>
  </si>
  <si>
    <t>631400</t>
  </si>
  <si>
    <t>631500</t>
  </si>
  <si>
    <t>631600</t>
  </si>
  <si>
    <t>631700</t>
  </si>
  <si>
    <t>631800</t>
  </si>
  <si>
    <t>632200</t>
  </si>
  <si>
    <t>632400</t>
  </si>
  <si>
    <t>632500</t>
  </si>
  <si>
    <t>632600</t>
  </si>
  <si>
    <t>632700</t>
  </si>
  <si>
    <t>632800</t>
  </si>
  <si>
    <t>634200</t>
  </si>
  <si>
    <t>634300</t>
  </si>
  <si>
    <t>634400</t>
  </si>
  <si>
    <t>634500</t>
  </si>
  <si>
    <t>634600</t>
  </si>
  <si>
    <t>635100</t>
  </si>
  <si>
    <t>635800</t>
  </si>
  <si>
    <t>DROITS DE MUTATION</t>
  </si>
  <si>
    <t>DROITS DE TIMBRE</t>
  </si>
  <si>
    <t>TAXES SUR LES VÉHICULES DE SOCIÉTÉ</t>
  </si>
  <si>
    <t>VIGNETTES</t>
  </si>
  <si>
    <t>AUTRES DROITS</t>
  </si>
  <si>
    <t>646100</t>
  </si>
  <si>
    <t>646200</t>
  </si>
  <si>
    <t>646300</t>
  </si>
  <si>
    <t>646400</t>
  </si>
  <si>
    <t>646800</t>
  </si>
  <si>
    <t>ENTRETIEN ET REPARATIONS DES BIENS MOBILIERS-CURATIVE</t>
  </si>
  <si>
    <t>TAX</t>
  </si>
  <si>
    <t>ODS</t>
  </si>
  <si>
    <t>OD_SOUS TRAITANCE</t>
  </si>
  <si>
    <t>NDF</t>
  </si>
  <si>
    <t>NOTE DE FRAIS ET DEBOURS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</si>
</sst>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8"/>
      <color indexed="10"/>
      <name val="Tahoma"/>
      <family val="2"/>
    </font>
    <font>
      <b/>
      <sz val="14"/>
      <color theme="6" tint="-0.249977111117893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1"/>
    <xf numFmtId="0" fontId="4" fillId="0" borderId="0" xfId="1" applyAlignment="1">
      <alignment horizontal="left"/>
    </xf>
    <xf numFmtId="0" fontId="8" fillId="0" borderId="0" xfId="1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4" borderId="0" xfId="0" applyFill="1"/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9" fillId="0" borderId="0" xfId="1" applyFont="1"/>
  </cellXfs>
  <cellStyles count="2">
    <cellStyle name="Normal" xfId="0" builtinId="0"/>
    <cellStyle name="Normal 2" xfId="1" xr:uid="{13DCBDFC-94D8-46FC-BD0B-BEC7582D2BF0}"/>
  </cellStyles>
  <dxfs count="26">
    <dxf>
      <fill>
        <patternFill>
          <bgColor theme="9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DADC2"/>
        </patternFill>
      </fill>
    </dxf>
    <dxf>
      <fill>
        <patternFill>
          <bgColor theme="9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DADC2"/>
        </patternFill>
      </fill>
    </dxf>
    <dxf>
      <fill>
        <patternFill>
          <bgColor theme="9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DADC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0.0"/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76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8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66.xml"/><Relationship Id="rId79" Type="http://schemas.openxmlformats.org/officeDocument/2006/relationships/externalLink" Target="externalLinks/externalLink71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80" Type="http://schemas.openxmlformats.org/officeDocument/2006/relationships/externalLink" Target="externalLinks/externalLink72.xml"/><Relationship Id="rId85" Type="http://schemas.openxmlformats.org/officeDocument/2006/relationships/externalLink" Target="externalLinks/externalLink77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externalLink" Target="externalLinks/externalLink67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81" Type="http://schemas.openxmlformats.org/officeDocument/2006/relationships/externalLink" Target="externalLinks/externalLink73.xml"/><Relationship Id="rId86" Type="http://schemas.openxmlformats.org/officeDocument/2006/relationships/externalLink" Target="externalLinks/externalLink7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sheetMetadata" Target="metadata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RapMen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5%20V5%20BOBS%20R\B2005\Cvpro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%20V5%20BOBS%20R\B2005\Cvpro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2005%20V5%20BOBS%20R\B2005\Cvpro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E2000\RE%20Link%20Files_2000\10-RE-2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%202005%20V5%20BOBS%20R\B2005\Cvpro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ouake01\LOCALS~1\Temp\Rar$DI00.922\SABC_Suivi%20conso%20MPC%20JUILLET%202012%20_E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poumi01\Bureau\KP\Entretien%20des%20usines%20koumassi\Todo%20list\To%20do%20list%20Ent%20littor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alla01\LOCALS~1\Temp\notes6030C8\~631137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\Desktop\B&#233;nin%20budget%20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TURE%20MENSUELLE\SABC\Maquette%20XMQ\SABC\SABC%20-%20Reporting%20Groupe%20au%2031-03-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&#233;nin%20budget%20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BUD5/SEM2/SIH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V_FEUTOM\0XM-2016\SABC\02-FEV-2016\02-XMQ%20Grp\SABC%20-%20Reporting%20Groupe%20au%2029-02-2016%20NEW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pc6054\partage\Documents%20partag&#233;s\DOSSIER%2007\ELEMENTS%20A%20JOUR%2007\Copie%20de%20RATIBIBG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Hl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ABC%20-%20Reporting%20Groupe%20au%2031-12-2013%20V4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OCTOBRE%202006\SEMC%20Reporting%20Groupe%2010_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OP01\MD%20-%20Centralisation%20comptable\Arret&#233;s%20semestriels\2017%20-%20Semestre%202\12%20-%20Arr&#234;t&#233;%20D&#233;c%2017\Book%20de%20Cl&#244;ture%20-%20Groupe\Guide_de_Cl&#244;ture_Pays_CM_Soci&#233;t&#233;_SABC_Exercice_2017_Template_VF_v261217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oby01\LOCALS~1\Temp\notesB7FFFE\SEMC-%20Reporting%20Groupe%20au%2030-06-20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Administrateur\Mes%20documents\Thomas\Test_Reporting\Reporting_Groupe_05_s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YASERV\SYS\USERS\STATS\ROLLING\NAD\LOTNOTES\EqAR%20TOTAL%20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JPZlc\Commandes\COMINF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ngoufo02\Bureau\CAVINEXCDC\BUDCDC-CAV%202005TVA19.25\BUDCDC-CAV%202005TVA%2019.25%20%20d&#233;finitif\budGCdccav2005%20TVA%2019.2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CC%202006\REPORTING%202008\Reportig%20AOUT%202008\Reporting_Group_08%20n&#176;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braltar\BILAN_Sobraga%2012_04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aude%20ACG\Sobebra%20Budget%20201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P%20ELITE%20BOOK/Documents/GROUPE%20EGCB-COMPTABILITE/KNA-DOC+/Matrices%20Excel-kna/Matrice%20COMPTABLE/Tableau%20amort%202017%20v2018_test+.xlsx" TargetMode="External"/><Relationship Id="rId1" Type="http://schemas.openxmlformats.org/officeDocument/2006/relationships/externalLinkPath" Target="/Users/HP%20ELITE%20BOOK/Documents/GROUPE%20EGCB-COMPTABILITE/KNA-DOC+/Matrices%20Excel-kna/Matrice%20COMPTABLE/Tableau%20amort%202017%20v2018_test+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moby01\LOCALS~1\Temp\Rar$DI00.032\Extract_Bal_SIAC%2006%201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2009\REPORTING%202009\REPORTING%20JUILLET%202009\Reporting_Group_09%20n&#176;07%20en%20%20FCFA%20B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utom01\Documents\SAV_FEUTOM\0A-B2014\1_SABC\CALCUL%20ET%20XMQ%20INTERNE\FICHES%20PRODUITS\SABC%20FP_2014%20consolid&#233;es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Documents%20and%20Settings\h.ada\Mes%20documents\2009\REPORTING%202009\REPORTING%20FEVRIER%202009\Reporting_Group_09%20n&#176;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C%202006\REPORTING%202008\Reportig%20AOUT%202008\Reporting_Group_08%20n&#176;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xmq%20decembre\XMQ%20EXERCICE%202003%20BG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OUGBADI\Etafi2005\Budget2004\BUDGET2004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BUDGET2004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&#233;nin%20budget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hamed\2010\BUDGET%202010\Sobebra%20Budget%202010%20derni&#232;re%20versi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PT\August\N&amp;WAD%20August%20week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KOUADIO\Local%20Settings\Temporary%20Internet%20Files\OLK1\EMBALTOT9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R&#233;alis&#233;%20Volumes%20SOBRAGA%202003%20par%20GB%20le%2010%2007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.godelu\Desktop\mes%20documents%20GG\Report_BDT_09_13%2012%2010%201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OTEA~1.DFH\AppData\Local\Temp\Rar$DI00.911\Fiches%20produits%20LBV%20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013-M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213-M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Budgets%20et%20r&#233;alis&#233;s%202003\R&#233;alis&#233;%20Volumes%20SOBRAGA%202003%20par%20GB%20le%2010%2007%200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2010\SIAC\besoin%20sabc%20casiers%20up%20dat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.sartori\COTE%20D'IVOIRE\SOLIBRA\2008\Reporting\Arr&#234;t&#233;%202008\Reporting%20Groupe%2012-2008%20SLB%20prov2%20pour%20Validation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chang01\LOCALS~1\Temp\notes6030C8\Documents%20and%20Settings\Administrateur\Mes%20documents\Thomas\Test_Reporting\Reporting_Groupe_05_sp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Users\feutom01\AppData\Local\Temp\Rar$DI00.430\SEMC%20Reporting%20Groupe%20D&#233;cembre%202013%20V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rajaba01\Bureau\SEMC-%20Reporting%20Groupe%20au%2030-06-2007.XLS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COMPTA%202025_KENAM%20S/REPORTING%20MENSUEL%20KS/ETAT%20FINANCIER%20INTERMEDIAIRE%20AU%20061025.xlsx" TargetMode="External"/><Relationship Id="rId2" Type="http://schemas.openxmlformats.org/officeDocument/2006/relationships/externalLinkPath" Target="file:///C:\Users\DELL\Documents\COMPTA%202025_KENAM%20S\REPORTING%20MENSUEL%20KS\ETAT%20FINANCIER%20INTERMEDIAIRE%20AU%20061025.xlsx" TargetMode="External"/><Relationship Id="rId1" Type="http://schemas.openxmlformats.org/officeDocument/2006/relationships/externalLinkPath" Target="/Users/DELL/Documents/COMPTA%202025_KENAM%20S/REPORTING%20MENSUEL%20KS/ETAT%20FINANCIER%20INTERMEDIAIRE%20AU%20061025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CC%202006\REPORTING%202008\Reportig%20AOUT%202008\Reporting_Group_08%20n&#176;0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KABLAN\Local%20Settings\Temporary%20Internet%20Files\OLKD\Documents%20and%20Settings\GBEKOIN\Local%20Settings\Temporary%20Internet%20Files\OLK1\Reporting%20Groupe%2001-2007%20SLB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Cvpro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SOEGUIBE\divers%20taff\nicolas%20taf%20BGT\xmq%20avril\xmq%20decembre\XMQ%20EXERCICE%202003%20BG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COMPTA~1\LOCALS~1\Temp\R&#233;pertoire%20temporaire%201%20pour%20Report_BDT_04_09.zip\DOCUME~1\COMPTA~1\LOCALS~1\Temp\R&#233;pertoire%20temporaire%201%20pour%20Report_BDT_12_08%201e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&#233;nin%20budget%20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&#233;nin%20budget%2020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R&#233;estim&#233;%20R2-2004\BUDGET%20R2-0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BUDGET200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zoobo01\LOCALS~1\Temp\KOUGBADI\Etafi2005\Budget2004\BUDGET2004C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R&#233;estim&#233;%20R2-2004\BUDGET%20R2-0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irection%20Financi&#232;re\Chef%20Comptable\TCHAMI\Reporting%2005-2009\B&#233;nin%20budget%202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jaba01\Bureau\Budget%20d&#233;finitifs\SABC\B&#233;nin%20budget%20200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ATA%20SAHEL\Excel\Senegal\VTECSH_2002_1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-03-01%20-%20Transport%20sur%20Ventes11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BUDGET_2007\0B2007\0B07_VI\BUD5\SEM2\SYNTBG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ocuments%20and%20Settings\parrot01\Mes%20documents\PARROT-SOEGUIBE\SOEGUIBE%20-%20Reporting%202008\Reporting%202008\Reporting\Reporting%2005-2008\Report_So&#233;guib&#233;_05_08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Jus%20Sobebra%20Budget%202013%20Tarif%20r&#233;el%2001-02-13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Sobebra%20Budget%202013%20Tarif%20r&#233;el%2001-02-13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obebra%20Budget%202014%20VDEF%2005-11-2013%20TER%20def%20R&#233;el%20N-1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REPORTNG%20GROUP\Reporting_Group_11%20n&#176;07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\AOU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TRAVAUX\Decades\Decade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Gestion_Luxembourg\Budgets%20et%20R&#233;estim&#233;s\Budgets%20-%202015\Tchad\B2015%20TCHAD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regory\Desktop\FP%20Budget%202014%20Donn&#233;es%20Aout%202013%20TPE%20FP33CTL\FP%20Budget%202014%20Donn&#233;es%20Aout%202013%20TPE%20FP33CTL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N&amp;WAD\Flash2001\N&amp;WAD\N&amp;wad07\Flash2000\FWAFlash2000\WE00sw08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.sartori\CAMEROUN\St&#233;%20SABC\2007\Arr&#234;t&#233;%202007\SABC_%20Reporting_12-2007%20pour%20JL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0BUDGET_2007\0B2007\0B07_VI\BUD5\SEM2\SYNTB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"/>
      <sheetName val="pages 1-3"/>
      <sheetName val="page 4"/>
      <sheetName val="frtes bières"/>
      <sheetName val="pages 6"/>
      <sheetName val="frtes  bg"/>
      <sheetName val="cumul freintes"/>
      <sheetName val="gest industr"/>
      <sheetName val="actions"/>
      <sheetName val="entête"/>
      <sheetName val="Feuil1"/>
      <sheetName val="standards bières"/>
      <sheetName val="Module1"/>
      <sheetName val="Module2"/>
      <sheetName val="Feuil4"/>
      <sheetName val="Invest"/>
      <sheetName val="Liste_Inv"/>
      <sheetName val="Liste_Entité"/>
      <sheetName val="Feuil13"/>
      <sheetName val="Liste_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NORTHERN  AFRICA  DIVISION"/>
      <sheetName val="blank(LINKED INDEX)"/>
      <sheetName val="NAD (KO+Schweppes)"/>
      <sheetName val="NAD (KO)"/>
      <sheetName val="NAD (Schweppes)"/>
      <sheetName val="NAD Others (KO+Schweppes)"/>
      <sheetName val="NAD Others (KO)"/>
      <sheetName val="NAD Others (Shweppes)"/>
      <sheetName val="Nigeria"/>
      <sheetName val="NIGERIA Fig  (KO+Schweppes)"/>
      <sheetName val="NIGERIA Fig (KO) "/>
      <sheetName val="NIGERIA (Schweppes)"/>
      <sheetName val="NIGERIA SD Fig"/>
      <sheetName val="NIGERIA WATER Fig"/>
      <sheetName val="NBC Total "/>
      <sheetName val="Limca "/>
      <sheetName val="C. East - NBC"/>
      <sheetName val="East - NBC"/>
      <sheetName val="Lagos - NBC"/>
      <sheetName val="North - NBC"/>
      <sheetName val="West - NBC"/>
      <sheetName val="EAR Title"/>
      <sheetName val="EAR (KO+Schweppes)"/>
      <sheetName val="EAR (KO) "/>
      <sheetName val="EAR Schweppes"/>
      <sheetName val="E.A Others (KO+schweppes)"/>
      <sheetName val="E.A Others (KO)"/>
      <sheetName val="E.A Others (Shweppes)"/>
      <sheetName val="Eritrea"/>
      <sheetName val="Ethiopia (KO + Schweppes)"/>
      <sheetName val="Ethiopia(KO)"/>
      <sheetName val="Ethiopia Schweppes"/>
      <sheetName val="Kenya (KO + Schweppes)"/>
      <sheetName val="Kenya (KO)"/>
      <sheetName val="Kenya Schweppes"/>
      <sheetName val="Somalia"/>
      <sheetName val="Tanzania KO+Schweppes)"/>
      <sheetName val="Tanzania (KO)"/>
      <sheetName val="Tanzania Schweppes"/>
      <sheetName val="Uganda"/>
      <sheetName val="SABCO TOTAL"/>
      <sheetName val="SABCO OWNED KENYA"/>
      <sheetName val="SABCO OWNED TZ"/>
      <sheetName val="SABCO Owned - UG"/>
      <sheetName val="PRES - WAR"/>
      <sheetName val="WAR (KO+Schweppes)"/>
      <sheetName val="WAR (KO)"/>
      <sheetName val="WAR (Schweppes)"/>
      <sheetName val="WAR Base."/>
      <sheetName val="WAR Ub."/>
      <sheetName val="PRES - FWA"/>
      <sheetName val="FWA (KO+schweppes)"/>
      <sheetName val="FWA (KO)"/>
      <sheetName val="FWA Schweppes"/>
      <sheetName val="FR WA Base."/>
      <sheetName val="FR WA Ub."/>
      <sheetName val="Key.(KO+Schweppes)"/>
      <sheetName val="Key.(KO)"/>
      <sheetName val="Key Base."/>
      <sheetName val="Key Ub."/>
      <sheetName val="Key (Schweppes)"/>
      <sheetName val="Cam. (KO+Schweppes)"/>
      <sheetName val="Cam. (KO)"/>
      <sheetName val="Cam Base."/>
      <sheetName val="Cam Ub."/>
      <sheetName val="Cam. (Schweppes)"/>
      <sheetName val="CIvoire. (KO+Schweppes)"/>
      <sheetName val="CIvoire.(KO)"/>
      <sheetName val="CIvoire Base."/>
      <sheetName val="CIvoire Ub."/>
      <sheetName val="CIvoire (Schweppes)"/>
      <sheetName val="Gabon. (KO+Schweppes)"/>
      <sheetName val="Gabon.(KO)"/>
      <sheetName val="Gabon Base."/>
      <sheetName val="Gabon Ub."/>
      <sheetName val="Gabon (Schweppes)"/>
      <sheetName val="Senegal.(KO+Schweppes)"/>
      <sheetName val="Senegal.(KO)"/>
      <sheetName val="Senegal Base."/>
      <sheetName val="Senegal Ub."/>
      <sheetName val="Senegal (Schweppes)"/>
      <sheetName val="Non-Key.(KO+Schweppes)"/>
      <sheetName val="Non-Key.(KO)"/>
      <sheetName val="Non-Key Base."/>
      <sheetName val="Non-Key Ub."/>
      <sheetName val="Non-Key (Schweppes)"/>
      <sheetName val="Benin."/>
      <sheetName val="Benin Base."/>
      <sheetName val="Benin Ub."/>
      <sheetName val="BFaso.(KO+Schweppes) "/>
      <sheetName val="BFaso.(KO)"/>
      <sheetName val="BFaso Base."/>
      <sheetName val="BFaso Ub."/>
      <sheetName val="BFaso (Schweppes)"/>
      <sheetName val="Mali."/>
      <sheetName val="Mali Base."/>
      <sheetName val="Mali Ub."/>
      <sheetName val="Togo. (KO+Schweppes)"/>
      <sheetName val="Togo.(KO)"/>
      <sheetName val="Togo Base."/>
      <sheetName val="Togo Ub."/>
      <sheetName val="Togo (Schweppes)"/>
      <sheetName val="Niger."/>
      <sheetName val="Niger Base."/>
      <sheetName val="Niger Ub."/>
      <sheetName val="Chad."/>
      <sheetName val="Chad Base."/>
      <sheetName val="Chad Ub."/>
      <sheetName val="Car."/>
      <sheetName val="Car Base."/>
      <sheetName val="Car Ub."/>
      <sheetName val="Pres EqA"/>
      <sheetName val="EqA (KO+schweppes)"/>
      <sheetName val="EqA (KO)"/>
      <sheetName val="EqA (Schweppes)"/>
      <sheetName val="DAURELLA (KO+Schweppes)"/>
      <sheetName val="DAURELLA (KO)"/>
      <sheetName val="DAURELLA (Schweppes)"/>
      <sheetName val="NON DAURELLA"/>
      <sheetName val="CapeVerde"/>
      <sheetName val="Gambia. (KO+Schweppes))"/>
      <sheetName val="Gambia."/>
      <sheetName val="Gambia. (Schweppes)"/>
      <sheetName val="Ghana. (KO+Schweppes)"/>
      <sheetName val="Ghana.(KO)"/>
      <sheetName val="Ghana. (Schweppes)"/>
      <sheetName val="Guinea."/>
      <sheetName val="B.Guinea"/>
      <sheetName val="E.Guinea"/>
      <sheetName val="Liberia."/>
      <sheetName val="Mtania"/>
      <sheetName val="STP"/>
      <sheetName val="Sierra. (KO+Schweppes)"/>
      <sheetName val="Sierra."/>
      <sheetName val="Sierra. (Schweppes)"/>
      <sheetName val="MIDAIR"/>
      <sheetName val="MIDAIR (KO+schweppes)"/>
      <sheetName val="MIDAIR (KO) "/>
      <sheetName val="MIDAIR (Schweppes)"/>
      <sheetName val="MIDAIR BRANDED Fig  "/>
      <sheetName val="MIDAIR UNBRANDED Fig"/>
      <sheetName val="MIDAIR WATER"/>
      <sheetName val="Heineken Countries"/>
      <sheetName val="Non - Heineken (KO+Schweppes)"/>
      <sheetName val="Non - Heineken (KO)"/>
      <sheetName val="Non - Heineken (Schweppes)"/>
      <sheetName val="Burundi"/>
      <sheetName val="Comoros Total"/>
      <sheetName val="D R Congo"/>
      <sheetName val="R Congo Total (KO+Schweppes)"/>
      <sheetName val="R Congo Total (KO)"/>
      <sheetName val="R Congo Branded"/>
      <sheetName val="R Congo Unbranded "/>
      <sheetName val="R Congo Schweppes"/>
      <sheetName val="Djibouti"/>
      <sheetName val="Madagascar Total"/>
      <sheetName val="Madagascar Branded"/>
      <sheetName val="Madagascar Unbranded"/>
      <sheetName val="Mauritius Total (KO+Schweppes)"/>
      <sheetName val="Mauritius Total (KO)"/>
      <sheetName val="Mauritius Branded"/>
      <sheetName val="Mauritius Water"/>
      <sheetName val="Mauritius Schweppes"/>
      <sheetName val="Mayotte"/>
      <sheetName val="Reunion"/>
      <sheetName val="Rwanda"/>
      <sheetName val="Seychelles"/>
      <sheetName val="TOTAL NAD KEY BOTTLERS"/>
      <sheetName val="TOTAL NAD NON KEY BOTTLERS"/>
      <sheetName val="Kenya Bott "/>
      <sheetName val="Kenya Bott Tot "/>
      <sheetName val="Kenya Others "/>
      <sheetName val="Nairobi"/>
      <sheetName val="Nakuru "/>
      <sheetName val="Mombasa "/>
      <sheetName val="Kisumu "/>
      <sheetName val="Nyeri"/>
      <sheetName val="Eldoret "/>
      <sheetName val="Kisii "/>
      <sheetName val="Machakos "/>
      <sheetName val="Tanzania Bott"/>
      <sheetName val="TZ Bott Total"/>
      <sheetName val="TZSABCO"/>
      <sheetName val="TZ Non SABCO"/>
      <sheetName val="Dar+Tanga"/>
      <sheetName val="Dar"/>
      <sheetName val="Mbeya"/>
      <sheetName val="Moshi"/>
      <sheetName val="Mwanza"/>
      <sheetName val="Tanga"/>
      <sheetName val="Zanzibar"/>
      <sheetName val="Uganda Bott "/>
      <sheetName val="Uganda Plants"/>
      <sheetName val="Kampala"/>
      <sheetName val="Mbarara"/>
      <sheetName val="yop "/>
      <sheetName val="SIM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tion  MPC 07"/>
      <sheetName val="Rap MPP"/>
      <sheetName val="Stock MPC 07"/>
      <sheetName val="PMP "/>
      <sheetName val="Articles non conso"/>
      <sheetName val="BI"/>
      <sheetName val="BG"/>
      <sheetName val="AU _bi&amp;bg"/>
      <sheetName val="ENERGIE "/>
      <sheetName val="conso 274_270"/>
      <sheetName val="EI_Usine"/>
      <sheetName val="EI_274"/>
      <sheetName val="EI_ENERGIE"/>
      <sheetName val="ENERG_AU"/>
      <sheetName val="BUDGET PROD2012"/>
      <sheetName val="Feuil3"/>
      <sheetName val="MAJ DATE"/>
      <sheetName val="BUDPDTION HORS CASSE ET GRATUIT"/>
      <sheetName val="BUDGET MPC 2012"/>
      <sheetName val="REELPROD2012"/>
      <sheetName val="MAI 2012"/>
      <sheetName val="Suivi JUIN 2012"/>
      <sheetName val="Détails AU_BI"/>
      <sheetName val="Détails AU_BG"/>
      <sheetName val="Détails AU  AU_BI&amp;BG"/>
      <sheetName val="Suivi JUILLET 2012"/>
      <sheetName val="Suivi JUILLET 2012_ETS"/>
      <sheetName val="Feuil1"/>
      <sheetName val="SIMMPC"/>
    </sheetNames>
    <sheetDataSet>
      <sheetData sheetId="0"/>
      <sheetData sheetId="1"/>
      <sheetData sheetId="2"/>
      <sheetData sheetId="3"/>
      <sheetData sheetId="4"/>
      <sheetData sheetId="5">
        <row r="6">
          <cell r="R6">
            <v>-33586296.200000003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TO DO En cours"/>
      <sheetName val="Travaux DG"/>
      <sheetName val="Travaux"/>
      <sheetName val="invest Littoral"/>
      <sheetName val="Bâtiments+MAT"/>
      <sheetName val="SIMMP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Achat"/>
      <sheetName val="NORTHERN  AFRICA  DIVISION"/>
      <sheetName val="CapeVerde"/>
    </sheetNames>
    <sheetDataSet>
      <sheetData sheetId="0">
        <row r="2">
          <cell r="B2" t="str">
            <v>J</v>
          </cell>
        </row>
        <row r="3">
          <cell r="B3" t="str">
            <v>K</v>
          </cell>
        </row>
        <row r="4">
          <cell r="B4" t="str">
            <v>L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documents"/>
      <sheetName val="Page de garde"/>
      <sheetName val="Mode_Opératoire"/>
      <sheetName val="FaitsMarquants"/>
      <sheetName val="Commentaires_XMQ"/>
      <sheetName val="Commentaires_Bilan_TER"/>
      <sheetName val="XMQ_Cumul"/>
      <sheetName val="XMQ_Mois"/>
      <sheetName val="Bilan"/>
      <sheetName val="TER"/>
      <sheetName val="Compl_TER"/>
      <sheetName val="XMQ_Mensualisé"/>
      <sheetName val="Titre Volumes"/>
      <sheetName val="Ventes + Gratuits"/>
      <sheetName val="Négoce"/>
      <sheetName val="Production"/>
      <sheetName val="Compl_VOL"/>
      <sheetName val="Titre Exploitation"/>
      <sheetName val="Exploitation"/>
      <sheetName val="Charges_R"/>
      <sheetName val="NAT-CPTE"/>
      <sheetName val="DGE"/>
      <sheetName val="Interco Groupe SABC"/>
      <sheetName val="AT_RdM"/>
      <sheetName val="Provisions"/>
      <sheetName val="Reconc_Emb"/>
      <sheetName val="Achat_Emb"/>
      <sheetName val="Résultat financier"/>
      <sheetName val="Endettement"/>
      <sheetName val="Hors Exploitation"/>
      <sheetName val="Impôts"/>
      <sheetName val="Eng_Pub"/>
      <sheetName val="Titre Invest. &amp; Cessions"/>
      <sheetName val="Investissements"/>
      <sheetName val="Cessions"/>
      <sheetName val="Suivi_Informatique"/>
      <sheetName val="Titre Effectifs"/>
      <sheetName val="EFFECT"/>
      <sheetName val="EvolutionF060"/>
      <sheetName val="Titre annexes"/>
      <sheetName val="Suivi_MP"/>
      <sheetName val="Suivi_MPC"/>
      <sheetName val="Ecart de stocks PF Cumul"/>
      <sheetName val="Ecart de stocks PF Mois"/>
      <sheetName val="Balance_Agee"/>
      <sheetName val="Tresor"/>
      <sheetName val="Suivi_Rglt"/>
      <sheetName val="Suivi_Rglt_Afrique"/>
      <sheetName val="Rapprocht"/>
      <sheetName val="Avances_Acptes "/>
      <sheetName val="Titre Supplement"/>
      <sheetName val="XMQ_Budget"/>
      <sheetName val="XMQ_N-1"/>
      <sheetName val="XMQ_Rx"/>
      <sheetName val="Ventes_Budget"/>
      <sheetName val="Détails_XMQ"/>
      <sheetName val="Détails_Actif"/>
      <sheetName val="Détails_Passif"/>
      <sheetName val="Bal_XMQ"/>
      <sheetName val="Bal_Bilan"/>
      <sheetName val="Liste"/>
      <sheetName val="Liste_Effectif"/>
      <sheetName val="Liste_Inv"/>
      <sheetName val="Inv_Fam_Dest"/>
      <sheetName val="Liste_Entité"/>
      <sheetName val="Referentiel_Produit"/>
      <sheetName val="Transco_Rubriques"/>
      <sheetName val="Liste tiers"/>
      <sheetName val="Liste_EMB"/>
      <sheetName val="Feuil1"/>
    </sheetNames>
    <sheetDataSet>
      <sheetData sheetId="0"/>
      <sheetData sheetId="1">
        <row r="1">
          <cell r="B1" t="str">
            <v>CAMEROUN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J10" t="str">
            <v>G011</v>
          </cell>
        </row>
        <row r="11">
          <cell r="J11" t="str">
            <v>G011</v>
          </cell>
        </row>
        <row r="12">
          <cell r="J12" t="str">
            <v>G011</v>
          </cell>
        </row>
        <row r="13">
          <cell r="J13" t="str">
            <v>G011</v>
          </cell>
        </row>
        <row r="14">
          <cell r="J14" t="str">
            <v>G011</v>
          </cell>
        </row>
        <row r="15">
          <cell r="J15" t="str">
            <v>D010</v>
          </cell>
        </row>
        <row r="16">
          <cell r="J16" t="str">
            <v>G011</v>
          </cell>
        </row>
        <row r="17">
          <cell r="J17" t="str">
            <v>D010</v>
          </cell>
        </row>
        <row r="18">
          <cell r="J18" t="str">
            <v>D010</v>
          </cell>
        </row>
        <row r="19">
          <cell r="J19" t="str">
            <v>D010</v>
          </cell>
        </row>
        <row r="20">
          <cell r="J20" t="str">
            <v>D010</v>
          </cell>
        </row>
        <row r="21">
          <cell r="J21" t="str">
            <v>G011</v>
          </cell>
        </row>
        <row r="22">
          <cell r="J22" t="str">
            <v>G011</v>
          </cell>
        </row>
        <row r="23">
          <cell r="J23" t="str">
            <v>D010</v>
          </cell>
        </row>
        <row r="24">
          <cell r="J24" t="str">
            <v>D020</v>
          </cell>
        </row>
        <row r="25">
          <cell r="J25" t="str">
            <v>D010</v>
          </cell>
        </row>
        <row r="26">
          <cell r="J26" t="str">
            <v>D010</v>
          </cell>
        </row>
        <row r="27">
          <cell r="J27" t="str">
            <v>D010</v>
          </cell>
        </row>
        <row r="28">
          <cell r="J28" t="str">
            <v>D020</v>
          </cell>
        </row>
        <row r="29">
          <cell r="J29" t="str">
            <v>D010</v>
          </cell>
        </row>
        <row r="30">
          <cell r="J30" t="str">
            <v>D030</v>
          </cell>
        </row>
        <row r="31">
          <cell r="J31" t="str">
            <v>F010</v>
          </cell>
        </row>
        <row r="32">
          <cell r="J32" t="str">
            <v>D010</v>
          </cell>
        </row>
        <row r="33">
          <cell r="J33" t="str">
            <v>F010</v>
          </cell>
        </row>
        <row r="34">
          <cell r="J34" t="str">
            <v>E030</v>
          </cell>
        </row>
        <row r="35">
          <cell r="J35" t="str">
            <v>F010</v>
          </cell>
        </row>
        <row r="36">
          <cell r="J36" t="str">
            <v>E030</v>
          </cell>
        </row>
        <row r="37">
          <cell r="J37" t="str">
            <v>F010</v>
          </cell>
        </row>
        <row r="38">
          <cell r="J38" t="str">
            <v>F010</v>
          </cell>
        </row>
        <row r="39">
          <cell r="J39" t="str">
            <v>E040</v>
          </cell>
        </row>
        <row r="40">
          <cell r="J40" t="str">
            <v>E020</v>
          </cell>
        </row>
        <row r="41">
          <cell r="J41" t="str">
            <v>E020</v>
          </cell>
        </row>
        <row r="42">
          <cell r="J42" t="str">
            <v>F066</v>
          </cell>
        </row>
        <row r="43">
          <cell r="J43" t="str">
            <v>E040</v>
          </cell>
        </row>
        <row r="44">
          <cell r="J44" t="str">
            <v>G013</v>
          </cell>
        </row>
        <row r="45">
          <cell r="J45" t="str">
            <v>D010</v>
          </cell>
        </row>
        <row r="46">
          <cell r="J46" t="str">
            <v>D010</v>
          </cell>
        </row>
        <row r="47">
          <cell r="J47" t="str">
            <v>D010</v>
          </cell>
        </row>
        <row r="48">
          <cell r="J48" t="str">
            <v>D010</v>
          </cell>
        </row>
        <row r="49">
          <cell r="J49" t="str">
            <v>D010</v>
          </cell>
        </row>
        <row r="50">
          <cell r="J50" t="str">
            <v>D020</v>
          </cell>
        </row>
        <row r="51">
          <cell r="J51" t="str">
            <v>D020</v>
          </cell>
        </row>
        <row r="52">
          <cell r="J52" t="str">
            <v>D020</v>
          </cell>
        </row>
        <row r="53">
          <cell r="J53" t="str">
            <v>D030</v>
          </cell>
        </row>
        <row r="54">
          <cell r="J54" t="str">
            <v>F010</v>
          </cell>
        </row>
        <row r="55">
          <cell r="J55" t="str">
            <v>D010</v>
          </cell>
        </row>
        <row r="56">
          <cell r="J56" t="str">
            <v>D010</v>
          </cell>
        </row>
        <row r="57">
          <cell r="J57" t="str">
            <v>E030</v>
          </cell>
        </row>
        <row r="58">
          <cell r="J58" t="str">
            <v>D010</v>
          </cell>
        </row>
        <row r="59">
          <cell r="J59" t="str">
            <v>F010</v>
          </cell>
        </row>
        <row r="60">
          <cell r="J60" t="str">
            <v>E030</v>
          </cell>
        </row>
        <row r="61">
          <cell r="J61" t="str">
            <v>E030</v>
          </cell>
        </row>
        <row r="62">
          <cell r="J62" t="str">
            <v>E030</v>
          </cell>
        </row>
        <row r="63">
          <cell r="J63" t="str">
            <v>E030</v>
          </cell>
        </row>
        <row r="64">
          <cell r="J64" t="str">
            <v>F010</v>
          </cell>
        </row>
        <row r="65">
          <cell r="J65" t="str">
            <v>D010</v>
          </cell>
        </row>
        <row r="66">
          <cell r="J66" t="str">
            <v>D010</v>
          </cell>
        </row>
        <row r="67">
          <cell r="J67" t="str">
            <v>D010</v>
          </cell>
        </row>
        <row r="68">
          <cell r="J68" t="str">
            <v>F066</v>
          </cell>
        </row>
        <row r="69">
          <cell r="J69" t="str">
            <v>E040</v>
          </cell>
        </row>
        <row r="70">
          <cell r="J70" t="str">
            <v>E040</v>
          </cell>
        </row>
        <row r="71">
          <cell r="J71" t="str">
            <v>E040</v>
          </cell>
        </row>
        <row r="72">
          <cell r="J72" t="str">
            <v>F010</v>
          </cell>
        </row>
        <row r="73">
          <cell r="J73" t="str">
            <v>F010</v>
          </cell>
        </row>
        <row r="74">
          <cell r="J74" t="str">
            <v>D030</v>
          </cell>
        </row>
        <row r="75">
          <cell r="J75" t="str">
            <v>F010</v>
          </cell>
        </row>
        <row r="76">
          <cell r="J76" t="str">
            <v>F066</v>
          </cell>
        </row>
        <row r="77">
          <cell r="J77" t="str">
            <v>D030</v>
          </cell>
        </row>
        <row r="78">
          <cell r="J78" t="str">
            <v>F010</v>
          </cell>
        </row>
        <row r="79">
          <cell r="J79" t="str">
            <v>F066</v>
          </cell>
        </row>
        <row r="80">
          <cell r="J80" t="str">
            <v>F010</v>
          </cell>
        </row>
        <row r="81">
          <cell r="J81" t="str">
            <v>D030</v>
          </cell>
        </row>
        <row r="82">
          <cell r="J82" t="str">
            <v>F010</v>
          </cell>
        </row>
        <row r="83">
          <cell r="J83" t="str">
            <v>E030</v>
          </cell>
        </row>
        <row r="84">
          <cell r="J84" t="str">
            <v>E030</v>
          </cell>
        </row>
        <row r="85">
          <cell r="J85" t="str">
            <v>F010</v>
          </cell>
        </row>
        <row r="86">
          <cell r="J86" t="str">
            <v>F010</v>
          </cell>
        </row>
        <row r="87">
          <cell r="J87" t="str">
            <v>F010</v>
          </cell>
        </row>
        <row r="88">
          <cell r="J88" t="str">
            <v>F010</v>
          </cell>
        </row>
        <row r="89">
          <cell r="J89" t="str">
            <v>F066</v>
          </cell>
        </row>
        <row r="90">
          <cell r="J90" t="str">
            <v>F066</v>
          </cell>
        </row>
        <row r="91">
          <cell r="J91" t="str">
            <v>F010</v>
          </cell>
        </row>
        <row r="92">
          <cell r="J92" t="str">
            <v>F066</v>
          </cell>
        </row>
        <row r="93">
          <cell r="J93" t="str">
            <v>F010</v>
          </cell>
        </row>
        <row r="94">
          <cell r="J94" t="str">
            <v>F010</v>
          </cell>
        </row>
        <row r="95">
          <cell r="J95" t="str">
            <v>F010</v>
          </cell>
        </row>
        <row r="96">
          <cell r="J96" t="str">
            <v>F010</v>
          </cell>
        </row>
        <row r="97">
          <cell r="J97" t="str">
            <v>G013</v>
          </cell>
        </row>
        <row r="98">
          <cell r="J98" t="str">
            <v>G013</v>
          </cell>
        </row>
        <row r="99">
          <cell r="J99" t="str">
            <v>D040</v>
          </cell>
        </row>
        <row r="100">
          <cell r="J100" t="str">
            <v>D040</v>
          </cell>
        </row>
        <row r="101">
          <cell r="J101" t="str">
            <v>F020</v>
          </cell>
        </row>
        <row r="102">
          <cell r="J102" t="str">
            <v>F020</v>
          </cell>
        </row>
        <row r="103">
          <cell r="J103" t="str">
            <v>F020</v>
          </cell>
        </row>
        <row r="104">
          <cell r="J104" t="str">
            <v>F020</v>
          </cell>
        </row>
        <row r="105">
          <cell r="J105" t="str">
            <v>F066</v>
          </cell>
        </row>
        <row r="106">
          <cell r="J106" t="str">
            <v>F066</v>
          </cell>
        </row>
        <row r="107">
          <cell r="J107" t="str">
            <v>F066</v>
          </cell>
        </row>
        <row r="108">
          <cell r="J108" t="str">
            <v>F030</v>
          </cell>
        </row>
        <row r="109">
          <cell r="J109" t="str">
            <v>F020</v>
          </cell>
        </row>
        <row r="110">
          <cell r="J110" t="str">
            <v>F020</v>
          </cell>
        </row>
        <row r="111">
          <cell r="J111" t="str">
            <v>F020</v>
          </cell>
        </row>
        <row r="112">
          <cell r="J112" t="str">
            <v>F020</v>
          </cell>
        </row>
        <row r="113">
          <cell r="J113" t="str">
            <v>D050</v>
          </cell>
        </row>
        <row r="114">
          <cell r="J114" t="str">
            <v>D050</v>
          </cell>
        </row>
        <row r="115">
          <cell r="J115" t="str">
            <v>D050</v>
          </cell>
        </row>
        <row r="116">
          <cell r="J116" t="str">
            <v>D050</v>
          </cell>
        </row>
        <row r="117">
          <cell r="J117" t="str">
            <v>D050</v>
          </cell>
        </row>
        <row r="118">
          <cell r="J118" t="str">
            <v>F020</v>
          </cell>
        </row>
        <row r="119">
          <cell r="J119" t="str">
            <v>F020</v>
          </cell>
        </row>
        <row r="120">
          <cell r="J120" t="str">
            <v>F066</v>
          </cell>
        </row>
        <row r="121">
          <cell r="J121" t="str">
            <v>F020</v>
          </cell>
        </row>
        <row r="122">
          <cell r="J122" t="str">
            <v>F020</v>
          </cell>
        </row>
        <row r="123">
          <cell r="J123" t="str">
            <v>F030</v>
          </cell>
        </row>
        <row r="124">
          <cell r="J124" t="str">
            <v>F030</v>
          </cell>
        </row>
        <row r="125">
          <cell r="J125" t="str">
            <v>F030</v>
          </cell>
        </row>
        <row r="126">
          <cell r="J126" t="str">
            <v>F030</v>
          </cell>
        </row>
        <row r="127">
          <cell r="J127" t="str">
            <v>F030</v>
          </cell>
        </row>
        <row r="128">
          <cell r="J128" t="str">
            <v>F030</v>
          </cell>
        </row>
        <row r="129">
          <cell r="J129" t="str">
            <v>F066</v>
          </cell>
        </row>
        <row r="130">
          <cell r="J130" t="str">
            <v>F030</v>
          </cell>
        </row>
        <row r="131">
          <cell r="J131" t="str">
            <v>G011</v>
          </cell>
        </row>
        <row r="132">
          <cell r="J132" t="str">
            <v>G013</v>
          </cell>
        </row>
        <row r="133">
          <cell r="J133" t="str">
            <v>F030</v>
          </cell>
        </row>
        <row r="134">
          <cell r="J134" t="str">
            <v>F030</v>
          </cell>
        </row>
        <row r="135">
          <cell r="J135" t="str">
            <v>F030</v>
          </cell>
        </row>
        <row r="136">
          <cell r="J136" t="str">
            <v>F030</v>
          </cell>
        </row>
        <row r="137">
          <cell r="J137" t="str">
            <v>F030</v>
          </cell>
        </row>
        <row r="138">
          <cell r="J138" t="str">
            <v>E030</v>
          </cell>
        </row>
        <row r="139">
          <cell r="J139" t="str">
            <v>E030</v>
          </cell>
        </row>
        <row r="140">
          <cell r="J140" t="str">
            <v>E030</v>
          </cell>
        </row>
        <row r="141">
          <cell r="J141" t="str">
            <v>F030</v>
          </cell>
        </row>
        <row r="142">
          <cell r="J142" t="str">
            <v>F030</v>
          </cell>
        </row>
        <row r="143">
          <cell r="J143" t="str">
            <v>F030</v>
          </cell>
        </row>
        <row r="144">
          <cell r="J144" t="str">
            <v>E030</v>
          </cell>
        </row>
        <row r="145">
          <cell r="J145" t="str">
            <v>F050</v>
          </cell>
        </row>
        <row r="146">
          <cell r="J146" t="str">
            <v>F040</v>
          </cell>
        </row>
        <row r="147">
          <cell r="J147" t="str">
            <v>F040</v>
          </cell>
        </row>
        <row r="148">
          <cell r="J148" t="str">
            <v>F040</v>
          </cell>
        </row>
        <row r="149">
          <cell r="J149" t="str">
            <v>F040</v>
          </cell>
        </row>
        <row r="150">
          <cell r="J150" t="str">
            <v>D010</v>
          </cell>
        </row>
        <row r="151">
          <cell r="J151" t="str">
            <v>G011</v>
          </cell>
        </row>
        <row r="152">
          <cell r="J152" t="str">
            <v>D010</v>
          </cell>
        </row>
        <row r="153">
          <cell r="J153" t="str">
            <v>E030</v>
          </cell>
        </row>
        <row r="154">
          <cell r="J154" t="str">
            <v>F040</v>
          </cell>
        </row>
        <row r="155">
          <cell r="J155" t="str">
            <v>D020</v>
          </cell>
        </row>
        <row r="156">
          <cell r="J156" t="str">
            <v>F010</v>
          </cell>
        </row>
        <row r="157">
          <cell r="J157" t="str">
            <v>F040</v>
          </cell>
        </row>
        <row r="158">
          <cell r="J158" t="str">
            <v>F040</v>
          </cell>
        </row>
        <row r="159">
          <cell r="J159" t="str">
            <v>F040</v>
          </cell>
        </row>
        <row r="160">
          <cell r="J160" t="str">
            <v>F040</v>
          </cell>
        </row>
        <row r="161">
          <cell r="J161" t="str">
            <v>F010</v>
          </cell>
        </row>
        <row r="162">
          <cell r="J162" t="str">
            <v>F010</v>
          </cell>
        </row>
        <row r="163">
          <cell r="J163" t="str">
            <v>E050</v>
          </cell>
        </row>
        <row r="164">
          <cell r="J164" t="str">
            <v>E040</v>
          </cell>
        </row>
        <row r="165">
          <cell r="J165" t="str">
            <v>E040</v>
          </cell>
        </row>
        <row r="166">
          <cell r="J166" t="str">
            <v>E040</v>
          </cell>
        </row>
        <row r="167">
          <cell r="J167" t="str">
            <v>E040</v>
          </cell>
        </row>
        <row r="168">
          <cell r="J168" t="str">
            <v>E040</v>
          </cell>
        </row>
        <row r="169">
          <cell r="J169" t="str">
            <v>E040</v>
          </cell>
        </row>
        <row r="170">
          <cell r="J170" t="str">
            <v>F030</v>
          </cell>
        </row>
        <row r="171">
          <cell r="J171" t="str">
            <v>F030</v>
          </cell>
        </row>
        <row r="172">
          <cell r="J172" t="str">
            <v>F030</v>
          </cell>
        </row>
        <row r="173">
          <cell r="J173" t="str">
            <v>F030</v>
          </cell>
        </row>
        <row r="174">
          <cell r="J174" t="str">
            <v>F030</v>
          </cell>
        </row>
        <row r="175">
          <cell r="J175" t="str">
            <v>F030</v>
          </cell>
        </row>
        <row r="176">
          <cell r="J176" t="str">
            <v>F030</v>
          </cell>
        </row>
        <row r="177">
          <cell r="J177" t="str">
            <v>F030</v>
          </cell>
        </row>
        <row r="178">
          <cell r="J178" t="str">
            <v>F030</v>
          </cell>
        </row>
        <row r="179">
          <cell r="J179" t="str">
            <v>F030</v>
          </cell>
        </row>
        <row r="180">
          <cell r="J180" t="str">
            <v>F030</v>
          </cell>
        </row>
        <row r="181">
          <cell r="J181" t="str">
            <v>F030</v>
          </cell>
        </row>
        <row r="182">
          <cell r="J182" t="str">
            <v>F030</v>
          </cell>
        </row>
        <row r="183">
          <cell r="J183" t="str">
            <v>F030</v>
          </cell>
        </row>
        <row r="184">
          <cell r="J184" t="str">
            <v>F030</v>
          </cell>
        </row>
        <row r="185">
          <cell r="J185" t="str">
            <v>D010</v>
          </cell>
        </row>
        <row r="186">
          <cell r="J186" t="str">
            <v>G011</v>
          </cell>
        </row>
        <row r="187">
          <cell r="J187" t="str">
            <v>D010</v>
          </cell>
        </row>
        <row r="188">
          <cell r="J188" t="str">
            <v>D010</v>
          </cell>
        </row>
        <row r="189">
          <cell r="J189" t="str">
            <v>E030</v>
          </cell>
        </row>
        <row r="190">
          <cell r="J190" t="str">
            <v>E040</v>
          </cell>
        </row>
        <row r="191">
          <cell r="J191" t="str">
            <v>F010</v>
          </cell>
        </row>
        <row r="192">
          <cell r="J192" t="str">
            <v>D020</v>
          </cell>
        </row>
        <row r="193">
          <cell r="J193" t="str">
            <v>F010</v>
          </cell>
        </row>
        <row r="194">
          <cell r="J194" t="str">
            <v>D010</v>
          </cell>
        </row>
        <row r="195">
          <cell r="J195" t="str">
            <v>G011</v>
          </cell>
        </row>
        <row r="196">
          <cell r="J196" t="str">
            <v>D020</v>
          </cell>
        </row>
        <row r="197">
          <cell r="J197" t="str">
            <v>D010</v>
          </cell>
        </row>
        <row r="198">
          <cell r="J198" t="str">
            <v>E030</v>
          </cell>
        </row>
        <row r="199">
          <cell r="J199" t="str">
            <v>E040</v>
          </cell>
        </row>
        <row r="200">
          <cell r="J200" t="str">
            <v>F010</v>
          </cell>
        </row>
        <row r="201">
          <cell r="J201" t="str">
            <v>D020</v>
          </cell>
        </row>
        <row r="202">
          <cell r="J202" t="str">
            <v>F010</v>
          </cell>
        </row>
        <row r="203">
          <cell r="J203" t="str">
            <v>F030</v>
          </cell>
        </row>
        <row r="204">
          <cell r="J204" t="str">
            <v>F030</v>
          </cell>
        </row>
        <row r="205">
          <cell r="J205" t="str">
            <v>F030</v>
          </cell>
        </row>
        <row r="206">
          <cell r="J206" t="str">
            <v>F030</v>
          </cell>
        </row>
        <row r="207">
          <cell r="J207" t="str">
            <v>F030</v>
          </cell>
        </row>
        <row r="208">
          <cell r="J208" t="str">
            <v>F030</v>
          </cell>
        </row>
        <row r="209">
          <cell r="J209" t="str">
            <v>F030</v>
          </cell>
        </row>
        <row r="210">
          <cell r="J210" t="str">
            <v>F030</v>
          </cell>
        </row>
        <row r="211">
          <cell r="J211" t="str">
            <v>F030</v>
          </cell>
        </row>
        <row r="212">
          <cell r="J212" t="str">
            <v>F066</v>
          </cell>
        </row>
        <row r="213">
          <cell r="J213" t="str">
            <v>F066</v>
          </cell>
        </row>
        <row r="214">
          <cell r="J214" t="str">
            <v>F066</v>
          </cell>
        </row>
        <row r="215">
          <cell r="J215" t="str">
            <v>F066</v>
          </cell>
        </row>
        <row r="216">
          <cell r="J216" t="str">
            <v>F030</v>
          </cell>
        </row>
        <row r="217">
          <cell r="J217" t="str">
            <v>F030</v>
          </cell>
        </row>
        <row r="218">
          <cell r="J218" t="str">
            <v>F030</v>
          </cell>
        </row>
        <row r="219">
          <cell r="J219" t="str">
            <v>F065</v>
          </cell>
        </row>
        <row r="220">
          <cell r="J220" t="str">
            <v>F030</v>
          </cell>
        </row>
        <row r="221">
          <cell r="J221" t="str">
            <v>F030</v>
          </cell>
        </row>
        <row r="222">
          <cell r="J222" t="str">
            <v>F030</v>
          </cell>
        </row>
        <row r="223">
          <cell r="J223" t="str">
            <v>F030</v>
          </cell>
        </row>
        <row r="224">
          <cell r="J224" t="str">
            <v>F030</v>
          </cell>
        </row>
        <row r="225">
          <cell r="J225" t="str">
            <v>F030</v>
          </cell>
        </row>
        <row r="226">
          <cell r="J226" t="str">
            <v>E060</v>
          </cell>
        </row>
        <row r="227">
          <cell r="J227" t="str">
            <v>E060</v>
          </cell>
        </row>
        <row r="228">
          <cell r="J228" t="str">
            <v>F030</v>
          </cell>
        </row>
        <row r="229">
          <cell r="J229" t="str">
            <v>G011</v>
          </cell>
        </row>
        <row r="230">
          <cell r="J230" t="str">
            <v>F065</v>
          </cell>
        </row>
        <row r="231">
          <cell r="J231" t="str">
            <v>F065</v>
          </cell>
        </row>
        <row r="232">
          <cell r="J232" t="str">
            <v>F066</v>
          </cell>
        </row>
        <row r="233">
          <cell r="J233" t="str">
            <v>D070</v>
          </cell>
        </row>
        <row r="234">
          <cell r="J234" t="str">
            <v>D070</v>
          </cell>
        </row>
        <row r="235">
          <cell r="J235" t="str">
            <v>D070</v>
          </cell>
        </row>
        <row r="236">
          <cell r="J236" t="str">
            <v>D070</v>
          </cell>
        </row>
        <row r="237">
          <cell r="J237" t="str">
            <v>D070</v>
          </cell>
        </row>
        <row r="238">
          <cell r="J238" t="str">
            <v>D070</v>
          </cell>
        </row>
        <row r="239">
          <cell r="J239" t="str">
            <v>D070</v>
          </cell>
        </row>
        <row r="240">
          <cell r="J240" t="str">
            <v>D070</v>
          </cell>
        </row>
        <row r="241">
          <cell r="J241" t="str">
            <v>D070</v>
          </cell>
        </row>
        <row r="242">
          <cell r="J242" t="str">
            <v>D070</v>
          </cell>
        </row>
        <row r="243">
          <cell r="J243" t="str">
            <v>D070</v>
          </cell>
        </row>
        <row r="244">
          <cell r="J244" t="str">
            <v>D070</v>
          </cell>
        </row>
        <row r="245">
          <cell r="J245" t="str">
            <v>F050</v>
          </cell>
        </row>
        <row r="246">
          <cell r="J246" t="str">
            <v>F066</v>
          </cell>
        </row>
        <row r="247">
          <cell r="J247" t="str">
            <v>F030</v>
          </cell>
        </row>
        <row r="248">
          <cell r="J248" t="str">
            <v>F030</v>
          </cell>
        </row>
        <row r="249">
          <cell r="J249" t="str">
            <v>F030</v>
          </cell>
        </row>
        <row r="250">
          <cell r="J250" t="str">
            <v>F030</v>
          </cell>
        </row>
        <row r="251">
          <cell r="J251" t="str">
            <v>F030</v>
          </cell>
        </row>
        <row r="252">
          <cell r="J252" t="str">
            <v>F070</v>
          </cell>
        </row>
        <row r="253">
          <cell r="J253" t="str">
            <v>F070</v>
          </cell>
        </row>
        <row r="254">
          <cell r="J254" t="str">
            <v>F061</v>
          </cell>
        </row>
        <row r="255">
          <cell r="J255" t="str">
            <v>F061</v>
          </cell>
        </row>
        <row r="256">
          <cell r="J256" t="str">
            <v>F061</v>
          </cell>
        </row>
        <row r="257">
          <cell r="J257" t="str">
            <v>F061</v>
          </cell>
        </row>
        <row r="258">
          <cell r="J258" t="str">
            <v>F061</v>
          </cell>
        </row>
        <row r="259">
          <cell r="J259" t="str">
            <v>F061</v>
          </cell>
        </row>
        <row r="260">
          <cell r="J260" t="str">
            <v>F061</v>
          </cell>
        </row>
        <row r="261">
          <cell r="J261" t="str">
            <v>F061</v>
          </cell>
        </row>
        <row r="262">
          <cell r="J262" t="str">
            <v>F070</v>
          </cell>
        </row>
        <row r="263">
          <cell r="J263" t="str">
            <v>F070</v>
          </cell>
        </row>
        <row r="264">
          <cell r="J264" t="str">
            <v>F070</v>
          </cell>
        </row>
        <row r="265">
          <cell r="J265" t="str">
            <v>F070</v>
          </cell>
        </row>
        <row r="266">
          <cell r="J266" t="str">
            <v>F070</v>
          </cell>
        </row>
        <row r="267">
          <cell r="J267" t="str">
            <v>F070</v>
          </cell>
        </row>
        <row r="268">
          <cell r="J268" t="str">
            <v>F070</v>
          </cell>
        </row>
        <row r="269">
          <cell r="J269" t="str">
            <v>F070</v>
          </cell>
        </row>
        <row r="270">
          <cell r="J270" t="str">
            <v>F050</v>
          </cell>
        </row>
        <row r="271">
          <cell r="J271" t="str">
            <v>F050</v>
          </cell>
        </row>
        <row r="272">
          <cell r="J272" t="str">
            <v>F070</v>
          </cell>
        </row>
        <row r="273">
          <cell r="J273" t="str">
            <v>F070</v>
          </cell>
        </row>
        <row r="274">
          <cell r="J274" t="str">
            <v>F070</v>
          </cell>
        </row>
        <row r="275">
          <cell r="J275" t="str">
            <v>F070</v>
          </cell>
        </row>
        <row r="276">
          <cell r="J276" t="str">
            <v>F050</v>
          </cell>
        </row>
        <row r="277">
          <cell r="J277" t="str">
            <v>F050</v>
          </cell>
        </row>
        <row r="278">
          <cell r="J278" t="str">
            <v>F050</v>
          </cell>
        </row>
        <row r="279">
          <cell r="J279" t="str">
            <v>F050</v>
          </cell>
        </row>
        <row r="280">
          <cell r="J280" t="str">
            <v>F050</v>
          </cell>
        </row>
        <row r="281">
          <cell r="J281" t="str">
            <v>F050</v>
          </cell>
        </row>
        <row r="282">
          <cell r="J282" t="str">
            <v>F050</v>
          </cell>
        </row>
        <row r="283">
          <cell r="J283" t="str">
            <v>F061</v>
          </cell>
        </row>
        <row r="284">
          <cell r="J284" t="str">
            <v>F061</v>
          </cell>
        </row>
        <row r="285">
          <cell r="J285" t="str">
            <v>F061</v>
          </cell>
        </row>
        <row r="286">
          <cell r="J286" t="str">
            <v>F061</v>
          </cell>
        </row>
        <row r="287">
          <cell r="J287" t="str">
            <v>F061</v>
          </cell>
        </row>
        <row r="288">
          <cell r="J288" t="str">
            <v>F061</v>
          </cell>
        </row>
        <row r="289">
          <cell r="J289" t="str">
            <v>F061</v>
          </cell>
        </row>
        <row r="290">
          <cell r="J290" t="str">
            <v>F061</v>
          </cell>
        </row>
        <row r="291">
          <cell r="J291" t="str">
            <v>F061</v>
          </cell>
        </row>
        <row r="292">
          <cell r="J292" t="str">
            <v>F061</v>
          </cell>
        </row>
        <row r="293">
          <cell r="J293" t="str">
            <v>F061</v>
          </cell>
        </row>
        <row r="294">
          <cell r="J294" t="str">
            <v>F061</v>
          </cell>
        </row>
        <row r="295">
          <cell r="J295" t="str">
            <v>F061</v>
          </cell>
        </row>
        <row r="296">
          <cell r="J296" t="str">
            <v>F061</v>
          </cell>
        </row>
        <row r="297">
          <cell r="J297" t="str">
            <v>F061</v>
          </cell>
        </row>
        <row r="298">
          <cell r="J298" t="str">
            <v>F061</v>
          </cell>
        </row>
        <row r="299">
          <cell r="J299" t="str">
            <v>F061</v>
          </cell>
        </row>
        <row r="300">
          <cell r="J300" t="str">
            <v>F061</v>
          </cell>
        </row>
        <row r="301">
          <cell r="J301" t="str">
            <v>F061</v>
          </cell>
        </row>
        <row r="302">
          <cell r="J302" t="str">
            <v>F061</v>
          </cell>
        </row>
        <row r="303">
          <cell r="J303" t="str">
            <v>F061</v>
          </cell>
        </row>
        <row r="304">
          <cell r="J304" t="str">
            <v>F061</v>
          </cell>
        </row>
        <row r="305">
          <cell r="J305" t="str">
            <v>F061</v>
          </cell>
        </row>
        <row r="306">
          <cell r="J306" t="str">
            <v>F061</v>
          </cell>
        </row>
        <row r="307">
          <cell r="J307" t="str">
            <v>F061</v>
          </cell>
        </row>
        <row r="308">
          <cell r="J308" t="str">
            <v>F061</v>
          </cell>
        </row>
        <row r="309">
          <cell r="J309" t="str">
            <v>F061</v>
          </cell>
        </row>
        <row r="310">
          <cell r="J310" t="str">
            <v>F061</v>
          </cell>
        </row>
        <row r="311">
          <cell r="J311" t="str">
            <v>F061</v>
          </cell>
        </row>
        <row r="312">
          <cell r="J312" t="str">
            <v>F061</v>
          </cell>
        </row>
        <row r="313">
          <cell r="J313" t="str">
            <v>F061</v>
          </cell>
        </row>
        <row r="314">
          <cell r="J314" t="str">
            <v>F061</v>
          </cell>
        </row>
        <row r="315">
          <cell r="J315" t="str">
            <v>F061</v>
          </cell>
        </row>
        <row r="316">
          <cell r="J316" t="str">
            <v>F061</v>
          </cell>
        </row>
        <row r="317">
          <cell r="J317" t="str">
            <v>F061</v>
          </cell>
        </row>
        <row r="318">
          <cell r="J318" t="str">
            <v>F061</v>
          </cell>
        </row>
        <row r="319">
          <cell r="J319" t="str">
            <v>F061</v>
          </cell>
        </row>
        <row r="320">
          <cell r="J320" t="str">
            <v>F061</v>
          </cell>
        </row>
        <row r="321">
          <cell r="J321" t="str">
            <v>F061</v>
          </cell>
        </row>
        <row r="322">
          <cell r="J322" t="str">
            <v>F061</v>
          </cell>
        </row>
        <row r="323">
          <cell r="J323" t="str">
            <v>F061</v>
          </cell>
        </row>
        <row r="324">
          <cell r="J324" t="str">
            <v>F061</v>
          </cell>
        </row>
        <row r="325">
          <cell r="J325" t="str">
            <v>F061</v>
          </cell>
        </row>
        <row r="326">
          <cell r="J326" t="str">
            <v>F061</v>
          </cell>
        </row>
        <row r="327">
          <cell r="J327" t="str">
            <v>F061</v>
          </cell>
        </row>
        <row r="328">
          <cell r="J328" t="str">
            <v>F066</v>
          </cell>
        </row>
        <row r="329">
          <cell r="J329" t="str">
            <v>F061</v>
          </cell>
        </row>
        <row r="330">
          <cell r="J330" t="str">
            <v>F061</v>
          </cell>
        </row>
        <row r="331">
          <cell r="J331" t="str">
            <v>F061</v>
          </cell>
        </row>
        <row r="332">
          <cell r="J332" t="str">
            <v>F061</v>
          </cell>
        </row>
        <row r="333">
          <cell r="J333" t="str">
            <v>F061</v>
          </cell>
        </row>
        <row r="334">
          <cell r="J334" t="str">
            <v>F061</v>
          </cell>
        </row>
        <row r="335">
          <cell r="J335" t="str">
            <v>F061</v>
          </cell>
        </row>
        <row r="336">
          <cell r="J336" t="str">
            <v>F061</v>
          </cell>
        </row>
        <row r="337">
          <cell r="J337" t="str">
            <v>F061</v>
          </cell>
        </row>
        <row r="338">
          <cell r="J338" t="str">
            <v>F066</v>
          </cell>
        </row>
        <row r="339">
          <cell r="J339" t="str">
            <v>F066</v>
          </cell>
        </row>
        <row r="340">
          <cell r="J340" t="str">
            <v>F061</v>
          </cell>
        </row>
        <row r="341">
          <cell r="J341" t="str">
            <v>F061</v>
          </cell>
        </row>
        <row r="342">
          <cell r="J342" t="str">
            <v>F061</v>
          </cell>
        </row>
        <row r="343">
          <cell r="J343" t="str">
            <v>F061</v>
          </cell>
        </row>
        <row r="344">
          <cell r="J344" t="str">
            <v>F061</v>
          </cell>
        </row>
        <row r="345">
          <cell r="J345" t="str">
            <v>F061</v>
          </cell>
        </row>
        <row r="346">
          <cell r="J346" t="str">
            <v>F061</v>
          </cell>
        </row>
        <row r="347">
          <cell r="J347" t="str">
            <v>F061</v>
          </cell>
        </row>
        <row r="348">
          <cell r="J348" t="str">
            <v>F061</v>
          </cell>
        </row>
        <row r="349">
          <cell r="J349" t="str">
            <v>F061</v>
          </cell>
        </row>
        <row r="350">
          <cell r="J350" t="str">
            <v>F061</v>
          </cell>
        </row>
        <row r="351">
          <cell r="J351" t="str">
            <v>F061</v>
          </cell>
        </row>
        <row r="352">
          <cell r="J352" t="str">
            <v>F061</v>
          </cell>
        </row>
        <row r="353">
          <cell r="J353" t="str">
            <v>F061</v>
          </cell>
        </row>
        <row r="354">
          <cell r="J354" t="str">
            <v>F061</v>
          </cell>
        </row>
        <row r="355">
          <cell r="J355" t="str">
            <v>F061</v>
          </cell>
        </row>
        <row r="356">
          <cell r="J356" t="str">
            <v>F061</v>
          </cell>
        </row>
        <row r="357">
          <cell r="J357" t="str">
            <v>H010</v>
          </cell>
        </row>
        <row r="358">
          <cell r="J358" t="str">
            <v>H010</v>
          </cell>
        </row>
        <row r="359">
          <cell r="J359" t="str">
            <v>G020</v>
          </cell>
        </row>
        <row r="360">
          <cell r="J360" t="str">
            <v>G050</v>
          </cell>
        </row>
        <row r="361">
          <cell r="J361" t="str">
            <v>G050</v>
          </cell>
        </row>
        <row r="362">
          <cell r="J362" t="str">
            <v>G050</v>
          </cell>
        </row>
        <row r="363">
          <cell r="J363" t="str">
            <v>G050</v>
          </cell>
        </row>
        <row r="364">
          <cell r="J364" t="str">
            <v>G011</v>
          </cell>
        </row>
        <row r="365">
          <cell r="J365" t="str">
            <v>G011</v>
          </cell>
        </row>
        <row r="366">
          <cell r="J366" t="str">
            <v>G011</v>
          </cell>
        </row>
        <row r="367">
          <cell r="J367" t="str">
            <v>G011</v>
          </cell>
        </row>
        <row r="368">
          <cell r="J368" t="str">
            <v>G011</v>
          </cell>
        </row>
        <row r="369">
          <cell r="J369" t="str">
            <v>B010</v>
          </cell>
        </row>
        <row r="370">
          <cell r="J370" t="str">
            <v>B040</v>
          </cell>
        </row>
        <row r="371">
          <cell r="J371" t="str">
            <v>G013</v>
          </cell>
        </row>
        <row r="372">
          <cell r="J372" t="str">
            <v>B020</v>
          </cell>
        </row>
        <row r="373">
          <cell r="J373" t="str">
            <v>B020</v>
          </cell>
        </row>
        <row r="374">
          <cell r="J374" t="str">
            <v>B020</v>
          </cell>
        </row>
        <row r="375">
          <cell r="J375" t="str">
            <v>B020</v>
          </cell>
        </row>
        <row r="376">
          <cell r="J376" t="str">
            <v>G013</v>
          </cell>
        </row>
        <row r="377">
          <cell r="J377" t="str">
            <v>G013</v>
          </cell>
        </row>
        <row r="378">
          <cell r="J378" t="str">
            <v>G013</v>
          </cell>
        </row>
        <row r="379">
          <cell r="J379" t="str">
            <v>D010</v>
          </cell>
        </row>
        <row r="380">
          <cell r="J380" t="str">
            <v>G013</v>
          </cell>
        </row>
        <row r="381">
          <cell r="J381" t="str">
            <v>G013</v>
          </cell>
        </row>
        <row r="382">
          <cell r="J382" t="str">
            <v>E030</v>
          </cell>
        </row>
        <row r="383">
          <cell r="J383" t="str">
            <v>D040</v>
          </cell>
        </row>
        <row r="384">
          <cell r="J384" t="str">
            <v>G013</v>
          </cell>
        </row>
        <row r="385">
          <cell r="J385" t="str">
            <v>G013</v>
          </cell>
        </row>
        <row r="386">
          <cell r="J386" t="str">
            <v>G013</v>
          </cell>
        </row>
        <row r="387">
          <cell r="J387" t="str">
            <v>D010</v>
          </cell>
        </row>
        <row r="388">
          <cell r="J388" t="str">
            <v>H020</v>
          </cell>
        </row>
        <row r="389">
          <cell r="J389" t="str">
            <v>G013</v>
          </cell>
        </row>
        <row r="390">
          <cell r="J390" t="str">
            <v>G013</v>
          </cell>
        </row>
        <row r="391">
          <cell r="J391" t="str">
            <v>G013</v>
          </cell>
        </row>
        <row r="392">
          <cell r="J392" t="str">
            <v>E040</v>
          </cell>
        </row>
        <row r="393">
          <cell r="J393" t="str">
            <v>G013</v>
          </cell>
        </row>
        <row r="394">
          <cell r="J394" t="str">
            <v>C010</v>
          </cell>
        </row>
        <row r="395">
          <cell r="J395" t="str">
            <v>C010</v>
          </cell>
        </row>
        <row r="396">
          <cell r="J396" t="str">
            <v>C010</v>
          </cell>
        </row>
        <row r="397">
          <cell r="J397" t="str">
            <v>C010</v>
          </cell>
        </row>
        <row r="398">
          <cell r="J398" t="str">
            <v>C010</v>
          </cell>
        </row>
        <row r="399">
          <cell r="J399" t="str">
            <v>C010</v>
          </cell>
        </row>
        <row r="400">
          <cell r="J400" t="str">
            <v>G013</v>
          </cell>
        </row>
        <row r="401">
          <cell r="J401" t="str">
            <v>G013</v>
          </cell>
        </row>
        <row r="402">
          <cell r="J402" t="str">
            <v>G013</v>
          </cell>
        </row>
        <row r="403">
          <cell r="J403" t="str">
            <v>G013</v>
          </cell>
        </row>
        <row r="404">
          <cell r="J404" t="str">
            <v>G013</v>
          </cell>
        </row>
        <row r="405">
          <cell r="J405" t="str">
            <v>H020</v>
          </cell>
        </row>
        <row r="406">
          <cell r="J406" t="str">
            <v>H020</v>
          </cell>
        </row>
        <row r="407">
          <cell r="J407" t="str">
            <v>D010</v>
          </cell>
        </row>
        <row r="408">
          <cell r="J408" t="str">
            <v>F020</v>
          </cell>
        </row>
        <row r="409">
          <cell r="J409" t="str">
            <v>F030</v>
          </cell>
        </row>
        <row r="410">
          <cell r="J410" t="str">
            <v>F070</v>
          </cell>
        </row>
        <row r="411">
          <cell r="J411" t="str">
            <v>F030</v>
          </cell>
        </row>
        <row r="412">
          <cell r="J412" t="str">
            <v>E040</v>
          </cell>
        </row>
        <row r="413">
          <cell r="J413" t="str">
            <v>F070</v>
          </cell>
        </row>
        <row r="414">
          <cell r="J414" t="str">
            <v>I020</v>
          </cell>
        </row>
        <row r="415">
          <cell r="J415" t="str">
            <v>G060</v>
          </cell>
        </row>
        <row r="434">
          <cell r="J434" t="str">
            <v>B010</v>
          </cell>
        </row>
        <row r="435">
          <cell r="J435" t="str">
            <v>B020</v>
          </cell>
        </row>
        <row r="436">
          <cell r="J436" t="str">
            <v>G011</v>
          </cell>
        </row>
        <row r="437">
          <cell r="J437" t="str">
            <v>B010</v>
          </cell>
        </row>
        <row r="438">
          <cell r="J438" t="str">
            <v>G013</v>
          </cell>
        </row>
        <row r="440">
          <cell r="J440" t="str">
            <v>I060</v>
          </cell>
        </row>
        <row r="441">
          <cell r="J441" t="str">
            <v>I050</v>
          </cell>
        </row>
        <row r="443">
          <cell r="J443" t="str">
            <v>G013</v>
          </cell>
        </row>
        <row r="446">
          <cell r="J446" t="str">
            <v>B030</v>
          </cell>
        </row>
        <row r="447">
          <cell r="J447" t="str">
            <v>B030</v>
          </cell>
        </row>
        <row r="448">
          <cell r="J448" t="str">
            <v>G011</v>
          </cell>
        </row>
        <row r="449">
          <cell r="J449" t="str">
            <v>B030</v>
          </cell>
        </row>
        <row r="450">
          <cell r="J450" t="str">
            <v>D020</v>
          </cell>
        </row>
        <row r="452">
          <cell r="J452" t="str">
            <v>I060</v>
          </cell>
        </row>
        <row r="455">
          <cell r="J455" t="str">
            <v>G011</v>
          </cell>
        </row>
        <row r="456">
          <cell r="J456" t="str">
            <v>G011</v>
          </cell>
        </row>
        <row r="457">
          <cell r="J457" t="str">
            <v>B020</v>
          </cell>
        </row>
        <row r="458">
          <cell r="J458" t="str">
            <v>G011</v>
          </cell>
        </row>
        <row r="459">
          <cell r="J459" t="str">
            <v>B040</v>
          </cell>
        </row>
      </sheetData>
      <sheetData sheetId="59">
        <row r="10">
          <cell r="BT10">
            <v>0</v>
          </cell>
        </row>
        <row r="30">
          <cell r="BS30" t="str">
            <v>Q101</v>
          </cell>
        </row>
        <row r="31">
          <cell r="BS31" t="str">
            <v>Q101</v>
          </cell>
        </row>
        <row r="32">
          <cell r="BS32" t="str">
            <v>Q107</v>
          </cell>
        </row>
        <row r="33">
          <cell r="BS33" t="str">
            <v>Q104</v>
          </cell>
        </row>
        <row r="34">
          <cell r="BS34" t="str">
            <v>Q106</v>
          </cell>
        </row>
        <row r="35">
          <cell r="BS35" t="str">
            <v>Q106</v>
          </cell>
        </row>
        <row r="36">
          <cell r="BS36" t="str">
            <v>Q210</v>
          </cell>
        </row>
        <row r="37">
          <cell r="BS37" t="str">
            <v>Q210</v>
          </cell>
        </row>
        <row r="38">
          <cell r="BS38" t="str">
            <v>Q210</v>
          </cell>
        </row>
        <row r="39">
          <cell r="BS39" t="str">
            <v>Q220</v>
          </cell>
        </row>
        <row r="40">
          <cell r="BS40" t="str">
            <v>Q220</v>
          </cell>
        </row>
        <row r="41">
          <cell r="BS41" t="str">
            <v>Q220</v>
          </cell>
        </row>
        <row r="42">
          <cell r="BS42" t="str">
            <v>Q220</v>
          </cell>
        </row>
        <row r="43">
          <cell r="BS43" t="str">
            <v>Q220</v>
          </cell>
        </row>
        <row r="44">
          <cell r="BS44" t="str">
            <v>Q220</v>
          </cell>
        </row>
        <row r="45">
          <cell r="BS45" t="str">
            <v>Q220</v>
          </cell>
        </row>
        <row r="46">
          <cell r="BS46" t="str">
            <v>Q220</v>
          </cell>
        </row>
        <row r="47">
          <cell r="BS47" t="str">
            <v>Q220</v>
          </cell>
        </row>
        <row r="48">
          <cell r="BS48" t="str">
            <v>Q220</v>
          </cell>
        </row>
        <row r="49">
          <cell r="BS49" t="str">
            <v>Q220</v>
          </cell>
        </row>
        <row r="50">
          <cell r="BS50" t="str">
            <v>Q220</v>
          </cell>
        </row>
        <row r="51">
          <cell r="BS51" t="str">
            <v>Q220</v>
          </cell>
        </row>
        <row r="52">
          <cell r="BS52" t="str">
            <v>Q220</v>
          </cell>
        </row>
        <row r="53">
          <cell r="BS53" t="str">
            <v>Q220</v>
          </cell>
        </row>
        <row r="54">
          <cell r="BS54" t="str">
            <v>Q220</v>
          </cell>
        </row>
        <row r="55">
          <cell r="BS55" t="str">
            <v>Q270</v>
          </cell>
        </row>
        <row r="56">
          <cell r="BS56" t="str">
            <v>Q270</v>
          </cell>
        </row>
        <row r="57">
          <cell r="BS57" t="str">
            <v>Q270</v>
          </cell>
        </row>
        <row r="58">
          <cell r="BS58" t="str">
            <v>Q270</v>
          </cell>
        </row>
        <row r="59">
          <cell r="BS59" t="str">
            <v>Q230</v>
          </cell>
        </row>
        <row r="60">
          <cell r="BS60" t="str">
            <v>Q230</v>
          </cell>
        </row>
        <row r="61">
          <cell r="BS61" t="str">
            <v>Q230</v>
          </cell>
        </row>
        <row r="62">
          <cell r="BS62" t="str">
            <v>Q230</v>
          </cell>
        </row>
        <row r="63">
          <cell r="BS63" t="str">
            <v>Q230</v>
          </cell>
        </row>
        <row r="64">
          <cell r="BS64" t="str">
            <v>Q240</v>
          </cell>
        </row>
        <row r="65">
          <cell r="BS65" t="str">
            <v>Q240</v>
          </cell>
        </row>
        <row r="66">
          <cell r="BS66" t="str">
            <v>Q260</v>
          </cell>
        </row>
        <row r="67">
          <cell r="BS67" t="str">
            <v>Q260</v>
          </cell>
        </row>
        <row r="68">
          <cell r="BS68" t="str">
            <v>Q240</v>
          </cell>
        </row>
        <row r="69">
          <cell r="BS69" t="str">
            <v>Q240</v>
          </cell>
        </row>
        <row r="70">
          <cell r="BS70" t="str">
            <v>Q260</v>
          </cell>
        </row>
        <row r="71">
          <cell r="BS71" t="str">
            <v>Q260</v>
          </cell>
        </row>
        <row r="72">
          <cell r="BS72" t="str">
            <v>Q260</v>
          </cell>
        </row>
        <row r="73">
          <cell r="BS73" t="str">
            <v>Q260</v>
          </cell>
        </row>
        <row r="74">
          <cell r="BS74" t="str">
            <v>Q260</v>
          </cell>
        </row>
        <row r="75">
          <cell r="BS75" t="str">
            <v>Q260</v>
          </cell>
        </row>
        <row r="76">
          <cell r="BS76" t="str">
            <v>Q260</v>
          </cell>
        </row>
        <row r="77">
          <cell r="BS77" t="str">
            <v>Q260</v>
          </cell>
        </row>
        <row r="78">
          <cell r="BS78" t="str">
            <v>Q250</v>
          </cell>
        </row>
        <row r="79">
          <cell r="BS79" t="str">
            <v>Q250</v>
          </cell>
        </row>
        <row r="80">
          <cell r="BS80" t="str">
            <v>Q250</v>
          </cell>
        </row>
        <row r="81">
          <cell r="BS81" t="str">
            <v>Q250</v>
          </cell>
        </row>
        <row r="82">
          <cell r="BS82" t="str">
            <v>Q250</v>
          </cell>
        </row>
        <row r="83">
          <cell r="BS83" t="str">
            <v>Q250</v>
          </cell>
        </row>
        <row r="84">
          <cell r="BS84" t="str">
            <v>Q250</v>
          </cell>
        </row>
        <row r="85">
          <cell r="BS85" t="str">
            <v>Q250</v>
          </cell>
        </row>
        <row r="86">
          <cell r="BS86" t="str">
            <v>Q250</v>
          </cell>
        </row>
        <row r="87">
          <cell r="BS87" t="str">
            <v>Q250</v>
          </cell>
        </row>
        <row r="88">
          <cell r="BS88" t="str">
            <v>Q250</v>
          </cell>
        </row>
        <row r="89">
          <cell r="BS89" t="str">
            <v>Q250</v>
          </cell>
        </row>
        <row r="90">
          <cell r="BS90" t="str">
            <v>Q250</v>
          </cell>
        </row>
        <row r="91">
          <cell r="BS91" t="str">
            <v>Q220</v>
          </cell>
        </row>
        <row r="92">
          <cell r="BS92" t="str">
            <v>Q270</v>
          </cell>
        </row>
        <row r="93">
          <cell r="BS93" t="str">
            <v>Q270</v>
          </cell>
        </row>
        <row r="94">
          <cell r="BS94" t="str">
            <v>Q270</v>
          </cell>
        </row>
        <row r="95">
          <cell r="BS95" t="str">
            <v>Q270</v>
          </cell>
        </row>
        <row r="96">
          <cell r="BS96" t="str">
            <v>Q270</v>
          </cell>
        </row>
        <row r="97">
          <cell r="BS97" t="str">
            <v>Q270</v>
          </cell>
        </row>
        <row r="98">
          <cell r="BS98" t="str">
            <v>Q270</v>
          </cell>
        </row>
        <row r="99">
          <cell r="BS99" t="str">
            <v>Q270</v>
          </cell>
        </row>
        <row r="100">
          <cell r="BS100" t="str">
            <v>Q270</v>
          </cell>
        </row>
        <row r="101">
          <cell r="BS101" t="str">
            <v>Q270</v>
          </cell>
        </row>
        <row r="102">
          <cell r="BS102" t="str">
            <v>Q270</v>
          </cell>
        </row>
        <row r="103">
          <cell r="BS103" t="str">
            <v>Q270</v>
          </cell>
        </row>
        <row r="104">
          <cell r="BS104" t="str">
            <v>Q270</v>
          </cell>
        </row>
        <row r="105">
          <cell r="BS105" t="str">
            <v>Q270</v>
          </cell>
        </row>
        <row r="106">
          <cell r="BS106" t="str">
            <v>Q270</v>
          </cell>
        </row>
        <row r="107">
          <cell r="BS107" t="str">
            <v>Q270</v>
          </cell>
        </row>
        <row r="108">
          <cell r="BS108" t="str">
            <v>Q270</v>
          </cell>
        </row>
        <row r="109">
          <cell r="BS109" t="str">
            <v>Q270</v>
          </cell>
        </row>
        <row r="110">
          <cell r="BS110" t="str">
            <v>Q270</v>
          </cell>
        </row>
        <row r="111">
          <cell r="BS111" t="str">
            <v>Q270</v>
          </cell>
        </row>
        <row r="112">
          <cell r="BS112" t="str">
            <v>Q270</v>
          </cell>
        </row>
        <row r="113">
          <cell r="BS113" t="str">
            <v>Q270</v>
          </cell>
        </row>
        <row r="114">
          <cell r="BS114" t="str">
            <v>Q270</v>
          </cell>
        </row>
        <row r="115">
          <cell r="BS115" t="str">
            <v>Q270</v>
          </cell>
        </row>
        <row r="116">
          <cell r="BS116" t="str">
            <v>Q270</v>
          </cell>
        </row>
        <row r="117">
          <cell r="BS117" t="str">
            <v>Q270</v>
          </cell>
        </row>
        <row r="118">
          <cell r="BS118" t="str">
            <v>Q270</v>
          </cell>
        </row>
        <row r="119">
          <cell r="BS119" t="str">
            <v>Q270</v>
          </cell>
        </row>
        <row r="120">
          <cell r="BS120" t="str">
            <v>Q270</v>
          </cell>
        </row>
        <row r="121">
          <cell r="BS121" t="str">
            <v>Q270</v>
          </cell>
        </row>
        <row r="122">
          <cell r="BS122" t="str">
            <v>Q270</v>
          </cell>
        </row>
        <row r="123">
          <cell r="BS123" t="str">
            <v>Q310</v>
          </cell>
        </row>
        <row r="124">
          <cell r="BS124" t="str">
            <v>Q310</v>
          </cell>
        </row>
        <row r="125">
          <cell r="BS125" t="str">
            <v>Q360</v>
          </cell>
        </row>
        <row r="126">
          <cell r="BS126" t="str">
            <v>Q350</v>
          </cell>
        </row>
        <row r="127">
          <cell r="BS127" t="str">
            <v>Q350</v>
          </cell>
        </row>
        <row r="128">
          <cell r="BS128" t="str">
            <v>Q350</v>
          </cell>
        </row>
        <row r="129">
          <cell r="BS129" t="str">
            <v>Q350</v>
          </cell>
        </row>
        <row r="130">
          <cell r="BS130" t="str">
            <v>Q350</v>
          </cell>
        </row>
        <row r="131">
          <cell r="BS131" t="str">
            <v>Q350</v>
          </cell>
        </row>
        <row r="132">
          <cell r="BS132" t="str">
            <v>Q350</v>
          </cell>
        </row>
        <row r="133">
          <cell r="BS133" t="str">
            <v>Q360</v>
          </cell>
        </row>
        <row r="134">
          <cell r="BS134" t="str">
            <v>Q360</v>
          </cell>
        </row>
        <row r="135">
          <cell r="BS135" t="str">
            <v>Q360</v>
          </cell>
        </row>
        <row r="136">
          <cell r="BS136" t="str">
            <v>Q184</v>
          </cell>
        </row>
        <row r="137">
          <cell r="BS137" t="str">
            <v>Q282</v>
          </cell>
        </row>
        <row r="138">
          <cell r="BS138" t="str">
            <v>Q282</v>
          </cell>
        </row>
        <row r="139">
          <cell r="BS139" t="str">
            <v>Q282</v>
          </cell>
        </row>
        <row r="140">
          <cell r="BS140" t="str">
            <v>Q282</v>
          </cell>
        </row>
        <row r="141">
          <cell r="BS141" t="str">
            <v>Q282</v>
          </cell>
        </row>
        <row r="142">
          <cell r="BS142" t="str">
            <v>Q282</v>
          </cell>
        </row>
        <row r="143">
          <cell r="BS143" t="str">
            <v>Q282</v>
          </cell>
        </row>
        <row r="144">
          <cell r="BS144" t="str">
            <v>Q282</v>
          </cell>
        </row>
        <row r="145">
          <cell r="BS145" t="str">
            <v>Q282</v>
          </cell>
        </row>
        <row r="146">
          <cell r="BS146" t="str">
            <v>Q282</v>
          </cell>
        </row>
        <row r="147">
          <cell r="BS147" t="str">
            <v>Q282</v>
          </cell>
        </row>
        <row r="148">
          <cell r="BS148" t="str">
            <v>Q282</v>
          </cell>
        </row>
        <row r="149">
          <cell r="BS149" t="str">
            <v>Q282</v>
          </cell>
        </row>
        <row r="150">
          <cell r="BS150" t="str">
            <v>Q282</v>
          </cell>
        </row>
        <row r="151">
          <cell r="BS151" t="str">
            <v>Q282</v>
          </cell>
        </row>
        <row r="152">
          <cell r="BS152" t="str">
            <v>Q283</v>
          </cell>
        </row>
        <row r="153">
          <cell r="BS153" t="str">
            <v>Q283</v>
          </cell>
        </row>
        <row r="154">
          <cell r="BS154" t="str">
            <v>Q283</v>
          </cell>
        </row>
        <row r="155">
          <cell r="BS155" t="str">
            <v>Q283</v>
          </cell>
        </row>
        <row r="156">
          <cell r="BS156" t="str">
            <v>Q283</v>
          </cell>
        </row>
        <row r="157">
          <cell r="BS157" t="str">
            <v>Q283</v>
          </cell>
        </row>
        <row r="158">
          <cell r="BS158" t="str">
            <v>Q284</v>
          </cell>
        </row>
        <row r="159">
          <cell r="BS159" t="str">
            <v>Q284</v>
          </cell>
        </row>
        <row r="160">
          <cell r="BS160" t="str">
            <v>Q286</v>
          </cell>
        </row>
        <row r="161">
          <cell r="BS161" t="str">
            <v>Q286</v>
          </cell>
        </row>
        <row r="162">
          <cell r="BS162" t="str">
            <v>Q284</v>
          </cell>
        </row>
        <row r="163">
          <cell r="BS163" t="str">
            <v>Q286</v>
          </cell>
        </row>
        <row r="164">
          <cell r="BS164" t="str">
            <v>Q286</v>
          </cell>
        </row>
        <row r="165">
          <cell r="BS165" t="str">
            <v>Q286</v>
          </cell>
        </row>
        <row r="166">
          <cell r="BS166" t="str">
            <v>Q286</v>
          </cell>
        </row>
        <row r="167">
          <cell r="BS167" t="str">
            <v>Q286</v>
          </cell>
        </row>
        <row r="168">
          <cell r="BS168" t="str">
            <v>Q286</v>
          </cell>
        </row>
        <row r="169">
          <cell r="BS169" t="str">
            <v>Q286</v>
          </cell>
        </row>
        <row r="170">
          <cell r="BS170" t="str">
            <v>Q286</v>
          </cell>
        </row>
        <row r="171">
          <cell r="BS171" t="str">
            <v>Q286</v>
          </cell>
        </row>
        <row r="172">
          <cell r="BS172" t="str">
            <v>Q286</v>
          </cell>
        </row>
        <row r="173">
          <cell r="BS173" t="str">
            <v>Q285</v>
          </cell>
        </row>
        <row r="174">
          <cell r="BS174" t="str">
            <v>Q285</v>
          </cell>
        </row>
        <row r="175">
          <cell r="BS175" t="str">
            <v>Q285</v>
          </cell>
        </row>
        <row r="176">
          <cell r="BS176" t="str">
            <v>Q285</v>
          </cell>
        </row>
        <row r="177">
          <cell r="BS177" t="str">
            <v>Q285</v>
          </cell>
        </row>
        <row r="178">
          <cell r="BS178" t="str">
            <v>Q285</v>
          </cell>
        </row>
        <row r="179">
          <cell r="BS179" t="str">
            <v>Q285</v>
          </cell>
        </row>
        <row r="180">
          <cell r="BS180" t="str">
            <v>Q285</v>
          </cell>
        </row>
        <row r="181">
          <cell r="BS181" t="str">
            <v>Q285</v>
          </cell>
        </row>
        <row r="182">
          <cell r="BS182" t="str">
            <v>Q285</v>
          </cell>
        </row>
        <row r="183">
          <cell r="BS183" t="str">
            <v>Q285</v>
          </cell>
        </row>
        <row r="184">
          <cell r="BS184" t="str">
            <v>Q285</v>
          </cell>
        </row>
        <row r="185">
          <cell r="BS185" t="str">
            <v>Q285</v>
          </cell>
        </row>
        <row r="186">
          <cell r="BS186" t="str">
            <v>Q187</v>
          </cell>
        </row>
        <row r="187">
          <cell r="BS187" t="str">
            <v>Q391</v>
          </cell>
        </row>
        <row r="188">
          <cell r="BS188" t="str">
            <v>Q391</v>
          </cell>
        </row>
        <row r="189">
          <cell r="BS189" t="str">
            <v>Q396</v>
          </cell>
        </row>
        <row r="190">
          <cell r="BS190" t="str">
            <v>Q396</v>
          </cell>
        </row>
        <row r="191">
          <cell r="BS191" t="str">
            <v>Q396</v>
          </cell>
        </row>
        <row r="192">
          <cell r="BS192" t="str">
            <v>Q395</v>
          </cell>
        </row>
        <row r="193">
          <cell r="BS193" t="str">
            <v>R202</v>
          </cell>
        </row>
        <row r="194">
          <cell r="BS194" t="str">
            <v>R202</v>
          </cell>
        </row>
        <row r="195">
          <cell r="BS195" t="str">
            <v>R202</v>
          </cell>
        </row>
        <row r="196">
          <cell r="BS196" t="str">
            <v>R202</v>
          </cell>
        </row>
        <row r="197">
          <cell r="BS197" t="str">
            <v>R202</v>
          </cell>
        </row>
        <row r="198">
          <cell r="BS198" t="str">
            <v>R202</v>
          </cell>
        </row>
        <row r="199">
          <cell r="BS199" t="str">
            <v>R202</v>
          </cell>
        </row>
        <row r="200">
          <cell r="BS200" t="str">
            <v>R202</v>
          </cell>
        </row>
        <row r="201">
          <cell r="BS201" t="str">
            <v>R101</v>
          </cell>
        </row>
        <row r="202">
          <cell r="BS202" t="str">
            <v>R101</v>
          </cell>
        </row>
        <row r="203">
          <cell r="BS203" t="str">
            <v>R102</v>
          </cell>
        </row>
        <row r="204">
          <cell r="BS204" t="str">
            <v>R102</v>
          </cell>
        </row>
        <row r="205">
          <cell r="BS205" t="str">
            <v>R103</v>
          </cell>
        </row>
        <row r="206">
          <cell r="BS206" t="str">
            <v>R103</v>
          </cell>
        </row>
        <row r="207">
          <cell r="BS207" t="str">
            <v>R102</v>
          </cell>
        </row>
        <row r="208">
          <cell r="BS208" t="str">
            <v>R102</v>
          </cell>
        </row>
        <row r="209">
          <cell r="BS209" t="str">
            <v>R102</v>
          </cell>
        </row>
        <row r="210">
          <cell r="BS210" t="str">
            <v>R102</v>
          </cell>
        </row>
        <row r="211">
          <cell r="BS211" t="str">
            <v>R102</v>
          </cell>
        </row>
        <row r="212">
          <cell r="BS212" t="str">
            <v>R102</v>
          </cell>
        </row>
        <row r="213">
          <cell r="BS213" t="str">
            <v>R403</v>
          </cell>
        </row>
        <row r="214">
          <cell r="BS214" t="str">
            <v>R403</v>
          </cell>
        </row>
        <row r="215">
          <cell r="BS215" t="str">
            <v>R401</v>
          </cell>
        </row>
        <row r="216">
          <cell r="BS216" t="str">
            <v>R401</v>
          </cell>
        </row>
        <row r="217">
          <cell r="BS217" t="str">
            <v>R402</v>
          </cell>
        </row>
        <row r="218">
          <cell r="BS218" t="str">
            <v>R402</v>
          </cell>
        </row>
        <row r="219">
          <cell r="BS219" t="str">
            <v>R403</v>
          </cell>
        </row>
        <row r="220">
          <cell r="BS220" t="str">
            <v>R403</v>
          </cell>
        </row>
        <row r="221">
          <cell r="BS221" t="str">
            <v>R403</v>
          </cell>
        </row>
        <row r="222">
          <cell r="BS222" t="str">
            <v>R403</v>
          </cell>
        </row>
        <row r="223">
          <cell r="BS223" t="str">
            <v>Q410</v>
          </cell>
        </row>
        <row r="224">
          <cell r="BS224" t="str">
            <v>Q410</v>
          </cell>
        </row>
        <row r="225">
          <cell r="BS225" t="str">
            <v>Q410</v>
          </cell>
        </row>
        <row r="226">
          <cell r="BS226" t="str">
            <v>Q410</v>
          </cell>
        </row>
        <row r="227">
          <cell r="BS227" t="str">
            <v>Q410</v>
          </cell>
        </row>
        <row r="228">
          <cell r="BS228" t="str">
            <v>Q410</v>
          </cell>
        </row>
        <row r="229">
          <cell r="BS229" t="str">
            <v>Q410</v>
          </cell>
        </row>
        <row r="230">
          <cell r="BS230" t="str">
            <v>Q410</v>
          </cell>
        </row>
        <row r="231">
          <cell r="BS231" t="str">
            <v>Q410</v>
          </cell>
        </row>
        <row r="232">
          <cell r="BS232" t="str">
            <v>Q410</v>
          </cell>
        </row>
        <row r="233">
          <cell r="BS233" t="str">
            <v>Q410</v>
          </cell>
        </row>
        <row r="234">
          <cell r="BS234" t="str">
            <v>Q410</v>
          </cell>
        </row>
        <row r="235">
          <cell r="BS235" t="str">
            <v>Q410</v>
          </cell>
        </row>
        <row r="236">
          <cell r="BS236" t="str">
            <v>Q410</v>
          </cell>
        </row>
        <row r="237">
          <cell r="BS237" t="str">
            <v>Q410</v>
          </cell>
        </row>
        <row r="238">
          <cell r="BS238" t="str">
            <v>Q410</v>
          </cell>
        </row>
        <row r="239">
          <cell r="BS239" t="str">
            <v>Q410</v>
          </cell>
        </row>
        <row r="240">
          <cell r="BS240" t="str">
            <v>Q410</v>
          </cell>
        </row>
        <row r="241">
          <cell r="BS241" t="str">
            <v>Q410</v>
          </cell>
        </row>
        <row r="242">
          <cell r="BS242" t="str">
            <v>Q410</v>
          </cell>
        </row>
        <row r="243">
          <cell r="BS243" t="str">
            <v>Q410</v>
          </cell>
        </row>
        <row r="244">
          <cell r="BS244" t="str">
            <v>Q410</v>
          </cell>
        </row>
        <row r="245">
          <cell r="BS245" t="str">
            <v>Q410</v>
          </cell>
        </row>
        <row r="246">
          <cell r="BS246" t="str">
            <v>Q410</v>
          </cell>
        </row>
        <row r="247">
          <cell r="BS247" t="str">
            <v>Q410</v>
          </cell>
        </row>
        <row r="248">
          <cell r="BS248" t="str">
            <v>Q240</v>
          </cell>
        </row>
        <row r="249">
          <cell r="BS249" t="str">
            <v>Q240</v>
          </cell>
        </row>
        <row r="250">
          <cell r="BS250" t="str">
            <v>R300</v>
          </cell>
        </row>
        <row r="251">
          <cell r="BS251" t="str">
            <v>R300</v>
          </cell>
        </row>
        <row r="252">
          <cell r="BS252" t="str">
            <v>R300</v>
          </cell>
        </row>
        <row r="253">
          <cell r="BS253" t="str">
            <v>R300</v>
          </cell>
        </row>
        <row r="254">
          <cell r="BS254" t="str">
            <v>R300</v>
          </cell>
        </row>
        <row r="255">
          <cell r="BS255" t="str">
            <v>R300</v>
          </cell>
        </row>
        <row r="256">
          <cell r="BS256" t="str">
            <v>R300</v>
          </cell>
        </row>
        <row r="257">
          <cell r="BS257" t="str">
            <v>R300</v>
          </cell>
        </row>
        <row r="258">
          <cell r="BS258" t="str">
            <v>R300</v>
          </cell>
        </row>
        <row r="259">
          <cell r="BS259" t="str">
            <v>R300</v>
          </cell>
        </row>
        <row r="260">
          <cell r="BS260" t="str">
            <v>R300</v>
          </cell>
        </row>
        <row r="261">
          <cell r="BS261" t="str">
            <v>R300</v>
          </cell>
        </row>
        <row r="262">
          <cell r="BS262" t="str">
            <v>R300</v>
          </cell>
        </row>
        <row r="263">
          <cell r="BS263" t="str">
            <v>R300</v>
          </cell>
        </row>
        <row r="264">
          <cell r="BS264" t="str">
            <v>R300</v>
          </cell>
        </row>
        <row r="265">
          <cell r="BS265" t="str">
            <v>R300</v>
          </cell>
        </row>
        <row r="266">
          <cell r="BS266" t="str">
            <v>R300</v>
          </cell>
        </row>
        <row r="267">
          <cell r="BS267" t="str">
            <v>R300</v>
          </cell>
        </row>
        <row r="268">
          <cell r="BS268" t="str">
            <v>R300</v>
          </cell>
        </row>
        <row r="269">
          <cell r="BS269" t="str">
            <v>R300</v>
          </cell>
        </row>
        <row r="270">
          <cell r="BS270" t="str">
            <v>R300</v>
          </cell>
        </row>
        <row r="271">
          <cell r="BS271" t="str">
            <v>R300</v>
          </cell>
        </row>
        <row r="272">
          <cell r="BS272" t="str">
            <v>R300</v>
          </cell>
        </row>
        <row r="273">
          <cell r="BS273" t="str">
            <v>R300</v>
          </cell>
        </row>
        <row r="274">
          <cell r="BS274" t="str">
            <v>R500</v>
          </cell>
        </row>
        <row r="275">
          <cell r="BS275" t="str">
            <v>R500</v>
          </cell>
        </row>
        <row r="276">
          <cell r="BS276" t="str">
            <v>R500</v>
          </cell>
        </row>
        <row r="277">
          <cell r="BS277" t="str">
            <v>R500</v>
          </cell>
        </row>
        <row r="278">
          <cell r="BS278" t="str">
            <v>R500</v>
          </cell>
        </row>
        <row r="279">
          <cell r="BS279" t="str">
            <v>R500</v>
          </cell>
        </row>
        <row r="280">
          <cell r="BS280" t="str">
            <v>R500</v>
          </cell>
        </row>
        <row r="281">
          <cell r="BS281" t="str">
            <v>R191</v>
          </cell>
        </row>
        <row r="282">
          <cell r="BS282" t="str">
            <v>R491</v>
          </cell>
        </row>
        <row r="283">
          <cell r="BS283" t="str">
            <v>R292</v>
          </cell>
        </row>
        <row r="284">
          <cell r="BS284" t="str">
            <v>Q481</v>
          </cell>
        </row>
        <row r="285">
          <cell r="BS285" t="str">
            <v>Q481</v>
          </cell>
        </row>
        <row r="286">
          <cell r="BS286" t="str">
            <v>Q481</v>
          </cell>
        </row>
        <row r="287">
          <cell r="BS287" t="str">
            <v>R191</v>
          </cell>
        </row>
        <row r="288">
          <cell r="BS288" t="str">
            <v>R390</v>
          </cell>
        </row>
        <row r="289">
          <cell r="BS289" t="str">
            <v>S100</v>
          </cell>
        </row>
        <row r="290">
          <cell r="BS290" t="str">
            <v>S100</v>
          </cell>
        </row>
        <row r="291">
          <cell r="BS291" t="str">
            <v>S100</v>
          </cell>
        </row>
        <row r="292">
          <cell r="BS292" t="str">
            <v>S100</v>
          </cell>
        </row>
        <row r="293">
          <cell r="BS293" t="str">
            <v>S100</v>
          </cell>
        </row>
        <row r="294">
          <cell r="BS294" t="str">
            <v>S100</v>
          </cell>
        </row>
        <row r="295">
          <cell r="BS295" t="str">
            <v>S100</v>
          </cell>
        </row>
        <row r="296">
          <cell r="BS296" t="str">
            <v>S100</v>
          </cell>
        </row>
        <row r="297">
          <cell r="BS297" t="str">
            <v>S100</v>
          </cell>
        </row>
        <row r="298">
          <cell r="BS298" t="str">
            <v>S100</v>
          </cell>
        </row>
        <row r="299">
          <cell r="BS299" t="str">
            <v>S100</v>
          </cell>
        </row>
        <row r="300">
          <cell r="BS300" t="str">
            <v>S100</v>
          </cell>
        </row>
        <row r="301">
          <cell r="BS301" t="str">
            <v>S100</v>
          </cell>
        </row>
        <row r="302">
          <cell r="BS302" t="str">
            <v>S100</v>
          </cell>
        </row>
        <row r="303">
          <cell r="BS303" t="str">
            <v>S100</v>
          </cell>
        </row>
        <row r="304">
          <cell r="BS304" t="str">
            <v>S100</v>
          </cell>
        </row>
        <row r="305">
          <cell r="BS305" t="str">
            <v>S100</v>
          </cell>
        </row>
        <row r="306">
          <cell r="BS306" t="str">
            <v>S100</v>
          </cell>
        </row>
        <row r="307">
          <cell r="BS307" t="str">
            <v>S100</v>
          </cell>
        </row>
        <row r="308">
          <cell r="BS308" t="str">
            <v>S100</v>
          </cell>
        </row>
        <row r="309">
          <cell r="BS309" t="str">
            <v>S100</v>
          </cell>
        </row>
        <row r="310">
          <cell r="BS310" t="str">
            <v>S100</v>
          </cell>
        </row>
        <row r="311">
          <cell r="BS311" t="str">
            <v>S100</v>
          </cell>
        </row>
        <row r="312">
          <cell r="BS312" t="str">
            <v>S100</v>
          </cell>
        </row>
        <row r="313">
          <cell r="BS313" t="str">
            <v>S100</v>
          </cell>
        </row>
        <row r="314">
          <cell r="BS314" t="str">
            <v>S100</v>
          </cell>
        </row>
        <row r="315">
          <cell r="BS315" t="str">
            <v>S100</v>
          </cell>
        </row>
        <row r="316">
          <cell r="BS316" t="str">
            <v>S100</v>
          </cell>
        </row>
        <row r="317">
          <cell r="BS317" t="str">
            <v>S100</v>
          </cell>
        </row>
        <row r="318">
          <cell r="BS318" t="str">
            <v>S100</v>
          </cell>
        </row>
        <row r="319">
          <cell r="BS319" t="str">
            <v>S100</v>
          </cell>
        </row>
        <row r="320">
          <cell r="BS320" t="str">
            <v>S100</v>
          </cell>
        </row>
        <row r="321">
          <cell r="BS321" t="str">
            <v>S100</v>
          </cell>
        </row>
        <row r="322">
          <cell r="BS322" t="str">
            <v>S100</v>
          </cell>
        </row>
        <row r="323">
          <cell r="BS323" t="str">
            <v>S100</v>
          </cell>
        </row>
        <row r="324">
          <cell r="BS324" t="str">
            <v>S200</v>
          </cell>
        </row>
        <row r="325">
          <cell r="BS325" t="str">
            <v>S100</v>
          </cell>
        </row>
        <row r="326">
          <cell r="BS326" t="str">
            <v>S100</v>
          </cell>
        </row>
        <row r="327">
          <cell r="BS327" t="str">
            <v>S100</v>
          </cell>
        </row>
        <row r="328">
          <cell r="BS328" t="str">
            <v>S100</v>
          </cell>
        </row>
        <row r="329">
          <cell r="BS329" t="str">
            <v>S100</v>
          </cell>
        </row>
        <row r="330">
          <cell r="BS330" t="str">
            <v>S100</v>
          </cell>
        </row>
        <row r="331">
          <cell r="BS331" t="str">
            <v>S100</v>
          </cell>
        </row>
        <row r="332">
          <cell r="BS332" t="str">
            <v>S100</v>
          </cell>
        </row>
        <row r="333">
          <cell r="BS333" t="str">
            <v>S100</v>
          </cell>
        </row>
        <row r="334">
          <cell r="BS334" t="str">
            <v>S100</v>
          </cell>
        </row>
        <row r="335">
          <cell r="BS335" t="str">
            <v>S100</v>
          </cell>
        </row>
        <row r="336">
          <cell r="BS336" t="str">
            <v>S100</v>
          </cell>
        </row>
        <row r="337">
          <cell r="BS337" t="str">
            <v>S100</v>
          </cell>
        </row>
        <row r="338">
          <cell r="BS338" t="str">
            <v>S100</v>
          </cell>
        </row>
        <row r="339">
          <cell r="BS339" t="str">
            <v>S100</v>
          </cell>
        </row>
        <row r="340">
          <cell r="BS340" t="str">
            <v>S100</v>
          </cell>
        </row>
        <row r="341">
          <cell r="BS341" t="str">
            <v>S100</v>
          </cell>
        </row>
        <row r="342">
          <cell r="BS342" t="str">
            <v>S301</v>
          </cell>
        </row>
        <row r="343">
          <cell r="BS343" t="str">
            <v>S302</v>
          </cell>
        </row>
        <row r="344">
          <cell r="BS344" t="str">
            <v>S301</v>
          </cell>
        </row>
        <row r="345">
          <cell r="BS345" t="str">
            <v>S301</v>
          </cell>
        </row>
        <row r="346">
          <cell r="BS346" t="str">
            <v>S301</v>
          </cell>
        </row>
        <row r="347">
          <cell r="BS347" t="str">
            <v>S301</v>
          </cell>
        </row>
        <row r="348">
          <cell r="BS348" t="str">
            <v>S301</v>
          </cell>
        </row>
        <row r="349">
          <cell r="BS349" t="str">
            <v>S303</v>
          </cell>
        </row>
        <row r="350">
          <cell r="BS350" t="str">
            <v>S301</v>
          </cell>
        </row>
        <row r="351">
          <cell r="BS351" t="str">
            <v>S302</v>
          </cell>
        </row>
        <row r="352">
          <cell r="BS352" t="str">
            <v>S301</v>
          </cell>
        </row>
        <row r="353">
          <cell r="BS353" t="str">
            <v>S301</v>
          </cell>
        </row>
        <row r="354">
          <cell r="BS354" t="str">
            <v>S301</v>
          </cell>
        </row>
        <row r="355">
          <cell r="BS355" t="str">
            <v>S301</v>
          </cell>
        </row>
        <row r="356">
          <cell r="BS356" t="str">
            <v>S303</v>
          </cell>
        </row>
        <row r="357">
          <cell r="BS357" t="str">
            <v>S301</v>
          </cell>
        </row>
        <row r="358">
          <cell r="BS358" t="str">
            <v>S303</v>
          </cell>
        </row>
        <row r="359">
          <cell r="BS359" t="str">
            <v>S301</v>
          </cell>
        </row>
        <row r="360">
          <cell r="BS360" t="str">
            <v>S303</v>
          </cell>
        </row>
        <row r="361">
          <cell r="BS361" t="str">
            <v>S301</v>
          </cell>
        </row>
        <row r="362">
          <cell r="BS362" t="str">
            <v>S301</v>
          </cell>
        </row>
        <row r="363">
          <cell r="BS363" t="str">
            <v>S301</v>
          </cell>
        </row>
        <row r="364">
          <cell r="BS364" t="str">
            <v>S303</v>
          </cell>
        </row>
        <row r="365">
          <cell r="BS365" t="str">
            <v>S301</v>
          </cell>
        </row>
        <row r="366">
          <cell r="BS366" t="str">
            <v>S301</v>
          </cell>
        </row>
        <row r="367">
          <cell r="BS367" t="str">
            <v>S301</v>
          </cell>
        </row>
        <row r="368">
          <cell r="BS368" t="str">
            <v>S303</v>
          </cell>
        </row>
        <row r="369">
          <cell r="BS369" t="str">
            <v>S301</v>
          </cell>
        </row>
        <row r="370">
          <cell r="BS370" t="str">
            <v>S301</v>
          </cell>
        </row>
        <row r="371">
          <cell r="BS371" t="str">
            <v>S301</v>
          </cell>
        </row>
        <row r="372">
          <cell r="BS372" t="str">
            <v>S301</v>
          </cell>
        </row>
        <row r="373">
          <cell r="BS373" t="str">
            <v>S301</v>
          </cell>
        </row>
        <row r="374">
          <cell r="BS374" t="str">
            <v>S500</v>
          </cell>
        </row>
        <row r="375">
          <cell r="BS375" t="str">
            <v>S500</v>
          </cell>
        </row>
        <row r="376">
          <cell r="BS376" t="str">
            <v>S500</v>
          </cell>
        </row>
        <row r="377">
          <cell r="BS377" t="str">
            <v>S500</v>
          </cell>
        </row>
        <row r="378">
          <cell r="BS378" t="str">
            <v>S500</v>
          </cell>
        </row>
        <row r="379">
          <cell r="BS379" t="str">
            <v>S500</v>
          </cell>
        </row>
        <row r="380">
          <cell r="BS380" t="str">
            <v>S500</v>
          </cell>
        </row>
        <row r="381">
          <cell r="BS381" t="str">
            <v>S500</v>
          </cell>
        </row>
        <row r="382">
          <cell r="BS382" t="str">
            <v>S500</v>
          </cell>
        </row>
        <row r="383">
          <cell r="BS383" t="str">
            <v>S500</v>
          </cell>
        </row>
        <row r="384">
          <cell r="BS384" t="str">
            <v>S500</v>
          </cell>
        </row>
        <row r="385">
          <cell r="BS385" t="str">
            <v>S500</v>
          </cell>
        </row>
        <row r="386">
          <cell r="BS386" t="str">
            <v>S500</v>
          </cell>
        </row>
        <row r="387">
          <cell r="BS387" t="str">
            <v>S500</v>
          </cell>
        </row>
        <row r="388">
          <cell r="BS388" t="str">
            <v>S500</v>
          </cell>
        </row>
        <row r="389">
          <cell r="BS389" t="str">
            <v>S500</v>
          </cell>
        </row>
        <row r="390">
          <cell r="BS390" t="str">
            <v>S500</v>
          </cell>
        </row>
        <row r="391">
          <cell r="BS391" t="str">
            <v>S500</v>
          </cell>
        </row>
        <row r="392">
          <cell r="BS392" t="str">
            <v>S500</v>
          </cell>
        </row>
        <row r="393">
          <cell r="BS393" t="str">
            <v>S500</v>
          </cell>
        </row>
        <row r="394">
          <cell r="BS394" t="str">
            <v>S500</v>
          </cell>
        </row>
        <row r="395">
          <cell r="BS395" t="str">
            <v>S500</v>
          </cell>
        </row>
        <row r="396">
          <cell r="BS396" t="str">
            <v>S500</v>
          </cell>
        </row>
        <row r="397">
          <cell r="BS397" t="str">
            <v>S500</v>
          </cell>
        </row>
        <row r="398">
          <cell r="BS398" t="str">
            <v>S500</v>
          </cell>
        </row>
        <row r="399">
          <cell r="BS399" t="str">
            <v>S500</v>
          </cell>
        </row>
        <row r="400">
          <cell r="BS400" t="str">
            <v>S500</v>
          </cell>
        </row>
        <row r="401">
          <cell r="BS401" t="str">
            <v>S500</v>
          </cell>
        </row>
        <row r="402">
          <cell r="BS402" t="str">
            <v>S500</v>
          </cell>
        </row>
        <row r="403">
          <cell r="BS403" t="str">
            <v>S500</v>
          </cell>
        </row>
        <row r="404">
          <cell r="BS404" t="str">
            <v>S500</v>
          </cell>
        </row>
        <row r="405">
          <cell r="BS405" t="str">
            <v>S500</v>
          </cell>
        </row>
        <row r="406">
          <cell r="BS406" t="str">
            <v>S500</v>
          </cell>
        </row>
        <row r="407">
          <cell r="BS407" t="str">
            <v>S500</v>
          </cell>
        </row>
        <row r="408">
          <cell r="BS408" t="str">
            <v>S500</v>
          </cell>
        </row>
        <row r="409">
          <cell r="BS409" t="str">
            <v>S500</v>
          </cell>
        </row>
        <row r="410">
          <cell r="BS410" t="str">
            <v>S500</v>
          </cell>
        </row>
        <row r="411">
          <cell r="BS411" t="str">
            <v>S500</v>
          </cell>
        </row>
        <row r="412">
          <cell r="BS412" t="str">
            <v>S500</v>
          </cell>
        </row>
        <row r="413">
          <cell r="BS413" t="str">
            <v>S500</v>
          </cell>
        </row>
        <row r="414">
          <cell r="BS414" t="str">
            <v>S701</v>
          </cell>
        </row>
        <row r="415">
          <cell r="BS415" t="str">
            <v>S701</v>
          </cell>
        </row>
        <row r="416">
          <cell r="BS416" t="str">
            <v>S701</v>
          </cell>
        </row>
        <row r="417">
          <cell r="BS417" t="str">
            <v>S701</v>
          </cell>
        </row>
        <row r="418">
          <cell r="BS418" t="str">
            <v>S701</v>
          </cell>
        </row>
        <row r="419">
          <cell r="BS419" t="str">
            <v>S701</v>
          </cell>
        </row>
        <row r="420">
          <cell r="BS420" t="str">
            <v>S701</v>
          </cell>
        </row>
        <row r="421">
          <cell r="BS421" t="str">
            <v>S701</v>
          </cell>
        </row>
        <row r="422">
          <cell r="BS422" t="str">
            <v>S701</v>
          </cell>
        </row>
        <row r="423">
          <cell r="BS423" t="str">
            <v>S701</v>
          </cell>
        </row>
        <row r="424">
          <cell r="BS424" t="str">
            <v>S701</v>
          </cell>
        </row>
        <row r="425">
          <cell r="BS425" t="str">
            <v>S701</v>
          </cell>
        </row>
        <row r="426">
          <cell r="BS426" t="str">
            <v>S701</v>
          </cell>
        </row>
        <row r="427">
          <cell r="BS427" t="str">
            <v>S701</v>
          </cell>
        </row>
        <row r="428">
          <cell r="BS428" t="str">
            <v>S701</v>
          </cell>
        </row>
        <row r="429">
          <cell r="BS429" t="str">
            <v>S701</v>
          </cell>
        </row>
        <row r="430">
          <cell r="BS430" t="str">
            <v>S701</v>
          </cell>
        </row>
        <row r="431">
          <cell r="BS431" t="str">
            <v>S701</v>
          </cell>
        </row>
        <row r="432">
          <cell r="BS432" t="str">
            <v>S701</v>
          </cell>
        </row>
        <row r="433">
          <cell r="BS433" t="str">
            <v>S701</v>
          </cell>
        </row>
        <row r="434">
          <cell r="BS434" t="str">
            <v>S701</v>
          </cell>
        </row>
        <row r="435">
          <cell r="BS435" t="str">
            <v>S701</v>
          </cell>
        </row>
        <row r="436">
          <cell r="BS436" t="str">
            <v>S701</v>
          </cell>
        </row>
        <row r="437">
          <cell r="BS437" t="str">
            <v>S701</v>
          </cell>
        </row>
        <row r="438">
          <cell r="BS438" t="str">
            <v>S701</v>
          </cell>
        </row>
        <row r="439">
          <cell r="BS439" t="str">
            <v>S701</v>
          </cell>
        </row>
        <row r="440">
          <cell r="BS440" t="str">
            <v>S701</v>
          </cell>
        </row>
        <row r="441">
          <cell r="BS441" t="str">
            <v>S701</v>
          </cell>
        </row>
        <row r="442">
          <cell r="BS442" t="str">
            <v>S701</v>
          </cell>
        </row>
        <row r="443">
          <cell r="BS443" t="str">
            <v>S701</v>
          </cell>
        </row>
        <row r="444">
          <cell r="BS444" t="str">
            <v>S701</v>
          </cell>
        </row>
        <row r="445">
          <cell r="BS445" t="str">
            <v>S701</v>
          </cell>
        </row>
        <row r="446">
          <cell r="BS446" t="str">
            <v>S701</v>
          </cell>
        </row>
        <row r="447">
          <cell r="BS447" t="str">
            <v>S701</v>
          </cell>
        </row>
        <row r="448">
          <cell r="BS448" t="str">
            <v>S701</v>
          </cell>
        </row>
        <row r="449">
          <cell r="BS449" t="str">
            <v>S701</v>
          </cell>
        </row>
        <row r="450">
          <cell r="BS450" t="str">
            <v>S702</v>
          </cell>
        </row>
        <row r="451">
          <cell r="BS451" t="str">
            <v>S400</v>
          </cell>
        </row>
        <row r="452">
          <cell r="BS452" t="str">
            <v>S400</v>
          </cell>
        </row>
        <row r="453">
          <cell r="BS453" t="str">
            <v>S400</v>
          </cell>
        </row>
        <row r="454">
          <cell r="BS454" t="str">
            <v>S400</v>
          </cell>
        </row>
        <row r="455">
          <cell r="BS455" t="str">
            <v>S400</v>
          </cell>
        </row>
        <row r="456">
          <cell r="BS456" t="str">
            <v>S400</v>
          </cell>
        </row>
        <row r="457">
          <cell r="BS457" t="str">
            <v>S400</v>
          </cell>
        </row>
        <row r="458">
          <cell r="BS458" t="str">
            <v>S400</v>
          </cell>
        </row>
        <row r="459">
          <cell r="BS459" t="str">
            <v>S400</v>
          </cell>
        </row>
        <row r="460">
          <cell r="BS460" t="str">
            <v>S400</v>
          </cell>
        </row>
        <row r="461">
          <cell r="BS461" t="str">
            <v>S400</v>
          </cell>
        </row>
        <row r="462">
          <cell r="BS462" t="str">
            <v>S400</v>
          </cell>
        </row>
        <row r="463">
          <cell r="BS463" t="str">
            <v>S400</v>
          </cell>
        </row>
        <row r="464">
          <cell r="BS464" t="str">
            <v>S400</v>
          </cell>
        </row>
        <row r="465">
          <cell r="BS465" t="str">
            <v>S400</v>
          </cell>
        </row>
        <row r="466">
          <cell r="BS466" t="str">
            <v>S400</v>
          </cell>
        </row>
        <row r="467">
          <cell r="BS467" t="str">
            <v>S400</v>
          </cell>
        </row>
        <row r="468">
          <cell r="BS468" t="str">
            <v>S400</v>
          </cell>
        </row>
        <row r="469">
          <cell r="BS469" t="str">
            <v>S400</v>
          </cell>
        </row>
        <row r="470">
          <cell r="BS470" t="str">
            <v>S400</v>
          </cell>
        </row>
        <row r="471">
          <cell r="BS471" t="str">
            <v>S400</v>
          </cell>
        </row>
        <row r="472">
          <cell r="BS472" t="str">
            <v>S400</v>
          </cell>
        </row>
        <row r="473">
          <cell r="BS473" t="str">
            <v>S400</v>
          </cell>
        </row>
        <row r="474">
          <cell r="BS474" t="str">
            <v>S400</v>
          </cell>
        </row>
        <row r="475">
          <cell r="BS475" t="str">
            <v>S400</v>
          </cell>
        </row>
        <row r="476">
          <cell r="BS476" t="str">
            <v>S400</v>
          </cell>
        </row>
        <row r="477">
          <cell r="BS477" t="str">
            <v>S400</v>
          </cell>
        </row>
        <row r="478">
          <cell r="BS478" t="str">
            <v>S400</v>
          </cell>
        </row>
        <row r="479">
          <cell r="BS479" t="str">
            <v>S400</v>
          </cell>
        </row>
        <row r="480">
          <cell r="BS480" t="str">
            <v>S400</v>
          </cell>
        </row>
        <row r="481">
          <cell r="BS481" t="str">
            <v>S400</v>
          </cell>
        </row>
        <row r="482">
          <cell r="BS482" t="str">
            <v>S400</v>
          </cell>
        </row>
        <row r="483">
          <cell r="BS483" t="str">
            <v>S400</v>
          </cell>
        </row>
        <row r="484">
          <cell r="BS484" t="str">
            <v>S400</v>
          </cell>
        </row>
        <row r="485">
          <cell r="BS485" t="str">
            <v>S400</v>
          </cell>
        </row>
        <row r="486">
          <cell r="BS486" t="str">
            <v>S400</v>
          </cell>
        </row>
        <row r="487">
          <cell r="BS487" t="str">
            <v>S400</v>
          </cell>
        </row>
        <row r="488">
          <cell r="BS488" t="str">
            <v>S400</v>
          </cell>
        </row>
        <row r="489">
          <cell r="BS489" t="str">
            <v>S400</v>
          </cell>
        </row>
        <row r="490">
          <cell r="BS490" t="str">
            <v>S400</v>
          </cell>
        </row>
        <row r="491">
          <cell r="BS491" t="str">
            <v>S400</v>
          </cell>
        </row>
        <row r="492">
          <cell r="BS492" t="str">
            <v>S400</v>
          </cell>
        </row>
        <row r="493">
          <cell r="BS493" t="str">
            <v>S400</v>
          </cell>
        </row>
        <row r="494">
          <cell r="BS494" t="str">
            <v>S400</v>
          </cell>
        </row>
        <row r="495">
          <cell r="BS495" t="str">
            <v>S400</v>
          </cell>
        </row>
        <row r="496">
          <cell r="BS496" t="str">
            <v>S400</v>
          </cell>
        </row>
        <row r="497">
          <cell r="BS497" t="str">
            <v>S400</v>
          </cell>
        </row>
        <row r="498">
          <cell r="BS498" t="str">
            <v>S400</v>
          </cell>
        </row>
        <row r="499">
          <cell r="BS499" t="str">
            <v>S400</v>
          </cell>
        </row>
        <row r="500">
          <cell r="BS500" t="str">
            <v>S400</v>
          </cell>
        </row>
        <row r="501">
          <cell r="BS501" t="str">
            <v>S400</v>
          </cell>
        </row>
        <row r="502">
          <cell r="BS502" t="str">
            <v>S400</v>
          </cell>
        </row>
        <row r="503">
          <cell r="BS503" t="str">
            <v>S400</v>
          </cell>
        </row>
        <row r="504">
          <cell r="BS504" t="str">
            <v>S400</v>
          </cell>
        </row>
        <row r="505">
          <cell r="BS505" t="str">
            <v>S400</v>
          </cell>
        </row>
        <row r="506">
          <cell r="BS506" t="str">
            <v>S400</v>
          </cell>
        </row>
        <row r="507">
          <cell r="BS507" t="str">
            <v>S400</v>
          </cell>
        </row>
        <row r="508">
          <cell r="BS508" t="str">
            <v>S400</v>
          </cell>
        </row>
        <row r="509">
          <cell r="BS509" t="str">
            <v>S400</v>
          </cell>
        </row>
        <row r="510">
          <cell r="BS510" t="str">
            <v>S400</v>
          </cell>
        </row>
        <row r="511">
          <cell r="BS511" t="str">
            <v>S400</v>
          </cell>
        </row>
        <row r="512">
          <cell r="BS512" t="str">
            <v>S400</v>
          </cell>
        </row>
        <row r="513">
          <cell r="BS513" t="str">
            <v>S400</v>
          </cell>
        </row>
        <row r="514">
          <cell r="BS514" t="str">
            <v>S400</v>
          </cell>
        </row>
        <row r="515">
          <cell r="BS515" t="str">
            <v>S400</v>
          </cell>
        </row>
        <row r="516">
          <cell r="BS516" t="str">
            <v>S400</v>
          </cell>
        </row>
        <row r="517">
          <cell r="BS517" t="str">
            <v>S400</v>
          </cell>
        </row>
        <row r="518">
          <cell r="BS518" t="str">
            <v>S400</v>
          </cell>
        </row>
        <row r="519">
          <cell r="BS519" t="str">
            <v>S400</v>
          </cell>
        </row>
        <row r="520">
          <cell r="BS520" t="str">
            <v>S702</v>
          </cell>
        </row>
        <row r="521">
          <cell r="BS521" t="str">
            <v>S702</v>
          </cell>
        </row>
        <row r="522">
          <cell r="BS522" t="str">
            <v>S702</v>
          </cell>
        </row>
        <row r="523">
          <cell r="BS523" t="str">
            <v>S600</v>
          </cell>
        </row>
        <row r="524">
          <cell r="BS524" t="str">
            <v>S600</v>
          </cell>
        </row>
        <row r="525">
          <cell r="BS525" t="str">
            <v>S600</v>
          </cell>
        </row>
        <row r="526">
          <cell r="BS526" t="str">
            <v>S702</v>
          </cell>
        </row>
        <row r="527">
          <cell r="BS527" t="str">
            <v>S702</v>
          </cell>
        </row>
        <row r="528">
          <cell r="BS528" t="str">
            <v>S702</v>
          </cell>
        </row>
        <row r="529">
          <cell r="BS529" t="str">
            <v>S702</v>
          </cell>
        </row>
        <row r="530">
          <cell r="BS530" t="str">
            <v>S702</v>
          </cell>
        </row>
        <row r="531">
          <cell r="BS531" t="str">
            <v>S703</v>
          </cell>
        </row>
        <row r="532">
          <cell r="BS532" t="str">
            <v>S703</v>
          </cell>
        </row>
        <row r="533">
          <cell r="BS533" t="str">
            <v>S703</v>
          </cell>
        </row>
        <row r="534">
          <cell r="BS534" t="str">
            <v>S703</v>
          </cell>
        </row>
        <row r="535">
          <cell r="BS535" t="str">
            <v>S703</v>
          </cell>
        </row>
        <row r="536">
          <cell r="BS536" t="str">
            <v>S703</v>
          </cell>
        </row>
        <row r="537">
          <cell r="BS537" t="str">
            <v>S703</v>
          </cell>
        </row>
        <row r="538">
          <cell r="BS538" t="str">
            <v>S100</v>
          </cell>
        </row>
        <row r="539">
          <cell r="BS539" t="str">
            <v>S100</v>
          </cell>
        </row>
        <row r="540">
          <cell r="BS540" t="str">
            <v>S703</v>
          </cell>
        </row>
        <row r="541">
          <cell r="BS541" t="str">
            <v>S100</v>
          </cell>
        </row>
        <row r="542">
          <cell r="BS542" t="str">
            <v>S100</v>
          </cell>
        </row>
        <row r="543">
          <cell r="BS543" t="str">
            <v>S100</v>
          </cell>
        </row>
        <row r="544">
          <cell r="BS544" t="str">
            <v>S100</v>
          </cell>
        </row>
        <row r="545">
          <cell r="BS545" t="str">
            <v>S100</v>
          </cell>
        </row>
        <row r="546">
          <cell r="BS546" t="str">
            <v>S100</v>
          </cell>
        </row>
        <row r="547">
          <cell r="BS547" t="str">
            <v>S100</v>
          </cell>
        </row>
        <row r="548">
          <cell r="BS548" t="str">
            <v>S100</v>
          </cell>
        </row>
        <row r="549">
          <cell r="BS549" t="str">
            <v>S100</v>
          </cell>
        </row>
        <row r="550">
          <cell r="BS550" t="str">
            <v>S703</v>
          </cell>
        </row>
        <row r="551">
          <cell r="BS551" t="str">
            <v>S100</v>
          </cell>
        </row>
        <row r="552">
          <cell r="BS552" t="str">
            <v>S703</v>
          </cell>
        </row>
        <row r="553">
          <cell r="BS553" t="str">
            <v>S100</v>
          </cell>
        </row>
        <row r="554">
          <cell r="BS554" t="str">
            <v>S100</v>
          </cell>
        </row>
        <row r="555">
          <cell r="BS555" t="str">
            <v>S100</v>
          </cell>
        </row>
        <row r="556">
          <cell r="BS556" t="str">
            <v>S702</v>
          </cell>
        </row>
        <row r="557">
          <cell r="BS557" t="str">
            <v>S703</v>
          </cell>
        </row>
        <row r="558">
          <cell r="BS558" t="str">
            <v>S702</v>
          </cell>
        </row>
        <row r="559">
          <cell r="BS559" t="str">
            <v>S702</v>
          </cell>
        </row>
        <row r="560">
          <cell r="BS560" t="str">
            <v>S702</v>
          </cell>
        </row>
        <row r="561">
          <cell r="BS561" t="str">
            <v>S703</v>
          </cell>
        </row>
        <row r="562">
          <cell r="BS562" t="str">
            <v>S703</v>
          </cell>
        </row>
        <row r="563">
          <cell r="BS563" t="str">
            <v>S702</v>
          </cell>
        </row>
        <row r="564">
          <cell r="BS564" t="str">
            <v>S702</v>
          </cell>
        </row>
        <row r="565">
          <cell r="BS565" t="str">
            <v>S702</v>
          </cell>
        </row>
        <row r="566">
          <cell r="BS566" t="str">
            <v>S702</v>
          </cell>
        </row>
        <row r="567">
          <cell r="BS567" t="str">
            <v>S702</v>
          </cell>
        </row>
        <row r="568">
          <cell r="BS568" t="str">
            <v>S702</v>
          </cell>
        </row>
        <row r="569">
          <cell r="BS569" t="str">
            <v>S702</v>
          </cell>
        </row>
        <row r="570">
          <cell r="BS570" t="str">
            <v>S702</v>
          </cell>
        </row>
        <row r="571">
          <cell r="BS571" t="str">
            <v>S702</v>
          </cell>
        </row>
        <row r="572">
          <cell r="BS572" t="str">
            <v>S702</v>
          </cell>
        </row>
        <row r="573">
          <cell r="BS573" t="str">
            <v>S702</v>
          </cell>
        </row>
        <row r="574">
          <cell r="BS574" t="str">
            <v>S702</v>
          </cell>
        </row>
        <row r="575">
          <cell r="BS575" t="str">
            <v>S600</v>
          </cell>
        </row>
        <row r="576">
          <cell r="BS576" t="str">
            <v>S190</v>
          </cell>
        </row>
        <row r="577">
          <cell r="BS577" t="str">
            <v>S190</v>
          </cell>
        </row>
        <row r="578">
          <cell r="BS578" t="str">
            <v>S391</v>
          </cell>
        </row>
        <row r="579">
          <cell r="BS579" t="str">
            <v>S391</v>
          </cell>
        </row>
        <row r="580">
          <cell r="BS580" t="str">
            <v>S391</v>
          </cell>
        </row>
        <row r="581">
          <cell r="BS581" t="str">
            <v>S590</v>
          </cell>
        </row>
        <row r="582">
          <cell r="BS582" t="str">
            <v>S690</v>
          </cell>
        </row>
        <row r="583">
          <cell r="BS583" t="str">
            <v>S792</v>
          </cell>
        </row>
        <row r="584">
          <cell r="BS584" t="str">
            <v>S792</v>
          </cell>
        </row>
        <row r="585">
          <cell r="BS585" t="str">
            <v>T100</v>
          </cell>
        </row>
        <row r="586">
          <cell r="BS586" t="str">
            <v>T100</v>
          </cell>
        </row>
        <row r="587">
          <cell r="BS587" t="str">
            <v>T100</v>
          </cell>
        </row>
        <row r="588">
          <cell r="BS588" t="str">
            <v>T100</v>
          </cell>
        </row>
        <row r="589">
          <cell r="BS589" t="str">
            <v>T100</v>
          </cell>
        </row>
        <row r="590">
          <cell r="BS590" t="str">
            <v>T100</v>
          </cell>
        </row>
        <row r="591">
          <cell r="BS591" t="str">
            <v>T100</v>
          </cell>
        </row>
        <row r="592">
          <cell r="BS592" t="str">
            <v>T100</v>
          </cell>
        </row>
        <row r="593">
          <cell r="BS593" t="str">
            <v>T100</v>
          </cell>
        </row>
        <row r="594">
          <cell r="BS594" t="str">
            <v>T100</v>
          </cell>
        </row>
        <row r="595">
          <cell r="BS595" t="str">
            <v>T100</v>
          </cell>
        </row>
        <row r="596">
          <cell r="BS596" t="str">
            <v>T100</v>
          </cell>
        </row>
        <row r="597">
          <cell r="BS597" t="str">
            <v>T100</v>
          </cell>
        </row>
        <row r="598">
          <cell r="BS598" t="str">
            <v>T100</v>
          </cell>
        </row>
        <row r="599">
          <cell r="BS599" t="str">
            <v>T100</v>
          </cell>
        </row>
        <row r="600">
          <cell r="BS600" t="str">
            <v>T100</v>
          </cell>
        </row>
        <row r="601">
          <cell r="BS601" t="str">
            <v>T100</v>
          </cell>
        </row>
        <row r="602">
          <cell r="BS602" t="str">
            <v>T100</v>
          </cell>
        </row>
        <row r="603">
          <cell r="BS603" t="str">
            <v>T100</v>
          </cell>
        </row>
        <row r="604">
          <cell r="BS604" t="str">
            <v>T100</v>
          </cell>
        </row>
        <row r="605">
          <cell r="BS605" t="str">
            <v>T100</v>
          </cell>
        </row>
        <row r="606">
          <cell r="BS606" t="str">
            <v>T100</v>
          </cell>
        </row>
        <row r="607">
          <cell r="BS607" t="str">
            <v>T100</v>
          </cell>
        </row>
        <row r="608">
          <cell r="BS608" t="str">
            <v>T100</v>
          </cell>
        </row>
        <row r="609">
          <cell r="BS609" t="str">
            <v>T100</v>
          </cell>
        </row>
        <row r="610">
          <cell r="BS610" t="str">
            <v>T100</v>
          </cell>
        </row>
        <row r="611">
          <cell r="BS611" t="str">
            <v>T100</v>
          </cell>
        </row>
        <row r="612">
          <cell r="BS612" t="str">
            <v>T100</v>
          </cell>
        </row>
        <row r="613">
          <cell r="BS613" t="str">
            <v>T100</v>
          </cell>
        </row>
        <row r="614">
          <cell r="BS614" t="str">
            <v>T100</v>
          </cell>
        </row>
        <row r="615">
          <cell r="BS615" t="str">
            <v>T100</v>
          </cell>
        </row>
        <row r="616">
          <cell r="BS616" t="str">
            <v>T100</v>
          </cell>
        </row>
        <row r="617">
          <cell r="BS617" t="str">
            <v>T100</v>
          </cell>
        </row>
        <row r="618">
          <cell r="BS618" t="str">
            <v>T100</v>
          </cell>
        </row>
        <row r="619">
          <cell r="BS619" t="str">
            <v>T100</v>
          </cell>
        </row>
        <row r="620">
          <cell r="BS620" t="str">
            <v>T100</v>
          </cell>
        </row>
        <row r="621">
          <cell r="BS621" t="str">
            <v>T100</v>
          </cell>
        </row>
        <row r="622">
          <cell r="BS622" t="str">
            <v>T100</v>
          </cell>
        </row>
        <row r="623">
          <cell r="BS623" t="str">
            <v>T100</v>
          </cell>
        </row>
        <row r="624">
          <cell r="BS624" t="str">
            <v>T100</v>
          </cell>
        </row>
        <row r="625">
          <cell r="BS625" t="str">
            <v>T100</v>
          </cell>
        </row>
        <row r="626">
          <cell r="BS626" t="str">
            <v>T190</v>
          </cell>
        </row>
        <row r="641">
          <cell r="BS641" t="str">
            <v>S100</v>
          </cell>
        </row>
        <row r="642">
          <cell r="BS642" t="str">
            <v>S100</v>
          </cell>
        </row>
        <row r="643">
          <cell r="BS643" t="str">
            <v>S100</v>
          </cell>
        </row>
        <row r="644">
          <cell r="BS644" t="str">
            <v>S200</v>
          </cell>
        </row>
        <row r="645">
          <cell r="BS645" t="str">
            <v>S301</v>
          </cell>
        </row>
        <row r="646">
          <cell r="BS646" t="str">
            <v>S100</v>
          </cell>
        </row>
        <row r="648">
          <cell r="BS648" t="str">
            <v>S400</v>
          </cell>
        </row>
        <row r="649">
          <cell r="BS649" t="str">
            <v>S400</v>
          </cell>
        </row>
        <row r="650">
          <cell r="BS650" t="str">
            <v>S400</v>
          </cell>
        </row>
        <row r="651">
          <cell r="BS651" t="str">
            <v>S400</v>
          </cell>
        </row>
        <row r="652">
          <cell r="BS652" t="str">
            <v>S400</v>
          </cell>
        </row>
        <row r="653">
          <cell r="BS653" t="str">
            <v>S400</v>
          </cell>
        </row>
        <row r="654">
          <cell r="BS654" t="str">
            <v>S400</v>
          </cell>
        </row>
        <row r="655">
          <cell r="BS655" t="str">
            <v>S400</v>
          </cell>
        </row>
        <row r="656">
          <cell r="BS656" t="str">
            <v>S400</v>
          </cell>
        </row>
        <row r="657">
          <cell r="BS657" t="str">
            <v>S400</v>
          </cell>
        </row>
        <row r="658">
          <cell r="BS658" t="str">
            <v>S400</v>
          </cell>
        </row>
        <row r="659">
          <cell r="BS659" t="str">
            <v>S400</v>
          </cell>
        </row>
        <row r="660">
          <cell r="BS660" t="str">
            <v>S400</v>
          </cell>
        </row>
        <row r="661">
          <cell r="BS661" t="str">
            <v>S400</v>
          </cell>
        </row>
        <row r="662">
          <cell r="BS662" t="str">
            <v>S400</v>
          </cell>
        </row>
        <row r="663">
          <cell r="BS663" t="str">
            <v>S400</v>
          </cell>
        </row>
        <row r="664">
          <cell r="BS664" t="str">
            <v>S400</v>
          </cell>
        </row>
        <row r="665">
          <cell r="BS665" t="str">
            <v>S400</v>
          </cell>
        </row>
        <row r="666">
          <cell r="BS666" t="str">
            <v>S400</v>
          </cell>
        </row>
        <row r="667">
          <cell r="BS667" t="str">
            <v>S400</v>
          </cell>
        </row>
        <row r="668">
          <cell r="BS668" t="str">
            <v>S400</v>
          </cell>
        </row>
        <row r="669">
          <cell r="BS669" t="str">
            <v>S400</v>
          </cell>
        </row>
        <row r="670">
          <cell r="BS670" t="str">
            <v>S400</v>
          </cell>
        </row>
        <row r="671">
          <cell r="BS671" t="str">
            <v>S400</v>
          </cell>
        </row>
        <row r="672">
          <cell r="BS672" t="str">
            <v>S400</v>
          </cell>
        </row>
        <row r="673">
          <cell r="BS673" t="str">
            <v>S400</v>
          </cell>
        </row>
        <row r="674">
          <cell r="BS674" t="str">
            <v>S400</v>
          </cell>
        </row>
        <row r="675">
          <cell r="BS675" t="str">
            <v>S400</v>
          </cell>
        </row>
        <row r="676">
          <cell r="BS676" t="str">
            <v>S400</v>
          </cell>
        </row>
        <row r="677">
          <cell r="BS677" t="str">
            <v>S400</v>
          </cell>
        </row>
        <row r="678">
          <cell r="BS678" t="str">
            <v>S400</v>
          </cell>
        </row>
        <row r="679">
          <cell r="BS679" t="str">
            <v>S400</v>
          </cell>
        </row>
        <row r="680">
          <cell r="BS680" t="str">
            <v>S400</v>
          </cell>
        </row>
        <row r="681">
          <cell r="BS681" t="str">
            <v>S400</v>
          </cell>
        </row>
        <row r="682">
          <cell r="BS682" t="str">
            <v>S400</v>
          </cell>
        </row>
        <row r="683">
          <cell r="BS683" t="str">
            <v>S400</v>
          </cell>
        </row>
        <row r="684">
          <cell r="BS684" t="str">
            <v>S400</v>
          </cell>
        </row>
        <row r="685">
          <cell r="BS685" t="str">
            <v>S400</v>
          </cell>
        </row>
        <row r="686">
          <cell r="BS686" t="str">
            <v>S400</v>
          </cell>
        </row>
        <row r="687">
          <cell r="BS687" t="str">
            <v>S400</v>
          </cell>
        </row>
        <row r="688">
          <cell r="BS688" t="str">
            <v>S400</v>
          </cell>
        </row>
        <row r="689">
          <cell r="BS689" t="str">
            <v>S400</v>
          </cell>
        </row>
        <row r="690">
          <cell r="BS690" t="str">
            <v>S400</v>
          </cell>
        </row>
        <row r="691">
          <cell r="BS691" t="str">
            <v>S400</v>
          </cell>
        </row>
        <row r="692">
          <cell r="BS692" t="str">
            <v>S400</v>
          </cell>
        </row>
        <row r="693">
          <cell r="BS693" t="str">
            <v>S400</v>
          </cell>
        </row>
        <row r="694">
          <cell r="BS694" t="str">
            <v>S400</v>
          </cell>
        </row>
        <row r="695">
          <cell r="BS695" t="str">
            <v>S400</v>
          </cell>
        </row>
        <row r="696">
          <cell r="BS696" t="str">
            <v>S400</v>
          </cell>
        </row>
        <row r="697">
          <cell r="BS697" t="str">
            <v>S400</v>
          </cell>
        </row>
        <row r="698">
          <cell r="BS698" t="str">
            <v>S400</v>
          </cell>
        </row>
        <row r="699">
          <cell r="BS699" t="str">
            <v>S400</v>
          </cell>
        </row>
        <row r="700">
          <cell r="BS700" t="str">
            <v>S400</v>
          </cell>
        </row>
        <row r="701">
          <cell r="BS701" t="str">
            <v>S400</v>
          </cell>
        </row>
        <row r="702">
          <cell r="BS702" t="str">
            <v>S400</v>
          </cell>
        </row>
        <row r="703">
          <cell r="BS703" t="str">
            <v>S400</v>
          </cell>
        </row>
        <row r="704">
          <cell r="BS704" t="str">
            <v>S400</v>
          </cell>
        </row>
        <row r="705">
          <cell r="BS705" t="str">
            <v>S400</v>
          </cell>
        </row>
        <row r="706">
          <cell r="BS706" t="str">
            <v>S400</v>
          </cell>
        </row>
        <row r="707">
          <cell r="BS707" t="str">
            <v>S400</v>
          </cell>
        </row>
        <row r="708">
          <cell r="BS708" t="str">
            <v>S400</v>
          </cell>
        </row>
        <row r="709">
          <cell r="BS709" t="str">
            <v>S400</v>
          </cell>
        </row>
        <row r="710">
          <cell r="BS710" t="str">
            <v>S400</v>
          </cell>
        </row>
        <row r="711">
          <cell r="BS711" t="str">
            <v>S400</v>
          </cell>
        </row>
        <row r="712">
          <cell r="BS712" t="str">
            <v>S400</v>
          </cell>
        </row>
        <row r="713">
          <cell r="BS713" t="str">
            <v>S400</v>
          </cell>
        </row>
        <row r="714">
          <cell r="BS714" t="str">
            <v>S400</v>
          </cell>
        </row>
        <row r="715">
          <cell r="BS715" t="str">
            <v>S400</v>
          </cell>
        </row>
        <row r="716">
          <cell r="BS716" t="str">
            <v>S400</v>
          </cell>
        </row>
        <row r="717">
          <cell r="BS717" t="str">
            <v>S400</v>
          </cell>
        </row>
        <row r="718">
          <cell r="BS718" t="str">
            <v>S400</v>
          </cell>
        </row>
        <row r="719">
          <cell r="BS719" t="str">
            <v>S400</v>
          </cell>
        </row>
        <row r="720">
          <cell r="BS720" t="str">
            <v>S400</v>
          </cell>
        </row>
        <row r="721">
          <cell r="BS721" t="str">
            <v>S400</v>
          </cell>
        </row>
        <row r="722">
          <cell r="BS722" t="str">
            <v>S400</v>
          </cell>
        </row>
        <row r="723">
          <cell r="BS723" t="str">
            <v>S400</v>
          </cell>
        </row>
        <row r="724">
          <cell r="BS724" t="str">
            <v>S400</v>
          </cell>
        </row>
        <row r="725">
          <cell r="BS725" t="str">
            <v>S400</v>
          </cell>
        </row>
        <row r="726">
          <cell r="BS726" t="str">
            <v>S400</v>
          </cell>
        </row>
        <row r="727">
          <cell r="BS727" t="str">
            <v>S400</v>
          </cell>
        </row>
        <row r="728">
          <cell r="BS728" t="str">
            <v>S400</v>
          </cell>
        </row>
        <row r="729">
          <cell r="BS729" t="str">
            <v>S400</v>
          </cell>
        </row>
        <row r="730">
          <cell r="BS730" t="str">
            <v>S400</v>
          </cell>
        </row>
        <row r="731">
          <cell r="BS731" t="str">
            <v>S400</v>
          </cell>
        </row>
        <row r="732">
          <cell r="BS732" t="str">
            <v>S400</v>
          </cell>
        </row>
        <row r="733">
          <cell r="BS733" t="str">
            <v>S400</v>
          </cell>
        </row>
        <row r="734">
          <cell r="BS734" t="str">
            <v>S400</v>
          </cell>
        </row>
        <row r="735">
          <cell r="BS735" t="str">
            <v>S400</v>
          </cell>
        </row>
        <row r="736">
          <cell r="BS736" t="str">
            <v>S400</v>
          </cell>
        </row>
        <row r="737">
          <cell r="BS737" t="str">
            <v>S400</v>
          </cell>
        </row>
        <row r="738">
          <cell r="BS738" t="str">
            <v>S400</v>
          </cell>
        </row>
        <row r="739">
          <cell r="BS739" t="str">
            <v>S400</v>
          </cell>
        </row>
        <row r="740">
          <cell r="BS740" t="str">
            <v>S400</v>
          </cell>
        </row>
        <row r="741">
          <cell r="BS741" t="str">
            <v>S400</v>
          </cell>
        </row>
        <row r="742">
          <cell r="BS742" t="str">
            <v>S400</v>
          </cell>
        </row>
        <row r="743">
          <cell r="BS743" t="str">
            <v>S400</v>
          </cell>
        </row>
        <row r="744">
          <cell r="BS744" t="str">
            <v>S400</v>
          </cell>
        </row>
        <row r="745">
          <cell r="BS745" t="str">
            <v>S400</v>
          </cell>
        </row>
        <row r="746">
          <cell r="BS746" t="str">
            <v>S400</v>
          </cell>
        </row>
        <row r="747">
          <cell r="BS747" t="str">
            <v>S400</v>
          </cell>
        </row>
        <row r="748">
          <cell r="BS748" t="str">
            <v>S400</v>
          </cell>
        </row>
        <row r="749">
          <cell r="BS749" t="str">
            <v>S400</v>
          </cell>
        </row>
        <row r="750">
          <cell r="BS750" t="str">
            <v>S400</v>
          </cell>
        </row>
        <row r="751">
          <cell r="BS751" t="str">
            <v>S400</v>
          </cell>
        </row>
        <row r="752">
          <cell r="BS752" t="str">
            <v>S400</v>
          </cell>
        </row>
        <row r="753">
          <cell r="BS753" t="str">
            <v>S400</v>
          </cell>
        </row>
        <row r="754">
          <cell r="BS754" t="str">
            <v>S400</v>
          </cell>
        </row>
        <row r="755">
          <cell r="BS755" t="str">
            <v>S400</v>
          </cell>
        </row>
        <row r="756">
          <cell r="BS756" t="str">
            <v>S400</v>
          </cell>
        </row>
        <row r="757">
          <cell r="BS757" t="str">
            <v>S400</v>
          </cell>
        </row>
        <row r="758">
          <cell r="BS758" t="str">
            <v>S400</v>
          </cell>
        </row>
        <row r="759">
          <cell r="BS759" t="str">
            <v>S400</v>
          </cell>
        </row>
        <row r="760">
          <cell r="BS760" t="str">
            <v>S400</v>
          </cell>
        </row>
        <row r="761">
          <cell r="BS761" t="str">
            <v>S400</v>
          </cell>
        </row>
        <row r="762">
          <cell r="BS762" t="str">
            <v>S400</v>
          </cell>
        </row>
        <row r="763">
          <cell r="BS763" t="str">
            <v>S400</v>
          </cell>
        </row>
        <row r="764">
          <cell r="BS764" t="str">
            <v>S400</v>
          </cell>
        </row>
        <row r="765">
          <cell r="BS765" t="str">
            <v>S400</v>
          </cell>
        </row>
        <row r="766">
          <cell r="BS766" t="str">
            <v>S400</v>
          </cell>
        </row>
        <row r="767">
          <cell r="BS767" t="str">
            <v>S400</v>
          </cell>
        </row>
        <row r="768">
          <cell r="BS768" t="str">
            <v>S400</v>
          </cell>
        </row>
        <row r="769">
          <cell r="BS769" t="str">
            <v>S400</v>
          </cell>
        </row>
        <row r="770">
          <cell r="BS770" t="str">
            <v>S400</v>
          </cell>
        </row>
        <row r="771">
          <cell r="BS771" t="str">
            <v>S400</v>
          </cell>
        </row>
        <row r="772">
          <cell r="BS772" t="str">
            <v>S400</v>
          </cell>
        </row>
        <row r="773">
          <cell r="BS773" t="str">
            <v>S400</v>
          </cell>
        </row>
        <row r="774">
          <cell r="BS774" t="str">
            <v>S400</v>
          </cell>
        </row>
        <row r="775">
          <cell r="BS775" t="str">
            <v>S400</v>
          </cell>
        </row>
        <row r="776">
          <cell r="BS776" t="str">
            <v>S400</v>
          </cell>
        </row>
        <row r="777">
          <cell r="BS777" t="str">
            <v>S400</v>
          </cell>
        </row>
        <row r="778">
          <cell r="BS778" t="str">
            <v>S400</v>
          </cell>
        </row>
        <row r="779">
          <cell r="BS779" t="str">
            <v>S400</v>
          </cell>
        </row>
        <row r="780">
          <cell r="BS780" t="str">
            <v>S400</v>
          </cell>
        </row>
        <row r="781">
          <cell r="BS781" t="str">
            <v>S400</v>
          </cell>
        </row>
        <row r="782">
          <cell r="BS782" t="str">
            <v>S400</v>
          </cell>
        </row>
        <row r="783">
          <cell r="BS783" t="str">
            <v>S400</v>
          </cell>
        </row>
        <row r="784">
          <cell r="BS784" t="str">
            <v>S400</v>
          </cell>
        </row>
        <row r="785">
          <cell r="BS785" t="str">
            <v>S400</v>
          </cell>
        </row>
        <row r="786">
          <cell r="BS786" t="str">
            <v>S400</v>
          </cell>
        </row>
        <row r="787">
          <cell r="BS787" t="str">
            <v>S400</v>
          </cell>
        </row>
        <row r="788">
          <cell r="BS788" t="str">
            <v>S400</v>
          </cell>
        </row>
        <row r="789">
          <cell r="BS789" t="str">
            <v>S400</v>
          </cell>
        </row>
        <row r="790">
          <cell r="BS790" t="str">
            <v>S400</v>
          </cell>
        </row>
        <row r="791">
          <cell r="BS791" t="str">
            <v>S400</v>
          </cell>
        </row>
        <row r="792">
          <cell r="BS792" t="str">
            <v>S400</v>
          </cell>
        </row>
        <row r="793">
          <cell r="BS793" t="str">
            <v>S400</v>
          </cell>
        </row>
        <row r="794">
          <cell r="BS794" t="str">
            <v>S400</v>
          </cell>
        </row>
        <row r="795">
          <cell r="BS795" t="str">
            <v>S400</v>
          </cell>
        </row>
        <row r="798">
          <cell r="BS798" t="str">
            <v>S100</v>
          </cell>
        </row>
        <row r="799">
          <cell r="BS799" t="str">
            <v>S100</v>
          </cell>
        </row>
        <row r="800">
          <cell r="BS800" t="str">
            <v>S400</v>
          </cell>
        </row>
        <row r="801">
          <cell r="BS801" t="str">
            <v>S100</v>
          </cell>
        </row>
        <row r="802">
          <cell r="BS802" t="str">
            <v>S702</v>
          </cell>
        </row>
        <row r="803">
          <cell r="BS803" t="str">
            <v>S702</v>
          </cell>
        </row>
        <row r="804">
          <cell r="BS804" t="str">
            <v>R101</v>
          </cell>
        </row>
        <row r="805">
          <cell r="BS805" t="str">
            <v>S702</v>
          </cell>
        </row>
        <row r="806">
          <cell r="BS806" t="str">
            <v>S100</v>
          </cell>
        </row>
        <row r="807">
          <cell r="BS807" t="str">
            <v>S100</v>
          </cell>
        </row>
        <row r="808">
          <cell r="BS808" t="str">
            <v>S100</v>
          </cell>
        </row>
        <row r="809">
          <cell r="BS809" t="str">
            <v>S100</v>
          </cell>
        </row>
        <row r="810">
          <cell r="BS810" t="str">
            <v>S100</v>
          </cell>
        </row>
        <row r="811">
          <cell r="BS811" t="str">
            <v>S100</v>
          </cell>
        </row>
        <row r="812">
          <cell r="BS812" t="str">
            <v>S100</v>
          </cell>
        </row>
        <row r="813">
          <cell r="BS813" t="str">
            <v>S100</v>
          </cell>
        </row>
        <row r="814">
          <cell r="BS814" t="str">
            <v>S702</v>
          </cell>
        </row>
        <row r="815">
          <cell r="BS815" t="str">
            <v>S100</v>
          </cell>
        </row>
        <row r="816">
          <cell r="BS816" t="str">
            <v>S100</v>
          </cell>
        </row>
        <row r="817">
          <cell r="BS817" t="str">
            <v>S100</v>
          </cell>
        </row>
        <row r="818">
          <cell r="BS818" t="str">
            <v>S100</v>
          </cell>
        </row>
        <row r="819">
          <cell r="BS819" t="str">
            <v>S100</v>
          </cell>
        </row>
        <row r="820">
          <cell r="BS820" t="str">
            <v>S100</v>
          </cell>
        </row>
        <row r="821">
          <cell r="BS821" t="str">
            <v>S100</v>
          </cell>
        </row>
        <row r="822">
          <cell r="BS822" t="str">
            <v>S100</v>
          </cell>
        </row>
        <row r="823">
          <cell r="BS823" t="str">
            <v>S100</v>
          </cell>
        </row>
        <row r="824">
          <cell r="BS824" t="str">
            <v>S100</v>
          </cell>
        </row>
        <row r="825">
          <cell r="BS825" t="str">
            <v>S702</v>
          </cell>
        </row>
        <row r="826">
          <cell r="BS826" t="str">
            <v>S100</v>
          </cell>
        </row>
        <row r="827">
          <cell r="BS827" t="str">
            <v>Q230</v>
          </cell>
        </row>
        <row r="828">
          <cell r="BS828" t="str">
            <v>Q230</v>
          </cell>
        </row>
        <row r="829">
          <cell r="BS829" t="str">
            <v>S100</v>
          </cell>
        </row>
        <row r="830">
          <cell r="BS830" t="str">
            <v>S702</v>
          </cell>
        </row>
        <row r="831">
          <cell r="BS831" t="str">
            <v>S100</v>
          </cell>
        </row>
        <row r="832">
          <cell r="BS832" t="str">
            <v>S100</v>
          </cell>
        </row>
        <row r="833">
          <cell r="BS833" t="str">
            <v>S100</v>
          </cell>
        </row>
        <row r="834">
          <cell r="BS834" t="str">
            <v>S100</v>
          </cell>
        </row>
        <row r="835">
          <cell r="BS835" t="str">
            <v>S100</v>
          </cell>
        </row>
        <row r="836">
          <cell r="BS836" t="str">
            <v>S702</v>
          </cell>
        </row>
        <row r="837">
          <cell r="BS837" t="str">
            <v>S100</v>
          </cell>
        </row>
        <row r="838">
          <cell r="BS838" t="str">
            <v>S100</v>
          </cell>
        </row>
        <row r="839">
          <cell r="BS839" t="str">
            <v>S100</v>
          </cell>
        </row>
        <row r="840">
          <cell r="BS840" t="str">
            <v>S701</v>
          </cell>
        </row>
        <row r="841">
          <cell r="BS841" t="str">
            <v>S701</v>
          </cell>
        </row>
        <row r="842">
          <cell r="BS842" t="str">
            <v>S701</v>
          </cell>
        </row>
        <row r="843">
          <cell r="BS843" t="str">
            <v>S701</v>
          </cell>
        </row>
        <row r="844">
          <cell r="BS844" t="str">
            <v>S500</v>
          </cell>
        </row>
        <row r="845">
          <cell r="BS845" t="str">
            <v>S701</v>
          </cell>
        </row>
        <row r="846">
          <cell r="BS846" t="str">
            <v>S701</v>
          </cell>
        </row>
        <row r="847">
          <cell r="BS847" t="str">
            <v>S701</v>
          </cell>
        </row>
        <row r="848">
          <cell r="BS848" t="str">
            <v>S100</v>
          </cell>
        </row>
        <row r="849">
          <cell r="BS849" t="str">
            <v>S100</v>
          </cell>
        </row>
        <row r="850">
          <cell r="BS850" t="str">
            <v>Q410</v>
          </cell>
        </row>
        <row r="855">
          <cell r="BS855" t="str">
            <v>S703</v>
          </cell>
        </row>
        <row r="856">
          <cell r="BS856" t="str">
            <v>S100</v>
          </cell>
        </row>
        <row r="857">
          <cell r="BS857" t="str">
            <v>S703</v>
          </cell>
        </row>
        <row r="858">
          <cell r="BS858" t="str">
            <v>S702</v>
          </cell>
        </row>
        <row r="859">
          <cell r="BS859" t="str">
            <v>Q284</v>
          </cell>
        </row>
        <row r="860">
          <cell r="BS860" t="str">
            <v>S702</v>
          </cell>
        </row>
        <row r="861">
          <cell r="BS861" t="str">
            <v>S600</v>
          </cell>
        </row>
        <row r="862">
          <cell r="BS862" t="str">
            <v>R300</v>
          </cell>
        </row>
        <row r="863">
          <cell r="BS863" t="str">
            <v>S301</v>
          </cell>
        </row>
        <row r="864">
          <cell r="BS864" t="str">
            <v>S400</v>
          </cell>
        </row>
        <row r="865">
          <cell r="BS865" t="str">
            <v>S702</v>
          </cell>
        </row>
        <row r="866">
          <cell r="BS866" t="str">
            <v>S702</v>
          </cell>
        </row>
        <row r="867">
          <cell r="BS867" t="str">
            <v>S702</v>
          </cell>
        </row>
        <row r="868">
          <cell r="BS868" t="str">
            <v>S100</v>
          </cell>
        </row>
        <row r="869">
          <cell r="BS869" t="str">
            <v>S100</v>
          </cell>
        </row>
        <row r="870">
          <cell r="BS870" t="str">
            <v>S100</v>
          </cell>
        </row>
        <row r="871">
          <cell r="BS871" t="str">
            <v>S100</v>
          </cell>
        </row>
        <row r="872">
          <cell r="BS872" t="str">
            <v>S100</v>
          </cell>
        </row>
        <row r="873">
          <cell r="BS873" t="str">
            <v>S100</v>
          </cell>
        </row>
        <row r="874">
          <cell r="BS874" t="str">
            <v>Q410</v>
          </cell>
        </row>
        <row r="875">
          <cell r="BS875" t="str">
            <v>S400</v>
          </cell>
        </row>
        <row r="876">
          <cell r="BS876" t="str">
            <v>S301</v>
          </cell>
        </row>
        <row r="877">
          <cell r="BS877" t="str">
            <v>R191</v>
          </cell>
        </row>
        <row r="878">
          <cell r="BS878" t="str">
            <v>S500</v>
          </cell>
        </row>
        <row r="879">
          <cell r="BS879" t="str">
            <v>S100</v>
          </cell>
        </row>
        <row r="880">
          <cell r="BS880" t="str">
            <v>S100</v>
          </cell>
        </row>
        <row r="881">
          <cell r="BS881" t="str">
            <v>S100</v>
          </cell>
        </row>
        <row r="882">
          <cell r="BS882" t="str">
            <v>S100</v>
          </cell>
        </row>
        <row r="883">
          <cell r="BS883" t="str">
            <v>S100</v>
          </cell>
        </row>
        <row r="884">
          <cell r="BS884" t="str">
            <v>S100</v>
          </cell>
        </row>
        <row r="885">
          <cell r="BS885" t="str">
            <v>S701</v>
          </cell>
        </row>
        <row r="886">
          <cell r="BS886" t="str">
            <v>S702</v>
          </cell>
        </row>
        <row r="887">
          <cell r="BS887" t="str">
            <v>S702</v>
          </cell>
        </row>
        <row r="888">
          <cell r="BS888" t="str">
            <v>S702</v>
          </cell>
        </row>
        <row r="889">
          <cell r="BS889" t="str">
            <v>S792</v>
          </cell>
        </row>
        <row r="890">
          <cell r="BS890" t="str">
            <v>S100</v>
          </cell>
        </row>
        <row r="891">
          <cell r="BS891" t="str">
            <v>R491</v>
          </cell>
        </row>
        <row r="892">
          <cell r="BS892" t="str">
            <v>Q285</v>
          </cell>
        </row>
        <row r="893">
          <cell r="BS893" t="str">
            <v>S100</v>
          </cell>
        </row>
        <row r="894">
          <cell r="BS894" t="str">
            <v>S702</v>
          </cell>
        </row>
        <row r="896">
          <cell r="BS896" t="str">
            <v>S100</v>
          </cell>
        </row>
        <row r="897">
          <cell r="BS897" t="str">
            <v>S100</v>
          </cell>
        </row>
        <row r="898">
          <cell r="BS898" t="str">
            <v>S100</v>
          </cell>
        </row>
        <row r="899">
          <cell r="BS899" t="str">
            <v>S701</v>
          </cell>
        </row>
        <row r="900">
          <cell r="BS900" t="str">
            <v>R191</v>
          </cell>
        </row>
        <row r="901">
          <cell r="BS901" t="str">
            <v>S690</v>
          </cell>
        </row>
        <row r="902">
          <cell r="BS902" t="str">
            <v>R191</v>
          </cell>
        </row>
        <row r="904">
          <cell r="BS904" t="str">
            <v>S100</v>
          </cell>
        </row>
        <row r="905">
          <cell r="BS905" t="str">
            <v>Q283</v>
          </cell>
        </row>
        <row r="906">
          <cell r="BS906" t="str">
            <v>S500</v>
          </cell>
        </row>
        <row r="907">
          <cell r="BS907" t="str">
            <v>S701</v>
          </cell>
        </row>
        <row r="908">
          <cell r="BS908" t="str">
            <v>S701</v>
          </cell>
        </row>
        <row r="913">
          <cell r="BS913" t="str">
            <v>S100</v>
          </cell>
        </row>
        <row r="914">
          <cell r="BS914" t="str">
            <v>S701</v>
          </cell>
        </row>
        <row r="915">
          <cell r="BS915" t="str">
            <v>S702</v>
          </cell>
        </row>
        <row r="917">
          <cell r="BS917" t="str">
            <v>S400</v>
          </cell>
        </row>
        <row r="918">
          <cell r="BS918" t="str">
            <v>S400</v>
          </cell>
        </row>
        <row r="919">
          <cell r="BS919" t="str">
            <v>S301</v>
          </cell>
        </row>
        <row r="920">
          <cell r="BS920" t="str">
            <v>S100</v>
          </cell>
        </row>
        <row r="921">
          <cell r="BS921" t="str">
            <v>S100</v>
          </cell>
        </row>
      </sheetData>
      <sheetData sheetId="60"/>
      <sheetData sheetId="61"/>
      <sheetData sheetId="62">
        <row r="3">
          <cell r="H3" t="str">
            <v>Raison</v>
          </cell>
        </row>
        <row r="4">
          <cell r="H4" t="str">
            <v>Remplacement</v>
          </cell>
          <cell r="K4" t="str">
            <v>Brasserie</v>
          </cell>
          <cell r="N4" t="str">
            <v>Incorporel</v>
          </cell>
        </row>
        <row r="5">
          <cell r="H5" t="str">
            <v>Mise à jour / réhabilitation</v>
          </cell>
          <cell r="K5" t="str">
            <v>Siroperie</v>
          </cell>
          <cell r="N5" t="str">
            <v>Terrains</v>
          </cell>
        </row>
        <row r="6">
          <cell r="H6" t="str">
            <v>Qualité</v>
          </cell>
          <cell r="K6" t="str">
            <v>Cave</v>
          </cell>
          <cell r="N6" t="str">
            <v>Bâtiments</v>
          </cell>
        </row>
        <row r="7">
          <cell r="H7" t="str">
            <v>Réduction de coût</v>
          </cell>
          <cell r="K7" t="str">
            <v>CIP</v>
          </cell>
          <cell r="N7" t="str">
            <v>Intallations techniques</v>
          </cell>
        </row>
        <row r="8">
          <cell r="H8" t="str">
            <v>Augmentation de capacité</v>
          </cell>
          <cell r="K8" t="str">
            <v>Embouteillage - ligne verre</v>
          </cell>
          <cell r="N8" t="str">
            <v>Matériel et outillage</v>
          </cell>
        </row>
        <row r="9">
          <cell r="H9" t="str">
            <v>Nouveau programme</v>
          </cell>
          <cell r="K9" t="str">
            <v>Embouteillage - ligne PET</v>
          </cell>
          <cell r="N9" t="str">
            <v>Matériel de transport</v>
          </cell>
        </row>
        <row r="10">
          <cell r="H10" t="str">
            <v>Environnement Santé &amp; Sécurité</v>
          </cell>
          <cell r="K10" t="str">
            <v>Embouteillage - ligne boîte</v>
          </cell>
          <cell r="N10" t="str">
            <v>Matériel et mobilier de bureau</v>
          </cell>
        </row>
        <row r="11">
          <cell r="H11" t="str">
            <v>Outillage</v>
          </cell>
          <cell r="K11" t="str">
            <v>Embouteillage - ligne fûts</v>
          </cell>
          <cell r="N11" t="str">
            <v>Immobilisations financières</v>
          </cell>
        </row>
        <row r="12">
          <cell r="H12" t="str">
            <v>Autres</v>
          </cell>
          <cell r="K12" t="str">
            <v>Embouteillage - commun</v>
          </cell>
        </row>
        <row r="13">
          <cell r="K13" t="str">
            <v>Presses à casiers</v>
          </cell>
        </row>
        <row r="14">
          <cell r="K14" t="str">
            <v>Presses à préformes</v>
          </cell>
        </row>
        <row r="15">
          <cell r="K15" t="str">
            <v>Verrerie</v>
          </cell>
        </row>
        <row r="16">
          <cell r="K16" t="str">
            <v>Autre industrie</v>
          </cell>
        </row>
        <row r="17">
          <cell r="K17" t="str">
            <v>Services généraux</v>
          </cell>
        </row>
        <row r="18">
          <cell r="K18" t="str">
            <v>Administratif</v>
          </cell>
        </row>
        <row r="19">
          <cell r="K19" t="str">
            <v>Bâtiment, terrain</v>
          </cell>
        </row>
        <row r="20">
          <cell r="K20" t="str">
            <v>Véhicule roulant</v>
          </cell>
        </row>
        <row r="21">
          <cell r="K21" t="str">
            <v>Vente et marketing</v>
          </cell>
        </row>
        <row r="22">
          <cell r="K22" t="str">
            <v>Logistique</v>
          </cell>
        </row>
        <row r="23">
          <cell r="K23" t="str">
            <v>Informatique</v>
          </cell>
        </row>
      </sheetData>
      <sheetData sheetId="63"/>
      <sheetData sheetId="64">
        <row r="2">
          <cell r="E2" t="str">
            <v>ALBAV</v>
          </cell>
        </row>
        <row r="3">
          <cell r="E3" t="str">
            <v>ALGAD</v>
          </cell>
        </row>
        <row r="4">
          <cell r="E4" t="str">
            <v>SBC</v>
          </cell>
        </row>
        <row r="5">
          <cell r="E5" t="str">
            <v>SBOA</v>
          </cell>
        </row>
        <row r="6">
          <cell r="E6" t="str">
            <v>SNB</v>
          </cell>
        </row>
        <row r="7">
          <cell r="E7" t="str">
            <v>SOBA</v>
          </cell>
        </row>
        <row r="8">
          <cell r="E8" t="str">
            <v>CCC</v>
          </cell>
        </row>
        <row r="9">
          <cell r="E9" t="str">
            <v>CERBAB</v>
          </cell>
        </row>
        <row r="10">
          <cell r="E10" t="str">
            <v>CUCA</v>
          </cell>
        </row>
        <row r="11">
          <cell r="E11" t="str">
            <v>EKA</v>
          </cell>
        </row>
        <row r="12">
          <cell r="E12" t="str">
            <v>NOCAL</v>
          </cell>
        </row>
        <row r="13">
          <cell r="E13" t="str">
            <v>COBEJE</v>
          </cell>
        </row>
        <row r="14">
          <cell r="E14" t="str">
            <v>NOCEBO</v>
          </cell>
        </row>
        <row r="15">
          <cell r="E15" t="str">
            <v>CCBL</v>
          </cell>
        </row>
        <row r="16">
          <cell r="E16" t="str">
            <v>ECNN</v>
          </cell>
        </row>
        <row r="17">
          <cell r="E17" t="str">
            <v>CCBSA</v>
          </cell>
        </row>
        <row r="18">
          <cell r="E18" t="str">
            <v>ECN</v>
          </cell>
        </row>
        <row r="19">
          <cell r="E19" t="str">
            <v>VIDRUL</v>
          </cell>
        </row>
        <row r="20">
          <cell r="E20" t="str">
            <v>SOBEBRA</v>
          </cell>
        </row>
        <row r="21">
          <cell r="E21" t="str">
            <v>BRAKINA conso</v>
          </cell>
        </row>
        <row r="22">
          <cell r="E22" t="str">
            <v>SABC</v>
          </cell>
        </row>
        <row r="23">
          <cell r="E23" t="str">
            <v>SEMC</v>
          </cell>
        </row>
        <row r="24">
          <cell r="E24" t="str">
            <v>SOCAVER</v>
          </cell>
        </row>
        <row r="25">
          <cell r="E25" t="str">
            <v>SIAC</v>
          </cell>
        </row>
        <row r="26">
          <cell r="E26" t="str">
            <v>SIBRACA AF</v>
          </cell>
        </row>
        <row r="27">
          <cell r="E27" t="str">
            <v>BRALICO</v>
          </cell>
        </row>
        <row r="28">
          <cell r="E28" t="str">
            <v>BGI ETHIOPIE</v>
          </cell>
        </row>
        <row r="29">
          <cell r="E29" t="str">
            <v>CASTEL WINERY</v>
          </cell>
        </row>
        <row r="30">
          <cell r="E30" t="str">
            <v>SOBOLECO</v>
          </cell>
        </row>
        <row r="31">
          <cell r="E31" t="str">
            <v>SOBRAGA</v>
          </cell>
        </row>
        <row r="32">
          <cell r="E32" t="str">
            <v>SOVINGAB</v>
          </cell>
        </row>
        <row r="33">
          <cell r="E33" t="str">
            <v>JULBREW</v>
          </cell>
        </row>
        <row r="34">
          <cell r="E34" t="str">
            <v>SOBRAGUI</v>
          </cell>
        </row>
        <row r="35">
          <cell r="E35" t="str">
            <v>SOEGUIBE</v>
          </cell>
        </row>
        <row r="36">
          <cell r="E36" t="str">
            <v>STAR</v>
          </cell>
        </row>
        <row r="37">
          <cell r="E37" t="str">
            <v>BRAMALI conso</v>
          </cell>
        </row>
        <row r="38">
          <cell r="E38" t="str">
            <v>MDI</v>
          </cell>
        </row>
        <row r="39">
          <cell r="E39" t="str">
            <v>EAE</v>
          </cell>
        </row>
        <row r="40">
          <cell r="E40" t="str">
            <v>SBM</v>
          </cell>
        </row>
        <row r="41">
          <cell r="E41" t="str">
            <v>SVCM</v>
          </cell>
        </row>
        <row r="42">
          <cell r="E42" t="str">
            <v>CLE CHAMPS</v>
          </cell>
        </row>
        <row r="43">
          <cell r="E43" t="str">
            <v>CEPMEK</v>
          </cell>
        </row>
        <row r="44">
          <cell r="E44" t="str">
            <v>BRANIGER conso</v>
          </cell>
        </row>
        <row r="45">
          <cell r="E45" t="str">
            <v>MOCAF conso</v>
          </cell>
        </row>
        <row r="46">
          <cell r="E46" t="str">
            <v>SOLIBRA conso</v>
          </cell>
        </row>
        <row r="47">
          <cell r="E47" t="str">
            <v>LBI</v>
          </cell>
        </row>
        <row r="48">
          <cell r="E48" t="str">
            <v>SICODIS</v>
          </cell>
        </row>
        <row r="49">
          <cell r="E49" t="str">
            <v>BRACONGO</v>
          </cell>
        </row>
        <row r="50">
          <cell r="E50" t="str">
            <v>BRASIMBA</v>
          </cell>
        </row>
        <row r="51">
          <cell r="E51" t="str">
            <v>SOBOA</v>
          </cell>
        </row>
        <row r="52">
          <cell r="E52" t="str">
            <v>BDT</v>
          </cell>
        </row>
        <row r="53">
          <cell r="E53" t="str">
            <v>BB LOME</v>
          </cell>
        </row>
        <row r="54">
          <cell r="E54" t="str">
            <v>SFBT</v>
          </cell>
        </row>
      </sheetData>
      <sheetData sheetId="65"/>
      <sheetData sheetId="66"/>
      <sheetData sheetId="67">
        <row r="2">
          <cell r="F2" t="str">
            <v>GROUPE</v>
          </cell>
          <cell r="G2" t="str">
            <v>AVANCE_C/C</v>
          </cell>
          <cell r="H2" t="str">
            <v>AOA</v>
          </cell>
          <cell r="K2" t="str">
            <v>BANC_ALG_01</v>
          </cell>
        </row>
        <row r="3">
          <cell r="F3" t="str">
            <v>BANCAIRE</v>
          </cell>
          <cell r="G3" t="str">
            <v>DIVERS_C/C</v>
          </cell>
          <cell r="H3" t="str">
            <v>CDF</v>
          </cell>
          <cell r="K3" t="str">
            <v>BANC_ALG_02</v>
          </cell>
        </row>
        <row r="4">
          <cell r="G4" t="str">
            <v>DIVIDENDES</v>
          </cell>
          <cell r="H4" t="str">
            <v>DZD</v>
          </cell>
          <cell r="K4" t="str">
            <v>BANC_BGE_01</v>
          </cell>
        </row>
        <row r="5">
          <cell r="H5" t="str">
            <v>ETB</v>
          </cell>
          <cell r="K5" t="str">
            <v>BANC_BGE_02</v>
          </cell>
        </row>
        <row r="6">
          <cell r="H6" t="str">
            <v>EUR</v>
          </cell>
          <cell r="K6" t="str">
            <v>BANC_BGE_03</v>
          </cell>
        </row>
        <row r="7">
          <cell r="H7" t="str">
            <v>GMD</v>
          </cell>
          <cell r="K7" t="str">
            <v>BANC_BGE_04</v>
          </cell>
        </row>
        <row r="8">
          <cell r="H8" t="str">
            <v>GNF</v>
          </cell>
          <cell r="K8" t="str">
            <v>BANC_BGE_05</v>
          </cell>
        </row>
        <row r="9">
          <cell r="H9" t="str">
            <v>MAD</v>
          </cell>
          <cell r="K9" t="str">
            <v>BANC_BGE_06</v>
          </cell>
        </row>
        <row r="10">
          <cell r="H10" t="str">
            <v>MGA</v>
          </cell>
          <cell r="K10" t="str">
            <v>BANC_BGE_07</v>
          </cell>
        </row>
        <row r="11">
          <cell r="H11" t="str">
            <v>MWK</v>
          </cell>
          <cell r="K11" t="str">
            <v>BANC_BGE_08</v>
          </cell>
        </row>
        <row r="12">
          <cell r="H12" t="str">
            <v>TND</v>
          </cell>
          <cell r="K12" t="str">
            <v>BANC_BGE_09</v>
          </cell>
        </row>
        <row r="13">
          <cell r="H13" t="str">
            <v>USD</v>
          </cell>
          <cell r="K13" t="str">
            <v>GRPE_BGE_01</v>
          </cell>
        </row>
        <row r="14">
          <cell r="H14" t="str">
            <v>XAF</v>
          </cell>
          <cell r="K14" t="str">
            <v>GRPE_BCG_01</v>
          </cell>
        </row>
        <row r="15">
          <cell r="H15" t="str">
            <v>XOF</v>
          </cell>
          <cell r="K15" t="str">
            <v>GRPE_BCG_02</v>
          </cell>
        </row>
        <row r="16">
          <cell r="K16" t="str">
            <v>GRPE_BCG_03</v>
          </cell>
        </row>
        <row r="17">
          <cell r="K17" t="str">
            <v>BANC_BCG_01</v>
          </cell>
        </row>
        <row r="18">
          <cell r="K18" t="str">
            <v>BANC_BLC_01</v>
          </cell>
        </row>
        <row r="19">
          <cell r="K19" t="str">
            <v>BANC_BLC_02</v>
          </cell>
        </row>
        <row r="20">
          <cell r="K20" t="str">
            <v>BANC_BLC_03</v>
          </cell>
        </row>
        <row r="21">
          <cell r="K21" t="str">
            <v>GRPE_BLC_01</v>
          </cell>
        </row>
        <row r="22">
          <cell r="K22" t="str">
            <v>GRPE_BLC_02</v>
          </cell>
        </row>
        <row r="23">
          <cell r="K23" t="str">
            <v>BANC_BML-ND_01</v>
          </cell>
        </row>
        <row r="24">
          <cell r="K24" t="str">
            <v>BANC_BML-ND_02</v>
          </cell>
        </row>
        <row r="25">
          <cell r="K25" t="str">
            <v>GRPE_BSB_01</v>
          </cell>
        </row>
        <row r="26">
          <cell r="K26" t="str">
            <v>GRPE_BSB_02</v>
          </cell>
        </row>
        <row r="27">
          <cell r="K27" t="str">
            <v>GRPE_BSB_03</v>
          </cell>
        </row>
        <row r="28">
          <cell r="K28" t="str">
            <v>BANC_CAW_07</v>
          </cell>
        </row>
        <row r="29">
          <cell r="K29" t="str">
            <v>GRPE_CAW_01</v>
          </cell>
        </row>
        <row r="30">
          <cell r="K30" t="str">
            <v>BANC_CCB_02</v>
          </cell>
        </row>
        <row r="31">
          <cell r="K31" t="str">
            <v>BANC_CCB_02</v>
          </cell>
        </row>
        <row r="32">
          <cell r="K32" t="str">
            <v>GRPE_CCA_01</v>
          </cell>
        </row>
        <row r="33">
          <cell r="K33" t="str">
            <v>GRPE_CMR_01</v>
          </cell>
        </row>
        <row r="34">
          <cell r="K34" t="str">
            <v>GRPE_CRB_01</v>
          </cell>
        </row>
        <row r="35">
          <cell r="K35" t="str">
            <v>BANC_CDC_01</v>
          </cell>
        </row>
        <row r="36">
          <cell r="K36" t="str">
            <v>BANC_CDC_02</v>
          </cell>
        </row>
        <row r="37">
          <cell r="K37" t="str">
            <v>BANC_CML_01</v>
          </cell>
        </row>
        <row r="38">
          <cell r="K38" t="str">
            <v>BANC_CML_02</v>
          </cell>
        </row>
        <row r="39">
          <cell r="K39" t="str">
            <v>GRPE_CML_01</v>
          </cell>
        </row>
        <row r="40">
          <cell r="K40" t="str">
            <v>GRPE_CBJ_01</v>
          </cell>
        </row>
        <row r="41">
          <cell r="K41" t="str">
            <v>BANC_ECC_01</v>
          </cell>
        </row>
        <row r="42">
          <cell r="K42" t="str">
            <v>BANC_LBI_01</v>
          </cell>
        </row>
        <row r="43">
          <cell r="K43" t="str">
            <v>BANC_LBI_02</v>
          </cell>
        </row>
        <row r="44">
          <cell r="K44" t="str">
            <v>BANC_LBI_03</v>
          </cell>
        </row>
        <row r="45">
          <cell r="K45" t="str">
            <v>BANC_LBI_04</v>
          </cell>
        </row>
        <row r="46">
          <cell r="K46" t="str">
            <v>BANC_LBI_05</v>
          </cell>
        </row>
        <row r="47">
          <cell r="K47" t="str">
            <v>BANC_LBI_06</v>
          </cell>
        </row>
        <row r="48">
          <cell r="K48" t="str">
            <v>BANC_LBI_07</v>
          </cell>
        </row>
        <row r="49">
          <cell r="K49" t="str">
            <v>BANC_LBI_08</v>
          </cell>
        </row>
        <row r="50">
          <cell r="K50" t="str">
            <v>BANC_SAB_01</v>
          </cell>
        </row>
        <row r="51">
          <cell r="K51" t="str">
            <v>BANC_SAB_02</v>
          </cell>
        </row>
        <row r="52">
          <cell r="K52" t="str">
            <v>BANC_SAB_03</v>
          </cell>
        </row>
        <row r="53">
          <cell r="K53" t="str">
            <v>BANC_SBC_01</v>
          </cell>
        </row>
        <row r="54">
          <cell r="K54" t="str">
            <v>BANC_SBB_01</v>
          </cell>
        </row>
        <row r="55">
          <cell r="K55" t="str">
            <v>BANC_SBB_02</v>
          </cell>
        </row>
        <row r="56">
          <cell r="K56" t="str">
            <v>BANC_SBB_03</v>
          </cell>
        </row>
        <row r="57">
          <cell r="K57" t="str">
            <v>GRPE_SEM_01</v>
          </cell>
        </row>
        <row r="58">
          <cell r="K58" t="str">
            <v>BANC_SIA_01</v>
          </cell>
        </row>
        <row r="59">
          <cell r="K59" t="str">
            <v>GRPE_SBE_01</v>
          </cell>
        </row>
        <row r="60">
          <cell r="K60" t="str">
            <v>BANC_SBO_01</v>
          </cell>
        </row>
        <row r="61">
          <cell r="K61" t="str">
            <v>BANC_SRB_01</v>
          </cell>
        </row>
        <row r="62">
          <cell r="K62" t="str">
            <v>BANC_STR_01</v>
          </cell>
        </row>
        <row r="63">
          <cell r="K63" t="str">
            <v>BANC_STR_02</v>
          </cell>
        </row>
        <row r="64">
          <cell r="K64" t="str">
            <v>BANC_STR_03</v>
          </cell>
        </row>
        <row r="65">
          <cell r="K65" t="str">
            <v>BANC_SVM_01</v>
          </cell>
        </row>
      </sheetData>
      <sheetData sheetId="68">
        <row r="2">
          <cell r="J2">
            <v>19</v>
          </cell>
        </row>
        <row r="3">
          <cell r="J3">
            <v>20</v>
          </cell>
        </row>
        <row r="4">
          <cell r="J4">
            <v>23</v>
          </cell>
        </row>
        <row r="5">
          <cell r="J5">
            <v>24</v>
          </cell>
        </row>
        <row r="6">
          <cell r="J6">
            <v>25</v>
          </cell>
        </row>
        <row r="7">
          <cell r="J7" t="str">
            <v>27.5</v>
          </cell>
        </row>
        <row r="8">
          <cell r="J8">
            <v>28</v>
          </cell>
        </row>
        <row r="9">
          <cell r="J9" t="str">
            <v>28.5</v>
          </cell>
        </row>
        <row r="10">
          <cell r="J10">
            <v>30</v>
          </cell>
        </row>
        <row r="11">
          <cell r="J11">
            <v>31</v>
          </cell>
        </row>
        <row r="12">
          <cell r="J12">
            <v>32</v>
          </cell>
        </row>
        <row r="13">
          <cell r="J13">
            <v>33</v>
          </cell>
        </row>
        <row r="14">
          <cell r="J14">
            <v>34</v>
          </cell>
        </row>
        <row r="15">
          <cell r="J15">
            <v>35</v>
          </cell>
        </row>
        <row r="16">
          <cell r="J16" t="str">
            <v>35.5</v>
          </cell>
        </row>
        <row r="17">
          <cell r="J17">
            <v>36</v>
          </cell>
        </row>
        <row r="18">
          <cell r="J18">
            <v>45</v>
          </cell>
        </row>
        <row r="19">
          <cell r="J19">
            <v>47</v>
          </cell>
        </row>
        <row r="20">
          <cell r="J20">
            <v>48</v>
          </cell>
        </row>
        <row r="21">
          <cell r="J21">
            <v>50</v>
          </cell>
        </row>
        <row r="22">
          <cell r="J22">
            <v>60</v>
          </cell>
        </row>
        <row r="23">
          <cell r="J23">
            <v>62</v>
          </cell>
        </row>
        <row r="24">
          <cell r="J24">
            <v>63</v>
          </cell>
        </row>
        <row r="25">
          <cell r="J25">
            <v>65</v>
          </cell>
        </row>
        <row r="26">
          <cell r="J26">
            <v>66</v>
          </cell>
        </row>
        <row r="27">
          <cell r="J27">
            <v>70</v>
          </cell>
        </row>
        <row r="28">
          <cell r="J28">
            <v>72</v>
          </cell>
        </row>
        <row r="29">
          <cell r="J29">
            <v>73</v>
          </cell>
        </row>
        <row r="30">
          <cell r="J30">
            <v>75</v>
          </cell>
        </row>
        <row r="31">
          <cell r="J31">
            <v>90</v>
          </cell>
        </row>
        <row r="32">
          <cell r="J32">
            <v>100</v>
          </cell>
        </row>
        <row r="33">
          <cell r="J33">
            <v>120</v>
          </cell>
        </row>
        <row r="34">
          <cell r="J34">
            <v>125</v>
          </cell>
        </row>
        <row r="35">
          <cell r="J35">
            <v>150</v>
          </cell>
        </row>
        <row r="36">
          <cell r="J36">
            <v>175</v>
          </cell>
        </row>
        <row r="37">
          <cell r="J37">
            <v>180</v>
          </cell>
        </row>
        <row r="38">
          <cell r="J38">
            <v>200</v>
          </cell>
        </row>
        <row r="39">
          <cell r="J39">
            <v>225</v>
          </cell>
        </row>
        <row r="40">
          <cell r="J40">
            <v>400</v>
          </cell>
        </row>
        <row r="41">
          <cell r="J41">
            <v>425</v>
          </cell>
        </row>
        <row r="42">
          <cell r="J42">
            <v>500</v>
          </cell>
        </row>
        <row r="43">
          <cell r="J43">
            <v>550</v>
          </cell>
        </row>
      </sheetData>
      <sheetData sheetId="6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A L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HL"/>
      <sheetName val="SIHL"/>
      <sheetName val="SIMMPC"/>
      <sheetName val="A Li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Commentaire cumulé"/>
      <sheetName val="XMQBUD_Cumul"/>
      <sheetName val="XMQR2_Cumul"/>
      <sheetName val="Charges_RB"/>
      <sheetName val="Charges_RR2"/>
      <sheetName val="TER R1 anc"/>
      <sheetName val="TER"/>
      <sheetName val="XMQ_Mois"/>
      <sheetName val="XMQR2_Mois "/>
      <sheetName val="Bilan"/>
      <sheetName val="Prod"/>
      <sheetName val="Ventes"/>
      <sheetName val="XMQ_Mensuel"/>
      <sheetName val="Invest"/>
      <sheetName val="Cessions"/>
      <sheetName val="Reconc_Emb"/>
      <sheetName val="Emprunts"/>
      <sheetName val="Endettement"/>
      <sheetName val="DGE"/>
      <sheetName val="Interco Groupe SABC"/>
      <sheetName val="Interco Stés Etrangères"/>
      <sheetName val="Provisions anc"/>
      <sheetName val="Provisions"/>
      <sheetName val="Achat_Emb"/>
      <sheetName val="Achat_Emb R2"/>
      <sheetName val="Chiff_d'Aff"/>
      <sheetName val="Stocks"/>
      <sheetName val="Suivi_MPP"/>
      <sheetName val="AT"/>
      <sheetName val="Impôts"/>
      <sheetName val="XMQ_B"/>
      <sheetName val="XMQ_R2"/>
      <sheetName val="BUDFGRGP"/>
      <sheetName val="XMQ_N-1"/>
      <sheetName val="Ventes_Budget"/>
      <sheetName val="Détails_Actif"/>
      <sheetName val="Détails_Passif"/>
      <sheetName val="Détails_XMQ"/>
      <sheetName val="Bal_Bilan anc"/>
      <sheetName val="Bal_Bilan"/>
      <sheetName val="Bal_XMQ anc"/>
      <sheetName val="Bal_XMQ"/>
      <sheetName val="Contrôle"/>
    </sheetNames>
    <sheetDataSet>
      <sheetData sheetId="0"/>
      <sheetData sheetId="1"/>
      <sheetData sheetId="2"/>
      <sheetData sheetId="3">
        <row r="34">
          <cell r="F34">
            <v>-15210.109672870347</v>
          </cell>
        </row>
      </sheetData>
      <sheetData sheetId="4"/>
      <sheetData sheetId="5">
        <row r="194">
          <cell r="K194">
            <v>47582.500885299189</v>
          </cell>
        </row>
      </sheetData>
      <sheetData sheetId="6"/>
      <sheetData sheetId="7"/>
      <sheetData sheetId="8"/>
      <sheetData sheetId="9"/>
      <sheetData sheetId="10">
        <row r="6">
          <cell r="F6">
            <v>1384785.1523665837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A1">
            <v>1</v>
          </cell>
        </row>
        <row r="3">
          <cell r="C3">
            <v>1992573962</v>
          </cell>
        </row>
        <row r="4">
          <cell r="C4">
            <v>159577411</v>
          </cell>
        </row>
        <row r="5">
          <cell r="C5">
            <v>24175</v>
          </cell>
        </row>
        <row r="6">
          <cell r="C6">
            <v>1202492</v>
          </cell>
        </row>
        <row r="7">
          <cell r="C7">
            <v>11775102</v>
          </cell>
        </row>
        <row r="8">
          <cell r="C8">
            <v>0</v>
          </cell>
        </row>
        <row r="9">
          <cell r="C9">
            <v>18622266613</v>
          </cell>
        </row>
        <row r="10">
          <cell r="C10">
            <v>824066565</v>
          </cell>
        </row>
        <row r="11">
          <cell r="C11">
            <v>48559</v>
          </cell>
        </row>
        <row r="12">
          <cell r="C12">
            <v>37666236</v>
          </cell>
        </row>
        <row r="13">
          <cell r="C13">
            <v>13</v>
          </cell>
        </row>
        <row r="14">
          <cell r="C14">
            <v>437084373</v>
          </cell>
        </row>
        <row r="15">
          <cell r="C15">
            <v>228086699</v>
          </cell>
        </row>
        <row r="16">
          <cell r="C16">
            <v>5251965737</v>
          </cell>
        </row>
        <row r="17">
          <cell r="C17">
            <v>328281930</v>
          </cell>
        </row>
        <row r="18">
          <cell r="C18">
            <v>167144844</v>
          </cell>
        </row>
        <row r="19">
          <cell r="C19">
            <v>124987284</v>
          </cell>
        </row>
        <row r="20">
          <cell r="C20">
            <v>9528249670</v>
          </cell>
        </row>
        <row r="21">
          <cell r="C21">
            <v>3612223975</v>
          </cell>
        </row>
        <row r="22">
          <cell r="C22">
            <v>2652862986</v>
          </cell>
        </row>
        <row r="23">
          <cell r="C23">
            <v>0</v>
          </cell>
        </row>
        <row r="24">
          <cell r="C24">
            <v>49956557</v>
          </cell>
        </row>
        <row r="25">
          <cell r="C25">
            <v>34145822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4099894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418862</v>
          </cell>
        </row>
        <row r="32">
          <cell r="C32">
            <v>0</v>
          </cell>
        </row>
        <row r="33">
          <cell r="C33">
            <v>530895750</v>
          </cell>
        </row>
        <row r="34">
          <cell r="C34">
            <v>680899852</v>
          </cell>
        </row>
        <row r="35">
          <cell r="C35">
            <v>38428511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4599325411</v>
          </cell>
        </row>
        <row r="39">
          <cell r="C39">
            <v>78712454</v>
          </cell>
        </row>
        <row r="40">
          <cell r="C40">
            <v>73878390</v>
          </cell>
        </row>
        <row r="41">
          <cell r="C41">
            <v>3018906754</v>
          </cell>
        </row>
        <row r="42">
          <cell r="C42">
            <v>99463403</v>
          </cell>
        </row>
        <row r="43">
          <cell r="C43">
            <v>5913763</v>
          </cell>
        </row>
        <row r="44">
          <cell r="C44">
            <v>629620797</v>
          </cell>
        </row>
        <row r="45">
          <cell r="C45">
            <v>222808402</v>
          </cell>
        </row>
        <row r="46">
          <cell r="C46">
            <v>194945782</v>
          </cell>
        </row>
        <row r="47">
          <cell r="C47">
            <v>16522937</v>
          </cell>
        </row>
        <row r="48">
          <cell r="C48">
            <v>1881261</v>
          </cell>
        </row>
        <row r="49">
          <cell r="C49">
            <v>14068030</v>
          </cell>
        </row>
        <row r="50">
          <cell r="C50">
            <v>624419476</v>
          </cell>
        </row>
        <row r="51">
          <cell r="C51">
            <v>509476</v>
          </cell>
        </row>
        <row r="52">
          <cell r="C52">
            <v>85838418</v>
          </cell>
        </row>
        <row r="53">
          <cell r="C53">
            <v>14447604</v>
          </cell>
        </row>
        <row r="54">
          <cell r="C54">
            <v>51191</v>
          </cell>
        </row>
        <row r="55">
          <cell r="C55">
            <v>1113206</v>
          </cell>
        </row>
        <row r="56">
          <cell r="C56">
            <v>9039</v>
          </cell>
        </row>
        <row r="57">
          <cell r="C57">
            <v>53426750</v>
          </cell>
        </row>
        <row r="58">
          <cell r="C58">
            <v>300815736</v>
          </cell>
        </row>
        <row r="59">
          <cell r="C59">
            <v>759820</v>
          </cell>
        </row>
        <row r="60">
          <cell r="C60">
            <v>20964037</v>
          </cell>
        </row>
        <row r="61">
          <cell r="C61">
            <v>92160984</v>
          </cell>
        </row>
        <row r="62">
          <cell r="C62">
            <v>16031150</v>
          </cell>
        </row>
        <row r="63">
          <cell r="C63">
            <v>7750</v>
          </cell>
        </row>
        <row r="64">
          <cell r="C64">
            <v>162081455</v>
          </cell>
        </row>
        <row r="65">
          <cell r="C65">
            <v>3379006</v>
          </cell>
        </row>
        <row r="66">
          <cell r="C66">
            <v>2062545</v>
          </cell>
        </row>
        <row r="67">
          <cell r="C67">
            <v>1097016803</v>
          </cell>
        </row>
        <row r="68">
          <cell r="C68">
            <v>50283945</v>
          </cell>
        </row>
        <row r="69">
          <cell r="C69">
            <v>17776014</v>
          </cell>
        </row>
        <row r="70">
          <cell r="C70">
            <v>58100107</v>
          </cell>
        </row>
        <row r="71">
          <cell r="C71">
            <v>193952048</v>
          </cell>
        </row>
        <row r="72">
          <cell r="C72">
            <v>731090</v>
          </cell>
        </row>
        <row r="73">
          <cell r="C73">
            <v>3375412</v>
          </cell>
        </row>
        <row r="74">
          <cell r="C74">
            <v>577291</v>
          </cell>
        </row>
        <row r="75">
          <cell r="C75">
            <v>6429588</v>
          </cell>
        </row>
        <row r="76">
          <cell r="C76">
            <v>558595</v>
          </cell>
        </row>
        <row r="77">
          <cell r="C77">
            <v>412350</v>
          </cell>
        </row>
        <row r="78">
          <cell r="C78">
            <v>6608892</v>
          </cell>
        </row>
        <row r="79">
          <cell r="C79">
            <v>120000</v>
          </cell>
        </row>
        <row r="80">
          <cell r="C80">
            <v>10284500</v>
          </cell>
        </row>
        <row r="81">
          <cell r="C81">
            <v>1916446</v>
          </cell>
        </row>
        <row r="82">
          <cell r="C82">
            <v>11000</v>
          </cell>
        </row>
        <row r="83">
          <cell r="C83">
            <v>3560512</v>
          </cell>
        </row>
        <row r="84">
          <cell r="C84">
            <v>6687640</v>
          </cell>
        </row>
        <row r="85">
          <cell r="C85">
            <v>0</v>
          </cell>
        </row>
        <row r="86">
          <cell r="C86">
            <v>1050394948</v>
          </cell>
        </row>
        <row r="87">
          <cell r="C87">
            <v>267960001</v>
          </cell>
        </row>
        <row r="88">
          <cell r="C88">
            <v>0</v>
          </cell>
        </row>
        <row r="89">
          <cell r="C89">
            <v>1949321404</v>
          </cell>
        </row>
        <row r="90">
          <cell r="C90">
            <v>2438179</v>
          </cell>
        </row>
        <row r="91">
          <cell r="C91">
            <v>103831664</v>
          </cell>
        </row>
        <row r="92">
          <cell r="C92">
            <v>237200</v>
          </cell>
        </row>
        <row r="93">
          <cell r="C93">
            <v>89140294</v>
          </cell>
        </row>
        <row r="94">
          <cell r="C94">
            <v>12194373</v>
          </cell>
        </row>
        <row r="95">
          <cell r="C95">
            <v>37343840</v>
          </cell>
        </row>
        <row r="96">
          <cell r="C96">
            <v>145000</v>
          </cell>
        </row>
        <row r="97">
          <cell r="C97">
            <v>17169590</v>
          </cell>
        </row>
        <row r="98">
          <cell r="C98">
            <v>11631526</v>
          </cell>
        </row>
        <row r="99">
          <cell r="C99">
            <v>9365100</v>
          </cell>
        </row>
        <row r="100">
          <cell r="C100">
            <v>4754959</v>
          </cell>
        </row>
        <row r="101">
          <cell r="C101">
            <v>524410620</v>
          </cell>
        </row>
        <row r="102">
          <cell r="C102">
            <v>454703427</v>
          </cell>
        </row>
        <row r="103">
          <cell r="C103">
            <v>46511755</v>
          </cell>
        </row>
        <row r="104">
          <cell r="C104">
            <v>69299533</v>
          </cell>
        </row>
        <row r="105">
          <cell r="C105">
            <v>3526856017</v>
          </cell>
        </row>
        <row r="106">
          <cell r="C106">
            <v>9800</v>
          </cell>
        </row>
        <row r="107">
          <cell r="C107">
            <v>1190000</v>
          </cell>
        </row>
        <row r="108">
          <cell r="C108">
            <v>1591800</v>
          </cell>
        </row>
        <row r="109">
          <cell r="C109">
            <v>6148220</v>
          </cell>
        </row>
        <row r="110">
          <cell r="C110">
            <v>16429360</v>
          </cell>
        </row>
        <row r="111">
          <cell r="C111">
            <v>3032245</v>
          </cell>
        </row>
        <row r="112">
          <cell r="C112">
            <v>24460629</v>
          </cell>
        </row>
        <row r="113">
          <cell r="C113">
            <v>6655092</v>
          </cell>
        </row>
        <row r="114">
          <cell r="C114">
            <v>372500</v>
          </cell>
        </row>
        <row r="115">
          <cell r="C115">
            <v>4068400</v>
          </cell>
        </row>
        <row r="116">
          <cell r="C116">
            <v>5699096</v>
          </cell>
        </row>
        <row r="117">
          <cell r="C117">
            <v>6261994</v>
          </cell>
        </row>
        <row r="118">
          <cell r="C118">
            <v>57651600</v>
          </cell>
        </row>
        <row r="119">
          <cell r="C119">
            <v>6683972</v>
          </cell>
        </row>
        <row r="120">
          <cell r="C120">
            <v>6821987</v>
          </cell>
        </row>
        <row r="121">
          <cell r="C121">
            <v>21366598</v>
          </cell>
        </row>
        <row r="122">
          <cell r="C122">
            <v>75000</v>
          </cell>
        </row>
        <row r="123">
          <cell r="C123">
            <v>58316240</v>
          </cell>
        </row>
        <row r="124">
          <cell r="C124">
            <v>4913350</v>
          </cell>
        </row>
        <row r="125">
          <cell r="C125">
            <v>7460505</v>
          </cell>
        </row>
        <row r="126">
          <cell r="C126">
            <v>82130740</v>
          </cell>
        </row>
        <row r="127">
          <cell r="C127">
            <v>40615931</v>
          </cell>
        </row>
        <row r="128">
          <cell r="C128">
            <v>30909156</v>
          </cell>
        </row>
        <row r="129">
          <cell r="C129">
            <v>10209018</v>
          </cell>
        </row>
        <row r="130">
          <cell r="C130">
            <v>2363095</v>
          </cell>
        </row>
        <row r="131">
          <cell r="C131">
            <v>950000</v>
          </cell>
        </row>
        <row r="132">
          <cell r="C132">
            <v>483200</v>
          </cell>
        </row>
        <row r="133">
          <cell r="C133">
            <v>35427137</v>
          </cell>
        </row>
        <row r="134">
          <cell r="C134">
            <v>60032</v>
          </cell>
        </row>
        <row r="135">
          <cell r="C135">
            <v>3071912</v>
          </cell>
        </row>
        <row r="136">
          <cell r="C136">
            <v>32766666</v>
          </cell>
        </row>
        <row r="137">
          <cell r="C137">
            <v>1250000</v>
          </cell>
        </row>
        <row r="138">
          <cell r="C138">
            <v>61836775</v>
          </cell>
        </row>
        <row r="139">
          <cell r="C139">
            <v>0</v>
          </cell>
        </row>
        <row r="140">
          <cell r="C140">
            <v>15261208</v>
          </cell>
        </row>
        <row r="141">
          <cell r="C141">
            <v>638900</v>
          </cell>
        </row>
        <row r="142">
          <cell r="C142">
            <v>198134</v>
          </cell>
        </row>
        <row r="143">
          <cell r="C143">
            <v>22466</v>
          </cell>
        </row>
        <row r="144">
          <cell r="C144">
            <v>1298167</v>
          </cell>
        </row>
        <row r="145">
          <cell r="C145">
            <v>32913</v>
          </cell>
        </row>
        <row r="146">
          <cell r="C146">
            <v>44033332</v>
          </cell>
        </row>
        <row r="147">
          <cell r="C147">
            <v>266666</v>
          </cell>
        </row>
        <row r="148">
          <cell r="C148">
            <v>783332</v>
          </cell>
        </row>
        <row r="149">
          <cell r="C149">
            <v>1833332</v>
          </cell>
        </row>
        <row r="150">
          <cell r="C150">
            <v>531588</v>
          </cell>
        </row>
        <row r="151">
          <cell r="C151">
            <v>2144972</v>
          </cell>
        </row>
        <row r="152">
          <cell r="C152">
            <v>133333332</v>
          </cell>
        </row>
        <row r="153">
          <cell r="C153">
            <v>2106368</v>
          </cell>
        </row>
        <row r="154">
          <cell r="C154">
            <v>721608</v>
          </cell>
        </row>
        <row r="155">
          <cell r="C155">
            <v>622340323</v>
          </cell>
        </row>
        <row r="156">
          <cell r="C156">
            <v>125000</v>
          </cell>
        </row>
        <row r="157">
          <cell r="C157">
            <v>84156117</v>
          </cell>
        </row>
        <row r="158">
          <cell r="C158">
            <v>4202143</v>
          </cell>
        </row>
        <row r="159">
          <cell r="C159">
            <v>16896432</v>
          </cell>
        </row>
        <row r="160">
          <cell r="C160">
            <v>60835683</v>
          </cell>
        </row>
        <row r="161">
          <cell r="C161">
            <v>15581304</v>
          </cell>
        </row>
        <row r="162">
          <cell r="C162">
            <v>0</v>
          </cell>
        </row>
        <row r="163">
          <cell r="C163">
            <v>680000</v>
          </cell>
        </row>
        <row r="164">
          <cell r="C164">
            <v>4423599</v>
          </cell>
        </row>
        <row r="165">
          <cell r="C165">
            <v>15858000</v>
          </cell>
        </row>
        <row r="166">
          <cell r="C166">
            <v>38161253</v>
          </cell>
        </row>
        <row r="167">
          <cell r="C167">
            <v>12325116</v>
          </cell>
        </row>
        <row r="168">
          <cell r="C168">
            <v>29209436</v>
          </cell>
        </row>
        <row r="169">
          <cell r="C169">
            <v>9829</v>
          </cell>
        </row>
        <row r="170">
          <cell r="C170">
            <v>2091552</v>
          </cell>
        </row>
        <row r="171">
          <cell r="C171">
            <v>3779578</v>
          </cell>
        </row>
        <row r="172">
          <cell r="C172">
            <v>1350943</v>
          </cell>
        </row>
        <row r="173">
          <cell r="C173">
            <v>40284333</v>
          </cell>
        </row>
        <row r="174">
          <cell r="C174">
            <v>4992012</v>
          </cell>
        </row>
        <row r="175">
          <cell r="C175">
            <v>8565606</v>
          </cell>
        </row>
        <row r="176">
          <cell r="C176">
            <v>1130370</v>
          </cell>
        </row>
        <row r="177">
          <cell r="C177">
            <v>2448373</v>
          </cell>
        </row>
        <row r="178">
          <cell r="C178">
            <v>3895009</v>
          </cell>
        </row>
        <row r="179">
          <cell r="C179">
            <v>56180</v>
          </cell>
        </row>
        <row r="180">
          <cell r="C180">
            <v>9251090</v>
          </cell>
        </row>
        <row r="181">
          <cell r="C181">
            <v>245857238</v>
          </cell>
        </row>
        <row r="182">
          <cell r="C182">
            <v>7594178</v>
          </cell>
        </row>
        <row r="183">
          <cell r="C183">
            <v>12173421</v>
          </cell>
        </row>
        <row r="184">
          <cell r="C184">
            <v>1180833</v>
          </cell>
        </row>
        <row r="185">
          <cell r="C185">
            <v>934761</v>
          </cell>
        </row>
        <row r="186">
          <cell r="C186">
            <v>5424592</v>
          </cell>
        </row>
        <row r="187">
          <cell r="C187">
            <v>9362</v>
          </cell>
        </row>
        <row r="188">
          <cell r="C188">
            <v>11314333</v>
          </cell>
        </row>
        <row r="189">
          <cell r="C189">
            <v>497067</v>
          </cell>
        </row>
        <row r="190">
          <cell r="C190">
            <v>25797640</v>
          </cell>
        </row>
        <row r="191">
          <cell r="C191">
            <v>47677915</v>
          </cell>
        </row>
        <row r="192">
          <cell r="C192">
            <v>10688076</v>
          </cell>
        </row>
        <row r="193">
          <cell r="C193">
            <v>1435000</v>
          </cell>
        </row>
        <row r="194">
          <cell r="C194">
            <v>0</v>
          </cell>
        </row>
        <row r="195">
          <cell r="C195">
            <v>3493250</v>
          </cell>
        </row>
        <row r="196">
          <cell r="C196">
            <v>245700</v>
          </cell>
        </row>
        <row r="197">
          <cell r="C197">
            <v>14502348</v>
          </cell>
        </row>
        <row r="198">
          <cell r="C198">
            <v>3896220</v>
          </cell>
        </row>
        <row r="199">
          <cell r="C199">
            <v>8233354</v>
          </cell>
        </row>
        <row r="200">
          <cell r="C200">
            <v>6142147</v>
          </cell>
        </row>
        <row r="201">
          <cell r="C201">
            <v>0</v>
          </cell>
        </row>
        <row r="202">
          <cell r="C202">
            <v>922520</v>
          </cell>
        </row>
        <row r="203">
          <cell r="C203">
            <v>58647013</v>
          </cell>
        </row>
        <row r="204">
          <cell r="C204">
            <v>2135830</v>
          </cell>
        </row>
        <row r="205">
          <cell r="C205">
            <v>172456969</v>
          </cell>
        </row>
        <row r="206">
          <cell r="C206">
            <v>110604472</v>
          </cell>
        </row>
        <row r="207">
          <cell r="C207">
            <v>1180940</v>
          </cell>
        </row>
        <row r="208">
          <cell r="C208">
            <v>3779152</v>
          </cell>
        </row>
        <row r="209">
          <cell r="C209">
            <v>4104234</v>
          </cell>
        </row>
        <row r="210">
          <cell r="C210">
            <v>38292243</v>
          </cell>
        </row>
        <row r="211">
          <cell r="C211">
            <v>1785000</v>
          </cell>
        </row>
        <row r="212">
          <cell r="C212">
            <v>286416666</v>
          </cell>
        </row>
        <row r="213">
          <cell r="C213">
            <v>35383938</v>
          </cell>
        </row>
        <row r="214">
          <cell r="C214">
            <v>1435000</v>
          </cell>
        </row>
        <row r="215">
          <cell r="C215">
            <v>51026537</v>
          </cell>
        </row>
        <row r="216">
          <cell r="C216">
            <v>8347871</v>
          </cell>
        </row>
        <row r="217">
          <cell r="C217">
            <v>500000</v>
          </cell>
        </row>
        <row r="218">
          <cell r="C218">
            <v>809846017</v>
          </cell>
        </row>
        <row r="219">
          <cell r="C219">
            <v>19950076</v>
          </cell>
        </row>
        <row r="220">
          <cell r="C220">
            <v>5857797</v>
          </cell>
        </row>
        <row r="221">
          <cell r="C221">
            <v>393701124</v>
          </cell>
        </row>
        <row r="222">
          <cell r="C222">
            <v>218325892</v>
          </cell>
        </row>
        <row r="223">
          <cell r="C223">
            <v>37859874</v>
          </cell>
        </row>
        <row r="224">
          <cell r="C224">
            <v>52563343</v>
          </cell>
        </row>
        <row r="225">
          <cell r="C225">
            <v>163608014</v>
          </cell>
        </row>
        <row r="226">
          <cell r="C226">
            <v>102394660</v>
          </cell>
        </row>
        <row r="227">
          <cell r="C227">
            <v>1248505</v>
          </cell>
        </row>
        <row r="228">
          <cell r="C228">
            <v>69260091</v>
          </cell>
        </row>
        <row r="229">
          <cell r="C229">
            <v>3144534</v>
          </cell>
        </row>
        <row r="230">
          <cell r="C230">
            <v>3120000</v>
          </cell>
        </row>
        <row r="231">
          <cell r="C231">
            <v>100000</v>
          </cell>
        </row>
        <row r="232">
          <cell r="C232">
            <v>0</v>
          </cell>
        </row>
        <row r="233">
          <cell r="C233">
            <v>98680762</v>
          </cell>
        </row>
        <row r="234">
          <cell r="C234">
            <v>19223160</v>
          </cell>
        </row>
        <row r="235">
          <cell r="C235">
            <v>40497828</v>
          </cell>
        </row>
        <row r="236">
          <cell r="C236">
            <v>1932520</v>
          </cell>
        </row>
        <row r="237">
          <cell r="C237">
            <v>227455930</v>
          </cell>
        </row>
        <row r="238">
          <cell r="C238">
            <v>20631634</v>
          </cell>
        </row>
        <row r="239">
          <cell r="C239">
            <v>21843394</v>
          </cell>
        </row>
        <row r="240">
          <cell r="C240">
            <v>17198854</v>
          </cell>
        </row>
        <row r="241">
          <cell r="C241">
            <v>2282206</v>
          </cell>
        </row>
        <row r="242">
          <cell r="C242">
            <v>13754471</v>
          </cell>
        </row>
        <row r="243">
          <cell r="C243">
            <v>14562266</v>
          </cell>
        </row>
        <row r="244">
          <cell r="C244">
            <v>11465916</v>
          </cell>
        </row>
        <row r="245">
          <cell r="C245">
            <v>1521470</v>
          </cell>
        </row>
        <row r="246">
          <cell r="C246">
            <v>4000</v>
          </cell>
        </row>
        <row r="247">
          <cell r="C247">
            <v>1302441</v>
          </cell>
        </row>
        <row r="248">
          <cell r="C248">
            <v>2848391</v>
          </cell>
        </row>
        <row r="249">
          <cell r="C249">
            <v>5826000</v>
          </cell>
        </row>
        <row r="250">
          <cell r="C250">
            <v>21346500</v>
          </cell>
        </row>
        <row r="251">
          <cell r="C251">
            <v>337665</v>
          </cell>
        </row>
        <row r="252">
          <cell r="C252">
            <v>10924774</v>
          </cell>
        </row>
        <row r="253">
          <cell r="C253">
            <v>465944</v>
          </cell>
        </row>
        <row r="254">
          <cell r="C254">
            <v>359680</v>
          </cell>
        </row>
        <row r="255">
          <cell r="C255">
            <v>500000000</v>
          </cell>
        </row>
        <row r="256">
          <cell r="C256">
            <v>325000</v>
          </cell>
        </row>
        <row r="257">
          <cell r="C257">
            <v>13814388</v>
          </cell>
        </row>
        <row r="258">
          <cell r="C258">
            <v>18696983</v>
          </cell>
        </row>
        <row r="259">
          <cell r="C259">
            <v>6</v>
          </cell>
        </row>
        <row r="260">
          <cell r="C260">
            <v>0</v>
          </cell>
        </row>
        <row r="261">
          <cell r="C261">
            <v>50000</v>
          </cell>
        </row>
        <row r="262">
          <cell r="C262">
            <v>43800000</v>
          </cell>
        </row>
        <row r="263">
          <cell r="C263">
            <v>288669</v>
          </cell>
        </row>
        <row r="264">
          <cell r="C264">
            <v>10142826</v>
          </cell>
        </row>
        <row r="265">
          <cell r="C265">
            <v>677348528</v>
          </cell>
        </row>
        <row r="266">
          <cell r="C266">
            <v>810600877</v>
          </cell>
        </row>
        <row r="267">
          <cell r="C267">
            <v>381867937</v>
          </cell>
        </row>
        <row r="268">
          <cell r="C268">
            <v>2650854</v>
          </cell>
        </row>
        <row r="269">
          <cell r="C269">
            <v>181651399</v>
          </cell>
        </row>
        <row r="270">
          <cell r="C270">
            <v>235775843</v>
          </cell>
        </row>
        <row r="271">
          <cell r="C271">
            <v>112381094</v>
          </cell>
        </row>
        <row r="272">
          <cell r="C272">
            <v>798815</v>
          </cell>
        </row>
        <row r="273">
          <cell r="C273">
            <v>54711907</v>
          </cell>
        </row>
        <row r="274">
          <cell r="C274">
            <v>66895773</v>
          </cell>
        </row>
        <row r="275">
          <cell r="C275">
            <v>79357983</v>
          </cell>
        </row>
        <row r="276">
          <cell r="C276">
            <v>270551</v>
          </cell>
        </row>
        <row r="277">
          <cell r="C277">
            <v>812143</v>
          </cell>
        </row>
        <row r="278">
          <cell r="C278">
            <v>3071672</v>
          </cell>
        </row>
        <row r="279">
          <cell r="C279">
            <v>2878962</v>
          </cell>
        </row>
        <row r="280">
          <cell r="C280">
            <v>780491</v>
          </cell>
        </row>
        <row r="281">
          <cell r="C281">
            <v>142279803</v>
          </cell>
        </row>
        <row r="282">
          <cell r="C282">
            <v>9867285</v>
          </cell>
        </row>
        <row r="283">
          <cell r="C283">
            <v>0</v>
          </cell>
        </row>
        <row r="284">
          <cell r="C284">
            <v>212832046</v>
          </cell>
        </row>
        <row r="285">
          <cell r="C285">
            <v>197028540</v>
          </cell>
        </row>
        <row r="286">
          <cell r="C286">
            <v>265478374</v>
          </cell>
        </row>
        <row r="287">
          <cell r="C287">
            <v>900000</v>
          </cell>
        </row>
        <row r="288">
          <cell r="C288">
            <v>157578333</v>
          </cell>
        </row>
        <row r="289">
          <cell r="C289">
            <v>370630</v>
          </cell>
        </row>
        <row r="290">
          <cell r="C290">
            <v>4984562</v>
          </cell>
        </row>
        <row r="291">
          <cell r="C291">
            <v>97670930</v>
          </cell>
        </row>
        <row r="292">
          <cell r="C292">
            <v>57344165</v>
          </cell>
        </row>
        <row r="293">
          <cell r="C293">
            <v>35838000</v>
          </cell>
        </row>
        <row r="294">
          <cell r="C294">
            <v>49601116</v>
          </cell>
        </row>
        <row r="295">
          <cell r="C295">
            <v>6897500</v>
          </cell>
        </row>
        <row r="296">
          <cell r="C296">
            <v>480000</v>
          </cell>
        </row>
        <row r="297">
          <cell r="C297">
            <v>24211791</v>
          </cell>
        </row>
        <row r="298">
          <cell r="C298">
            <v>31819456</v>
          </cell>
        </row>
        <row r="299">
          <cell r="C299">
            <v>256899055</v>
          </cell>
        </row>
        <row r="300">
          <cell r="C300">
            <v>123901667</v>
          </cell>
        </row>
        <row r="301">
          <cell r="C301">
            <v>28902193</v>
          </cell>
        </row>
        <row r="302">
          <cell r="C302">
            <v>33366002</v>
          </cell>
        </row>
        <row r="303">
          <cell r="C303">
            <v>26850376</v>
          </cell>
        </row>
        <row r="304">
          <cell r="C304">
            <v>68845842</v>
          </cell>
        </row>
        <row r="305">
          <cell r="C305">
            <v>55244761</v>
          </cell>
        </row>
        <row r="306">
          <cell r="C306">
            <v>20404193</v>
          </cell>
        </row>
        <row r="307">
          <cell r="C307">
            <v>40380860</v>
          </cell>
        </row>
        <row r="308">
          <cell r="C308">
            <v>32669734</v>
          </cell>
        </row>
        <row r="309">
          <cell r="C309">
            <v>12248541</v>
          </cell>
        </row>
        <row r="310">
          <cell r="C310">
            <v>3803676</v>
          </cell>
        </row>
        <row r="311">
          <cell r="C311">
            <v>6247800</v>
          </cell>
        </row>
        <row r="312">
          <cell r="C312">
            <v>977094</v>
          </cell>
        </row>
        <row r="313">
          <cell r="C313">
            <v>1417498</v>
          </cell>
        </row>
        <row r="314">
          <cell r="C314">
            <v>21952913</v>
          </cell>
        </row>
        <row r="315">
          <cell r="C315">
            <v>61983481</v>
          </cell>
        </row>
        <row r="316">
          <cell r="C316">
            <v>4361876</v>
          </cell>
        </row>
        <row r="317">
          <cell r="C317">
            <v>187520000</v>
          </cell>
        </row>
        <row r="318">
          <cell r="C318">
            <v>26624000</v>
          </cell>
        </row>
        <row r="319">
          <cell r="C319">
            <v>24660000</v>
          </cell>
        </row>
        <row r="320">
          <cell r="C320">
            <v>4281924</v>
          </cell>
        </row>
        <row r="321">
          <cell r="C321">
            <v>9336441</v>
          </cell>
        </row>
        <row r="322">
          <cell r="C322">
            <v>17783407</v>
          </cell>
        </row>
        <row r="323">
          <cell r="C323">
            <v>35761817</v>
          </cell>
        </row>
        <row r="324">
          <cell r="C324">
            <v>33480110</v>
          </cell>
        </row>
        <row r="325">
          <cell r="C325">
            <v>65844172</v>
          </cell>
        </row>
        <row r="326">
          <cell r="C326">
            <v>49296790</v>
          </cell>
        </row>
        <row r="327">
          <cell r="C327">
            <v>59694921</v>
          </cell>
        </row>
        <row r="328">
          <cell r="C328">
            <v>14308</v>
          </cell>
        </row>
        <row r="329">
          <cell r="C329">
            <v>46567241</v>
          </cell>
        </row>
        <row r="330">
          <cell r="C330">
            <v>44340072</v>
          </cell>
        </row>
        <row r="331">
          <cell r="C331">
            <v>30757290</v>
          </cell>
        </row>
        <row r="332">
          <cell r="C332">
            <v>52512468</v>
          </cell>
        </row>
        <row r="333">
          <cell r="C333">
            <v>66043325</v>
          </cell>
        </row>
        <row r="334">
          <cell r="C334">
            <v>33078817</v>
          </cell>
        </row>
        <row r="335">
          <cell r="C335">
            <v>1119583</v>
          </cell>
        </row>
        <row r="336">
          <cell r="C336">
            <v>202038158</v>
          </cell>
        </row>
        <row r="337">
          <cell r="C337">
            <v>43104036</v>
          </cell>
        </row>
        <row r="338">
          <cell r="C338">
            <v>115</v>
          </cell>
        </row>
        <row r="339">
          <cell r="C339">
            <v>4835949867</v>
          </cell>
        </row>
        <row r="340">
          <cell r="C340">
            <v>181942002</v>
          </cell>
        </row>
        <row r="341">
          <cell r="C341">
            <v>9472934</v>
          </cell>
        </row>
        <row r="342">
          <cell r="C342">
            <v>6460819</v>
          </cell>
        </row>
        <row r="343">
          <cell r="C343">
            <v>5269022</v>
          </cell>
        </row>
        <row r="344">
          <cell r="C344">
            <v>1095246</v>
          </cell>
        </row>
        <row r="345">
          <cell r="C345">
            <v>0</v>
          </cell>
        </row>
        <row r="346">
          <cell r="C346">
            <v>59645310</v>
          </cell>
        </row>
        <row r="347">
          <cell r="C347">
            <v>18649050</v>
          </cell>
        </row>
        <row r="348">
          <cell r="C348">
            <v>20625817</v>
          </cell>
        </row>
        <row r="349">
          <cell r="C349">
            <v>0</v>
          </cell>
        </row>
        <row r="350">
          <cell r="C350">
            <v>7920000</v>
          </cell>
        </row>
        <row r="351">
          <cell r="C351">
            <v>0</v>
          </cell>
        </row>
        <row r="352">
          <cell r="C352">
            <v>22226976364</v>
          </cell>
        </row>
        <row r="353">
          <cell r="C353">
            <v>0</v>
          </cell>
        </row>
        <row r="354">
          <cell r="C354">
            <v>125483</v>
          </cell>
        </row>
        <row r="355">
          <cell r="C355">
            <v>1004876402</v>
          </cell>
        </row>
        <row r="356">
          <cell r="C356">
            <v>98742000</v>
          </cell>
        </row>
        <row r="357">
          <cell r="C357">
            <v>1865567553</v>
          </cell>
        </row>
        <row r="358">
          <cell r="C358">
            <v>846729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44878948150</v>
          </cell>
        </row>
        <row r="374">
          <cell r="C374">
            <v>0</v>
          </cell>
        </row>
        <row r="375">
          <cell r="C375">
            <v>20183764</v>
          </cell>
        </row>
        <row r="376">
          <cell r="C376">
            <v>17504761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2223308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8459467</v>
          </cell>
        </row>
        <row r="400">
          <cell r="C400">
            <v>0</v>
          </cell>
        </row>
        <row r="401">
          <cell r="C401">
            <v>13571216</v>
          </cell>
        </row>
        <row r="402">
          <cell r="C402">
            <v>13571216</v>
          </cell>
        </row>
        <row r="403">
          <cell r="C403">
            <v>13571216</v>
          </cell>
        </row>
        <row r="404">
          <cell r="C404">
            <v>13571216</v>
          </cell>
        </row>
        <row r="405">
          <cell r="C405">
            <v>13571216</v>
          </cell>
        </row>
        <row r="406">
          <cell r="C406">
            <v>13571216</v>
          </cell>
        </row>
        <row r="407">
          <cell r="C407">
            <v>13571216</v>
          </cell>
        </row>
        <row r="408">
          <cell r="C408">
            <v>13571216</v>
          </cell>
        </row>
        <row r="409">
          <cell r="C409">
            <v>13571216</v>
          </cell>
        </row>
        <row r="410">
          <cell r="C410">
            <v>13571216</v>
          </cell>
        </row>
        <row r="411">
          <cell r="C411">
            <v>13571216</v>
          </cell>
        </row>
        <row r="412">
          <cell r="C412">
            <v>13571216</v>
          </cell>
        </row>
        <row r="413">
          <cell r="C413">
            <v>13571216</v>
          </cell>
        </row>
        <row r="414">
          <cell r="C414">
            <v>7392546816</v>
          </cell>
        </row>
        <row r="415">
          <cell r="C415">
            <v>722153525.86999989</v>
          </cell>
        </row>
        <row r="416">
          <cell r="C416">
            <v>722153472</v>
          </cell>
        </row>
        <row r="417">
          <cell r="C417">
            <v>722153472</v>
          </cell>
        </row>
        <row r="418">
          <cell r="C418">
            <v>722153472</v>
          </cell>
        </row>
        <row r="420">
          <cell r="C420">
            <v>722153472</v>
          </cell>
        </row>
        <row r="421">
          <cell r="C421">
            <v>0</v>
          </cell>
        </row>
        <row r="423">
          <cell r="C423">
            <v>0</v>
          </cell>
        </row>
        <row r="426">
          <cell r="C426">
            <v>18963519716.035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2898877399.0450511</v>
          </cell>
        </row>
        <row r="432">
          <cell r="C432">
            <v>2898877399.0450511</v>
          </cell>
        </row>
        <row r="433">
          <cell r="C433">
            <v>2898876416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7920000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199895025</v>
          </cell>
        </row>
        <row r="441">
          <cell r="C441">
            <v>96346800</v>
          </cell>
        </row>
        <row r="442">
          <cell r="C442">
            <v>96710400</v>
          </cell>
        </row>
        <row r="443">
          <cell r="C443">
            <v>531671400</v>
          </cell>
        </row>
        <row r="444">
          <cell r="C444">
            <v>11350800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1586806072.8122902</v>
          </cell>
        </row>
        <row r="448">
          <cell r="C448">
            <v>97127189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39818175.312592998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106453595.05805969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179263554.545802</v>
          </cell>
        </row>
        <row r="495">
          <cell r="C495">
            <v>0</v>
          </cell>
        </row>
        <row r="496">
          <cell r="C496">
            <v>25237202.44851701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71441759.820416003</v>
          </cell>
        </row>
        <row r="501">
          <cell r="C501">
            <v>0</v>
          </cell>
        </row>
        <row r="502">
          <cell r="C502">
            <v>39603825.830224991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24288451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14361389.249748021</v>
          </cell>
        </row>
        <row r="538">
          <cell r="C538">
            <v>0</v>
          </cell>
        </row>
        <row r="539">
          <cell r="C539">
            <v>31209895.346410997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155000000</v>
          </cell>
        </row>
        <row r="548">
          <cell r="C548">
            <v>16000000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0</v>
          </cell>
        </row>
        <row r="575">
          <cell r="C575">
            <v>0</v>
          </cell>
        </row>
        <row r="576">
          <cell r="C576">
            <v>0</v>
          </cell>
        </row>
        <row r="577">
          <cell r="C577">
            <v>0</v>
          </cell>
        </row>
        <row r="578">
          <cell r="C578">
            <v>0</v>
          </cell>
        </row>
        <row r="579">
          <cell r="C579">
            <v>0</v>
          </cell>
        </row>
        <row r="580">
          <cell r="C580">
            <v>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0</v>
          </cell>
        </row>
        <row r="587">
          <cell r="C587">
            <v>0</v>
          </cell>
        </row>
        <row r="588">
          <cell r="C588">
            <v>0</v>
          </cell>
        </row>
        <row r="589">
          <cell r="C589">
            <v>0</v>
          </cell>
        </row>
        <row r="590">
          <cell r="C590">
            <v>0</v>
          </cell>
        </row>
        <row r="591">
          <cell r="C591">
            <v>0</v>
          </cell>
        </row>
      </sheetData>
      <sheetData sheetId="43"/>
      <sheetData sheetId="4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BIERE 2007"/>
      <sheetName val="RATIO BG 2007"/>
      <sheetName val="COURBES DE RDT"/>
      <sheetName val="RATIO BG 200"/>
      <sheetName val="RATIO BG 2008"/>
      <sheetName val="SIMMPC"/>
    </sheetNames>
    <sheetDataSet>
      <sheetData sheetId="0"/>
      <sheetData sheetId="1">
        <row r="7">
          <cell r="Q7">
            <v>2064252</v>
          </cell>
          <cell r="R7">
            <v>2064252</v>
          </cell>
          <cell r="U7">
            <v>80.75</v>
          </cell>
          <cell r="V7">
            <v>80.75</v>
          </cell>
          <cell r="W7">
            <v>67.083333333333329</v>
          </cell>
          <cell r="X7">
            <v>67.083333333333329</v>
          </cell>
        </row>
        <row r="8">
          <cell r="Q8">
            <v>1803804</v>
          </cell>
          <cell r="R8">
            <v>3868056</v>
          </cell>
          <cell r="U8">
            <v>46.416666666666664</v>
          </cell>
          <cell r="V8">
            <v>127.16666666666666</v>
          </cell>
          <cell r="W8">
            <v>53</v>
          </cell>
          <cell r="X8">
            <v>120.08333333333333</v>
          </cell>
        </row>
        <row r="9">
          <cell r="Q9">
            <v>2799804</v>
          </cell>
          <cell r="R9">
            <v>6667860</v>
          </cell>
          <cell r="U9">
            <v>89.5</v>
          </cell>
          <cell r="V9">
            <v>216.66666666666666</v>
          </cell>
          <cell r="W9">
            <v>76.333333333333329</v>
          </cell>
          <cell r="X9">
            <v>196.41666666666666</v>
          </cell>
        </row>
        <row r="10">
          <cell r="Q10">
            <v>2974932</v>
          </cell>
          <cell r="R10">
            <v>9642792</v>
          </cell>
          <cell r="U10">
            <v>107.16666666666667</v>
          </cell>
          <cell r="V10">
            <v>323.83333333333331</v>
          </cell>
          <cell r="W10">
            <v>69.916666666666671</v>
          </cell>
          <cell r="X10">
            <v>266.33333333333331</v>
          </cell>
        </row>
        <row r="11">
          <cell r="Q11">
            <v>2209728</v>
          </cell>
          <cell r="R11">
            <v>11852520</v>
          </cell>
          <cell r="U11">
            <v>75.583333333333329</v>
          </cell>
          <cell r="V11">
            <v>399.41666666666663</v>
          </cell>
          <cell r="W11">
            <v>50.083333333333336</v>
          </cell>
          <cell r="X11">
            <v>316.41666666666663</v>
          </cell>
        </row>
        <row r="12">
          <cell r="Q12">
            <v>2162571</v>
          </cell>
          <cell r="R12">
            <v>14015091</v>
          </cell>
          <cell r="U12">
            <v>60.833333333333336</v>
          </cell>
          <cell r="V12">
            <v>460.24999999999994</v>
          </cell>
          <cell r="W12">
            <v>55.25</v>
          </cell>
          <cell r="X12">
            <v>371.66666666666663</v>
          </cell>
        </row>
        <row r="13">
          <cell r="Q13">
            <v>2208756</v>
          </cell>
          <cell r="R13">
            <v>16223847</v>
          </cell>
          <cell r="U13">
            <v>67.416666666666671</v>
          </cell>
          <cell r="V13">
            <v>527.66666666666663</v>
          </cell>
          <cell r="W13">
            <v>57.833333333333336</v>
          </cell>
          <cell r="X13">
            <v>429.49999999999994</v>
          </cell>
        </row>
        <row r="14">
          <cell r="Q14">
            <v>1239648</v>
          </cell>
          <cell r="R14">
            <v>17463495</v>
          </cell>
          <cell r="U14">
            <v>42.666666666666664</v>
          </cell>
          <cell r="V14">
            <v>570.33333333333326</v>
          </cell>
          <cell r="W14">
            <v>23</v>
          </cell>
          <cell r="X14">
            <v>452.49999999999994</v>
          </cell>
        </row>
        <row r="15">
          <cell r="Q15">
            <v>1546740</v>
          </cell>
          <cell r="R15">
            <v>19010235</v>
          </cell>
          <cell r="U15">
            <v>41.666666666666664</v>
          </cell>
          <cell r="V15">
            <v>611.99999999999989</v>
          </cell>
          <cell r="W15">
            <v>36.5</v>
          </cell>
          <cell r="X15">
            <v>488.99999999999994</v>
          </cell>
        </row>
        <row r="16">
          <cell r="Q16">
            <v>2002572</v>
          </cell>
          <cell r="R16">
            <v>21012807</v>
          </cell>
          <cell r="U16">
            <v>67.75</v>
          </cell>
          <cell r="V16">
            <v>679.74999999999989</v>
          </cell>
          <cell r="W16">
            <v>38.583333333333336</v>
          </cell>
          <cell r="X16">
            <v>527.58333333333326</v>
          </cell>
        </row>
        <row r="17">
          <cell r="Q17">
            <v>2886972</v>
          </cell>
          <cell r="R17">
            <v>23899779</v>
          </cell>
          <cell r="U17">
            <v>58.5</v>
          </cell>
          <cell r="V17">
            <v>738.24999999999989</v>
          </cell>
          <cell r="W17">
            <v>79.833333333333329</v>
          </cell>
          <cell r="X17">
            <v>607.41666666666663</v>
          </cell>
        </row>
        <row r="18">
          <cell r="Q18">
            <v>2436180</v>
          </cell>
          <cell r="R18">
            <v>26335959</v>
          </cell>
          <cell r="U18">
            <v>41.583333333333336</v>
          </cell>
          <cell r="V18">
            <v>779.83333333333326</v>
          </cell>
          <cell r="W18">
            <v>67.583333333333329</v>
          </cell>
          <cell r="X18">
            <v>675</v>
          </cell>
        </row>
        <row r="19">
          <cell r="W19">
            <v>81.083333333333329</v>
          </cell>
        </row>
        <row r="20">
          <cell r="W20">
            <v>48.5</v>
          </cell>
        </row>
        <row r="21">
          <cell r="W21">
            <v>80.333333333333329</v>
          </cell>
        </row>
        <row r="22">
          <cell r="W22">
            <v>75.416666666666671</v>
          </cell>
        </row>
        <row r="23">
          <cell r="W23">
            <v>42.333333333333336</v>
          </cell>
        </row>
        <row r="24">
          <cell r="W24">
            <v>61.666666666666664</v>
          </cell>
        </row>
        <row r="25">
          <cell r="W25">
            <v>62</v>
          </cell>
        </row>
        <row r="26">
          <cell r="W26">
            <v>48.75</v>
          </cell>
        </row>
        <row r="27">
          <cell r="W27">
            <v>18</v>
          </cell>
        </row>
        <row r="28">
          <cell r="W28">
            <v>91.75</v>
          </cell>
        </row>
        <row r="29">
          <cell r="W29">
            <v>67.5</v>
          </cell>
        </row>
        <row r="30">
          <cell r="W30">
            <v>42.75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04"/>
      <sheetName val="SIMHL"/>
      <sheetName val="BASEHL"/>
      <sheetName val="SIMHLBC"/>
      <sheetName val="SIMHL20"/>
      <sheetName val="GAMHL"/>
      <sheetName val="BLLE-CAS"/>
      <sheetName val="BLLE-tonn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 avec Bi"/>
      <sheetName val="XMQ_Cumul Bi"/>
      <sheetName val="Sommaire"/>
      <sheetName val="Commentaires G"/>
      <sheetName val="Commentaires 1"/>
      <sheetName val="Commentaires"/>
      <sheetName val="XMQBUD_Cumul"/>
      <sheetName val="XMQR2_Cumul"/>
      <sheetName val="XMQ V R2"/>
      <sheetName val="XMQ V2 V V1"/>
      <sheetName val="XMQBUD_Cumul BG 25%"/>
      <sheetName val="Charges_RB"/>
      <sheetName val="Charges_RR2"/>
      <sheetName val="Résultat financier"/>
      <sheetName val="XMQ_Mois"/>
      <sheetName val="Bilan"/>
      <sheetName val="TER"/>
      <sheetName val="TER_R2"/>
      <sheetName val="Prod"/>
      <sheetName val="Ventes"/>
      <sheetName val="Ventes_R2"/>
      <sheetName val="Marge Brute"/>
      <sheetName val="XMQ_Mensuel"/>
      <sheetName val="Invest"/>
      <sheetName val="Cessions"/>
      <sheetName val="Reconc_Emb"/>
      <sheetName val="Emprunts"/>
      <sheetName val="DGE"/>
      <sheetName val="Interco Groupe SABC"/>
      <sheetName val="Interco Stés Etrangères"/>
      <sheetName val="Provi"/>
      <sheetName val="Achat_Emb"/>
      <sheetName val="Chiff_d'Aff"/>
      <sheetName val="Chiff_d'Aff_R2"/>
      <sheetName val="Stocks"/>
      <sheetName val="RdM_ITS"/>
      <sheetName val="Suivi_MP"/>
      <sheetName val="RdM "/>
      <sheetName val="RdM_R2"/>
      <sheetName val="A.T."/>
      <sheetName val="A.T._R2"/>
      <sheetName val="Trésor"/>
      <sheetName val="Impôts"/>
      <sheetName val="Impôts_R2"/>
      <sheetName val="XMQ_B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Bal_Bilan fc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C3">
            <v>0</v>
          </cell>
          <cell r="D3">
            <v>11083630000</v>
          </cell>
          <cell r="E3">
            <v>0</v>
          </cell>
          <cell r="F3" t="str">
            <v>U01</v>
          </cell>
        </row>
        <row r="4">
          <cell r="C4">
            <v>0</v>
          </cell>
          <cell r="D4">
            <v>624543000</v>
          </cell>
          <cell r="E4">
            <v>0</v>
          </cell>
          <cell r="F4" t="str">
            <v>U031</v>
          </cell>
        </row>
        <row r="5">
          <cell r="C5">
            <v>0</v>
          </cell>
          <cell r="D5">
            <v>4302655342</v>
          </cell>
          <cell r="E5">
            <v>0</v>
          </cell>
          <cell r="F5" t="str">
            <v>U032</v>
          </cell>
        </row>
        <row r="6">
          <cell r="C6">
            <v>0</v>
          </cell>
          <cell r="D6">
            <v>9249727390</v>
          </cell>
          <cell r="E6">
            <v>0</v>
          </cell>
          <cell r="F6" t="str">
            <v>U033</v>
          </cell>
        </row>
        <row r="7">
          <cell r="C7">
            <v>0</v>
          </cell>
          <cell r="D7">
            <v>37031822737</v>
          </cell>
          <cell r="E7">
            <v>0</v>
          </cell>
          <cell r="F7" t="str">
            <v>U033</v>
          </cell>
        </row>
        <row r="8">
          <cell r="C8">
            <v>0</v>
          </cell>
          <cell r="D8">
            <v>2216726000</v>
          </cell>
          <cell r="E8">
            <v>0</v>
          </cell>
          <cell r="F8" t="str">
            <v>U02</v>
          </cell>
        </row>
        <row r="9">
          <cell r="C9">
            <v>0</v>
          </cell>
          <cell r="D9">
            <v>38650558686</v>
          </cell>
          <cell r="E9">
            <v>0</v>
          </cell>
          <cell r="F9" t="str">
            <v>U02</v>
          </cell>
        </row>
        <row r="10">
          <cell r="C10">
            <v>0</v>
          </cell>
          <cell r="D10">
            <v>7850130027</v>
          </cell>
          <cell r="E10">
            <v>0</v>
          </cell>
          <cell r="F10" t="str">
            <v>U04</v>
          </cell>
        </row>
        <row r="11">
          <cell r="C11">
            <v>0</v>
          </cell>
          <cell r="D11">
            <v>13191653078</v>
          </cell>
          <cell r="E11">
            <v>0</v>
          </cell>
          <cell r="F11" t="str">
            <v>W02</v>
          </cell>
        </row>
        <row r="12">
          <cell r="C12">
            <v>0</v>
          </cell>
          <cell r="D12">
            <v>674691103</v>
          </cell>
          <cell r="E12">
            <v>0</v>
          </cell>
          <cell r="F12" t="str">
            <v>V012</v>
          </cell>
        </row>
        <row r="13">
          <cell r="C13">
            <v>0</v>
          </cell>
          <cell r="D13">
            <v>158629383</v>
          </cell>
          <cell r="E13">
            <v>0</v>
          </cell>
          <cell r="F13" t="str">
            <v>V012</v>
          </cell>
        </row>
        <row r="14">
          <cell r="C14">
            <v>0</v>
          </cell>
          <cell r="D14">
            <v>10420418190</v>
          </cell>
          <cell r="E14">
            <v>0</v>
          </cell>
          <cell r="F14" t="str">
            <v>V013</v>
          </cell>
        </row>
        <row r="15">
          <cell r="C15">
            <v>0</v>
          </cell>
          <cell r="D15">
            <v>1042565601</v>
          </cell>
          <cell r="E15">
            <v>0</v>
          </cell>
          <cell r="F15" t="str">
            <v>V013</v>
          </cell>
        </row>
        <row r="16">
          <cell r="C16">
            <v>0</v>
          </cell>
          <cell r="D16">
            <v>391900876</v>
          </cell>
          <cell r="E16">
            <v>0</v>
          </cell>
          <cell r="F16" t="str">
            <v>V013</v>
          </cell>
        </row>
        <row r="17">
          <cell r="C17">
            <v>0</v>
          </cell>
          <cell r="D17">
            <v>716471351</v>
          </cell>
          <cell r="E17">
            <v>0</v>
          </cell>
          <cell r="F17" t="str">
            <v>V013</v>
          </cell>
        </row>
        <row r="18">
          <cell r="C18">
            <v>0</v>
          </cell>
          <cell r="D18">
            <v>80552251</v>
          </cell>
          <cell r="E18">
            <v>0</v>
          </cell>
          <cell r="F18" t="str">
            <v>V013</v>
          </cell>
        </row>
        <row r="19">
          <cell r="C19">
            <v>0</v>
          </cell>
          <cell r="D19">
            <v>402954755</v>
          </cell>
          <cell r="E19">
            <v>0</v>
          </cell>
          <cell r="F19" t="str">
            <v>V013</v>
          </cell>
        </row>
        <row r="20">
          <cell r="C20">
            <v>0</v>
          </cell>
          <cell r="D20">
            <v>27543473877</v>
          </cell>
          <cell r="E20">
            <v>0</v>
          </cell>
          <cell r="F20" t="str">
            <v>V014</v>
          </cell>
        </row>
        <row r="21">
          <cell r="C21">
            <v>0</v>
          </cell>
          <cell r="D21">
            <v>1500000000</v>
          </cell>
          <cell r="E21">
            <v>0</v>
          </cell>
          <cell r="F21" t="str">
            <v>V014</v>
          </cell>
        </row>
        <row r="22">
          <cell r="C22">
            <v>0</v>
          </cell>
          <cell r="D22">
            <v>500000000</v>
          </cell>
          <cell r="E22">
            <v>0</v>
          </cell>
          <cell r="F22" t="str">
            <v>V014</v>
          </cell>
        </row>
        <row r="23">
          <cell r="C23">
            <v>0</v>
          </cell>
          <cell r="D23">
            <v>150000000</v>
          </cell>
          <cell r="E23">
            <v>0</v>
          </cell>
          <cell r="F23" t="str">
            <v>V011</v>
          </cell>
        </row>
        <row r="24">
          <cell r="C24">
            <v>0</v>
          </cell>
          <cell r="D24">
            <v>17673219</v>
          </cell>
          <cell r="E24">
            <v>0</v>
          </cell>
          <cell r="F24" t="str">
            <v>V015</v>
          </cell>
        </row>
        <row r="25">
          <cell r="C25">
            <v>5492382</v>
          </cell>
          <cell r="D25">
            <v>0</v>
          </cell>
          <cell r="E25" t="str">
            <v>Q011</v>
          </cell>
          <cell r="F25">
            <v>0</v>
          </cell>
        </row>
        <row r="26">
          <cell r="C26">
            <v>-5492382</v>
          </cell>
          <cell r="D26">
            <v>0</v>
          </cell>
          <cell r="E26" t="str">
            <v>Q011</v>
          </cell>
          <cell r="F26">
            <v>0</v>
          </cell>
        </row>
        <row r="27">
          <cell r="C27">
            <v>870971224</v>
          </cell>
          <cell r="D27">
            <v>0</v>
          </cell>
          <cell r="E27" t="str">
            <v>Q011</v>
          </cell>
          <cell r="F27">
            <v>0</v>
          </cell>
        </row>
        <row r="28">
          <cell r="C28">
            <v>6169564162</v>
          </cell>
          <cell r="D28">
            <v>0</v>
          </cell>
          <cell r="E28" t="str">
            <v>Q011</v>
          </cell>
          <cell r="F28">
            <v>0</v>
          </cell>
        </row>
        <row r="29">
          <cell r="C29">
            <v>6601433480</v>
          </cell>
          <cell r="D29">
            <v>0</v>
          </cell>
          <cell r="E29" t="str">
            <v>Q011</v>
          </cell>
          <cell r="F29">
            <v>0</v>
          </cell>
        </row>
        <row r="30">
          <cell r="C30">
            <v>3574541517</v>
          </cell>
          <cell r="D30">
            <v>0</v>
          </cell>
          <cell r="E30" t="str">
            <v>Q02</v>
          </cell>
          <cell r="F30">
            <v>0</v>
          </cell>
        </row>
        <row r="31">
          <cell r="C31">
            <v>43843965</v>
          </cell>
          <cell r="D31">
            <v>0</v>
          </cell>
          <cell r="E31" t="str">
            <v>Q02</v>
          </cell>
          <cell r="F31">
            <v>0</v>
          </cell>
        </row>
        <row r="32">
          <cell r="C32">
            <v>2648293910</v>
          </cell>
          <cell r="D32">
            <v>0</v>
          </cell>
          <cell r="E32" t="str">
            <v>Q02</v>
          </cell>
          <cell r="F32">
            <v>0</v>
          </cell>
        </row>
        <row r="33">
          <cell r="C33">
            <v>9380000</v>
          </cell>
          <cell r="D33">
            <v>0</v>
          </cell>
          <cell r="E33" t="str">
            <v>Q02</v>
          </cell>
          <cell r="F33">
            <v>0</v>
          </cell>
        </row>
        <row r="34">
          <cell r="C34">
            <v>7821161105</v>
          </cell>
          <cell r="D34">
            <v>0</v>
          </cell>
          <cell r="E34" t="str">
            <v>Q03</v>
          </cell>
          <cell r="F34">
            <v>0</v>
          </cell>
        </row>
        <row r="35">
          <cell r="C35">
            <v>3057337486</v>
          </cell>
          <cell r="D35">
            <v>0</v>
          </cell>
          <cell r="E35" t="str">
            <v>Q03</v>
          </cell>
          <cell r="F35">
            <v>0</v>
          </cell>
        </row>
        <row r="36">
          <cell r="C36">
            <v>584790259</v>
          </cell>
          <cell r="D36">
            <v>0</v>
          </cell>
          <cell r="E36" t="str">
            <v>Q03</v>
          </cell>
          <cell r="F36">
            <v>0</v>
          </cell>
        </row>
        <row r="37">
          <cell r="C37">
            <v>9273558730</v>
          </cell>
          <cell r="D37">
            <v>0</v>
          </cell>
          <cell r="E37" t="str">
            <v>Q03</v>
          </cell>
          <cell r="F37">
            <v>0</v>
          </cell>
        </row>
        <row r="38">
          <cell r="C38">
            <v>1411771639</v>
          </cell>
          <cell r="D38">
            <v>0</v>
          </cell>
          <cell r="E38" t="str">
            <v>Q03</v>
          </cell>
          <cell r="F38">
            <v>0</v>
          </cell>
        </row>
        <row r="39">
          <cell r="C39">
            <v>2364114832</v>
          </cell>
          <cell r="D39">
            <v>0</v>
          </cell>
          <cell r="E39" t="str">
            <v>Q03</v>
          </cell>
          <cell r="F39">
            <v>0</v>
          </cell>
        </row>
        <row r="40">
          <cell r="C40">
            <v>250299703</v>
          </cell>
          <cell r="D40">
            <v>0</v>
          </cell>
          <cell r="E40" t="str">
            <v>Q03</v>
          </cell>
          <cell r="F40">
            <v>0</v>
          </cell>
        </row>
        <row r="41">
          <cell r="C41">
            <v>181801296</v>
          </cell>
          <cell r="D41">
            <v>0</v>
          </cell>
          <cell r="E41" t="str">
            <v>Q03</v>
          </cell>
          <cell r="F41">
            <v>0</v>
          </cell>
        </row>
        <row r="42">
          <cell r="C42">
            <v>1686401823</v>
          </cell>
          <cell r="D42">
            <v>0</v>
          </cell>
          <cell r="E42" t="str">
            <v>Q03</v>
          </cell>
          <cell r="F42">
            <v>0</v>
          </cell>
        </row>
        <row r="43">
          <cell r="C43">
            <v>104096582</v>
          </cell>
          <cell r="D43">
            <v>0</v>
          </cell>
          <cell r="E43" t="str">
            <v>Q03</v>
          </cell>
          <cell r="F43">
            <v>0</v>
          </cell>
        </row>
        <row r="44">
          <cell r="C44">
            <v>15028100</v>
          </cell>
          <cell r="D44">
            <v>0</v>
          </cell>
          <cell r="E44" t="str">
            <v>Q03</v>
          </cell>
          <cell r="F44">
            <v>0</v>
          </cell>
        </row>
        <row r="45">
          <cell r="C45">
            <v>2703179</v>
          </cell>
          <cell r="D45">
            <v>0</v>
          </cell>
          <cell r="E45" t="str">
            <v>Q03</v>
          </cell>
          <cell r="F45">
            <v>0</v>
          </cell>
        </row>
        <row r="46">
          <cell r="C46">
            <v>27965779293</v>
          </cell>
          <cell r="D46">
            <v>0</v>
          </cell>
          <cell r="E46" t="str">
            <v>Q03</v>
          </cell>
          <cell r="F46">
            <v>0</v>
          </cell>
        </row>
        <row r="47">
          <cell r="C47">
            <v>50485137</v>
          </cell>
          <cell r="D47">
            <v>0</v>
          </cell>
          <cell r="E47" t="str">
            <v>Q03</v>
          </cell>
          <cell r="F47">
            <v>0</v>
          </cell>
        </row>
        <row r="48">
          <cell r="C48">
            <v>12274243086</v>
          </cell>
          <cell r="D48">
            <v>0</v>
          </cell>
          <cell r="E48" t="str">
            <v>Q03</v>
          </cell>
          <cell r="F48">
            <v>0</v>
          </cell>
        </row>
        <row r="49">
          <cell r="C49">
            <v>340678472</v>
          </cell>
          <cell r="D49">
            <v>0</v>
          </cell>
          <cell r="E49" t="str">
            <v>Q03</v>
          </cell>
          <cell r="F49">
            <v>0</v>
          </cell>
        </row>
        <row r="50">
          <cell r="C50">
            <v>540180014</v>
          </cell>
          <cell r="D50">
            <v>0</v>
          </cell>
          <cell r="E50" t="str">
            <v>Q08</v>
          </cell>
          <cell r="F50">
            <v>0</v>
          </cell>
        </row>
        <row r="51">
          <cell r="C51">
            <v>789756636</v>
          </cell>
          <cell r="D51">
            <v>0</v>
          </cell>
          <cell r="E51" t="str">
            <v>Q08</v>
          </cell>
          <cell r="F51">
            <v>0</v>
          </cell>
        </row>
        <row r="52">
          <cell r="C52">
            <v>676297</v>
          </cell>
          <cell r="D52">
            <v>0</v>
          </cell>
          <cell r="E52" t="str">
            <v>Q08</v>
          </cell>
          <cell r="F52">
            <v>0</v>
          </cell>
        </row>
        <row r="53">
          <cell r="C53">
            <v>5800000</v>
          </cell>
          <cell r="D53">
            <v>0</v>
          </cell>
          <cell r="E53" t="str">
            <v>Q08</v>
          </cell>
          <cell r="F53">
            <v>0</v>
          </cell>
        </row>
        <row r="54">
          <cell r="C54">
            <v>186906464354</v>
          </cell>
          <cell r="D54">
            <v>0</v>
          </cell>
          <cell r="E54" t="str">
            <v>Q04</v>
          </cell>
          <cell r="F54">
            <v>0</v>
          </cell>
        </row>
        <row r="55">
          <cell r="C55">
            <v>9254703054</v>
          </cell>
          <cell r="D55">
            <v>0</v>
          </cell>
          <cell r="E55" t="str">
            <v>Q04</v>
          </cell>
          <cell r="F55">
            <v>0</v>
          </cell>
        </row>
        <row r="56">
          <cell r="C56">
            <v>11915764235</v>
          </cell>
          <cell r="D56">
            <v>0</v>
          </cell>
          <cell r="E56" t="str">
            <v>Q04</v>
          </cell>
          <cell r="F56">
            <v>0</v>
          </cell>
        </row>
        <row r="57">
          <cell r="C57">
            <v>1783557490</v>
          </cell>
          <cell r="D57">
            <v>0</v>
          </cell>
          <cell r="E57" t="str">
            <v>Q04</v>
          </cell>
          <cell r="F57">
            <v>0</v>
          </cell>
        </row>
        <row r="58">
          <cell r="C58">
            <v>27982924</v>
          </cell>
          <cell r="D58">
            <v>0</v>
          </cell>
          <cell r="E58" t="str">
            <v>Q04</v>
          </cell>
          <cell r="F58">
            <v>0</v>
          </cell>
        </row>
        <row r="59">
          <cell r="C59">
            <v>912527560</v>
          </cell>
          <cell r="D59">
            <v>0</v>
          </cell>
          <cell r="E59" t="str">
            <v>Q05</v>
          </cell>
          <cell r="F59">
            <v>0</v>
          </cell>
        </row>
        <row r="60">
          <cell r="C60">
            <v>89717004</v>
          </cell>
          <cell r="D60">
            <v>0</v>
          </cell>
          <cell r="E60" t="str">
            <v>Q05</v>
          </cell>
          <cell r="F60">
            <v>0</v>
          </cell>
        </row>
        <row r="61">
          <cell r="C61">
            <v>10932145423</v>
          </cell>
          <cell r="D61">
            <v>0</v>
          </cell>
          <cell r="E61" t="str">
            <v>Q07</v>
          </cell>
          <cell r="F61">
            <v>0</v>
          </cell>
        </row>
        <row r="62">
          <cell r="C62">
            <v>3486684</v>
          </cell>
          <cell r="D62">
            <v>0</v>
          </cell>
          <cell r="E62" t="str">
            <v>Q07</v>
          </cell>
          <cell r="F62">
            <v>0</v>
          </cell>
        </row>
        <row r="63">
          <cell r="C63">
            <v>7954465095</v>
          </cell>
          <cell r="D63">
            <v>0</v>
          </cell>
          <cell r="E63" t="str">
            <v>Q05</v>
          </cell>
          <cell r="F63">
            <v>0</v>
          </cell>
        </row>
        <row r="64">
          <cell r="C64">
            <v>2866558160</v>
          </cell>
          <cell r="D64">
            <v>0</v>
          </cell>
          <cell r="E64" t="str">
            <v>Q07</v>
          </cell>
          <cell r="F64">
            <v>0</v>
          </cell>
        </row>
        <row r="65">
          <cell r="C65">
            <v>47131890</v>
          </cell>
          <cell r="D65">
            <v>0</v>
          </cell>
          <cell r="E65" t="str">
            <v>Q07</v>
          </cell>
          <cell r="F65">
            <v>0</v>
          </cell>
        </row>
        <row r="66">
          <cell r="C66">
            <v>13684494329</v>
          </cell>
          <cell r="D66">
            <v>0</v>
          </cell>
          <cell r="E66" t="str">
            <v>Q07</v>
          </cell>
          <cell r="F66">
            <v>0</v>
          </cell>
        </row>
        <row r="67">
          <cell r="C67">
            <v>2712851</v>
          </cell>
          <cell r="D67">
            <v>0</v>
          </cell>
          <cell r="E67" t="str">
            <v>Q07</v>
          </cell>
          <cell r="F67">
            <v>0</v>
          </cell>
        </row>
        <row r="68">
          <cell r="C68">
            <v>1357123081</v>
          </cell>
          <cell r="D68">
            <v>0</v>
          </cell>
          <cell r="E68" t="str">
            <v>Q07</v>
          </cell>
          <cell r="F68">
            <v>0</v>
          </cell>
        </row>
        <row r="69">
          <cell r="C69">
            <v>459884133</v>
          </cell>
          <cell r="D69">
            <v>0</v>
          </cell>
          <cell r="E69" t="str">
            <v>Q07</v>
          </cell>
          <cell r="F69">
            <v>0</v>
          </cell>
        </row>
        <row r="70">
          <cell r="C70">
            <v>500234579</v>
          </cell>
          <cell r="D70">
            <v>0</v>
          </cell>
          <cell r="E70" t="str">
            <v>Q07</v>
          </cell>
          <cell r="F70">
            <v>0</v>
          </cell>
        </row>
        <row r="71">
          <cell r="C71">
            <v>16582500</v>
          </cell>
          <cell r="D71">
            <v>0</v>
          </cell>
          <cell r="E71" t="str">
            <v>Q07</v>
          </cell>
          <cell r="F71">
            <v>0</v>
          </cell>
        </row>
        <row r="72">
          <cell r="C72">
            <v>3506363917</v>
          </cell>
          <cell r="D72">
            <v>0</v>
          </cell>
          <cell r="E72" t="str">
            <v>Q06</v>
          </cell>
          <cell r="F72">
            <v>0</v>
          </cell>
        </row>
        <row r="73">
          <cell r="C73">
            <v>1852631</v>
          </cell>
          <cell r="D73">
            <v>0</v>
          </cell>
          <cell r="E73" t="str">
            <v>Q06</v>
          </cell>
          <cell r="F73">
            <v>0</v>
          </cell>
        </row>
        <row r="74">
          <cell r="C74">
            <v>13509640173</v>
          </cell>
          <cell r="D74">
            <v>0</v>
          </cell>
          <cell r="E74" t="str">
            <v>Q06</v>
          </cell>
          <cell r="F74">
            <v>0</v>
          </cell>
        </row>
        <row r="75">
          <cell r="C75">
            <v>85846727</v>
          </cell>
          <cell r="D75">
            <v>0</v>
          </cell>
          <cell r="E75" t="str">
            <v>Q06</v>
          </cell>
          <cell r="F75">
            <v>0</v>
          </cell>
        </row>
        <row r="76">
          <cell r="C76">
            <v>1641435219</v>
          </cell>
          <cell r="D76">
            <v>0</v>
          </cell>
          <cell r="E76" t="str">
            <v>Q06</v>
          </cell>
          <cell r="F76">
            <v>0</v>
          </cell>
        </row>
        <row r="77">
          <cell r="C77">
            <v>21265214</v>
          </cell>
          <cell r="D77">
            <v>0</v>
          </cell>
          <cell r="E77" t="str">
            <v>Q06</v>
          </cell>
          <cell r="F77">
            <v>0</v>
          </cell>
        </row>
        <row r="78">
          <cell r="C78">
            <v>1050017509</v>
          </cell>
          <cell r="D78">
            <v>0</v>
          </cell>
          <cell r="E78" t="str">
            <v>Q06</v>
          </cell>
          <cell r="F78">
            <v>0</v>
          </cell>
        </row>
        <row r="79">
          <cell r="C79">
            <v>8751385</v>
          </cell>
          <cell r="D79">
            <v>0</v>
          </cell>
          <cell r="E79" t="str">
            <v>Q06</v>
          </cell>
          <cell r="F79">
            <v>0</v>
          </cell>
        </row>
        <row r="80">
          <cell r="C80">
            <v>9945078427</v>
          </cell>
          <cell r="D80">
            <v>0</v>
          </cell>
          <cell r="E80" t="str">
            <v>Q06</v>
          </cell>
          <cell r="F80">
            <v>0</v>
          </cell>
        </row>
        <row r="81">
          <cell r="C81">
            <v>77613270</v>
          </cell>
          <cell r="D81">
            <v>0</v>
          </cell>
          <cell r="E81" t="str">
            <v>Q06</v>
          </cell>
          <cell r="F81">
            <v>0</v>
          </cell>
        </row>
        <row r="82">
          <cell r="C82">
            <v>479603654</v>
          </cell>
          <cell r="D82">
            <v>0</v>
          </cell>
          <cell r="E82" t="str">
            <v>Q06</v>
          </cell>
          <cell r="F82">
            <v>0</v>
          </cell>
        </row>
        <row r="83">
          <cell r="C83">
            <v>238853296</v>
          </cell>
          <cell r="D83">
            <v>0</v>
          </cell>
          <cell r="E83" t="str">
            <v>Q06</v>
          </cell>
          <cell r="F83">
            <v>0</v>
          </cell>
        </row>
        <row r="84">
          <cell r="C84">
            <v>8644</v>
          </cell>
          <cell r="D84">
            <v>0</v>
          </cell>
          <cell r="E84" t="str">
            <v>Q06</v>
          </cell>
          <cell r="F84">
            <v>0</v>
          </cell>
        </row>
        <row r="85">
          <cell r="C85">
            <v>22967033</v>
          </cell>
          <cell r="D85">
            <v>0</v>
          </cell>
          <cell r="E85" t="str">
            <v>Q03</v>
          </cell>
          <cell r="F85">
            <v>0</v>
          </cell>
        </row>
        <row r="86">
          <cell r="C86">
            <v>632447330</v>
          </cell>
          <cell r="D86">
            <v>0</v>
          </cell>
          <cell r="E86" t="str">
            <v>Q08</v>
          </cell>
          <cell r="F86">
            <v>0</v>
          </cell>
        </row>
        <row r="87">
          <cell r="C87">
            <v>582838577</v>
          </cell>
          <cell r="D87">
            <v>0</v>
          </cell>
          <cell r="E87" t="str">
            <v>Q08</v>
          </cell>
          <cell r="F87">
            <v>0</v>
          </cell>
        </row>
        <row r="88">
          <cell r="C88">
            <v>16563899156</v>
          </cell>
          <cell r="D88">
            <v>0</v>
          </cell>
          <cell r="E88" t="str">
            <v>Q08</v>
          </cell>
          <cell r="F88">
            <v>0</v>
          </cell>
        </row>
        <row r="89">
          <cell r="C89">
            <v>776616274</v>
          </cell>
          <cell r="D89">
            <v>0</v>
          </cell>
          <cell r="E89" t="str">
            <v>Q08</v>
          </cell>
          <cell r="F89">
            <v>0</v>
          </cell>
        </row>
        <row r="90">
          <cell r="C90">
            <v>6281630</v>
          </cell>
          <cell r="D90">
            <v>0</v>
          </cell>
          <cell r="E90" t="str">
            <v>Q08</v>
          </cell>
          <cell r="F90">
            <v>0</v>
          </cell>
        </row>
        <row r="91">
          <cell r="C91">
            <v>18550708</v>
          </cell>
          <cell r="D91">
            <v>0</v>
          </cell>
          <cell r="E91" t="str">
            <v>Q08</v>
          </cell>
          <cell r="F91">
            <v>0</v>
          </cell>
        </row>
        <row r="92">
          <cell r="C92">
            <v>30117394</v>
          </cell>
          <cell r="D92">
            <v>0</v>
          </cell>
          <cell r="E92" t="str">
            <v>Q08</v>
          </cell>
          <cell r="F92">
            <v>0</v>
          </cell>
        </row>
        <row r="93">
          <cell r="C93">
            <v>655861</v>
          </cell>
          <cell r="D93">
            <v>0</v>
          </cell>
          <cell r="E93" t="str">
            <v>Q08</v>
          </cell>
          <cell r="F93">
            <v>0</v>
          </cell>
        </row>
        <row r="94">
          <cell r="C94">
            <v>3339575</v>
          </cell>
          <cell r="D94">
            <v>0</v>
          </cell>
          <cell r="E94" t="str">
            <v>Q08</v>
          </cell>
          <cell r="F94">
            <v>0</v>
          </cell>
        </row>
        <row r="95">
          <cell r="C95">
            <v>286445</v>
          </cell>
          <cell r="D95">
            <v>0</v>
          </cell>
          <cell r="E95" t="str">
            <v>Q08</v>
          </cell>
          <cell r="F95">
            <v>0</v>
          </cell>
        </row>
        <row r="96">
          <cell r="C96">
            <v>310317842</v>
          </cell>
          <cell r="D96">
            <v>0</v>
          </cell>
          <cell r="E96" t="str">
            <v>Q08</v>
          </cell>
          <cell r="F96">
            <v>0</v>
          </cell>
        </row>
        <row r="97">
          <cell r="C97">
            <v>450000</v>
          </cell>
          <cell r="D97">
            <v>0</v>
          </cell>
          <cell r="E97" t="str">
            <v>Q08</v>
          </cell>
          <cell r="F97">
            <v>0</v>
          </cell>
        </row>
        <row r="98">
          <cell r="C98">
            <v>22178479</v>
          </cell>
          <cell r="D98">
            <v>0</v>
          </cell>
          <cell r="E98" t="str">
            <v>Q08</v>
          </cell>
          <cell r="F98">
            <v>0</v>
          </cell>
        </row>
        <row r="99">
          <cell r="C99">
            <v>112256559</v>
          </cell>
          <cell r="D99">
            <v>0</v>
          </cell>
          <cell r="E99" t="str">
            <v>Q08</v>
          </cell>
          <cell r="F99">
            <v>0</v>
          </cell>
        </row>
        <row r="100">
          <cell r="C100">
            <v>27966633</v>
          </cell>
          <cell r="D100">
            <v>0</v>
          </cell>
          <cell r="E100" t="str">
            <v>Q08</v>
          </cell>
          <cell r="F100">
            <v>0</v>
          </cell>
        </row>
        <row r="101">
          <cell r="C101">
            <v>65714125</v>
          </cell>
          <cell r="D101">
            <v>0</v>
          </cell>
          <cell r="E101" t="str">
            <v>Q08</v>
          </cell>
          <cell r="F101">
            <v>0</v>
          </cell>
        </row>
        <row r="102">
          <cell r="C102">
            <v>311852500</v>
          </cell>
          <cell r="D102">
            <v>0</v>
          </cell>
          <cell r="E102" t="str">
            <v>Q08</v>
          </cell>
          <cell r="F102">
            <v>0</v>
          </cell>
        </row>
        <row r="103">
          <cell r="C103">
            <v>11633188</v>
          </cell>
          <cell r="D103">
            <v>0</v>
          </cell>
          <cell r="E103" t="str">
            <v>Q08</v>
          </cell>
          <cell r="F103">
            <v>0</v>
          </cell>
        </row>
        <row r="104">
          <cell r="C104">
            <v>389310</v>
          </cell>
          <cell r="D104">
            <v>0</v>
          </cell>
          <cell r="E104" t="str">
            <v>Q08</v>
          </cell>
          <cell r="F104">
            <v>0</v>
          </cell>
        </row>
        <row r="105">
          <cell r="C105">
            <v>1163726</v>
          </cell>
          <cell r="D105">
            <v>0</v>
          </cell>
          <cell r="E105" t="str">
            <v>Q08</v>
          </cell>
          <cell r="F105">
            <v>0</v>
          </cell>
        </row>
        <row r="106">
          <cell r="C106">
            <v>2200323</v>
          </cell>
          <cell r="D106">
            <v>0</v>
          </cell>
          <cell r="E106" t="str">
            <v>Q08</v>
          </cell>
          <cell r="F106">
            <v>0</v>
          </cell>
        </row>
        <row r="107">
          <cell r="C107">
            <v>2824155</v>
          </cell>
          <cell r="D107">
            <v>0</v>
          </cell>
          <cell r="E107" t="str">
            <v>Q08</v>
          </cell>
          <cell r="F107">
            <v>0</v>
          </cell>
        </row>
        <row r="108">
          <cell r="C108">
            <v>142287581</v>
          </cell>
          <cell r="D108">
            <v>0</v>
          </cell>
          <cell r="E108" t="str">
            <v>Q08</v>
          </cell>
          <cell r="F108">
            <v>0</v>
          </cell>
        </row>
        <row r="109">
          <cell r="C109">
            <v>42612</v>
          </cell>
          <cell r="D109">
            <v>0</v>
          </cell>
          <cell r="E109" t="str">
            <v>Q08</v>
          </cell>
          <cell r="F109">
            <v>0</v>
          </cell>
        </row>
        <row r="110">
          <cell r="C110">
            <v>198776</v>
          </cell>
          <cell r="D110">
            <v>0</v>
          </cell>
          <cell r="E110" t="str">
            <v>Q08</v>
          </cell>
          <cell r="F110">
            <v>0</v>
          </cell>
        </row>
        <row r="111">
          <cell r="C111">
            <v>17950</v>
          </cell>
          <cell r="D111">
            <v>0</v>
          </cell>
          <cell r="E111" t="str">
            <v>Q08</v>
          </cell>
          <cell r="F111">
            <v>0</v>
          </cell>
        </row>
        <row r="112">
          <cell r="C112">
            <v>84056</v>
          </cell>
          <cell r="D112">
            <v>0</v>
          </cell>
          <cell r="E112" t="str">
            <v>Q08</v>
          </cell>
          <cell r="F112">
            <v>0</v>
          </cell>
        </row>
        <row r="113">
          <cell r="C113">
            <v>255424105</v>
          </cell>
          <cell r="D113">
            <v>0</v>
          </cell>
          <cell r="E113" t="str">
            <v>Q08</v>
          </cell>
          <cell r="F113">
            <v>0</v>
          </cell>
        </row>
        <row r="114">
          <cell r="C114">
            <v>899423</v>
          </cell>
          <cell r="D114">
            <v>0</v>
          </cell>
          <cell r="E114" t="str">
            <v>Q08</v>
          </cell>
          <cell r="F114">
            <v>0</v>
          </cell>
        </row>
        <row r="115">
          <cell r="C115">
            <v>14910</v>
          </cell>
          <cell r="D115">
            <v>0</v>
          </cell>
          <cell r="E115" t="str">
            <v>Q08</v>
          </cell>
          <cell r="F115">
            <v>0</v>
          </cell>
        </row>
        <row r="116">
          <cell r="C116">
            <v>110000</v>
          </cell>
          <cell r="D116">
            <v>0</v>
          </cell>
          <cell r="E116" t="str">
            <v>Q08</v>
          </cell>
          <cell r="F116">
            <v>0</v>
          </cell>
        </row>
        <row r="117">
          <cell r="C117">
            <v>70622</v>
          </cell>
          <cell r="D117">
            <v>0</v>
          </cell>
          <cell r="E117" t="str">
            <v>Q08</v>
          </cell>
          <cell r="F117">
            <v>0</v>
          </cell>
        </row>
        <row r="118">
          <cell r="C118">
            <v>166623</v>
          </cell>
          <cell r="D118">
            <v>0</v>
          </cell>
          <cell r="E118" t="str">
            <v>Q08</v>
          </cell>
          <cell r="F118">
            <v>0</v>
          </cell>
        </row>
        <row r="119">
          <cell r="C119">
            <v>702996364</v>
          </cell>
          <cell r="D119">
            <v>0</v>
          </cell>
          <cell r="E119" t="str">
            <v>Q08</v>
          </cell>
          <cell r="F119">
            <v>0</v>
          </cell>
        </row>
        <row r="120">
          <cell r="C120">
            <v>2589515</v>
          </cell>
          <cell r="D120">
            <v>0</v>
          </cell>
          <cell r="E120" t="str">
            <v>Q08</v>
          </cell>
          <cell r="F120">
            <v>0</v>
          </cell>
        </row>
        <row r="121">
          <cell r="C121">
            <v>38551</v>
          </cell>
          <cell r="D121">
            <v>0</v>
          </cell>
          <cell r="E121" t="str">
            <v>Q08</v>
          </cell>
          <cell r="F121">
            <v>0</v>
          </cell>
        </row>
        <row r="122">
          <cell r="C122">
            <v>369648</v>
          </cell>
          <cell r="D122">
            <v>0</v>
          </cell>
          <cell r="E122" t="str">
            <v>Q08</v>
          </cell>
          <cell r="F122">
            <v>0</v>
          </cell>
        </row>
        <row r="123">
          <cell r="C123">
            <v>311730</v>
          </cell>
          <cell r="D123">
            <v>0</v>
          </cell>
          <cell r="E123" t="str">
            <v>Q08</v>
          </cell>
          <cell r="F123">
            <v>0</v>
          </cell>
        </row>
        <row r="124">
          <cell r="C124">
            <v>872665</v>
          </cell>
          <cell r="D124">
            <v>0</v>
          </cell>
          <cell r="E124" t="str">
            <v>Q08</v>
          </cell>
          <cell r="F124">
            <v>0</v>
          </cell>
        </row>
        <row r="125">
          <cell r="C125">
            <v>21845428</v>
          </cell>
          <cell r="D125">
            <v>0</v>
          </cell>
          <cell r="E125" t="str">
            <v>Q08</v>
          </cell>
          <cell r="F125">
            <v>0</v>
          </cell>
        </row>
        <row r="126">
          <cell r="C126">
            <v>10200</v>
          </cell>
          <cell r="D126">
            <v>0</v>
          </cell>
          <cell r="E126" t="str">
            <v>Q08</v>
          </cell>
          <cell r="F126">
            <v>0</v>
          </cell>
        </row>
        <row r="127">
          <cell r="C127">
            <v>40718</v>
          </cell>
          <cell r="D127">
            <v>0</v>
          </cell>
          <cell r="E127" t="str">
            <v>Q08</v>
          </cell>
          <cell r="F127">
            <v>0</v>
          </cell>
        </row>
        <row r="128">
          <cell r="C128">
            <v>82277064</v>
          </cell>
          <cell r="D128">
            <v>0</v>
          </cell>
          <cell r="E128" t="str">
            <v>Q08</v>
          </cell>
          <cell r="F128">
            <v>0</v>
          </cell>
        </row>
        <row r="129">
          <cell r="C129">
            <v>16116958</v>
          </cell>
          <cell r="D129">
            <v>0</v>
          </cell>
          <cell r="E129" t="str">
            <v>Q08</v>
          </cell>
          <cell r="F129">
            <v>0</v>
          </cell>
        </row>
        <row r="130">
          <cell r="C130">
            <v>6876600</v>
          </cell>
          <cell r="D130">
            <v>0</v>
          </cell>
          <cell r="E130" t="str">
            <v>Q08</v>
          </cell>
          <cell r="F130">
            <v>0</v>
          </cell>
        </row>
        <row r="131">
          <cell r="C131">
            <v>1799999</v>
          </cell>
          <cell r="D131">
            <v>0</v>
          </cell>
          <cell r="E131" t="str">
            <v>Q08</v>
          </cell>
          <cell r="F131">
            <v>0</v>
          </cell>
        </row>
        <row r="132">
          <cell r="C132">
            <v>209000</v>
          </cell>
          <cell r="D132">
            <v>0</v>
          </cell>
          <cell r="E132" t="str">
            <v>Q08</v>
          </cell>
          <cell r="F132">
            <v>0</v>
          </cell>
        </row>
        <row r="133">
          <cell r="C133">
            <v>168336513</v>
          </cell>
          <cell r="D133">
            <v>0</v>
          </cell>
          <cell r="E133" t="str">
            <v>Q08</v>
          </cell>
          <cell r="F133">
            <v>0</v>
          </cell>
        </row>
        <row r="134">
          <cell r="C134">
            <v>9958499073</v>
          </cell>
          <cell r="D134">
            <v>0</v>
          </cell>
          <cell r="E134" t="str">
            <v>Q091</v>
          </cell>
          <cell r="F134">
            <v>0</v>
          </cell>
        </row>
        <row r="135">
          <cell r="C135">
            <v>3580478998</v>
          </cell>
          <cell r="D135">
            <v>0</v>
          </cell>
          <cell r="E135" t="str">
            <v>Q091</v>
          </cell>
          <cell r="F135">
            <v>0</v>
          </cell>
        </row>
        <row r="136">
          <cell r="C136">
            <v>65982595</v>
          </cell>
          <cell r="D136">
            <v>0</v>
          </cell>
          <cell r="E136" t="str">
            <v>Q092</v>
          </cell>
          <cell r="F136">
            <v>0</v>
          </cell>
        </row>
        <row r="137">
          <cell r="C137">
            <v>66324975</v>
          </cell>
          <cell r="D137">
            <v>0</v>
          </cell>
          <cell r="E137" t="str">
            <v>Q092</v>
          </cell>
          <cell r="F137">
            <v>0</v>
          </cell>
        </row>
        <row r="138">
          <cell r="C138">
            <v>19820108</v>
          </cell>
          <cell r="D138">
            <v>0</v>
          </cell>
          <cell r="E138" t="str">
            <v>Q092</v>
          </cell>
          <cell r="F138">
            <v>0</v>
          </cell>
        </row>
        <row r="139">
          <cell r="C139">
            <v>14319900</v>
          </cell>
          <cell r="D139">
            <v>0</v>
          </cell>
          <cell r="E139" t="str">
            <v>Q092</v>
          </cell>
          <cell r="F139">
            <v>0</v>
          </cell>
        </row>
        <row r="140">
          <cell r="C140">
            <v>94570228</v>
          </cell>
          <cell r="D140">
            <v>0</v>
          </cell>
          <cell r="E140" t="str">
            <v>Q092</v>
          </cell>
          <cell r="F140">
            <v>0</v>
          </cell>
        </row>
        <row r="141">
          <cell r="C141">
            <v>2500482</v>
          </cell>
          <cell r="D141">
            <v>0</v>
          </cell>
          <cell r="E141" t="str">
            <v>Q092</v>
          </cell>
          <cell r="F141">
            <v>0</v>
          </cell>
        </row>
        <row r="142">
          <cell r="C142">
            <v>12481397</v>
          </cell>
          <cell r="D142">
            <v>0</v>
          </cell>
          <cell r="E142" t="str">
            <v>Q092</v>
          </cell>
          <cell r="F142">
            <v>0</v>
          </cell>
        </row>
        <row r="143">
          <cell r="C143">
            <v>7500000000</v>
          </cell>
          <cell r="D143">
            <v>0</v>
          </cell>
          <cell r="E143" t="str">
            <v>Q094</v>
          </cell>
          <cell r="F143">
            <v>0</v>
          </cell>
        </row>
        <row r="144">
          <cell r="C144">
            <v>7676171</v>
          </cell>
          <cell r="D144">
            <v>0</v>
          </cell>
          <cell r="E144" t="str">
            <v>Q094</v>
          </cell>
          <cell r="F144">
            <v>0</v>
          </cell>
        </row>
        <row r="145">
          <cell r="C145">
            <v>9390669</v>
          </cell>
          <cell r="D145">
            <v>0</v>
          </cell>
          <cell r="E145" t="str">
            <v>Q094</v>
          </cell>
          <cell r="F145">
            <v>0</v>
          </cell>
        </row>
        <row r="146">
          <cell r="C146">
            <v>55180093</v>
          </cell>
          <cell r="D146">
            <v>0</v>
          </cell>
          <cell r="E146" t="str">
            <v>Q094</v>
          </cell>
          <cell r="F146">
            <v>0</v>
          </cell>
        </row>
        <row r="147">
          <cell r="C147">
            <v>0</v>
          </cell>
          <cell r="D147">
            <v>744281259</v>
          </cell>
          <cell r="E147" t="str">
            <v>Q011</v>
          </cell>
          <cell r="F147" t="str">
            <v>Amort</v>
          </cell>
        </row>
        <row r="148">
          <cell r="C148">
            <v>0</v>
          </cell>
          <cell r="D148">
            <v>4622686693</v>
          </cell>
          <cell r="E148" t="str">
            <v>Q03</v>
          </cell>
          <cell r="F148" t="str">
            <v>Amort</v>
          </cell>
        </row>
        <row r="149">
          <cell r="C149">
            <v>0</v>
          </cell>
          <cell r="D149">
            <v>7447513876</v>
          </cell>
          <cell r="E149" t="str">
            <v>Q03</v>
          </cell>
          <cell r="F149" t="str">
            <v>Amort</v>
          </cell>
        </row>
        <row r="150">
          <cell r="C150">
            <v>0</v>
          </cell>
          <cell r="D150">
            <v>3057337486</v>
          </cell>
          <cell r="E150" t="str">
            <v>Q03</v>
          </cell>
          <cell r="F150" t="str">
            <v>Amort</v>
          </cell>
        </row>
        <row r="151">
          <cell r="C151">
            <v>0</v>
          </cell>
          <cell r="D151">
            <v>584523136</v>
          </cell>
          <cell r="E151" t="str">
            <v>Q03</v>
          </cell>
          <cell r="F151" t="str">
            <v>Amort</v>
          </cell>
        </row>
        <row r="152">
          <cell r="C152">
            <v>0</v>
          </cell>
          <cell r="D152">
            <v>7733139031</v>
          </cell>
          <cell r="E152" t="str">
            <v>Q03</v>
          </cell>
          <cell r="F152" t="str">
            <v>Amort</v>
          </cell>
        </row>
        <row r="153">
          <cell r="C153">
            <v>0</v>
          </cell>
          <cell r="D153">
            <v>1411771637</v>
          </cell>
          <cell r="E153" t="str">
            <v>Q03</v>
          </cell>
          <cell r="F153" t="str">
            <v>Amort</v>
          </cell>
        </row>
        <row r="154">
          <cell r="C154">
            <v>0</v>
          </cell>
          <cell r="D154">
            <v>2363886137</v>
          </cell>
          <cell r="E154" t="str">
            <v>Q03</v>
          </cell>
          <cell r="F154" t="str">
            <v>Amort</v>
          </cell>
        </row>
        <row r="155">
          <cell r="C155">
            <v>0</v>
          </cell>
          <cell r="D155">
            <v>247591369</v>
          </cell>
          <cell r="E155" t="str">
            <v>Q03</v>
          </cell>
          <cell r="F155" t="str">
            <v>Amort</v>
          </cell>
        </row>
        <row r="156">
          <cell r="C156">
            <v>0</v>
          </cell>
          <cell r="D156">
            <v>181801296</v>
          </cell>
          <cell r="E156" t="str">
            <v>Q03</v>
          </cell>
          <cell r="F156" t="str">
            <v>Amort</v>
          </cell>
        </row>
        <row r="157">
          <cell r="C157">
            <v>0</v>
          </cell>
          <cell r="D157">
            <v>1110122899</v>
          </cell>
          <cell r="E157" t="str">
            <v>Q03</v>
          </cell>
          <cell r="F157" t="str">
            <v>Amort</v>
          </cell>
        </row>
        <row r="158">
          <cell r="C158">
            <v>0</v>
          </cell>
          <cell r="D158">
            <v>104096582</v>
          </cell>
          <cell r="E158" t="str">
            <v>Q03</v>
          </cell>
          <cell r="F158" t="str">
            <v>Amort</v>
          </cell>
        </row>
        <row r="159">
          <cell r="C159">
            <v>0</v>
          </cell>
          <cell r="D159">
            <v>15028100</v>
          </cell>
          <cell r="E159" t="str">
            <v>Q03</v>
          </cell>
          <cell r="F159" t="str">
            <v>Amort</v>
          </cell>
        </row>
        <row r="160">
          <cell r="C160">
            <v>0</v>
          </cell>
          <cell r="D160">
            <v>2703179</v>
          </cell>
          <cell r="E160" t="str">
            <v>Q03</v>
          </cell>
          <cell r="F160" t="str">
            <v>Amort</v>
          </cell>
        </row>
        <row r="161">
          <cell r="C161">
            <v>0</v>
          </cell>
          <cell r="D161">
            <v>48518859</v>
          </cell>
          <cell r="E161" t="str">
            <v>Q03</v>
          </cell>
          <cell r="F161" t="str">
            <v>Amort</v>
          </cell>
        </row>
        <row r="162">
          <cell r="C162">
            <v>0</v>
          </cell>
          <cell r="D162">
            <v>6266373661</v>
          </cell>
          <cell r="E162" t="str">
            <v>Q03</v>
          </cell>
          <cell r="F162" t="str">
            <v>Amort</v>
          </cell>
        </row>
        <row r="163">
          <cell r="C163">
            <v>0</v>
          </cell>
          <cell r="D163">
            <v>114286681897</v>
          </cell>
          <cell r="E163" t="str">
            <v>Q04</v>
          </cell>
          <cell r="F163" t="str">
            <v>Amort</v>
          </cell>
        </row>
        <row r="164">
          <cell r="C164">
            <v>0</v>
          </cell>
          <cell r="D164">
            <v>9254703054</v>
          </cell>
          <cell r="E164" t="str">
            <v>Q04</v>
          </cell>
          <cell r="F164" t="str">
            <v>Amort</v>
          </cell>
        </row>
        <row r="165">
          <cell r="C165">
            <v>0</v>
          </cell>
          <cell r="D165">
            <v>11915764235</v>
          </cell>
          <cell r="E165" t="str">
            <v>Q04</v>
          </cell>
          <cell r="F165" t="str">
            <v>Amort</v>
          </cell>
        </row>
        <row r="166">
          <cell r="C166">
            <v>0</v>
          </cell>
          <cell r="D166">
            <v>1759112921</v>
          </cell>
          <cell r="E166" t="str">
            <v>Q04</v>
          </cell>
          <cell r="F166" t="str">
            <v>Amort</v>
          </cell>
        </row>
        <row r="167">
          <cell r="C167">
            <v>0</v>
          </cell>
          <cell r="D167">
            <v>27982924</v>
          </cell>
          <cell r="E167" t="str">
            <v>Q04</v>
          </cell>
          <cell r="F167" t="str">
            <v>Amort</v>
          </cell>
        </row>
        <row r="168">
          <cell r="C168">
            <v>0</v>
          </cell>
          <cell r="D168">
            <v>769828989</v>
          </cell>
          <cell r="E168" t="str">
            <v>Q05</v>
          </cell>
          <cell r="F168" t="str">
            <v>Amort</v>
          </cell>
        </row>
        <row r="169">
          <cell r="C169">
            <v>0</v>
          </cell>
          <cell r="D169">
            <v>89717004</v>
          </cell>
          <cell r="E169" t="str">
            <v>Q05</v>
          </cell>
          <cell r="F169" t="str">
            <v>Amort</v>
          </cell>
        </row>
        <row r="170">
          <cell r="C170">
            <v>0</v>
          </cell>
          <cell r="D170">
            <v>7835119995</v>
          </cell>
          <cell r="E170" t="str">
            <v>Q07</v>
          </cell>
          <cell r="F170" t="str">
            <v>Amort</v>
          </cell>
        </row>
        <row r="171">
          <cell r="C171">
            <v>0</v>
          </cell>
          <cell r="D171">
            <v>3486684</v>
          </cell>
          <cell r="E171" t="str">
            <v>Q07</v>
          </cell>
          <cell r="F171" t="str">
            <v>Amort</v>
          </cell>
        </row>
        <row r="172">
          <cell r="C172">
            <v>0</v>
          </cell>
          <cell r="D172">
            <v>4841643429</v>
          </cell>
          <cell r="E172" t="str">
            <v>Q05</v>
          </cell>
          <cell r="F172" t="str">
            <v>Amort</v>
          </cell>
        </row>
        <row r="173">
          <cell r="C173">
            <v>0</v>
          </cell>
          <cell r="D173">
            <v>2886005984</v>
          </cell>
          <cell r="E173" t="str">
            <v>Q07</v>
          </cell>
          <cell r="F173" t="str">
            <v>Amort</v>
          </cell>
        </row>
        <row r="174">
          <cell r="C174">
            <v>0</v>
          </cell>
          <cell r="D174">
            <v>47131890</v>
          </cell>
          <cell r="E174" t="str">
            <v>Q07</v>
          </cell>
          <cell r="F174" t="str">
            <v>Amort</v>
          </cell>
        </row>
        <row r="175">
          <cell r="C175">
            <v>0</v>
          </cell>
          <cell r="D175">
            <v>12037644758</v>
          </cell>
          <cell r="E175" t="str">
            <v>Q07</v>
          </cell>
          <cell r="F175" t="str">
            <v>Amort</v>
          </cell>
        </row>
        <row r="176">
          <cell r="C176">
            <v>0</v>
          </cell>
          <cell r="D176">
            <v>2712467</v>
          </cell>
          <cell r="E176" t="str">
            <v>Q07</v>
          </cell>
          <cell r="F176" t="str">
            <v>Amort</v>
          </cell>
        </row>
        <row r="177">
          <cell r="C177">
            <v>0</v>
          </cell>
          <cell r="D177">
            <v>748135597</v>
          </cell>
          <cell r="E177" t="str">
            <v>Q07</v>
          </cell>
          <cell r="F177" t="str">
            <v>Amort</v>
          </cell>
        </row>
        <row r="178">
          <cell r="C178">
            <v>0</v>
          </cell>
          <cell r="D178">
            <v>364180353</v>
          </cell>
          <cell r="E178" t="str">
            <v>Q07</v>
          </cell>
          <cell r="F178" t="str">
            <v>Amort</v>
          </cell>
        </row>
        <row r="179">
          <cell r="C179">
            <v>0</v>
          </cell>
          <cell r="D179">
            <v>22967033</v>
          </cell>
          <cell r="E179" t="str">
            <v>Q07</v>
          </cell>
          <cell r="F179" t="str">
            <v>Amort</v>
          </cell>
        </row>
        <row r="180">
          <cell r="C180">
            <v>0</v>
          </cell>
          <cell r="D180">
            <v>340678472</v>
          </cell>
          <cell r="E180" t="str">
            <v>Q07</v>
          </cell>
          <cell r="F180" t="str">
            <v>Amort</v>
          </cell>
        </row>
        <row r="181">
          <cell r="C181">
            <v>0</v>
          </cell>
          <cell r="D181">
            <v>388954483</v>
          </cell>
          <cell r="E181" t="str">
            <v>Q07</v>
          </cell>
          <cell r="F181" t="str">
            <v>Amort</v>
          </cell>
        </row>
        <row r="182">
          <cell r="C182">
            <v>0</v>
          </cell>
          <cell r="D182">
            <v>16582500</v>
          </cell>
          <cell r="E182" t="str">
            <v>Q07</v>
          </cell>
          <cell r="F182" t="str">
            <v>Amort</v>
          </cell>
        </row>
        <row r="183">
          <cell r="C183">
            <v>0</v>
          </cell>
          <cell r="D183">
            <v>2002771910</v>
          </cell>
          <cell r="E183" t="str">
            <v>Q06</v>
          </cell>
          <cell r="F183" t="str">
            <v>Amort</v>
          </cell>
        </row>
        <row r="184">
          <cell r="C184">
            <v>0</v>
          </cell>
          <cell r="D184">
            <v>1852631</v>
          </cell>
          <cell r="E184" t="str">
            <v>Q06</v>
          </cell>
          <cell r="F184" t="str">
            <v>Amort</v>
          </cell>
        </row>
        <row r="185">
          <cell r="C185">
            <v>0</v>
          </cell>
          <cell r="D185">
            <v>12524384239</v>
          </cell>
          <cell r="E185" t="str">
            <v>Q06</v>
          </cell>
          <cell r="F185" t="str">
            <v>Amort</v>
          </cell>
        </row>
        <row r="186">
          <cell r="C186">
            <v>0</v>
          </cell>
          <cell r="D186">
            <v>85846727</v>
          </cell>
          <cell r="E186" t="str">
            <v>Q06</v>
          </cell>
          <cell r="F186" t="str">
            <v>Amort</v>
          </cell>
        </row>
        <row r="187">
          <cell r="C187">
            <v>0</v>
          </cell>
          <cell r="D187">
            <v>1411216281</v>
          </cell>
          <cell r="E187" t="str">
            <v>Q06</v>
          </cell>
          <cell r="F187" t="str">
            <v>Amort</v>
          </cell>
        </row>
        <row r="188">
          <cell r="C188">
            <v>0</v>
          </cell>
          <cell r="D188">
            <v>21265214</v>
          </cell>
          <cell r="E188" t="str">
            <v>Q06</v>
          </cell>
          <cell r="F188" t="str">
            <v>Amort</v>
          </cell>
        </row>
        <row r="189">
          <cell r="C189">
            <v>0</v>
          </cell>
          <cell r="D189">
            <v>153541440</v>
          </cell>
          <cell r="E189" t="str">
            <v>Q06</v>
          </cell>
          <cell r="F189" t="str">
            <v>Amort</v>
          </cell>
        </row>
        <row r="190">
          <cell r="C190">
            <v>0</v>
          </cell>
          <cell r="D190">
            <v>8644</v>
          </cell>
          <cell r="E190" t="str">
            <v>Q06</v>
          </cell>
          <cell r="F190" t="str">
            <v>Amort</v>
          </cell>
        </row>
        <row r="191">
          <cell r="C191">
            <v>0</v>
          </cell>
          <cell r="D191">
            <v>473616817</v>
          </cell>
          <cell r="E191" t="str">
            <v>Q06</v>
          </cell>
          <cell r="F191" t="str">
            <v>Amort</v>
          </cell>
        </row>
        <row r="192">
          <cell r="C192">
            <v>0</v>
          </cell>
          <cell r="D192">
            <v>8751385</v>
          </cell>
          <cell r="E192" t="str">
            <v>Q06</v>
          </cell>
          <cell r="F192" t="str">
            <v>Amort</v>
          </cell>
        </row>
        <row r="193">
          <cell r="C193">
            <v>0</v>
          </cell>
          <cell r="D193">
            <v>7245828630</v>
          </cell>
          <cell r="E193" t="str">
            <v>Q06</v>
          </cell>
          <cell r="F193" t="str">
            <v>Amort</v>
          </cell>
        </row>
        <row r="194">
          <cell r="C194">
            <v>0</v>
          </cell>
          <cell r="D194">
            <v>77613270</v>
          </cell>
          <cell r="E194" t="str">
            <v>Q06</v>
          </cell>
          <cell r="F194" t="str">
            <v>Amort</v>
          </cell>
        </row>
        <row r="195">
          <cell r="C195">
            <v>0</v>
          </cell>
          <cell r="D195">
            <v>449252401</v>
          </cell>
          <cell r="E195" t="str">
            <v>Q06</v>
          </cell>
          <cell r="F195" t="str">
            <v>Amort</v>
          </cell>
        </row>
        <row r="196">
          <cell r="C196">
            <v>0</v>
          </cell>
          <cell r="D196">
            <v>8000000</v>
          </cell>
          <cell r="E196" t="str">
            <v>Q091</v>
          </cell>
          <cell r="F196" t="str">
            <v>Amort</v>
          </cell>
        </row>
        <row r="197">
          <cell r="C197">
            <v>0</v>
          </cell>
          <cell r="D197">
            <v>242219977</v>
          </cell>
          <cell r="E197" t="str">
            <v>Q091</v>
          </cell>
          <cell r="F197" t="str">
            <v>Amort</v>
          </cell>
        </row>
        <row r="198">
          <cell r="C198">
            <v>0</v>
          </cell>
          <cell r="D198">
            <v>7676171</v>
          </cell>
          <cell r="E198" t="str">
            <v>Q094</v>
          </cell>
          <cell r="F198" t="str">
            <v>Amort</v>
          </cell>
        </row>
        <row r="199">
          <cell r="C199">
            <v>0</v>
          </cell>
          <cell r="D199">
            <v>48264832</v>
          </cell>
          <cell r="E199" t="str">
            <v>Q094</v>
          </cell>
          <cell r="F199" t="str">
            <v>Amort</v>
          </cell>
        </row>
        <row r="200">
          <cell r="C200">
            <v>0</v>
          </cell>
          <cell r="D200">
            <v>15964595</v>
          </cell>
          <cell r="E200" t="str">
            <v>Q094</v>
          </cell>
          <cell r="F200" t="str">
            <v>Amort</v>
          </cell>
        </row>
        <row r="201">
          <cell r="C201">
            <v>0</v>
          </cell>
          <cell r="D201">
            <v>35992162</v>
          </cell>
          <cell r="E201" t="str">
            <v>Q092</v>
          </cell>
          <cell r="F201" t="str">
            <v>Amort</v>
          </cell>
        </row>
        <row r="202">
          <cell r="C202">
            <v>222708578</v>
          </cell>
          <cell r="D202">
            <v>0</v>
          </cell>
          <cell r="E202" t="str">
            <v>R02</v>
          </cell>
          <cell r="F202">
            <v>0</v>
          </cell>
        </row>
        <row r="203">
          <cell r="C203">
            <v>16651284</v>
          </cell>
          <cell r="D203">
            <v>0</v>
          </cell>
          <cell r="E203" t="str">
            <v>R02</v>
          </cell>
          <cell r="F203">
            <v>0</v>
          </cell>
        </row>
        <row r="204">
          <cell r="C204">
            <v>164208244</v>
          </cell>
          <cell r="D204">
            <v>0</v>
          </cell>
          <cell r="E204" t="str">
            <v>R02</v>
          </cell>
          <cell r="F204">
            <v>0</v>
          </cell>
        </row>
        <row r="205">
          <cell r="C205">
            <v>517920</v>
          </cell>
          <cell r="D205">
            <v>0</v>
          </cell>
          <cell r="E205" t="str">
            <v>R02</v>
          </cell>
          <cell r="F205">
            <v>0</v>
          </cell>
        </row>
        <row r="206">
          <cell r="C206">
            <v>746133372</v>
          </cell>
          <cell r="D206">
            <v>0</v>
          </cell>
          <cell r="E206" t="str">
            <v>R02</v>
          </cell>
          <cell r="F206">
            <v>0</v>
          </cell>
        </row>
        <row r="207">
          <cell r="C207">
            <v>510275112</v>
          </cell>
          <cell r="D207">
            <v>0</v>
          </cell>
          <cell r="E207" t="str">
            <v>R02</v>
          </cell>
          <cell r="F207">
            <v>0</v>
          </cell>
        </row>
        <row r="208">
          <cell r="C208">
            <v>18450781629</v>
          </cell>
          <cell r="D208">
            <v>0</v>
          </cell>
          <cell r="E208" t="str">
            <v>R01</v>
          </cell>
          <cell r="F208">
            <v>0</v>
          </cell>
        </row>
        <row r="209">
          <cell r="C209">
            <v>2970530228</v>
          </cell>
          <cell r="D209">
            <v>0</v>
          </cell>
          <cell r="E209" t="str">
            <v>R01</v>
          </cell>
          <cell r="F209">
            <v>0</v>
          </cell>
        </row>
        <row r="210">
          <cell r="C210">
            <v>6170784160</v>
          </cell>
          <cell r="D210">
            <v>0</v>
          </cell>
          <cell r="E210" t="str">
            <v>R01</v>
          </cell>
          <cell r="F210">
            <v>0</v>
          </cell>
        </row>
        <row r="211">
          <cell r="C211">
            <v>247678073</v>
          </cell>
          <cell r="D211">
            <v>0</v>
          </cell>
          <cell r="E211" t="str">
            <v>R01</v>
          </cell>
          <cell r="F211">
            <v>0</v>
          </cell>
        </row>
        <row r="212">
          <cell r="C212">
            <v>85140091</v>
          </cell>
          <cell r="D212">
            <v>0</v>
          </cell>
          <cell r="E212" t="str">
            <v>R01</v>
          </cell>
          <cell r="F212">
            <v>0</v>
          </cell>
        </row>
        <row r="213">
          <cell r="C213">
            <v>160621392</v>
          </cell>
          <cell r="D213">
            <v>0</v>
          </cell>
          <cell r="E213" t="str">
            <v>R01</v>
          </cell>
          <cell r="F213">
            <v>0</v>
          </cell>
        </row>
        <row r="214">
          <cell r="C214">
            <v>122566683</v>
          </cell>
          <cell r="D214">
            <v>0</v>
          </cell>
          <cell r="E214" t="str">
            <v>R01</v>
          </cell>
          <cell r="F214">
            <v>0</v>
          </cell>
        </row>
        <row r="215">
          <cell r="C215">
            <v>10197354347</v>
          </cell>
          <cell r="D215">
            <v>0</v>
          </cell>
          <cell r="E215" t="str">
            <v>R04</v>
          </cell>
          <cell r="F215">
            <v>0</v>
          </cell>
        </row>
        <row r="216">
          <cell r="C216">
            <v>1656275576</v>
          </cell>
          <cell r="D216">
            <v>0</v>
          </cell>
          <cell r="E216" t="str">
            <v>R04</v>
          </cell>
          <cell r="F216">
            <v>0</v>
          </cell>
        </row>
        <row r="217">
          <cell r="C217">
            <v>634277220</v>
          </cell>
          <cell r="D217">
            <v>0</v>
          </cell>
          <cell r="E217" t="str">
            <v>R04</v>
          </cell>
          <cell r="F217">
            <v>0</v>
          </cell>
        </row>
        <row r="218">
          <cell r="C218">
            <v>156217150</v>
          </cell>
          <cell r="D218">
            <v>0</v>
          </cell>
          <cell r="E218" t="str">
            <v>R04</v>
          </cell>
          <cell r="F218">
            <v>0</v>
          </cell>
        </row>
        <row r="219">
          <cell r="C219">
            <v>9016950000</v>
          </cell>
          <cell r="D219">
            <v>0</v>
          </cell>
          <cell r="E219" t="str">
            <v>Q10</v>
          </cell>
          <cell r="F219">
            <v>0</v>
          </cell>
        </row>
        <row r="220">
          <cell r="C220">
            <v>1290516000</v>
          </cell>
          <cell r="D220">
            <v>0</v>
          </cell>
          <cell r="E220" t="str">
            <v>Q10</v>
          </cell>
          <cell r="F220">
            <v>0</v>
          </cell>
        </row>
        <row r="221">
          <cell r="C221">
            <v>593162400</v>
          </cell>
          <cell r="D221">
            <v>0</v>
          </cell>
          <cell r="E221" t="str">
            <v>Q10</v>
          </cell>
          <cell r="F221">
            <v>0</v>
          </cell>
        </row>
        <row r="222">
          <cell r="C222">
            <v>124364400</v>
          </cell>
          <cell r="D222">
            <v>0</v>
          </cell>
          <cell r="E222" t="str">
            <v>Q10</v>
          </cell>
          <cell r="F222">
            <v>0</v>
          </cell>
        </row>
        <row r="223">
          <cell r="C223">
            <v>198484200</v>
          </cell>
          <cell r="D223">
            <v>0</v>
          </cell>
          <cell r="E223" t="str">
            <v>Q10</v>
          </cell>
          <cell r="F223">
            <v>0</v>
          </cell>
        </row>
        <row r="224">
          <cell r="C224">
            <v>5822700</v>
          </cell>
          <cell r="D224">
            <v>0</v>
          </cell>
          <cell r="E224" t="str">
            <v>Q10</v>
          </cell>
          <cell r="F224">
            <v>0</v>
          </cell>
        </row>
        <row r="225">
          <cell r="C225">
            <v>23768000</v>
          </cell>
          <cell r="D225">
            <v>0</v>
          </cell>
          <cell r="E225" t="str">
            <v>Q10</v>
          </cell>
          <cell r="F225">
            <v>0</v>
          </cell>
        </row>
        <row r="226">
          <cell r="C226">
            <v>125760000</v>
          </cell>
          <cell r="D226">
            <v>0</v>
          </cell>
          <cell r="E226" t="str">
            <v>Q10</v>
          </cell>
          <cell r="F226">
            <v>0</v>
          </cell>
        </row>
        <row r="227">
          <cell r="C227">
            <v>9072000</v>
          </cell>
          <cell r="D227">
            <v>0</v>
          </cell>
          <cell r="E227" t="str">
            <v>Q10</v>
          </cell>
          <cell r="F227">
            <v>0</v>
          </cell>
        </row>
        <row r="228">
          <cell r="C228">
            <v>7920000</v>
          </cell>
          <cell r="D228">
            <v>0</v>
          </cell>
          <cell r="E228" t="str">
            <v>Q10</v>
          </cell>
          <cell r="F228">
            <v>0</v>
          </cell>
        </row>
        <row r="229">
          <cell r="C229">
            <v>41817600</v>
          </cell>
          <cell r="D229">
            <v>0</v>
          </cell>
          <cell r="E229" t="str">
            <v>Q10</v>
          </cell>
          <cell r="F229">
            <v>0</v>
          </cell>
        </row>
        <row r="230">
          <cell r="C230">
            <v>875250</v>
          </cell>
          <cell r="D230">
            <v>0</v>
          </cell>
          <cell r="E230" t="str">
            <v>Q10</v>
          </cell>
          <cell r="F230">
            <v>0</v>
          </cell>
        </row>
        <row r="231">
          <cell r="C231">
            <v>364995000</v>
          </cell>
          <cell r="D231">
            <v>0</v>
          </cell>
          <cell r="E231" t="str">
            <v>Q10</v>
          </cell>
          <cell r="F231">
            <v>0</v>
          </cell>
        </row>
        <row r="232">
          <cell r="C232">
            <v>6771000</v>
          </cell>
          <cell r="D232">
            <v>0</v>
          </cell>
          <cell r="E232" t="str">
            <v>Q10</v>
          </cell>
          <cell r="F232">
            <v>0</v>
          </cell>
        </row>
        <row r="233">
          <cell r="C233">
            <v>264000</v>
          </cell>
          <cell r="D233">
            <v>0</v>
          </cell>
          <cell r="E233" t="str">
            <v>Q10</v>
          </cell>
          <cell r="F233">
            <v>0</v>
          </cell>
        </row>
        <row r="234">
          <cell r="C234">
            <v>474000</v>
          </cell>
          <cell r="D234">
            <v>0</v>
          </cell>
          <cell r="E234" t="str">
            <v>Q10</v>
          </cell>
          <cell r="F234">
            <v>0</v>
          </cell>
        </row>
        <row r="235">
          <cell r="C235">
            <v>3861900</v>
          </cell>
          <cell r="D235">
            <v>0</v>
          </cell>
          <cell r="E235" t="str">
            <v>Q10</v>
          </cell>
          <cell r="F235">
            <v>0</v>
          </cell>
        </row>
        <row r="236">
          <cell r="C236">
            <v>64000</v>
          </cell>
          <cell r="D236">
            <v>0</v>
          </cell>
          <cell r="E236" t="str">
            <v>Q10</v>
          </cell>
          <cell r="F236">
            <v>0</v>
          </cell>
        </row>
        <row r="237">
          <cell r="C237">
            <v>392986644</v>
          </cell>
          <cell r="D237">
            <v>0</v>
          </cell>
          <cell r="E237" t="str">
            <v>Q10</v>
          </cell>
          <cell r="F237">
            <v>0</v>
          </cell>
        </row>
        <row r="238">
          <cell r="C238">
            <v>352247730</v>
          </cell>
          <cell r="D238">
            <v>0</v>
          </cell>
          <cell r="E238" t="str">
            <v>R03</v>
          </cell>
          <cell r="F238">
            <v>0</v>
          </cell>
        </row>
        <row r="239">
          <cell r="C239">
            <v>1856915393</v>
          </cell>
          <cell r="D239">
            <v>0</v>
          </cell>
          <cell r="E239" t="str">
            <v>R03</v>
          </cell>
          <cell r="F239">
            <v>0</v>
          </cell>
        </row>
        <row r="240">
          <cell r="C240">
            <v>180216834</v>
          </cell>
          <cell r="D240">
            <v>0</v>
          </cell>
          <cell r="E240" t="str">
            <v>R03</v>
          </cell>
          <cell r="F240">
            <v>0</v>
          </cell>
        </row>
        <row r="241">
          <cell r="C241">
            <v>625346398</v>
          </cell>
          <cell r="D241">
            <v>0</v>
          </cell>
          <cell r="E241" t="str">
            <v>R03</v>
          </cell>
          <cell r="F241">
            <v>0</v>
          </cell>
        </row>
        <row r="242">
          <cell r="C242">
            <v>390959949</v>
          </cell>
          <cell r="D242">
            <v>0</v>
          </cell>
          <cell r="E242" t="str">
            <v>R03</v>
          </cell>
          <cell r="F242">
            <v>0</v>
          </cell>
        </row>
        <row r="243">
          <cell r="C243">
            <v>23233739</v>
          </cell>
          <cell r="D243">
            <v>0</v>
          </cell>
          <cell r="E243" t="str">
            <v>R03</v>
          </cell>
          <cell r="F243">
            <v>0</v>
          </cell>
        </row>
        <row r="244">
          <cell r="C244">
            <v>224206912</v>
          </cell>
          <cell r="D244">
            <v>0</v>
          </cell>
          <cell r="E244" t="str">
            <v>R03</v>
          </cell>
          <cell r="F244">
            <v>0</v>
          </cell>
        </row>
        <row r="245">
          <cell r="C245">
            <v>-1</v>
          </cell>
          <cell r="D245">
            <v>0</v>
          </cell>
          <cell r="E245" t="str">
            <v>R03</v>
          </cell>
          <cell r="F245">
            <v>0</v>
          </cell>
        </row>
        <row r="246">
          <cell r="C246">
            <v>28564190</v>
          </cell>
          <cell r="D246">
            <v>0</v>
          </cell>
          <cell r="E246" t="str">
            <v>R03</v>
          </cell>
          <cell r="F246">
            <v>0</v>
          </cell>
        </row>
        <row r="247">
          <cell r="C247">
            <v>850457061</v>
          </cell>
          <cell r="D247">
            <v>0</v>
          </cell>
          <cell r="E247" t="str">
            <v>R03</v>
          </cell>
          <cell r="F247">
            <v>0</v>
          </cell>
        </row>
        <row r="248">
          <cell r="C248">
            <v>46598562</v>
          </cell>
          <cell r="D248">
            <v>0</v>
          </cell>
          <cell r="E248" t="str">
            <v>R03</v>
          </cell>
          <cell r="F248">
            <v>0</v>
          </cell>
        </row>
        <row r="249">
          <cell r="C249">
            <v>1666260940</v>
          </cell>
          <cell r="D249">
            <v>0</v>
          </cell>
          <cell r="E249" t="str">
            <v>R03</v>
          </cell>
          <cell r="F249">
            <v>0</v>
          </cell>
        </row>
        <row r="250">
          <cell r="C250">
            <v>14539843</v>
          </cell>
          <cell r="D250">
            <v>0</v>
          </cell>
          <cell r="E250" t="str">
            <v>R03</v>
          </cell>
          <cell r="F250">
            <v>0</v>
          </cell>
        </row>
        <row r="251">
          <cell r="C251">
            <v>3379099</v>
          </cell>
          <cell r="D251">
            <v>0</v>
          </cell>
          <cell r="E251" t="str">
            <v>R03</v>
          </cell>
          <cell r="F251">
            <v>0</v>
          </cell>
        </row>
        <row r="252">
          <cell r="C252">
            <v>15291324</v>
          </cell>
          <cell r="D252">
            <v>0</v>
          </cell>
          <cell r="E252" t="str">
            <v>R03</v>
          </cell>
          <cell r="F252">
            <v>0</v>
          </cell>
        </row>
        <row r="253">
          <cell r="C253">
            <v>3594140</v>
          </cell>
          <cell r="D253">
            <v>0</v>
          </cell>
          <cell r="E253" t="str">
            <v>R03</v>
          </cell>
          <cell r="F253">
            <v>0</v>
          </cell>
        </row>
        <row r="254">
          <cell r="C254">
            <v>15141450</v>
          </cell>
          <cell r="D254">
            <v>0</v>
          </cell>
          <cell r="E254" t="str">
            <v>R03</v>
          </cell>
          <cell r="F254">
            <v>0</v>
          </cell>
        </row>
        <row r="255">
          <cell r="C255">
            <v>5157906</v>
          </cell>
          <cell r="D255">
            <v>0</v>
          </cell>
          <cell r="E255" t="str">
            <v>R03</v>
          </cell>
          <cell r="F255">
            <v>0</v>
          </cell>
        </row>
        <row r="256">
          <cell r="C256">
            <v>3292402</v>
          </cell>
          <cell r="D256">
            <v>0</v>
          </cell>
          <cell r="E256" t="str">
            <v>R03</v>
          </cell>
          <cell r="F256">
            <v>0</v>
          </cell>
        </row>
        <row r="257">
          <cell r="C257">
            <v>1050401443</v>
          </cell>
          <cell r="D257">
            <v>0</v>
          </cell>
          <cell r="E257" t="str">
            <v>R05</v>
          </cell>
          <cell r="F257">
            <v>0</v>
          </cell>
        </row>
        <row r="258">
          <cell r="C258">
            <v>7921140937</v>
          </cell>
          <cell r="D258">
            <v>0</v>
          </cell>
          <cell r="E258" t="str">
            <v>R05</v>
          </cell>
          <cell r="F258">
            <v>0</v>
          </cell>
        </row>
        <row r="259">
          <cell r="C259">
            <v>181371778</v>
          </cell>
          <cell r="D259">
            <v>0</v>
          </cell>
          <cell r="E259" t="str">
            <v>R05</v>
          </cell>
          <cell r="F259">
            <v>0</v>
          </cell>
        </row>
        <row r="260">
          <cell r="C260">
            <v>2347433563</v>
          </cell>
          <cell r="D260">
            <v>0</v>
          </cell>
          <cell r="E260" t="str">
            <v>R05</v>
          </cell>
          <cell r="F260">
            <v>0</v>
          </cell>
        </row>
        <row r="261">
          <cell r="C261">
            <v>604976742</v>
          </cell>
          <cell r="D261">
            <v>0</v>
          </cell>
          <cell r="E261" t="str">
            <v>R05</v>
          </cell>
          <cell r="F261">
            <v>0</v>
          </cell>
        </row>
        <row r="262">
          <cell r="C262">
            <v>31735606</v>
          </cell>
          <cell r="D262">
            <v>0</v>
          </cell>
          <cell r="E262" t="str">
            <v>R04</v>
          </cell>
          <cell r="F262">
            <v>0</v>
          </cell>
        </row>
        <row r="263">
          <cell r="C263">
            <v>4200000</v>
          </cell>
          <cell r="D263">
            <v>0</v>
          </cell>
          <cell r="E263" t="str">
            <v>R05</v>
          </cell>
          <cell r="F263">
            <v>0</v>
          </cell>
        </row>
        <row r="264">
          <cell r="C264">
            <v>329238</v>
          </cell>
          <cell r="D264">
            <v>0</v>
          </cell>
          <cell r="E264" t="str">
            <v>R05</v>
          </cell>
          <cell r="F264">
            <v>0</v>
          </cell>
        </row>
        <row r="265">
          <cell r="C265">
            <v>0</v>
          </cell>
          <cell r="D265">
            <v>995279720</v>
          </cell>
          <cell r="E265" t="str">
            <v>R01</v>
          </cell>
          <cell r="F265" t="str">
            <v>Amort</v>
          </cell>
        </row>
        <row r="266">
          <cell r="C266">
            <v>0</v>
          </cell>
          <cell r="D266">
            <v>2335283857</v>
          </cell>
          <cell r="E266" t="str">
            <v>R04</v>
          </cell>
          <cell r="F266" t="str">
            <v>Amort</v>
          </cell>
        </row>
        <row r="267">
          <cell r="C267">
            <v>0</v>
          </cell>
          <cell r="D267">
            <v>217019566</v>
          </cell>
          <cell r="E267" t="str">
            <v>Q10</v>
          </cell>
          <cell r="F267" t="str">
            <v>Amort</v>
          </cell>
        </row>
        <row r="268">
          <cell r="C268">
            <v>0</v>
          </cell>
          <cell r="D268">
            <v>170600700</v>
          </cell>
          <cell r="E268" t="str">
            <v>Q10</v>
          </cell>
          <cell r="F268" t="str">
            <v>Amort</v>
          </cell>
        </row>
        <row r="269">
          <cell r="C269">
            <v>0</v>
          </cell>
          <cell r="D269">
            <v>392986644</v>
          </cell>
          <cell r="E269" t="str">
            <v>Q10</v>
          </cell>
          <cell r="F269" t="str">
            <v>Amort</v>
          </cell>
        </row>
        <row r="270">
          <cell r="C270">
            <v>0</v>
          </cell>
          <cell r="D270">
            <v>74961061</v>
          </cell>
          <cell r="E270" t="str">
            <v>R01</v>
          </cell>
          <cell r="F270" t="str">
            <v>Amort</v>
          </cell>
        </row>
        <row r="271">
          <cell r="C271">
            <v>0</v>
          </cell>
          <cell r="D271">
            <v>9723705219</v>
          </cell>
          <cell r="E271" t="str">
            <v>S01</v>
          </cell>
          <cell r="F271" t="str">
            <v>X01</v>
          </cell>
        </row>
        <row r="272">
          <cell r="C272">
            <v>0</v>
          </cell>
          <cell r="D272">
            <v>660168537</v>
          </cell>
          <cell r="E272" t="str">
            <v>S01</v>
          </cell>
          <cell r="F272" t="str">
            <v>X01</v>
          </cell>
        </row>
        <row r="273">
          <cell r="C273">
            <v>0</v>
          </cell>
          <cell r="D273">
            <v>6667754</v>
          </cell>
          <cell r="E273" t="str">
            <v>S01</v>
          </cell>
          <cell r="F273" t="str">
            <v>X01</v>
          </cell>
        </row>
        <row r="274">
          <cell r="C274">
            <v>0</v>
          </cell>
          <cell r="D274">
            <v>23986178348</v>
          </cell>
          <cell r="E274" t="str">
            <v>S02</v>
          </cell>
          <cell r="F274" t="str">
            <v>X02</v>
          </cell>
        </row>
        <row r="275">
          <cell r="C275">
            <v>0</v>
          </cell>
          <cell r="D275">
            <v>2702080391</v>
          </cell>
          <cell r="E275" t="str">
            <v>S01</v>
          </cell>
          <cell r="F275" t="str">
            <v>X01</v>
          </cell>
        </row>
        <row r="276">
          <cell r="C276">
            <v>0</v>
          </cell>
          <cell r="D276">
            <v>112677425</v>
          </cell>
          <cell r="E276" t="str">
            <v>S01</v>
          </cell>
          <cell r="F276" t="str">
            <v>X01</v>
          </cell>
        </row>
        <row r="277">
          <cell r="C277">
            <v>0</v>
          </cell>
          <cell r="D277">
            <v>303933181</v>
          </cell>
          <cell r="E277" t="str">
            <v>S01</v>
          </cell>
          <cell r="F277" t="str">
            <v>X01</v>
          </cell>
        </row>
        <row r="278">
          <cell r="C278">
            <v>0</v>
          </cell>
          <cell r="D278">
            <v>684077339</v>
          </cell>
          <cell r="E278" t="str">
            <v>S01</v>
          </cell>
          <cell r="F278" t="str">
            <v>X01</v>
          </cell>
        </row>
        <row r="279">
          <cell r="C279">
            <v>0</v>
          </cell>
          <cell r="D279">
            <v>640810008</v>
          </cell>
          <cell r="E279" t="str">
            <v>S01</v>
          </cell>
          <cell r="F279" t="str">
            <v>X01</v>
          </cell>
        </row>
        <row r="280">
          <cell r="C280">
            <v>0</v>
          </cell>
          <cell r="D280">
            <v>5657562</v>
          </cell>
          <cell r="E280" t="str">
            <v>S01</v>
          </cell>
          <cell r="F280" t="str">
            <v>X01</v>
          </cell>
        </row>
        <row r="281">
          <cell r="C281">
            <v>0</v>
          </cell>
          <cell r="D281">
            <v>291478</v>
          </cell>
          <cell r="E281" t="str">
            <v>S01</v>
          </cell>
          <cell r="F281" t="str">
            <v>X01</v>
          </cell>
        </row>
        <row r="282">
          <cell r="C282">
            <v>0</v>
          </cell>
          <cell r="D282">
            <v>3362609</v>
          </cell>
          <cell r="E282" t="str">
            <v>S01</v>
          </cell>
          <cell r="F282" t="str">
            <v>X01</v>
          </cell>
        </row>
        <row r="283">
          <cell r="C283">
            <v>0</v>
          </cell>
          <cell r="D283">
            <v>1237375819</v>
          </cell>
          <cell r="E283" t="str">
            <v>S01</v>
          </cell>
          <cell r="F283" t="str">
            <v>X01</v>
          </cell>
        </row>
        <row r="284">
          <cell r="C284">
            <v>4086080</v>
          </cell>
          <cell r="D284">
            <v>0</v>
          </cell>
          <cell r="E284" t="str">
            <v>S01</v>
          </cell>
          <cell r="F284" t="str">
            <v>X01</v>
          </cell>
        </row>
        <row r="285">
          <cell r="C285">
            <v>0</v>
          </cell>
          <cell r="D285">
            <v>1059101919</v>
          </cell>
          <cell r="E285" t="str">
            <v>S01</v>
          </cell>
          <cell r="F285" t="str">
            <v>X01</v>
          </cell>
        </row>
        <row r="286">
          <cell r="C286">
            <v>13932176</v>
          </cell>
          <cell r="D286">
            <v>0</v>
          </cell>
          <cell r="E286" t="str">
            <v>S01</v>
          </cell>
          <cell r="F286" t="str">
            <v>X01</v>
          </cell>
        </row>
        <row r="287">
          <cell r="C287">
            <v>99147024</v>
          </cell>
          <cell r="D287">
            <v>0</v>
          </cell>
          <cell r="E287" t="str">
            <v>S01</v>
          </cell>
          <cell r="F287" t="str">
            <v>X01</v>
          </cell>
        </row>
        <row r="288">
          <cell r="C288">
            <v>881142744</v>
          </cell>
          <cell r="D288">
            <v>0</v>
          </cell>
          <cell r="E288" t="str">
            <v>S01</v>
          </cell>
          <cell r="F288" t="str">
            <v>X01</v>
          </cell>
        </row>
        <row r="289">
          <cell r="C289">
            <v>0</v>
          </cell>
          <cell r="D289">
            <v>543920330</v>
          </cell>
          <cell r="E289" t="str">
            <v>S01</v>
          </cell>
          <cell r="F289" t="str">
            <v>X01</v>
          </cell>
        </row>
        <row r="290">
          <cell r="C290">
            <v>188868</v>
          </cell>
          <cell r="D290">
            <v>0</v>
          </cell>
          <cell r="E290" t="str">
            <v>S01</v>
          </cell>
          <cell r="F290" t="str">
            <v>X01</v>
          </cell>
        </row>
        <row r="291">
          <cell r="C291">
            <v>0</v>
          </cell>
          <cell r="D291">
            <v>4594893600</v>
          </cell>
          <cell r="E291" t="str">
            <v>S01</v>
          </cell>
          <cell r="F291" t="str">
            <v>X01</v>
          </cell>
        </row>
        <row r="292">
          <cell r="C292">
            <v>0</v>
          </cell>
          <cell r="D292">
            <v>7835000</v>
          </cell>
          <cell r="E292" t="str">
            <v>S01</v>
          </cell>
          <cell r="F292" t="str">
            <v>X01</v>
          </cell>
        </row>
        <row r="293">
          <cell r="C293">
            <v>0</v>
          </cell>
          <cell r="D293">
            <v>27541802</v>
          </cell>
          <cell r="E293" t="str">
            <v>S01</v>
          </cell>
          <cell r="F293" t="str">
            <v>X01</v>
          </cell>
        </row>
        <row r="294">
          <cell r="C294">
            <v>0</v>
          </cell>
          <cell r="D294">
            <v>1740000</v>
          </cell>
          <cell r="E294" t="str">
            <v>S01</v>
          </cell>
          <cell r="F294" t="str">
            <v>X01</v>
          </cell>
        </row>
        <row r="295">
          <cell r="C295">
            <v>0</v>
          </cell>
          <cell r="D295">
            <v>8475003</v>
          </cell>
          <cell r="E295" t="str">
            <v>S01</v>
          </cell>
          <cell r="F295" t="str">
            <v>X01</v>
          </cell>
        </row>
        <row r="296">
          <cell r="C296">
            <v>0</v>
          </cell>
          <cell r="D296">
            <v>1779197</v>
          </cell>
          <cell r="E296" t="str">
            <v>S01</v>
          </cell>
          <cell r="F296" t="str">
            <v>X01</v>
          </cell>
        </row>
        <row r="297">
          <cell r="C297">
            <v>0</v>
          </cell>
          <cell r="D297">
            <v>6354628</v>
          </cell>
          <cell r="E297" t="str">
            <v>S01</v>
          </cell>
          <cell r="F297" t="str">
            <v>X01</v>
          </cell>
        </row>
        <row r="298">
          <cell r="C298">
            <v>0</v>
          </cell>
          <cell r="D298">
            <v>922395504</v>
          </cell>
          <cell r="E298" t="str">
            <v>S01</v>
          </cell>
          <cell r="F298" t="str">
            <v>X01</v>
          </cell>
        </row>
        <row r="299">
          <cell r="C299">
            <v>0</v>
          </cell>
          <cell r="D299">
            <v>1711328313</v>
          </cell>
          <cell r="E299" t="str">
            <v>S01</v>
          </cell>
          <cell r="F299" t="str">
            <v>X01</v>
          </cell>
        </row>
        <row r="300">
          <cell r="C300">
            <v>0</v>
          </cell>
          <cell r="D300">
            <v>3600000</v>
          </cell>
          <cell r="E300" t="str">
            <v>S01</v>
          </cell>
          <cell r="F300" t="str">
            <v>X01</v>
          </cell>
        </row>
        <row r="301">
          <cell r="C301">
            <v>0</v>
          </cell>
          <cell r="D301">
            <v>2768455</v>
          </cell>
          <cell r="E301" t="str">
            <v>S01</v>
          </cell>
          <cell r="F301" t="str">
            <v>X01</v>
          </cell>
        </row>
        <row r="302">
          <cell r="C302">
            <v>0</v>
          </cell>
          <cell r="D302">
            <v>58862663</v>
          </cell>
          <cell r="E302" t="str">
            <v>S01</v>
          </cell>
          <cell r="F302" t="str">
            <v>X01</v>
          </cell>
        </row>
        <row r="303">
          <cell r="C303">
            <v>0</v>
          </cell>
          <cell r="D303">
            <v>73650852</v>
          </cell>
          <cell r="E303" t="str">
            <v>S01</v>
          </cell>
          <cell r="F303" t="str">
            <v>X01</v>
          </cell>
        </row>
        <row r="304">
          <cell r="C304">
            <v>0</v>
          </cell>
          <cell r="D304">
            <v>9340615</v>
          </cell>
          <cell r="E304" t="str">
            <v>S01</v>
          </cell>
          <cell r="F304" t="str">
            <v>X01</v>
          </cell>
        </row>
        <row r="305">
          <cell r="C305">
            <v>0</v>
          </cell>
          <cell r="D305">
            <v>99469318</v>
          </cell>
          <cell r="E305" t="str">
            <v>S01</v>
          </cell>
          <cell r="F305" t="str">
            <v>X01</v>
          </cell>
        </row>
        <row r="306">
          <cell r="C306">
            <v>0</v>
          </cell>
          <cell r="D306">
            <v>1432382264</v>
          </cell>
          <cell r="E306" t="str">
            <v>S01</v>
          </cell>
          <cell r="F306" t="str">
            <v>X01</v>
          </cell>
        </row>
        <row r="307">
          <cell r="C307">
            <v>5070865</v>
          </cell>
          <cell r="D307">
            <v>0</v>
          </cell>
          <cell r="E307" t="str">
            <v>S01</v>
          </cell>
          <cell r="F307" t="str">
            <v>X01</v>
          </cell>
        </row>
        <row r="308">
          <cell r="C308">
            <v>100347048</v>
          </cell>
          <cell r="D308">
            <v>0</v>
          </cell>
          <cell r="E308" t="str">
            <v>S01</v>
          </cell>
          <cell r="F308" t="str">
            <v>X01</v>
          </cell>
        </row>
        <row r="309">
          <cell r="C309">
            <v>31185341</v>
          </cell>
          <cell r="D309">
            <v>0</v>
          </cell>
          <cell r="E309" t="str">
            <v>S01</v>
          </cell>
          <cell r="F309" t="str">
            <v>X01</v>
          </cell>
        </row>
        <row r="310">
          <cell r="C310">
            <v>324837956</v>
          </cell>
          <cell r="D310">
            <v>0</v>
          </cell>
          <cell r="E310" t="str">
            <v>S01</v>
          </cell>
          <cell r="F310" t="str">
            <v>X01</v>
          </cell>
        </row>
        <row r="311">
          <cell r="C311">
            <v>31962619</v>
          </cell>
          <cell r="D311">
            <v>0</v>
          </cell>
          <cell r="E311" t="str">
            <v>S01</v>
          </cell>
          <cell r="F311" t="str">
            <v>X01</v>
          </cell>
        </row>
        <row r="312">
          <cell r="C312">
            <v>92583532</v>
          </cell>
          <cell r="D312">
            <v>0</v>
          </cell>
          <cell r="E312" t="str">
            <v>S01</v>
          </cell>
          <cell r="F312" t="str">
            <v>X01</v>
          </cell>
        </row>
        <row r="313">
          <cell r="C313">
            <v>8274018</v>
          </cell>
          <cell r="D313">
            <v>0</v>
          </cell>
          <cell r="E313" t="str">
            <v>S01</v>
          </cell>
          <cell r="F313" t="str">
            <v>X01</v>
          </cell>
        </row>
        <row r="314">
          <cell r="C314">
            <v>7500000</v>
          </cell>
          <cell r="D314">
            <v>0</v>
          </cell>
          <cell r="E314" t="str">
            <v>S01</v>
          </cell>
          <cell r="F314" t="str">
            <v>X01</v>
          </cell>
        </row>
        <row r="315">
          <cell r="C315">
            <v>286715232</v>
          </cell>
          <cell r="D315">
            <v>0</v>
          </cell>
          <cell r="E315" t="str">
            <v>S01</v>
          </cell>
          <cell r="F315" t="str">
            <v>X01</v>
          </cell>
        </row>
        <row r="316">
          <cell r="C316">
            <v>1944957622</v>
          </cell>
          <cell r="D316">
            <v>0</v>
          </cell>
          <cell r="E316" t="str">
            <v>S01</v>
          </cell>
          <cell r="F316" t="str">
            <v>X01</v>
          </cell>
        </row>
        <row r="317">
          <cell r="C317">
            <v>182360638</v>
          </cell>
          <cell r="D317">
            <v>0</v>
          </cell>
          <cell r="E317" t="str">
            <v>S01</v>
          </cell>
          <cell r="F317" t="str">
            <v>X01</v>
          </cell>
        </row>
        <row r="318">
          <cell r="C318">
            <v>17096042</v>
          </cell>
          <cell r="D318">
            <v>0</v>
          </cell>
          <cell r="E318" t="str">
            <v>S01</v>
          </cell>
          <cell r="F318" t="str">
            <v>X01</v>
          </cell>
        </row>
        <row r="319">
          <cell r="C319">
            <v>3679859200</v>
          </cell>
          <cell r="D319">
            <v>0</v>
          </cell>
          <cell r="E319" t="str">
            <v>S02</v>
          </cell>
          <cell r="F319" t="str">
            <v>X02</v>
          </cell>
        </row>
        <row r="320">
          <cell r="C320">
            <v>1200000000</v>
          </cell>
          <cell r="D320">
            <v>0</v>
          </cell>
          <cell r="E320" t="str">
            <v>S01</v>
          </cell>
          <cell r="F320" t="str">
            <v>X01</v>
          </cell>
        </row>
        <row r="321">
          <cell r="C321">
            <v>19217787</v>
          </cell>
          <cell r="D321">
            <v>0</v>
          </cell>
          <cell r="E321" t="str">
            <v>S01</v>
          </cell>
          <cell r="F321" t="str">
            <v>X01</v>
          </cell>
        </row>
        <row r="322">
          <cell r="C322">
            <v>1181143</v>
          </cell>
          <cell r="D322">
            <v>0</v>
          </cell>
          <cell r="E322" t="str">
            <v>S01</v>
          </cell>
          <cell r="F322" t="str">
            <v>X01</v>
          </cell>
        </row>
        <row r="323">
          <cell r="C323">
            <v>63405954</v>
          </cell>
          <cell r="D323">
            <v>0</v>
          </cell>
          <cell r="E323" t="str">
            <v>S01</v>
          </cell>
          <cell r="F323" t="str">
            <v>X01</v>
          </cell>
        </row>
        <row r="324">
          <cell r="C324">
            <v>1350465809</v>
          </cell>
          <cell r="D324">
            <v>0</v>
          </cell>
          <cell r="E324" t="str">
            <v>S01</v>
          </cell>
          <cell r="F324" t="str">
            <v>X01</v>
          </cell>
        </row>
        <row r="325">
          <cell r="C325">
            <v>95711840</v>
          </cell>
          <cell r="D325">
            <v>0</v>
          </cell>
          <cell r="E325" t="str">
            <v>S01</v>
          </cell>
          <cell r="F325" t="str">
            <v>X01</v>
          </cell>
        </row>
        <row r="326">
          <cell r="C326">
            <v>114683942</v>
          </cell>
          <cell r="D326">
            <v>0</v>
          </cell>
          <cell r="E326" t="str">
            <v>S01</v>
          </cell>
          <cell r="F326" t="str">
            <v>X01</v>
          </cell>
        </row>
        <row r="327">
          <cell r="C327">
            <v>2743203</v>
          </cell>
          <cell r="D327">
            <v>0</v>
          </cell>
          <cell r="E327" t="str">
            <v>S01</v>
          </cell>
          <cell r="F327" t="str">
            <v>X01</v>
          </cell>
        </row>
        <row r="328">
          <cell r="C328">
            <v>20178888</v>
          </cell>
          <cell r="D328">
            <v>0</v>
          </cell>
          <cell r="E328" t="str">
            <v>S01</v>
          </cell>
          <cell r="F328" t="str">
            <v>X01</v>
          </cell>
        </row>
        <row r="329">
          <cell r="C329">
            <v>159640667</v>
          </cell>
          <cell r="D329">
            <v>0</v>
          </cell>
          <cell r="E329" t="str">
            <v>S01</v>
          </cell>
          <cell r="F329" t="str">
            <v>X01</v>
          </cell>
        </row>
        <row r="330">
          <cell r="C330">
            <v>29757637</v>
          </cell>
          <cell r="D330">
            <v>0</v>
          </cell>
          <cell r="E330" t="str">
            <v>S01</v>
          </cell>
          <cell r="F330" t="str">
            <v>X01</v>
          </cell>
        </row>
        <row r="331">
          <cell r="C331">
            <v>6493804</v>
          </cell>
          <cell r="D331">
            <v>0</v>
          </cell>
          <cell r="E331" t="str">
            <v>S01</v>
          </cell>
          <cell r="F331" t="str">
            <v>X01</v>
          </cell>
        </row>
        <row r="332">
          <cell r="C332">
            <v>253542538</v>
          </cell>
          <cell r="D332">
            <v>0</v>
          </cell>
          <cell r="E332" t="str">
            <v>S01</v>
          </cell>
          <cell r="F332" t="str">
            <v>X01</v>
          </cell>
        </row>
        <row r="333">
          <cell r="C333">
            <v>1</v>
          </cell>
          <cell r="D333">
            <v>0</v>
          </cell>
          <cell r="E333" t="str">
            <v>S01</v>
          </cell>
          <cell r="F333" t="str">
            <v>X01</v>
          </cell>
        </row>
        <row r="334">
          <cell r="C334">
            <v>104953</v>
          </cell>
          <cell r="D334">
            <v>0</v>
          </cell>
          <cell r="E334" t="str">
            <v>S01</v>
          </cell>
          <cell r="F334" t="str">
            <v>X01</v>
          </cell>
        </row>
        <row r="335">
          <cell r="C335">
            <v>512980903</v>
          </cell>
          <cell r="D335">
            <v>0</v>
          </cell>
          <cell r="E335" t="str">
            <v>S01</v>
          </cell>
          <cell r="F335" t="str">
            <v>X01</v>
          </cell>
        </row>
        <row r="336">
          <cell r="C336">
            <v>2628890651</v>
          </cell>
          <cell r="D336">
            <v>0</v>
          </cell>
          <cell r="E336" t="str">
            <v>S03</v>
          </cell>
          <cell r="F336" t="str">
            <v>X03</v>
          </cell>
        </row>
        <row r="337">
          <cell r="C337">
            <v>106311766</v>
          </cell>
          <cell r="D337">
            <v>0</v>
          </cell>
          <cell r="E337" t="str">
            <v>S03</v>
          </cell>
          <cell r="F337" t="str">
            <v>X03</v>
          </cell>
        </row>
        <row r="338">
          <cell r="C338">
            <v>276541524</v>
          </cell>
          <cell r="D338">
            <v>0</v>
          </cell>
          <cell r="E338" t="str">
            <v>S03</v>
          </cell>
          <cell r="F338" t="str">
            <v>X03</v>
          </cell>
        </row>
        <row r="339">
          <cell r="C339">
            <v>25948</v>
          </cell>
          <cell r="D339">
            <v>0</v>
          </cell>
          <cell r="E339" t="str">
            <v>S03</v>
          </cell>
          <cell r="F339" t="str">
            <v>X03</v>
          </cell>
        </row>
        <row r="340">
          <cell r="C340">
            <v>471000</v>
          </cell>
          <cell r="D340">
            <v>0</v>
          </cell>
          <cell r="E340" t="str">
            <v>S03</v>
          </cell>
          <cell r="F340" t="str">
            <v>X03</v>
          </cell>
        </row>
        <row r="341">
          <cell r="C341">
            <v>259052076</v>
          </cell>
          <cell r="D341">
            <v>0</v>
          </cell>
          <cell r="E341" t="str">
            <v>S03</v>
          </cell>
          <cell r="F341" t="str">
            <v>X03</v>
          </cell>
        </row>
        <row r="342">
          <cell r="C342">
            <v>117640</v>
          </cell>
          <cell r="D342">
            <v>0</v>
          </cell>
          <cell r="E342" t="str">
            <v>S03</v>
          </cell>
          <cell r="F342" t="str">
            <v>X03</v>
          </cell>
        </row>
        <row r="343">
          <cell r="C343">
            <v>1743927197</v>
          </cell>
          <cell r="D343">
            <v>0</v>
          </cell>
          <cell r="E343" t="str">
            <v>S03</v>
          </cell>
          <cell r="F343" t="str">
            <v>X03</v>
          </cell>
        </row>
        <row r="344">
          <cell r="C344">
            <v>45498046</v>
          </cell>
          <cell r="D344">
            <v>0</v>
          </cell>
          <cell r="E344" t="str">
            <v>S03</v>
          </cell>
          <cell r="F344" t="str">
            <v>X03</v>
          </cell>
        </row>
        <row r="345">
          <cell r="C345">
            <v>544238752</v>
          </cell>
          <cell r="D345">
            <v>0</v>
          </cell>
          <cell r="E345" t="str">
            <v>S03</v>
          </cell>
          <cell r="F345" t="str">
            <v>X03</v>
          </cell>
        </row>
        <row r="346">
          <cell r="C346">
            <v>1482169314</v>
          </cell>
          <cell r="D346">
            <v>0</v>
          </cell>
          <cell r="E346" t="str">
            <v>S03</v>
          </cell>
          <cell r="F346" t="str">
            <v>X03</v>
          </cell>
        </row>
        <row r="347">
          <cell r="C347">
            <v>75236436</v>
          </cell>
          <cell r="D347">
            <v>0</v>
          </cell>
          <cell r="E347" t="str">
            <v>S03</v>
          </cell>
          <cell r="F347" t="str">
            <v>X03</v>
          </cell>
        </row>
        <row r="348">
          <cell r="C348">
            <v>126325050</v>
          </cell>
          <cell r="D348">
            <v>0</v>
          </cell>
          <cell r="E348" t="str">
            <v>S03</v>
          </cell>
          <cell r="F348" t="str">
            <v>X03</v>
          </cell>
        </row>
        <row r="349">
          <cell r="C349">
            <v>118312293</v>
          </cell>
          <cell r="D349">
            <v>0</v>
          </cell>
          <cell r="E349" t="str">
            <v>S03</v>
          </cell>
          <cell r="F349" t="str">
            <v>X03</v>
          </cell>
        </row>
        <row r="350">
          <cell r="C350">
            <v>0</v>
          </cell>
          <cell r="D350">
            <v>379222496</v>
          </cell>
          <cell r="E350" t="str">
            <v>S03</v>
          </cell>
          <cell r="F350" t="str">
            <v>X03</v>
          </cell>
        </row>
        <row r="351">
          <cell r="C351">
            <v>0</v>
          </cell>
          <cell r="D351">
            <v>6648953009</v>
          </cell>
          <cell r="E351" t="str">
            <v>S03</v>
          </cell>
          <cell r="F351" t="str">
            <v>X03</v>
          </cell>
        </row>
        <row r="352">
          <cell r="C352">
            <v>0</v>
          </cell>
          <cell r="D352">
            <v>78782779</v>
          </cell>
          <cell r="E352" t="str">
            <v>S03</v>
          </cell>
          <cell r="F352" t="str">
            <v>X03</v>
          </cell>
        </row>
        <row r="353">
          <cell r="C353">
            <v>0</v>
          </cell>
          <cell r="D353">
            <v>1274557980</v>
          </cell>
          <cell r="E353" t="str">
            <v>S03</v>
          </cell>
          <cell r="F353" t="str">
            <v>X03</v>
          </cell>
        </row>
        <row r="354">
          <cell r="C354">
            <v>0</v>
          </cell>
          <cell r="D354">
            <v>275588363</v>
          </cell>
          <cell r="E354" t="str">
            <v>S03</v>
          </cell>
          <cell r="F354" t="str">
            <v>X03</v>
          </cell>
        </row>
        <row r="355">
          <cell r="C355">
            <v>0</v>
          </cell>
          <cell r="D355">
            <v>4037260937</v>
          </cell>
          <cell r="E355" t="str">
            <v>S03</v>
          </cell>
          <cell r="F355" t="str">
            <v>X03</v>
          </cell>
        </row>
        <row r="356">
          <cell r="C356">
            <v>0</v>
          </cell>
          <cell r="D356">
            <v>2639936467</v>
          </cell>
          <cell r="E356" t="str">
            <v>S03</v>
          </cell>
          <cell r="F356" t="str">
            <v>X03</v>
          </cell>
        </row>
        <row r="357">
          <cell r="C357">
            <v>0</v>
          </cell>
          <cell r="D357">
            <v>31070556</v>
          </cell>
          <cell r="E357" t="str">
            <v>S03</v>
          </cell>
          <cell r="F357" t="str">
            <v>X03</v>
          </cell>
        </row>
        <row r="358">
          <cell r="C358">
            <v>0</v>
          </cell>
          <cell r="D358">
            <v>68786020</v>
          </cell>
          <cell r="E358" t="str">
            <v>S03</v>
          </cell>
          <cell r="F358" t="str">
            <v>X03</v>
          </cell>
        </row>
        <row r="359">
          <cell r="C359">
            <v>0</v>
          </cell>
          <cell r="D359">
            <v>400703013</v>
          </cell>
          <cell r="E359" t="str">
            <v>S03</v>
          </cell>
          <cell r="F359" t="str">
            <v>X03</v>
          </cell>
        </row>
        <row r="360">
          <cell r="C360">
            <v>0</v>
          </cell>
          <cell r="D360">
            <v>63823060</v>
          </cell>
          <cell r="E360" t="str">
            <v>S03</v>
          </cell>
          <cell r="F360" t="str">
            <v>X03</v>
          </cell>
        </row>
        <row r="361">
          <cell r="C361">
            <v>696685844</v>
          </cell>
          <cell r="D361">
            <v>0</v>
          </cell>
          <cell r="E361" t="str">
            <v>S05</v>
          </cell>
          <cell r="F361" t="str">
            <v>X071</v>
          </cell>
        </row>
        <row r="362">
          <cell r="C362">
            <v>10817433</v>
          </cell>
          <cell r="D362">
            <v>0</v>
          </cell>
          <cell r="E362" t="str">
            <v>S05</v>
          </cell>
          <cell r="F362" t="str">
            <v>X071</v>
          </cell>
        </row>
        <row r="363">
          <cell r="C363">
            <v>612802429</v>
          </cell>
          <cell r="D363">
            <v>0</v>
          </cell>
          <cell r="E363" t="str">
            <v>S05</v>
          </cell>
          <cell r="F363" t="str">
            <v>X071</v>
          </cell>
        </row>
        <row r="364">
          <cell r="C364">
            <v>34658308</v>
          </cell>
          <cell r="D364">
            <v>0</v>
          </cell>
          <cell r="E364" t="str">
            <v>S05</v>
          </cell>
          <cell r="F364" t="str">
            <v>X071</v>
          </cell>
        </row>
        <row r="365">
          <cell r="C365">
            <v>0</v>
          </cell>
          <cell r="D365">
            <v>108602</v>
          </cell>
          <cell r="E365" t="str">
            <v>S05</v>
          </cell>
          <cell r="F365" t="str">
            <v>X071</v>
          </cell>
        </row>
        <row r="366">
          <cell r="C366">
            <v>1039140043</v>
          </cell>
          <cell r="D366">
            <v>0</v>
          </cell>
          <cell r="E366" t="str">
            <v>S05</v>
          </cell>
          <cell r="F366" t="str">
            <v>X071</v>
          </cell>
        </row>
        <row r="367">
          <cell r="C367">
            <v>81790164</v>
          </cell>
          <cell r="D367">
            <v>0</v>
          </cell>
          <cell r="E367" t="str">
            <v>S05</v>
          </cell>
          <cell r="F367" t="str">
            <v>X071</v>
          </cell>
        </row>
        <row r="368">
          <cell r="C368">
            <v>433588377</v>
          </cell>
          <cell r="D368">
            <v>0</v>
          </cell>
          <cell r="E368" t="str">
            <v>S05</v>
          </cell>
          <cell r="F368" t="str">
            <v>X071</v>
          </cell>
        </row>
        <row r="369">
          <cell r="C369">
            <v>0</v>
          </cell>
          <cell r="D369">
            <v>562734</v>
          </cell>
          <cell r="E369" t="str">
            <v>S05</v>
          </cell>
          <cell r="F369" t="str">
            <v>X071</v>
          </cell>
        </row>
        <row r="370">
          <cell r="C370">
            <v>158564837</v>
          </cell>
          <cell r="D370">
            <v>0</v>
          </cell>
          <cell r="E370" t="str">
            <v>S05</v>
          </cell>
          <cell r="F370" t="str">
            <v>X071</v>
          </cell>
        </row>
        <row r="371">
          <cell r="C371">
            <v>22322000</v>
          </cell>
          <cell r="D371">
            <v>0</v>
          </cell>
          <cell r="E371" t="str">
            <v>S05</v>
          </cell>
          <cell r="F371" t="str">
            <v>X071</v>
          </cell>
        </row>
        <row r="372">
          <cell r="C372">
            <v>701702</v>
          </cell>
          <cell r="D372">
            <v>0</v>
          </cell>
          <cell r="E372" t="str">
            <v>S05</v>
          </cell>
          <cell r="F372" t="str">
            <v>X071</v>
          </cell>
        </row>
        <row r="373">
          <cell r="C373">
            <v>0</v>
          </cell>
          <cell r="D373">
            <v>2130000</v>
          </cell>
          <cell r="E373" t="str">
            <v>S05</v>
          </cell>
          <cell r="F373" t="str">
            <v>X071</v>
          </cell>
        </row>
        <row r="374">
          <cell r="C374">
            <v>20040536</v>
          </cell>
          <cell r="D374">
            <v>0</v>
          </cell>
          <cell r="E374" t="str">
            <v>S05</v>
          </cell>
          <cell r="F374" t="str">
            <v>X071</v>
          </cell>
        </row>
        <row r="375">
          <cell r="C375">
            <v>0</v>
          </cell>
          <cell r="D375">
            <v>1518000</v>
          </cell>
          <cell r="E375" t="str">
            <v>S05</v>
          </cell>
          <cell r="F375" t="str">
            <v>X071</v>
          </cell>
        </row>
        <row r="376">
          <cell r="C376">
            <v>98700671</v>
          </cell>
          <cell r="D376">
            <v>0</v>
          </cell>
          <cell r="E376" t="str">
            <v>S05</v>
          </cell>
          <cell r="F376" t="str">
            <v>X071</v>
          </cell>
        </row>
        <row r="377">
          <cell r="C377">
            <v>0</v>
          </cell>
          <cell r="D377">
            <v>6303110</v>
          </cell>
          <cell r="E377" t="str">
            <v>S05</v>
          </cell>
          <cell r="F377" t="str">
            <v>X071</v>
          </cell>
        </row>
        <row r="378">
          <cell r="C378">
            <v>2415437</v>
          </cell>
          <cell r="D378">
            <v>0</v>
          </cell>
          <cell r="E378" t="str">
            <v>S05</v>
          </cell>
          <cell r="F378" t="str">
            <v>X071</v>
          </cell>
        </row>
        <row r="379">
          <cell r="C379">
            <v>0</v>
          </cell>
          <cell r="D379">
            <v>1449469</v>
          </cell>
          <cell r="E379" t="str">
            <v>S05</v>
          </cell>
          <cell r="F379" t="str">
            <v>X071</v>
          </cell>
        </row>
        <row r="380">
          <cell r="C380">
            <v>1961989</v>
          </cell>
          <cell r="D380">
            <v>0</v>
          </cell>
          <cell r="E380" t="str">
            <v>S05</v>
          </cell>
          <cell r="F380" t="str">
            <v>X071</v>
          </cell>
        </row>
        <row r="381">
          <cell r="C381">
            <v>84315740</v>
          </cell>
          <cell r="D381">
            <v>0</v>
          </cell>
          <cell r="E381" t="str">
            <v>S05</v>
          </cell>
          <cell r="F381" t="str">
            <v>X071</v>
          </cell>
        </row>
        <row r="382">
          <cell r="C382">
            <v>0</v>
          </cell>
          <cell r="D382">
            <v>173188694</v>
          </cell>
          <cell r="E382" t="str">
            <v>S05</v>
          </cell>
          <cell r="F382" t="str">
            <v>X071</v>
          </cell>
        </row>
        <row r="383">
          <cell r="C383">
            <v>0</v>
          </cell>
          <cell r="D383">
            <v>2506720</v>
          </cell>
          <cell r="E383" t="str">
            <v>S05</v>
          </cell>
          <cell r="F383" t="str">
            <v>X071</v>
          </cell>
        </row>
        <row r="384">
          <cell r="C384">
            <v>0</v>
          </cell>
          <cell r="D384">
            <v>14352095</v>
          </cell>
          <cell r="E384" t="str">
            <v>S05</v>
          </cell>
          <cell r="F384" t="str">
            <v>X071</v>
          </cell>
        </row>
        <row r="385">
          <cell r="C385">
            <v>20732449</v>
          </cell>
          <cell r="D385">
            <v>0</v>
          </cell>
          <cell r="E385" t="str">
            <v>S05</v>
          </cell>
          <cell r="F385" t="str">
            <v>X071</v>
          </cell>
        </row>
        <row r="386">
          <cell r="C386">
            <v>0</v>
          </cell>
          <cell r="D386">
            <v>70319279</v>
          </cell>
          <cell r="E386" t="str">
            <v>S05</v>
          </cell>
          <cell r="F386" t="str">
            <v>X071</v>
          </cell>
        </row>
        <row r="387">
          <cell r="C387">
            <v>0</v>
          </cell>
          <cell r="D387">
            <v>11406548</v>
          </cell>
          <cell r="E387" t="str">
            <v>S05</v>
          </cell>
          <cell r="F387" t="str">
            <v>X071</v>
          </cell>
        </row>
        <row r="388">
          <cell r="C388">
            <v>1156396</v>
          </cell>
          <cell r="D388">
            <v>0</v>
          </cell>
          <cell r="E388" t="str">
            <v>S05</v>
          </cell>
          <cell r="F388" t="str">
            <v>X071</v>
          </cell>
        </row>
        <row r="389">
          <cell r="C389">
            <v>5223380</v>
          </cell>
          <cell r="D389">
            <v>0</v>
          </cell>
          <cell r="E389" t="str">
            <v>S05</v>
          </cell>
          <cell r="F389" t="str">
            <v>X071</v>
          </cell>
        </row>
        <row r="390">
          <cell r="C390">
            <v>0</v>
          </cell>
          <cell r="D390">
            <v>5233353</v>
          </cell>
          <cell r="E390" t="str">
            <v>S05</v>
          </cell>
          <cell r="F390" t="str">
            <v>X071</v>
          </cell>
        </row>
        <row r="391">
          <cell r="C391">
            <v>26078369</v>
          </cell>
          <cell r="D391">
            <v>0</v>
          </cell>
          <cell r="E391" t="str">
            <v>S05</v>
          </cell>
          <cell r="F391" t="str">
            <v>X071</v>
          </cell>
        </row>
        <row r="392">
          <cell r="C392">
            <v>108025931</v>
          </cell>
          <cell r="D392">
            <v>0</v>
          </cell>
          <cell r="E392" t="str">
            <v>S05</v>
          </cell>
          <cell r="F392" t="str">
            <v>X071</v>
          </cell>
        </row>
        <row r="393">
          <cell r="C393">
            <v>0</v>
          </cell>
          <cell r="D393">
            <v>14101026</v>
          </cell>
          <cell r="E393" t="str">
            <v>S05</v>
          </cell>
          <cell r="F393" t="str">
            <v>X071</v>
          </cell>
        </row>
        <row r="394">
          <cell r="C394">
            <v>0</v>
          </cell>
          <cell r="D394">
            <v>29367917</v>
          </cell>
          <cell r="E394" t="str">
            <v>S05</v>
          </cell>
          <cell r="F394" t="str">
            <v>X071</v>
          </cell>
        </row>
        <row r="395">
          <cell r="C395">
            <v>0</v>
          </cell>
          <cell r="D395">
            <v>8059382</v>
          </cell>
          <cell r="E395" t="str">
            <v>S05</v>
          </cell>
          <cell r="F395" t="str">
            <v>X071</v>
          </cell>
        </row>
        <row r="396">
          <cell r="C396">
            <v>0</v>
          </cell>
          <cell r="D396">
            <v>3045778</v>
          </cell>
          <cell r="E396" t="str">
            <v>S05</v>
          </cell>
          <cell r="F396" t="str">
            <v>X071</v>
          </cell>
        </row>
        <row r="397">
          <cell r="C397">
            <v>0</v>
          </cell>
          <cell r="D397">
            <v>4315000</v>
          </cell>
          <cell r="E397" t="str">
            <v>S05</v>
          </cell>
          <cell r="F397" t="str">
            <v>X071</v>
          </cell>
        </row>
        <row r="398">
          <cell r="C398">
            <v>0</v>
          </cell>
          <cell r="D398">
            <v>1469723</v>
          </cell>
          <cell r="E398" t="str">
            <v>S05</v>
          </cell>
          <cell r="F398" t="str">
            <v>X071</v>
          </cell>
        </row>
        <row r="399">
          <cell r="C399">
            <v>0</v>
          </cell>
          <cell r="D399">
            <v>6076100</v>
          </cell>
          <cell r="E399" t="str">
            <v>S05</v>
          </cell>
          <cell r="F399" t="str">
            <v>X071</v>
          </cell>
        </row>
        <row r="400">
          <cell r="C400">
            <v>0</v>
          </cell>
          <cell r="D400">
            <v>1769332</v>
          </cell>
          <cell r="E400" t="str">
            <v>S05</v>
          </cell>
          <cell r="F400" t="str">
            <v>X071</v>
          </cell>
        </row>
        <row r="401">
          <cell r="C401">
            <v>668786</v>
          </cell>
          <cell r="D401">
            <v>0</v>
          </cell>
          <cell r="E401" t="str">
            <v>S05</v>
          </cell>
          <cell r="F401" t="str">
            <v>X071</v>
          </cell>
        </row>
        <row r="402">
          <cell r="C402">
            <v>0</v>
          </cell>
          <cell r="D402">
            <v>652515074</v>
          </cell>
          <cell r="E402" t="str">
            <v>S05</v>
          </cell>
          <cell r="F402" t="str">
            <v>X071</v>
          </cell>
        </row>
        <row r="403">
          <cell r="C403">
            <v>0</v>
          </cell>
          <cell r="D403">
            <v>475486288</v>
          </cell>
          <cell r="E403" t="str">
            <v>S05</v>
          </cell>
          <cell r="F403" t="str">
            <v>X071</v>
          </cell>
        </row>
        <row r="404">
          <cell r="C404">
            <v>0</v>
          </cell>
          <cell r="D404">
            <v>165833844</v>
          </cell>
          <cell r="E404" t="str">
            <v>S05</v>
          </cell>
          <cell r="F404" t="str">
            <v>X071</v>
          </cell>
        </row>
        <row r="405">
          <cell r="C405">
            <v>0</v>
          </cell>
          <cell r="D405">
            <v>262532179</v>
          </cell>
          <cell r="E405" t="str">
            <v>S05</v>
          </cell>
          <cell r="F405" t="str">
            <v>X071</v>
          </cell>
        </row>
        <row r="406">
          <cell r="C406">
            <v>0</v>
          </cell>
          <cell r="D406">
            <v>269988848</v>
          </cell>
          <cell r="E406" t="str">
            <v>S05</v>
          </cell>
          <cell r="F406" t="str">
            <v>X071</v>
          </cell>
        </row>
        <row r="407">
          <cell r="C407">
            <v>0</v>
          </cell>
          <cell r="D407">
            <v>52943835</v>
          </cell>
          <cell r="E407" t="str">
            <v>S05</v>
          </cell>
          <cell r="F407" t="str">
            <v>X071</v>
          </cell>
        </row>
        <row r="408">
          <cell r="C408">
            <v>0</v>
          </cell>
          <cell r="D408">
            <v>556042807</v>
          </cell>
          <cell r="E408" t="str">
            <v>S05</v>
          </cell>
          <cell r="F408" t="str">
            <v>X071</v>
          </cell>
        </row>
        <row r="409">
          <cell r="C409">
            <v>511010</v>
          </cell>
          <cell r="D409">
            <v>0</v>
          </cell>
          <cell r="E409" t="str">
            <v>S05</v>
          </cell>
          <cell r="F409" t="str">
            <v>X071</v>
          </cell>
        </row>
        <row r="410">
          <cell r="C410">
            <v>0</v>
          </cell>
          <cell r="D410">
            <v>295885380</v>
          </cell>
          <cell r="E410" t="str">
            <v>S05</v>
          </cell>
          <cell r="F410" t="str">
            <v>X071</v>
          </cell>
        </row>
        <row r="411">
          <cell r="C411">
            <v>0</v>
          </cell>
          <cell r="D411">
            <v>237578730</v>
          </cell>
          <cell r="E411" t="str">
            <v>S05</v>
          </cell>
          <cell r="F411" t="str">
            <v>X071</v>
          </cell>
        </row>
        <row r="412">
          <cell r="C412">
            <v>0</v>
          </cell>
          <cell r="D412">
            <v>130094235</v>
          </cell>
          <cell r="E412" t="str">
            <v>S05</v>
          </cell>
          <cell r="F412" t="str">
            <v>X071</v>
          </cell>
        </row>
        <row r="413">
          <cell r="C413">
            <v>6224679</v>
          </cell>
          <cell r="D413">
            <v>0</v>
          </cell>
          <cell r="E413" t="str">
            <v>S05</v>
          </cell>
          <cell r="F413" t="str">
            <v>X071</v>
          </cell>
        </row>
        <row r="414">
          <cell r="C414">
            <v>429880</v>
          </cell>
          <cell r="D414">
            <v>0</v>
          </cell>
          <cell r="E414" t="str">
            <v>S05</v>
          </cell>
          <cell r="F414" t="str">
            <v>X071</v>
          </cell>
        </row>
        <row r="415">
          <cell r="C415">
            <v>5635403</v>
          </cell>
          <cell r="D415">
            <v>0</v>
          </cell>
          <cell r="E415" t="str">
            <v>S05</v>
          </cell>
          <cell r="F415" t="str">
            <v>X071</v>
          </cell>
        </row>
        <row r="416">
          <cell r="C416">
            <v>185264503</v>
          </cell>
          <cell r="D416">
            <v>0</v>
          </cell>
          <cell r="E416" t="str">
            <v>S05</v>
          </cell>
          <cell r="F416" t="str">
            <v>X071</v>
          </cell>
        </row>
        <row r="417">
          <cell r="C417">
            <v>6089161</v>
          </cell>
          <cell r="D417">
            <v>0</v>
          </cell>
          <cell r="E417" t="str">
            <v>S05</v>
          </cell>
          <cell r="F417" t="str">
            <v>X071</v>
          </cell>
        </row>
        <row r="418">
          <cell r="C418">
            <v>0</v>
          </cell>
          <cell r="D418">
            <v>109544444</v>
          </cell>
          <cell r="E418" t="str">
            <v>S05</v>
          </cell>
          <cell r="F418" t="str">
            <v>X071</v>
          </cell>
        </row>
        <row r="419">
          <cell r="C419">
            <v>0</v>
          </cell>
          <cell r="D419">
            <v>26431504</v>
          </cell>
          <cell r="E419" t="str">
            <v>S05</v>
          </cell>
          <cell r="F419" t="str">
            <v>X071</v>
          </cell>
        </row>
        <row r="420">
          <cell r="C420">
            <v>0</v>
          </cell>
          <cell r="D420">
            <v>97918</v>
          </cell>
          <cell r="E420" t="str">
            <v>S05</v>
          </cell>
          <cell r="F420" t="str">
            <v>X071</v>
          </cell>
        </row>
        <row r="421">
          <cell r="C421">
            <v>0</v>
          </cell>
          <cell r="D421">
            <v>67306714</v>
          </cell>
          <cell r="E421" t="str">
            <v>S05</v>
          </cell>
          <cell r="F421" t="str">
            <v>X071</v>
          </cell>
        </row>
        <row r="422">
          <cell r="C422">
            <v>0</v>
          </cell>
          <cell r="D422">
            <v>48420996</v>
          </cell>
          <cell r="E422" t="str">
            <v>S05</v>
          </cell>
          <cell r="F422" t="str">
            <v>X071</v>
          </cell>
        </row>
        <row r="423">
          <cell r="C423">
            <v>0</v>
          </cell>
          <cell r="D423">
            <v>21969312</v>
          </cell>
          <cell r="E423" t="str">
            <v>S05</v>
          </cell>
          <cell r="F423" t="str">
            <v>X071</v>
          </cell>
        </row>
        <row r="424">
          <cell r="C424">
            <v>0</v>
          </cell>
          <cell r="D424">
            <v>8840988</v>
          </cell>
          <cell r="E424" t="str">
            <v>S05</v>
          </cell>
          <cell r="F424" t="str">
            <v>X071</v>
          </cell>
        </row>
        <row r="425">
          <cell r="C425">
            <v>0</v>
          </cell>
          <cell r="D425">
            <v>162613042</v>
          </cell>
          <cell r="E425" t="str">
            <v>S05</v>
          </cell>
          <cell r="F425" t="str">
            <v>X071</v>
          </cell>
        </row>
        <row r="426">
          <cell r="C426">
            <v>0</v>
          </cell>
          <cell r="D426">
            <v>42643902</v>
          </cell>
          <cell r="E426" t="str">
            <v>S05</v>
          </cell>
          <cell r="F426" t="str">
            <v>X071</v>
          </cell>
        </row>
        <row r="427">
          <cell r="C427">
            <v>0</v>
          </cell>
          <cell r="D427">
            <v>42196582</v>
          </cell>
          <cell r="E427" t="str">
            <v>S05</v>
          </cell>
          <cell r="F427" t="str">
            <v>X071</v>
          </cell>
        </row>
        <row r="428">
          <cell r="C428">
            <v>0</v>
          </cell>
          <cell r="D428">
            <v>8717600</v>
          </cell>
          <cell r="E428" t="str">
            <v>S05</v>
          </cell>
          <cell r="F428" t="str">
            <v>X071</v>
          </cell>
        </row>
        <row r="429">
          <cell r="C429">
            <v>0</v>
          </cell>
          <cell r="D429">
            <v>4203000</v>
          </cell>
          <cell r="E429" t="str">
            <v>S05</v>
          </cell>
          <cell r="F429" t="str">
            <v>X071</v>
          </cell>
        </row>
        <row r="430">
          <cell r="C430">
            <v>4535841</v>
          </cell>
          <cell r="D430">
            <v>0</v>
          </cell>
          <cell r="E430" t="str">
            <v>S05</v>
          </cell>
          <cell r="F430" t="str">
            <v>X071</v>
          </cell>
        </row>
        <row r="431">
          <cell r="C431">
            <v>640598</v>
          </cell>
          <cell r="D431">
            <v>0</v>
          </cell>
          <cell r="E431" t="str">
            <v>S05</v>
          </cell>
          <cell r="F431" t="str">
            <v>X071</v>
          </cell>
        </row>
        <row r="432">
          <cell r="C432">
            <v>543501714</v>
          </cell>
          <cell r="D432">
            <v>0</v>
          </cell>
          <cell r="E432" t="str">
            <v>S05</v>
          </cell>
          <cell r="F432" t="str">
            <v>X071</v>
          </cell>
        </row>
        <row r="433">
          <cell r="C433">
            <v>0</v>
          </cell>
          <cell r="D433">
            <v>40777507</v>
          </cell>
          <cell r="E433" t="str">
            <v>S05</v>
          </cell>
          <cell r="F433" t="str">
            <v>X071</v>
          </cell>
        </row>
        <row r="434">
          <cell r="C434">
            <v>0</v>
          </cell>
          <cell r="D434">
            <v>50630161</v>
          </cell>
          <cell r="E434">
            <v>0</v>
          </cell>
          <cell r="F434" t="str">
            <v>X071</v>
          </cell>
        </row>
        <row r="435">
          <cell r="C435">
            <v>3929556897</v>
          </cell>
          <cell r="D435">
            <v>0</v>
          </cell>
          <cell r="E435" t="str">
            <v>S04</v>
          </cell>
          <cell r="F435">
            <v>0</v>
          </cell>
        </row>
        <row r="436">
          <cell r="C436">
            <v>124529617</v>
          </cell>
          <cell r="D436">
            <v>0</v>
          </cell>
          <cell r="E436" t="str">
            <v>S04</v>
          </cell>
          <cell r="F436">
            <v>0</v>
          </cell>
        </row>
        <row r="437">
          <cell r="C437">
            <v>-4065426629</v>
          </cell>
          <cell r="D437">
            <v>0</v>
          </cell>
          <cell r="E437" t="str">
            <v>S04</v>
          </cell>
          <cell r="F437">
            <v>0</v>
          </cell>
        </row>
        <row r="438">
          <cell r="C438">
            <v>4098658873</v>
          </cell>
          <cell r="D438">
            <v>0</v>
          </cell>
          <cell r="E438" t="str">
            <v>S04</v>
          </cell>
          <cell r="F438">
            <v>0</v>
          </cell>
        </row>
        <row r="439">
          <cell r="C439">
            <v>107217519</v>
          </cell>
          <cell r="D439">
            <v>0</v>
          </cell>
          <cell r="E439" t="str">
            <v>S04</v>
          </cell>
          <cell r="F439">
            <v>0</v>
          </cell>
        </row>
        <row r="440">
          <cell r="C440">
            <v>-85687243</v>
          </cell>
          <cell r="D440">
            <v>0</v>
          </cell>
          <cell r="E440" t="str">
            <v>S04</v>
          </cell>
          <cell r="F440">
            <v>0</v>
          </cell>
        </row>
        <row r="441">
          <cell r="C441">
            <v>-48262142</v>
          </cell>
          <cell r="D441">
            <v>0</v>
          </cell>
          <cell r="E441" t="str">
            <v>S04</v>
          </cell>
          <cell r="F441">
            <v>0</v>
          </cell>
        </row>
        <row r="442">
          <cell r="C442">
            <v>152571576</v>
          </cell>
          <cell r="D442">
            <v>0</v>
          </cell>
          <cell r="E442" t="str">
            <v>S04</v>
          </cell>
          <cell r="F442">
            <v>0</v>
          </cell>
        </row>
        <row r="443">
          <cell r="C443">
            <v>-2214222756</v>
          </cell>
          <cell r="D443">
            <v>0</v>
          </cell>
          <cell r="E443" t="str">
            <v>S04</v>
          </cell>
          <cell r="F443">
            <v>0</v>
          </cell>
        </row>
        <row r="444">
          <cell r="C444">
            <v>1543514165</v>
          </cell>
          <cell r="D444">
            <v>0</v>
          </cell>
          <cell r="E444" t="str">
            <v>S04</v>
          </cell>
          <cell r="F444">
            <v>0</v>
          </cell>
        </row>
        <row r="445">
          <cell r="C445">
            <v>-515309812</v>
          </cell>
          <cell r="D445">
            <v>0</v>
          </cell>
          <cell r="E445" t="str">
            <v>S04</v>
          </cell>
          <cell r="F445">
            <v>0</v>
          </cell>
        </row>
        <row r="446">
          <cell r="C446">
            <v>-19320826732</v>
          </cell>
          <cell r="D446">
            <v>0</v>
          </cell>
          <cell r="E446" t="str">
            <v>S04</v>
          </cell>
          <cell r="F446">
            <v>0</v>
          </cell>
        </row>
        <row r="447">
          <cell r="C447">
            <v>533606060</v>
          </cell>
          <cell r="D447">
            <v>0</v>
          </cell>
          <cell r="E447" t="str">
            <v>S04</v>
          </cell>
          <cell r="F447">
            <v>0</v>
          </cell>
        </row>
        <row r="448">
          <cell r="C448">
            <v>4937430198</v>
          </cell>
          <cell r="D448">
            <v>0</v>
          </cell>
          <cell r="E448" t="str">
            <v>S04</v>
          </cell>
          <cell r="F448">
            <v>0</v>
          </cell>
        </row>
        <row r="449">
          <cell r="C449">
            <v>8227268</v>
          </cell>
          <cell r="D449">
            <v>0</v>
          </cell>
          <cell r="E449" t="str">
            <v>S04</v>
          </cell>
          <cell r="F449">
            <v>0</v>
          </cell>
        </row>
        <row r="450">
          <cell r="C450">
            <v>202189856</v>
          </cell>
          <cell r="D450">
            <v>0</v>
          </cell>
          <cell r="E450" t="str">
            <v>S04</v>
          </cell>
          <cell r="F450">
            <v>0</v>
          </cell>
        </row>
        <row r="451">
          <cell r="C451">
            <v>292367094</v>
          </cell>
          <cell r="D451">
            <v>0</v>
          </cell>
          <cell r="E451" t="str">
            <v>S04</v>
          </cell>
          <cell r="F451">
            <v>0</v>
          </cell>
        </row>
        <row r="452">
          <cell r="C452">
            <v>5759829049</v>
          </cell>
          <cell r="D452">
            <v>0</v>
          </cell>
          <cell r="E452" t="str">
            <v>S04</v>
          </cell>
          <cell r="F452">
            <v>0</v>
          </cell>
        </row>
        <row r="453">
          <cell r="C453">
            <v>285696361</v>
          </cell>
          <cell r="D453">
            <v>0</v>
          </cell>
          <cell r="E453" t="str">
            <v>S04</v>
          </cell>
          <cell r="F453">
            <v>0</v>
          </cell>
        </row>
        <row r="454">
          <cell r="C454">
            <v>-211480373</v>
          </cell>
          <cell r="D454">
            <v>0</v>
          </cell>
          <cell r="E454" t="str">
            <v>S04</v>
          </cell>
          <cell r="F454">
            <v>0</v>
          </cell>
        </row>
        <row r="455">
          <cell r="C455">
            <v>-280990445</v>
          </cell>
          <cell r="D455">
            <v>0</v>
          </cell>
          <cell r="E455" t="str">
            <v>S04</v>
          </cell>
          <cell r="F455">
            <v>0</v>
          </cell>
        </row>
        <row r="456">
          <cell r="C456">
            <v>0</v>
          </cell>
          <cell r="D456">
            <v>5220588228</v>
          </cell>
          <cell r="E456">
            <v>0</v>
          </cell>
          <cell r="F456" t="str">
            <v>X04</v>
          </cell>
        </row>
        <row r="457">
          <cell r="C457">
            <v>1365127165</v>
          </cell>
          <cell r="D457">
            <v>0</v>
          </cell>
          <cell r="E457" t="str">
            <v>S04</v>
          </cell>
          <cell r="F457">
            <v>0</v>
          </cell>
        </row>
        <row r="458">
          <cell r="C458">
            <v>-9369314</v>
          </cell>
          <cell r="D458">
            <v>0</v>
          </cell>
          <cell r="E458" t="str">
            <v>S04</v>
          </cell>
          <cell r="F458">
            <v>0</v>
          </cell>
        </row>
        <row r="459">
          <cell r="C459">
            <v>207540042</v>
          </cell>
          <cell r="D459">
            <v>0</v>
          </cell>
          <cell r="E459" t="str">
            <v>S04</v>
          </cell>
          <cell r="F459">
            <v>0</v>
          </cell>
        </row>
        <row r="460">
          <cell r="C460">
            <v>280990445</v>
          </cell>
          <cell r="D460">
            <v>0</v>
          </cell>
          <cell r="E460" t="str">
            <v>S04</v>
          </cell>
          <cell r="F460">
            <v>0</v>
          </cell>
        </row>
        <row r="461">
          <cell r="C461">
            <v>63853615935</v>
          </cell>
          <cell r="D461">
            <v>0</v>
          </cell>
          <cell r="E461" t="str">
            <v>S04</v>
          </cell>
          <cell r="F461">
            <v>0</v>
          </cell>
        </row>
        <row r="462">
          <cell r="C462">
            <v>0</v>
          </cell>
          <cell r="D462">
            <v>73605429015</v>
          </cell>
          <cell r="E462">
            <v>0</v>
          </cell>
          <cell r="F462" t="str">
            <v>X04</v>
          </cell>
        </row>
        <row r="463">
          <cell r="C463">
            <v>9547238539</v>
          </cell>
          <cell r="D463">
            <v>0</v>
          </cell>
          <cell r="E463" t="str">
            <v>S04</v>
          </cell>
          <cell r="F463">
            <v>0</v>
          </cell>
        </row>
        <row r="464">
          <cell r="C464">
            <v>357618039</v>
          </cell>
          <cell r="D464">
            <v>0</v>
          </cell>
          <cell r="E464" t="str">
            <v>S04</v>
          </cell>
          <cell r="F464">
            <v>0</v>
          </cell>
        </row>
        <row r="465">
          <cell r="C465">
            <v>-1076485033</v>
          </cell>
          <cell r="D465">
            <v>0</v>
          </cell>
          <cell r="E465" t="str">
            <v>S04</v>
          </cell>
          <cell r="F465">
            <v>0</v>
          </cell>
        </row>
        <row r="466">
          <cell r="C466">
            <v>-2317681400</v>
          </cell>
          <cell r="D466">
            <v>0</v>
          </cell>
          <cell r="E466" t="str">
            <v>S04</v>
          </cell>
          <cell r="F466">
            <v>0</v>
          </cell>
        </row>
        <row r="467">
          <cell r="C467">
            <v>0</v>
          </cell>
          <cell r="D467">
            <v>1</v>
          </cell>
          <cell r="E467">
            <v>0</v>
          </cell>
          <cell r="F467" t="str">
            <v>X04</v>
          </cell>
        </row>
        <row r="468">
          <cell r="C468">
            <v>1075000</v>
          </cell>
          <cell r="D468">
            <v>0</v>
          </cell>
          <cell r="E468" t="str">
            <v>S04</v>
          </cell>
          <cell r="F468">
            <v>0</v>
          </cell>
        </row>
        <row r="469">
          <cell r="C469">
            <v>3071754</v>
          </cell>
          <cell r="D469">
            <v>0</v>
          </cell>
          <cell r="E469" t="str">
            <v>S04</v>
          </cell>
          <cell r="F469">
            <v>0</v>
          </cell>
        </row>
        <row r="470">
          <cell r="C470">
            <v>-171318612</v>
          </cell>
          <cell r="D470">
            <v>0</v>
          </cell>
          <cell r="E470" t="str">
            <v>S04</v>
          </cell>
          <cell r="F470">
            <v>0</v>
          </cell>
        </row>
        <row r="471">
          <cell r="C471">
            <v>0</v>
          </cell>
          <cell r="D471">
            <v>62097331</v>
          </cell>
          <cell r="E471">
            <v>0</v>
          </cell>
          <cell r="F471" t="str">
            <v>X04</v>
          </cell>
        </row>
        <row r="472">
          <cell r="C472">
            <v>0</v>
          </cell>
          <cell r="D472">
            <v>-1770679400</v>
          </cell>
          <cell r="E472">
            <v>0</v>
          </cell>
          <cell r="F472" t="str">
            <v>X04</v>
          </cell>
        </row>
        <row r="473">
          <cell r="C473">
            <v>0</v>
          </cell>
          <cell r="D473">
            <v>-23926908</v>
          </cell>
          <cell r="E473">
            <v>0</v>
          </cell>
          <cell r="F473" t="str">
            <v>X04</v>
          </cell>
        </row>
        <row r="474">
          <cell r="C474">
            <v>0</v>
          </cell>
          <cell r="D474">
            <v>334450</v>
          </cell>
          <cell r="E474">
            <v>0</v>
          </cell>
          <cell r="F474" t="str">
            <v>X04</v>
          </cell>
        </row>
        <row r="475">
          <cell r="C475">
            <v>0</v>
          </cell>
          <cell r="D475">
            <v>222890</v>
          </cell>
          <cell r="E475">
            <v>0</v>
          </cell>
          <cell r="F475" t="str">
            <v>X04</v>
          </cell>
        </row>
        <row r="476">
          <cell r="C476">
            <v>0</v>
          </cell>
          <cell r="D476">
            <v>157586673</v>
          </cell>
          <cell r="E476">
            <v>0</v>
          </cell>
          <cell r="F476" t="str">
            <v>X04</v>
          </cell>
        </row>
        <row r="477">
          <cell r="C477">
            <v>0</v>
          </cell>
          <cell r="D477">
            <v>188570505</v>
          </cell>
          <cell r="E477">
            <v>0</v>
          </cell>
          <cell r="F477" t="str">
            <v>X04</v>
          </cell>
        </row>
        <row r="478">
          <cell r="C478">
            <v>0</v>
          </cell>
          <cell r="D478">
            <v>12355896</v>
          </cell>
          <cell r="E478">
            <v>0</v>
          </cell>
          <cell r="F478" t="str">
            <v>X04</v>
          </cell>
        </row>
        <row r="479">
          <cell r="C479">
            <v>0</v>
          </cell>
          <cell r="D479">
            <v>44150526</v>
          </cell>
          <cell r="E479">
            <v>0</v>
          </cell>
          <cell r="F479" t="str">
            <v>X04</v>
          </cell>
        </row>
        <row r="480">
          <cell r="C480">
            <v>0</v>
          </cell>
          <cell r="D480">
            <v>74897124</v>
          </cell>
          <cell r="E480">
            <v>0</v>
          </cell>
          <cell r="F480" t="str">
            <v>X04</v>
          </cell>
        </row>
        <row r="481">
          <cell r="C481">
            <v>0</v>
          </cell>
          <cell r="D481">
            <v>40131342</v>
          </cell>
          <cell r="E481">
            <v>0</v>
          </cell>
          <cell r="F481" t="str">
            <v>X04</v>
          </cell>
        </row>
        <row r="482">
          <cell r="C482">
            <v>0</v>
          </cell>
          <cell r="D482">
            <v>14156950</v>
          </cell>
          <cell r="E482">
            <v>0</v>
          </cell>
          <cell r="F482" t="str">
            <v>X04</v>
          </cell>
        </row>
        <row r="483">
          <cell r="C483">
            <v>0</v>
          </cell>
          <cell r="D483">
            <v>2674750</v>
          </cell>
          <cell r="E483">
            <v>0</v>
          </cell>
          <cell r="F483" t="str">
            <v>X04</v>
          </cell>
        </row>
        <row r="484">
          <cell r="C484">
            <v>0</v>
          </cell>
          <cell r="D484">
            <v>4002281359</v>
          </cell>
          <cell r="E484">
            <v>0</v>
          </cell>
          <cell r="F484" t="str">
            <v>X04</v>
          </cell>
        </row>
        <row r="485">
          <cell r="C485">
            <v>0</v>
          </cell>
          <cell r="D485">
            <v>312645318</v>
          </cell>
          <cell r="E485">
            <v>0</v>
          </cell>
          <cell r="F485" t="str">
            <v>X075</v>
          </cell>
        </row>
        <row r="486">
          <cell r="C486">
            <v>0</v>
          </cell>
          <cell r="D486">
            <v>302008618</v>
          </cell>
          <cell r="E486">
            <v>0</v>
          </cell>
          <cell r="F486" t="str">
            <v>X075</v>
          </cell>
        </row>
        <row r="487">
          <cell r="C487">
            <v>0</v>
          </cell>
          <cell r="D487">
            <v>343471264</v>
          </cell>
          <cell r="E487">
            <v>0</v>
          </cell>
          <cell r="F487" t="str">
            <v>X076</v>
          </cell>
        </row>
        <row r="488">
          <cell r="C488">
            <v>20145344481</v>
          </cell>
          <cell r="D488">
            <v>0</v>
          </cell>
          <cell r="E488" t="str">
            <v>S06</v>
          </cell>
          <cell r="F488" t="str">
            <v>X06</v>
          </cell>
        </row>
        <row r="489">
          <cell r="C489">
            <v>537107203</v>
          </cell>
          <cell r="D489">
            <v>0</v>
          </cell>
          <cell r="E489" t="str">
            <v>S071</v>
          </cell>
          <cell r="F489" t="str">
            <v>X077</v>
          </cell>
        </row>
        <row r="490">
          <cell r="C490">
            <v>0</v>
          </cell>
          <cell r="D490">
            <v>1463600</v>
          </cell>
          <cell r="E490" t="str">
            <v>S071</v>
          </cell>
          <cell r="F490" t="str">
            <v>X077</v>
          </cell>
        </row>
        <row r="491">
          <cell r="C491">
            <v>0</v>
          </cell>
          <cell r="D491">
            <v>8500002</v>
          </cell>
          <cell r="E491">
            <v>0</v>
          </cell>
          <cell r="F491" t="str">
            <v>X077</v>
          </cell>
        </row>
        <row r="492">
          <cell r="C492">
            <v>57555</v>
          </cell>
          <cell r="D492">
            <v>0</v>
          </cell>
          <cell r="E492" t="str">
            <v>S073</v>
          </cell>
          <cell r="F492" t="str">
            <v>X077</v>
          </cell>
        </row>
        <row r="493">
          <cell r="C493">
            <v>238167722</v>
          </cell>
          <cell r="D493">
            <v>0</v>
          </cell>
          <cell r="E493" t="str">
            <v>S073</v>
          </cell>
          <cell r="F493" t="str">
            <v>X077</v>
          </cell>
        </row>
        <row r="494">
          <cell r="C494">
            <v>1663914381</v>
          </cell>
          <cell r="D494">
            <v>0</v>
          </cell>
          <cell r="E494" t="str">
            <v>S073</v>
          </cell>
          <cell r="F494" t="str">
            <v>X077</v>
          </cell>
        </row>
        <row r="495">
          <cell r="C495">
            <v>162684917</v>
          </cell>
          <cell r="D495">
            <v>0</v>
          </cell>
          <cell r="E495" t="str">
            <v>S073</v>
          </cell>
          <cell r="F495" t="str">
            <v>X077</v>
          </cell>
        </row>
        <row r="496">
          <cell r="C496">
            <v>5592430</v>
          </cell>
          <cell r="D496">
            <v>0</v>
          </cell>
          <cell r="E496" t="str">
            <v>S073</v>
          </cell>
          <cell r="F496" t="str">
            <v>X077</v>
          </cell>
        </row>
        <row r="497">
          <cell r="C497">
            <v>2465965</v>
          </cell>
          <cell r="D497">
            <v>0</v>
          </cell>
          <cell r="E497" t="str">
            <v>S073</v>
          </cell>
          <cell r="F497" t="str">
            <v>X077</v>
          </cell>
        </row>
        <row r="498">
          <cell r="C498">
            <v>0</v>
          </cell>
          <cell r="D498">
            <v>309847</v>
          </cell>
          <cell r="E498" t="str">
            <v>S073</v>
          </cell>
          <cell r="F498" t="str">
            <v>X077</v>
          </cell>
        </row>
        <row r="499">
          <cell r="C499">
            <v>1110833</v>
          </cell>
          <cell r="D499">
            <v>0</v>
          </cell>
          <cell r="E499" t="str">
            <v>S073</v>
          </cell>
          <cell r="F499" t="str">
            <v>X077</v>
          </cell>
        </row>
        <row r="500">
          <cell r="C500">
            <v>0</v>
          </cell>
          <cell r="D500">
            <v>56504747</v>
          </cell>
          <cell r="E500" t="str">
            <v>S073</v>
          </cell>
          <cell r="F500" t="str">
            <v>X077</v>
          </cell>
        </row>
        <row r="501">
          <cell r="C501">
            <v>110020909</v>
          </cell>
          <cell r="D501">
            <v>0</v>
          </cell>
          <cell r="E501" t="str">
            <v>S073</v>
          </cell>
          <cell r="F501" t="str">
            <v>X077</v>
          </cell>
        </row>
        <row r="502">
          <cell r="C502">
            <v>7586597</v>
          </cell>
          <cell r="D502">
            <v>0</v>
          </cell>
          <cell r="E502" t="str">
            <v>S073</v>
          </cell>
          <cell r="F502" t="str">
            <v>X077</v>
          </cell>
        </row>
        <row r="503">
          <cell r="C503">
            <v>14250000</v>
          </cell>
          <cell r="D503">
            <v>0</v>
          </cell>
          <cell r="E503" t="str">
            <v>S073</v>
          </cell>
          <cell r="F503" t="str">
            <v>X077</v>
          </cell>
        </row>
        <row r="504">
          <cell r="C504">
            <v>2058221681</v>
          </cell>
          <cell r="D504">
            <v>0</v>
          </cell>
          <cell r="E504" t="str">
            <v>S073</v>
          </cell>
          <cell r="F504" t="str">
            <v>X077</v>
          </cell>
        </row>
        <row r="505">
          <cell r="C505">
            <v>0</v>
          </cell>
          <cell r="D505">
            <v>994221944</v>
          </cell>
          <cell r="E505" t="str">
            <v>S01</v>
          </cell>
          <cell r="F505" t="str">
            <v>Amort</v>
          </cell>
        </row>
        <row r="506">
          <cell r="C506">
            <v>0</v>
          </cell>
          <cell r="D506">
            <v>535290748</v>
          </cell>
          <cell r="E506" t="str">
            <v>S01</v>
          </cell>
          <cell r="F506" t="str">
            <v>Amort</v>
          </cell>
        </row>
        <row r="507">
          <cell r="C507">
            <v>0</v>
          </cell>
          <cell r="D507">
            <v>1099473380</v>
          </cell>
          <cell r="E507" t="str">
            <v>S03</v>
          </cell>
          <cell r="F507" t="str">
            <v>Amort</v>
          </cell>
        </row>
        <row r="508">
          <cell r="C508">
            <v>0</v>
          </cell>
          <cell r="D508">
            <v>285432506</v>
          </cell>
          <cell r="E508" t="str">
            <v>S03</v>
          </cell>
          <cell r="F508" t="str">
            <v>Amort</v>
          </cell>
        </row>
        <row r="509">
          <cell r="C509">
            <v>0</v>
          </cell>
          <cell r="D509">
            <v>1024012216</v>
          </cell>
          <cell r="E509" t="str">
            <v>S03</v>
          </cell>
          <cell r="F509" t="str">
            <v>Amort</v>
          </cell>
        </row>
        <row r="510">
          <cell r="C510">
            <v>0</v>
          </cell>
          <cell r="D510">
            <v>109861398</v>
          </cell>
          <cell r="E510" t="str">
            <v>S05</v>
          </cell>
          <cell r="F510" t="str">
            <v>Amort</v>
          </cell>
        </row>
        <row r="511">
          <cell r="C511">
            <v>0</v>
          </cell>
          <cell r="D511">
            <v>2104821590</v>
          </cell>
          <cell r="E511" t="str">
            <v>S06</v>
          </cell>
          <cell r="F511" t="str">
            <v>Amort</v>
          </cell>
        </row>
        <row r="512">
          <cell r="C512">
            <v>0</v>
          </cell>
          <cell r="D512">
            <v>287402784</v>
          </cell>
          <cell r="E512" t="str">
            <v>S073</v>
          </cell>
          <cell r="F512" t="str">
            <v>Amort</v>
          </cell>
        </row>
        <row r="513">
          <cell r="C513">
            <v>0</v>
          </cell>
          <cell r="D513">
            <v>1570712312</v>
          </cell>
          <cell r="E513" t="str">
            <v>S073</v>
          </cell>
          <cell r="F513" t="str">
            <v>Amort</v>
          </cell>
        </row>
        <row r="514">
          <cell r="C514">
            <v>31102799</v>
          </cell>
          <cell r="D514">
            <v>0</v>
          </cell>
          <cell r="E514" t="str">
            <v>T015</v>
          </cell>
          <cell r="F514">
            <v>0</v>
          </cell>
        </row>
        <row r="515">
          <cell r="C515">
            <v>19880993</v>
          </cell>
          <cell r="D515">
            <v>0</v>
          </cell>
          <cell r="E515" t="str">
            <v>T012</v>
          </cell>
          <cell r="F515" t="str">
            <v>Y011</v>
          </cell>
        </row>
        <row r="516">
          <cell r="C516">
            <v>2150816576</v>
          </cell>
          <cell r="D516">
            <v>0</v>
          </cell>
          <cell r="E516" t="str">
            <v>T012</v>
          </cell>
          <cell r="F516" t="str">
            <v>Y011</v>
          </cell>
        </row>
        <row r="517">
          <cell r="C517">
            <v>1935444147</v>
          </cell>
          <cell r="D517">
            <v>0</v>
          </cell>
          <cell r="E517" t="str">
            <v>T012</v>
          </cell>
          <cell r="F517" t="str">
            <v>Y011</v>
          </cell>
        </row>
        <row r="518">
          <cell r="C518">
            <v>3334322525</v>
          </cell>
          <cell r="D518">
            <v>0</v>
          </cell>
          <cell r="E518" t="str">
            <v>T012</v>
          </cell>
          <cell r="F518" t="str">
            <v>Y011</v>
          </cell>
        </row>
        <row r="519">
          <cell r="C519">
            <v>482185264</v>
          </cell>
          <cell r="D519">
            <v>0</v>
          </cell>
          <cell r="E519" t="str">
            <v>T012</v>
          </cell>
          <cell r="F519" t="str">
            <v>Y011</v>
          </cell>
        </row>
        <row r="520">
          <cell r="C520">
            <v>156456</v>
          </cell>
          <cell r="D520">
            <v>0</v>
          </cell>
          <cell r="E520" t="str">
            <v>T012</v>
          </cell>
          <cell r="F520" t="str">
            <v>Y011</v>
          </cell>
        </row>
        <row r="521">
          <cell r="C521">
            <v>74485249</v>
          </cell>
          <cell r="D521">
            <v>0</v>
          </cell>
          <cell r="E521" t="str">
            <v>T012</v>
          </cell>
          <cell r="F521" t="str">
            <v>Y011</v>
          </cell>
        </row>
        <row r="522">
          <cell r="C522">
            <v>364472816</v>
          </cell>
          <cell r="D522">
            <v>0</v>
          </cell>
          <cell r="E522" t="str">
            <v>T012</v>
          </cell>
          <cell r="F522" t="str">
            <v>Y011</v>
          </cell>
        </row>
        <row r="523">
          <cell r="C523">
            <v>277066252</v>
          </cell>
          <cell r="D523">
            <v>0</v>
          </cell>
          <cell r="E523" t="str">
            <v>T012</v>
          </cell>
          <cell r="F523" t="str">
            <v>Y011</v>
          </cell>
        </row>
        <row r="524">
          <cell r="C524">
            <v>18025053</v>
          </cell>
          <cell r="D524">
            <v>0</v>
          </cell>
          <cell r="E524" t="str">
            <v>T012</v>
          </cell>
          <cell r="F524" t="str">
            <v>Y011</v>
          </cell>
        </row>
        <row r="525">
          <cell r="C525">
            <v>209307</v>
          </cell>
          <cell r="D525">
            <v>0</v>
          </cell>
          <cell r="E525" t="str">
            <v>T012</v>
          </cell>
          <cell r="F525" t="str">
            <v>Y011</v>
          </cell>
        </row>
        <row r="526">
          <cell r="C526">
            <v>0</v>
          </cell>
          <cell r="D526">
            <v>610036423</v>
          </cell>
          <cell r="E526" t="str">
            <v>T012</v>
          </cell>
          <cell r="F526" t="str">
            <v>Y011</v>
          </cell>
        </row>
        <row r="527">
          <cell r="C527">
            <v>35323623</v>
          </cell>
          <cell r="D527">
            <v>0</v>
          </cell>
          <cell r="E527" t="str">
            <v>T012</v>
          </cell>
          <cell r="F527" t="str">
            <v>Y011</v>
          </cell>
        </row>
        <row r="528">
          <cell r="C528">
            <v>17310777</v>
          </cell>
          <cell r="D528">
            <v>0</v>
          </cell>
          <cell r="E528" t="str">
            <v>T012</v>
          </cell>
          <cell r="F528" t="str">
            <v>Y011</v>
          </cell>
        </row>
        <row r="529">
          <cell r="C529">
            <v>1332104619</v>
          </cell>
          <cell r="D529">
            <v>0</v>
          </cell>
          <cell r="E529" t="str">
            <v>T012</v>
          </cell>
          <cell r="F529" t="str">
            <v>Y011</v>
          </cell>
        </row>
        <row r="530">
          <cell r="C530">
            <v>6083185934</v>
          </cell>
          <cell r="D530">
            <v>0</v>
          </cell>
          <cell r="E530" t="str">
            <v>T012</v>
          </cell>
          <cell r="F530" t="str">
            <v>Y011</v>
          </cell>
        </row>
        <row r="531">
          <cell r="C531">
            <v>91852861</v>
          </cell>
          <cell r="D531">
            <v>0</v>
          </cell>
          <cell r="E531" t="str">
            <v>T012</v>
          </cell>
          <cell r="F531" t="str">
            <v>Y011</v>
          </cell>
        </row>
        <row r="532">
          <cell r="C532">
            <v>2619159475</v>
          </cell>
          <cell r="D532">
            <v>0</v>
          </cell>
          <cell r="E532" t="str">
            <v>T012</v>
          </cell>
          <cell r="F532" t="str">
            <v>Y011</v>
          </cell>
        </row>
        <row r="533">
          <cell r="C533">
            <v>74490927</v>
          </cell>
          <cell r="D533">
            <v>0</v>
          </cell>
          <cell r="E533" t="str">
            <v>T012</v>
          </cell>
          <cell r="F533" t="str">
            <v>Y011</v>
          </cell>
        </row>
        <row r="534">
          <cell r="C534">
            <v>3136077577</v>
          </cell>
          <cell r="D534">
            <v>0</v>
          </cell>
          <cell r="E534" t="str">
            <v>T012</v>
          </cell>
          <cell r="F534" t="str">
            <v>Y011</v>
          </cell>
        </row>
        <row r="535">
          <cell r="C535">
            <v>131634390</v>
          </cell>
          <cell r="D535">
            <v>0</v>
          </cell>
          <cell r="E535" t="str">
            <v>T012</v>
          </cell>
          <cell r="F535" t="str">
            <v>Y011</v>
          </cell>
        </row>
        <row r="536">
          <cell r="C536">
            <v>0</v>
          </cell>
          <cell r="D536">
            <v>193828</v>
          </cell>
          <cell r="E536" t="str">
            <v>T012</v>
          </cell>
          <cell r="F536" t="str">
            <v>Y011</v>
          </cell>
        </row>
        <row r="537">
          <cell r="C537">
            <v>68946954</v>
          </cell>
          <cell r="D537">
            <v>0</v>
          </cell>
          <cell r="E537" t="str">
            <v>T012</v>
          </cell>
          <cell r="F537" t="str">
            <v>Y011</v>
          </cell>
        </row>
        <row r="538">
          <cell r="C538">
            <v>2739751727</v>
          </cell>
          <cell r="D538">
            <v>0</v>
          </cell>
          <cell r="E538" t="str">
            <v>T012</v>
          </cell>
          <cell r="F538" t="str">
            <v>Y011</v>
          </cell>
        </row>
        <row r="539">
          <cell r="C539">
            <v>0</v>
          </cell>
          <cell r="D539">
            <v>293377566</v>
          </cell>
          <cell r="E539" t="str">
            <v>T012</v>
          </cell>
          <cell r="F539" t="str">
            <v>Y011</v>
          </cell>
        </row>
        <row r="540">
          <cell r="C540">
            <v>291774828</v>
          </cell>
          <cell r="D540">
            <v>0</v>
          </cell>
          <cell r="E540" t="str">
            <v>T012</v>
          </cell>
          <cell r="F540" t="str">
            <v>X075</v>
          </cell>
        </row>
        <row r="541">
          <cell r="C541">
            <v>48647575</v>
          </cell>
          <cell r="D541">
            <v>0</v>
          </cell>
          <cell r="E541" t="str">
            <v>T012</v>
          </cell>
          <cell r="F541" t="str">
            <v>X075</v>
          </cell>
        </row>
        <row r="542">
          <cell r="C542">
            <v>302335996</v>
          </cell>
          <cell r="D542">
            <v>0</v>
          </cell>
          <cell r="E542" t="str">
            <v>T012</v>
          </cell>
          <cell r="F542" t="str">
            <v>X075</v>
          </cell>
        </row>
        <row r="543">
          <cell r="C543">
            <v>255410436</v>
          </cell>
          <cell r="D543">
            <v>0</v>
          </cell>
          <cell r="E543" t="str">
            <v>T012</v>
          </cell>
          <cell r="F543" t="str">
            <v>Y011</v>
          </cell>
        </row>
        <row r="544">
          <cell r="C544">
            <v>167302</v>
          </cell>
          <cell r="D544">
            <v>0</v>
          </cell>
          <cell r="E544" t="str">
            <v>T012</v>
          </cell>
          <cell r="F544" t="str">
            <v>Y011</v>
          </cell>
        </row>
        <row r="545">
          <cell r="C545">
            <v>8340094</v>
          </cell>
          <cell r="D545">
            <v>0</v>
          </cell>
          <cell r="E545" t="str">
            <v>T012</v>
          </cell>
          <cell r="F545" t="str">
            <v>Y011</v>
          </cell>
        </row>
        <row r="546">
          <cell r="C546">
            <v>0</v>
          </cell>
          <cell r="D546">
            <v>68189657</v>
          </cell>
          <cell r="E546" t="str">
            <v>T012</v>
          </cell>
          <cell r="F546" t="str">
            <v>Y011</v>
          </cell>
        </row>
        <row r="547">
          <cell r="C547">
            <v>0</v>
          </cell>
          <cell r="D547">
            <v>20000000000</v>
          </cell>
          <cell r="E547">
            <v>0</v>
          </cell>
          <cell r="F547" t="str">
            <v>Y012</v>
          </cell>
        </row>
        <row r="548">
          <cell r="C548">
            <v>143815884</v>
          </cell>
          <cell r="D548">
            <v>0</v>
          </cell>
          <cell r="E548" t="str">
            <v>T013</v>
          </cell>
          <cell r="F548">
            <v>0</v>
          </cell>
        </row>
        <row r="549">
          <cell r="C549">
            <v>20013848</v>
          </cell>
          <cell r="D549">
            <v>0</v>
          </cell>
          <cell r="E549" t="str">
            <v>T013</v>
          </cell>
          <cell r="F549">
            <v>0</v>
          </cell>
        </row>
        <row r="550">
          <cell r="C550">
            <v>86275546</v>
          </cell>
          <cell r="D550">
            <v>0</v>
          </cell>
          <cell r="E550" t="str">
            <v>T015</v>
          </cell>
          <cell r="F550">
            <v>0</v>
          </cell>
        </row>
        <row r="551">
          <cell r="C551">
            <v>-196638</v>
          </cell>
          <cell r="D551">
            <v>0</v>
          </cell>
          <cell r="E551" t="str">
            <v>T015</v>
          </cell>
          <cell r="F551">
            <v>0</v>
          </cell>
        </row>
        <row r="552">
          <cell r="C552">
            <v>0</v>
          </cell>
          <cell r="D552">
            <v>69336484</v>
          </cell>
          <cell r="E552" t="str">
            <v>T012</v>
          </cell>
          <cell r="F552" t="str">
            <v>Y011</v>
          </cell>
        </row>
        <row r="559">
          <cell r="F559" t="str">
            <v>U04</v>
          </cell>
        </row>
        <row r="560">
          <cell r="D560">
            <v>-996836578</v>
          </cell>
          <cell r="E560" t="str">
            <v>S02</v>
          </cell>
          <cell r="F560" t="str">
            <v>X02</v>
          </cell>
        </row>
        <row r="561">
          <cell r="D561">
            <v>996836578</v>
          </cell>
          <cell r="E561" t="str">
            <v>S01</v>
          </cell>
          <cell r="F561" t="str">
            <v>X01</v>
          </cell>
        </row>
        <row r="562">
          <cell r="E562" t="str">
            <v>S02</v>
          </cell>
          <cell r="F562" t="str">
            <v>X02</v>
          </cell>
        </row>
        <row r="563">
          <cell r="C563">
            <v>0</v>
          </cell>
          <cell r="D563">
            <v>0</v>
          </cell>
          <cell r="E563" t="str">
            <v>S01</v>
          </cell>
          <cell r="F563" t="str">
            <v>X01</v>
          </cell>
        </row>
        <row r="564">
          <cell r="C564">
            <v>0</v>
          </cell>
          <cell r="D564">
            <v>16775294461.044439</v>
          </cell>
          <cell r="F564" t="str">
            <v>X04</v>
          </cell>
        </row>
        <row r="565">
          <cell r="D565">
            <v>0</v>
          </cell>
          <cell r="E565" t="str">
            <v>S01</v>
          </cell>
          <cell r="F565" t="str">
            <v>X01</v>
          </cell>
        </row>
        <row r="566">
          <cell r="C566">
            <v>0</v>
          </cell>
          <cell r="E566" t="str">
            <v>S073</v>
          </cell>
          <cell r="F566" t="str">
            <v>X077</v>
          </cell>
        </row>
        <row r="567">
          <cell r="C567">
            <v>0</v>
          </cell>
          <cell r="E567" t="str">
            <v>S073</v>
          </cell>
          <cell r="F567" t="str">
            <v>X077</v>
          </cell>
        </row>
        <row r="568">
          <cell r="D568">
            <v>0</v>
          </cell>
          <cell r="E568" t="str">
            <v>S01</v>
          </cell>
          <cell r="F568" t="str">
            <v>X01</v>
          </cell>
        </row>
        <row r="569">
          <cell r="D569">
            <v>0</v>
          </cell>
          <cell r="E569" t="str">
            <v>S01</v>
          </cell>
          <cell r="F569" t="str">
            <v>X01</v>
          </cell>
        </row>
        <row r="570">
          <cell r="D570">
            <v>0</v>
          </cell>
          <cell r="E570" t="str">
            <v>S01</v>
          </cell>
          <cell r="F570" t="str">
            <v>X01</v>
          </cell>
        </row>
        <row r="571">
          <cell r="C571">
            <v>0</v>
          </cell>
          <cell r="D571">
            <v>0</v>
          </cell>
          <cell r="E571" t="str">
            <v>S01</v>
          </cell>
          <cell r="F571" t="str">
            <v>X01</v>
          </cell>
        </row>
        <row r="572">
          <cell r="C572">
            <v>0</v>
          </cell>
          <cell r="D572">
            <v>0</v>
          </cell>
          <cell r="E572" t="str">
            <v>S01</v>
          </cell>
          <cell r="F572" t="str">
            <v>X01</v>
          </cell>
        </row>
        <row r="573">
          <cell r="D573">
            <v>0</v>
          </cell>
          <cell r="E573" t="str">
            <v>S01</v>
          </cell>
          <cell r="F573" t="str">
            <v>X01</v>
          </cell>
        </row>
        <row r="574">
          <cell r="C574">
            <v>0</v>
          </cell>
          <cell r="D574">
            <v>0</v>
          </cell>
          <cell r="E574" t="str">
            <v>S01</v>
          </cell>
          <cell r="F574" t="str">
            <v>X01</v>
          </cell>
        </row>
        <row r="575">
          <cell r="D575">
            <v>0</v>
          </cell>
          <cell r="E575" t="str">
            <v>S01</v>
          </cell>
          <cell r="F575" t="str">
            <v>X01</v>
          </cell>
        </row>
        <row r="576">
          <cell r="D576">
            <v>0</v>
          </cell>
          <cell r="E576" t="str">
            <v>S01</v>
          </cell>
          <cell r="F576" t="str">
            <v>X01</v>
          </cell>
        </row>
        <row r="577">
          <cell r="C577">
            <v>0</v>
          </cell>
          <cell r="D577">
            <v>0</v>
          </cell>
          <cell r="E577" t="str">
            <v>S01</v>
          </cell>
          <cell r="F577" t="str">
            <v>X01</v>
          </cell>
        </row>
        <row r="578">
          <cell r="D578">
            <v>0</v>
          </cell>
          <cell r="E578" t="str">
            <v>S073</v>
          </cell>
          <cell r="F578" t="str">
            <v>X077</v>
          </cell>
        </row>
        <row r="579">
          <cell r="D579">
            <v>0</v>
          </cell>
          <cell r="E579" t="str">
            <v>S073</v>
          </cell>
          <cell r="F579" t="str">
            <v>X077</v>
          </cell>
        </row>
        <row r="580">
          <cell r="C580">
            <v>0</v>
          </cell>
          <cell r="E580" t="str">
            <v>Q04</v>
          </cell>
          <cell r="F580">
            <v>0</v>
          </cell>
        </row>
        <row r="581">
          <cell r="C581">
            <v>0</v>
          </cell>
          <cell r="E581" t="str">
            <v>Q04</v>
          </cell>
        </row>
        <row r="582">
          <cell r="D582">
            <v>0</v>
          </cell>
          <cell r="E582" t="str">
            <v>S01</v>
          </cell>
          <cell r="F582" t="str">
            <v>X01</v>
          </cell>
        </row>
        <row r="583">
          <cell r="C583">
            <v>0</v>
          </cell>
          <cell r="E583" t="str">
            <v>S073</v>
          </cell>
          <cell r="F583" t="str">
            <v>X077</v>
          </cell>
        </row>
        <row r="584">
          <cell r="C584">
            <v>0</v>
          </cell>
          <cell r="D584">
            <v>0</v>
          </cell>
          <cell r="E584" t="str">
            <v>S01</v>
          </cell>
          <cell r="F584" t="str">
            <v>X01</v>
          </cell>
        </row>
        <row r="585">
          <cell r="D585">
            <v>0</v>
          </cell>
          <cell r="E585" t="str">
            <v>S01</v>
          </cell>
          <cell r="F585" t="str">
            <v>X01</v>
          </cell>
        </row>
        <row r="586">
          <cell r="C586">
            <v>0</v>
          </cell>
          <cell r="D586">
            <v>0</v>
          </cell>
          <cell r="E586" t="str">
            <v>S01</v>
          </cell>
          <cell r="F586" t="str">
            <v>X01</v>
          </cell>
        </row>
        <row r="587">
          <cell r="D587">
            <v>0</v>
          </cell>
          <cell r="E587" t="str">
            <v>S01</v>
          </cell>
          <cell r="F587" t="str">
            <v>X01</v>
          </cell>
        </row>
        <row r="588">
          <cell r="C588">
            <v>0</v>
          </cell>
          <cell r="E588" t="str">
            <v>S073</v>
          </cell>
          <cell r="F588" t="str">
            <v>X077</v>
          </cell>
        </row>
        <row r="589">
          <cell r="D589">
            <v>0</v>
          </cell>
          <cell r="E589" t="str">
            <v>S01</v>
          </cell>
          <cell r="F589" t="str">
            <v>X01</v>
          </cell>
        </row>
        <row r="590">
          <cell r="D590">
            <v>0</v>
          </cell>
          <cell r="E590" t="str">
            <v>S01</v>
          </cell>
          <cell r="F590" t="str">
            <v>X01</v>
          </cell>
        </row>
        <row r="591">
          <cell r="D591">
            <v>0</v>
          </cell>
          <cell r="E591" t="str">
            <v>S02</v>
          </cell>
          <cell r="F591" t="str">
            <v>X02</v>
          </cell>
        </row>
        <row r="592">
          <cell r="C592">
            <v>0</v>
          </cell>
          <cell r="D592">
            <v>0</v>
          </cell>
          <cell r="E592" t="str">
            <v>S05</v>
          </cell>
          <cell r="F592" t="str">
            <v>X071</v>
          </cell>
        </row>
        <row r="593">
          <cell r="C593">
            <v>0</v>
          </cell>
          <cell r="D593">
            <v>0</v>
          </cell>
          <cell r="E593" t="str">
            <v>S05</v>
          </cell>
          <cell r="F593" t="str">
            <v>X071</v>
          </cell>
        </row>
        <row r="594">
          <cell r="D594">
            <v>0</v>
          </cell>
          <cell r="E594" t="str">
            <v>S01</v>
          </cell>
          <cell r="F594" t="str">
            <v>X01</v>
          </cell>
        </row>
        <row r="595">
          <cell r="D595">
            <v>0</v>
          </cell>
          <cell r="E595">
            <v>0</v>
          </cell>
          <cell r="F595" t="str">
            <v>X02</v>
          </cell>
        </row>
        <row r="596">
          <cell r="C596">
            <v>0</v>
          </cell>
          <cell r="E596" t="str">
            <v>Q10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 t="str">
            <v>V013</v>
          </cell>
        </row>
        <row r="598">
          <cell r="D598">
            <v>0</v>
          </cell>
          <cell r="E598" t="str">
            <v>S071</v>
          </cell>
          <cell r="F598" t="str">
            <v>X077</v>
          </cell>
        </row>
        <row r="599">
          <cell r="E599" t="str">
            <v>S073</v>
          </cell>
          <cell r="F599" t="str">
            <v>X077</v>
          </cell>
        </row>
        <row r="600">
          <cell r="C600">
            <v>0</v>
          </cell>
          <cell r="D600">
            <v>0</v>
          </cell>
          <cell r="E600" t="str">
            <v>Q05</v>
          </cell>
          <cell r="F600" t="str">
            <v>Amort</v>
          </cell>
        </row>
        <row r="601">
          <cell r="C601">
            <v>0</v>
          </cell>
          <cell r="D601">
            <v>0</v>
          </cell>
          <cell r="E601" t="str">
            <v>S073</v>
          </cell>
          <cell r="F601" t="str">
            <v>X077</v>
          </cell>
        </row>
        <row r="602">
          <cell r="C602">
            <v>0</v>
          </cell>
          <cell r="E602" t="str">
            <v>S06</v>
          </cell>
          <cell r="F602" t="str">
            <v>X06</v>
          </cell>
        </row>
        <row r="603">
          <cell r="C603">
            <v>0</v>
          </cell>
          <cell r="E603" t="str">
            <v>R03</v>
          </cell>
          <cell r="F603">
            <v>0</v>
          </cell>
        </row>
        <row r="604">
          <cell r="C604">
            <v>0</v>
          </cell>
          <cell r="D604">
            <v>0</v>
          </cell>
          <cell r="E604" t="str">
            <v>S03</v>
          </cell>
          <cell r="F604" t="str">
            <v>X03</v>
          </cell>
        </row>
        <row r="605">
          <cell r="C605">
            <v>0</v>
          </cell>
          <cell r="D605">
            <v>0</v>
          </cell>
          <cell r="E605">
            <v>0</v>
          </cell>
          <cell r="F605" t="str">
            <v>X04</v>
          </cell>
        </row>
        <row r="606">
          <cell r="C606">
            <v>0</v>
          </cell>
          <cell r="E606" t="str">
            <v>S073</v>
          </cell>
          <cell r="F606" t="str">
            <v>X077</v>
          </cell>
        </row>
        <row r="607">
          <cell r="C607">
            <v>0</v>
          </cell>
          <cell r="E607" t="str">
            <v>S073</v>
          </cell>
          <cell r="F607" t="str">
            <v>X077</v>
          </cell>
        </row>
        <row r="608">
          <cell r="C608">
            <v>0</v>
          </cell>
          <cell r="E608" t="str">
            <v>S074</v>
          </cell>
          <cell r="F608" t="str">
            <v>X078</v>
          </cell>
        </row>
        <row r="609">
          <cell r="D609">
            <v>0</v>
          </cell>
          <cell r="E609" t="str">
            <v>S01</v>
          </cell>
          <cell r="F609" t="str">
            <v>X01</v>
          </cell>
        </row>
        <row r="610">
          <cell r="D610">
            <v>0</v>
          </cell>
          <cell r="E610" t="str">
            <v>S01</v>
          </cell>
          <cell r="F610" t="str">
            <v>X01</v>
          </cell>
        </row>
        <row r="611">
          <cell r="C611">
            <v>0</v>
          </cell>
          <cell r="D611">
            <v>0</v>
          </cell>
          <cell r="E611" t="str">
            <v>S01</v>
          </cell>
          <cell r="F611" t="str">
            <v>X01</v>
          </cell>
        </row>
        <row r="612">
          <cell r="C612">
            <v>0</v>
          </cell>
          <cell r="E612" t="str">
            <v>Q10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 t="str">
            <v>S04</v>
          </cell>
        </row>
        <row r="614">
          <cell r="C614">
            <v>0</v>
          </cell>
          <cell r="D614">
            <v>0</v>
          </cell>
          <cell r="E614" t="str">
            <v>S03</v>
          </cell>
          <cell r="F614" t="str">
            <v>X03</v>
          </cell>
        </row>
        <row r="615">
          <cell r="C615">
            <v>0</v>
          </cell>
          <cell r="D615">
            <v>0</v>
          </cell>
          <cell r="E615" t="str">
            <v>R01</v>
          </cell>
          <cell r="F615" t="str">
            <v>Amort</v>
          </cell>
        </row>
      </sheetData>
      <sheetData sheetId="51" refreshError="1">
        <row r="3">
          <cell r="C3">
            <v>12993956908</v>
          </cell>
          <cell r="D3">
            <v>0</v>
          </cell>
        </row>
        <row r="4">
          <cell r="C4">
            <v>3069349227</v>
          </cell>
          <cell r="D4">
            <v>0</v>
          </cell>
        </row>
        <row r="5">
          <cell r="C5">
            <v>44077230</v>
          </cell>
          <cell r="D5">
            <v>0</v>
          </cell>
        </row>
        <row r="6">
          <cell r="C6">
            <v>75286819225</v>
          </cell>
          <cell r="D6">
            <v>0</v>
          </cell>
        </row>
        <row r="7">
          <cell r="C7">
            <v>6830131502</v>
          </cell>
          <cell r="D7">
            <v>0</v>
          </cell>
        </row>
        <row r="8">
          <cell r="C8">
            <v>500088446</v>
          </cell>
          <cell r="D8">
            <v>0</v>
          </cell>
        </row>
        <row r="9">
          <cell r="C9">
            <v>111269</v>
          </cell>
          <cell r="D9">
            <v>0</v>
          </cell>
        </row>
        <row r="10">
          <cell r="C10">
            <v>0</v>
          </cell>
          <cell r="D10">
            <v>86301831</v>
          </cell>
        </row>
        <row r="11">
          <cell r="C11">
            <v>0</v>
          </cell>
          <cell r="D11">
            <v>1709619154</v>
          </cell>
        </row>
        <row r="12">
          <cell r="C12">
            <v>1137557521</v>
          </cell>
          <cell r="D12">
            <v>0</v>
          </cell>
        </row>
        <row r="13">
          <cell r="C13">
            <v>891618</v>
          </cell>
          <cell r="D13">
            <v>0</v>
          </cell>
        </row>
        <row r="14">
          <cell r="C14">
            <v>0</v>
          </cell>
          <cell r="D14">
            <v>802940228</v>
          </cell>
        </row>
        <row r="15">
          <cell r="C15">
            <v>12148592</v>
          </cell>
          <cell r="D15">
            <v>0</v>
          </cell>
        </row>
        <row r="16">
          <cell r="C16">
            <v>0</v>
          </cell>
          <cell r="D16">
            <v>11949657</v>
          </cell>
        </row>
        <row r="17">
          <cell r="C17">
            <v>554705</v>
          </cell>
          <cell r="D17">
            <v>0</v>
          </cell>
        </row>
        <row r="18">
          <cell r="C18">
            <v>0</v>
          </cell>
          <cell r="D18">
            <v>257571883</v>
          </cell>
        </row>
        <row r="19">
          <cell r="C19">
            <v>0</v>
          </cell>
          <cell r="D19">
            <v>2083640103</v>
          </cell>
        </row>
        <row r="20">
          <cell r="C20">
            <v>0</v>
          </cell>
          <cell r="D20">
            <v>11229064</v>
          </cell>
        </row>
        <row r="21">
          <cell r="C21">
            <v>3538609186</v>
          </cell>
          <cell r="D21">
            <v>0</v>
          </cell>
        </row>
        <row r="22">
          <cell r="C22">
            <v>4727093518</v>
          </cell>
          <cell r="D22">
            <v>0</v>
          </cell>
        </row>
        <row r="23">
          <cell r="C23">
            <v>11243936</v>
          </cell>
          <cell r="D23">
            <v>0</v>
          </cell>
        </row>
        <row r="24">
          <cell r="C24">
            <v>126650956</v>
          </cell>
          <cell r="D24">
            <v>0</v>
          </cell>
        </row>
        <row r="25">
          <cell r="C25">
            <v>0</v>
          </cell>
          <cell r="D25">
            <v>162597150</v>
          </cell>
        </row>
        <row r="26">
          <cell r="C26">
            <v>6331900086</v>
          </cell>
          <cell r="D26">
            <v>0</v>
          </cell>
        </row>
        <row r="27">
          <cell r="C27">
            <v>2468602937</v>
          </cell>
          <cell r="D27">
            <v>0</v>
          </cell>
        </row>
        <row r="28">
          <cell r="C28">
            <v>140412496</v>
          </cell>
          <cell r="D28">
            <v>0</v>
          </cell>
        </row>
        <row r="29">
          <cell r="C29">
            <v>170236</v>
          </cell>
          <cell r="D29">
            <v>0</v>
          </cell>
        </row>
        <row r="30">
          <cell r="C30">
            <v>23094496599</v>
          </cell>
          <cell r="D30">
            <v>0</v>
          </cell>
        </row>
        <row r="31">
          <cell r="C31">
            <v>408740330</v>
          </cell>
          <cell r="D31">
            <v>0</v>
          </cell>
        </row>
        <row r="32">
          <cell r="C32">
            <v>40919589</v>
          </cell>
          <cell r="D32">
            <v>0</v>
          </cell>
        </row>
        <row r="33">
          <cell r="C33">
            <v>6585269837</v>
          </cell>
          <cell r="D33">
            <v>0</v>
          </cell>
        </row>
        <row r="34">
          <cell r="C34">
            <v>1434229553</v>
          </cell>
          <cell r="D34">
            <v>0</v>
          </cell>
        </row>
        <row r="35">
          <cell r="C35">
            <v>213804904</v>
          </cell>
          <cell r="D35">
            <v>0</v>
          </cell>
        </row>
        <row r="36">
          <cell r="C36">
            <v>2476345</v>
          </cell>
          <cell r="D36">
            <v>0</v>
          </cell>
        </row>
        <row r="37">
          <cell r="C37">
            <v>69483670</v>
          </cell>
          <cell r="D37">
            <v>0</v>
          </cell>
        </row>
        <row r="38">
          <cell r="C38">
            <v>5630500902</v>
          </cell>
          <cell r="D38">
            <v>0</v>
          </cell>
        </row>
        <row r="39">
          <cell r="C39">
            <v>63767942</v>
          </cell>
          <cell r="D39">
            <v>0</v>
          </cell>
        </row>
        <row r="40">
          <cell r="C40">
            <v>911314882</v>
          </cell>
          <cell r="D40">
            <v>0</v>
          </cell>
        </row>
        <row r="41">
          <cell r="C41">
            <v>918806769</v>
          </cell>
          <cell r="D41">
            <v>0</v>
          </cell>
        </row>
        <row r="42">
          <cell r="C42">
            <v>105006652</v>
          </cell>
          <cell r="D42">
            <v>0</v>
          </cell>
        </row>
        <row r="43">
          <cell r="C43">
            <v>1104369</v>
          </cell>
          <cell r="D43">
            <v>0</v>
          </cell>
        </row>
        <row r="44">
          <cell r="C44">
            <v>9623462</v>
          </cell>
          <cell r="D44">
            <v>0</v>
          </cell>
        </row>
        <row r="45">
          <cell r="C45">
            <v>269652816</v>
          </cell>
          <cell r="D45">
            <v>0</v>
          </cell>
        </row>
        <row r="46">
          <cell r="C46">
            <v>1777551648</v>
          </cell>
          <cell r="D46">
            <v>0</v>
          </cell>
        </row>
        <row r="47">
          <cell r="C47">
            <v>4281673</v>
          </cell>
          <cell r="D47">
            <v>0</v>
          </cell>
        </row>
        <row r="48">
          <cell r="C48">
            <v>54934530</v>
          </cell>
          <cell r="D48">
            <v>0</v>
          </cell>
        </row>
        <row r="49">
          <cell r="C49">
            <v>478744773</v>
          </cell>
          <cell r="D49">
            <v>0</v>
          </cell>
        </row>
        <row r="50">
          <cell r="C50">
            <v>105097739</v>
          </cell>
          <cell r="D50">
            <v>0</v>
          </cell>
        </row>
        <row r="51">
          <cell r="C51">
            <v>809840576</v>
          </cell>
          <cell r="D51">
            <v>0</v>
          </cell>
        </row>
        <row r="52">
          <cell r="C52">
            <v>19289718</v>
          </cell>
          <cell r="D52">
            <v>0</v>
          </cell>
        </row>
        <row r="53">
          <cell r="C53">
            <v>15681334</v>
          </cell>
          <cell r="D53">
            <v>0</v>
          </cell>
        </row>
        <row r="54">
          <cell r="C54">
            <v>5839409158</v>
          </cell>
          <cell r="D54">
            <v>0</v>
          </cell>
        </row>
        <row r="55">
          <cell r="C55">
            <v>325288761</v>
          </cell>
          <cell r="D55">
            <v>0</v>
          </cell>
        </row>
        <row r="56">
          <cell r="C56">
            <v>96926502</v>
          </cell>
          <cell r="D56">
            <v>0</v>
          </cell>
        </row>
        <row r="57">
          <cell r="C57">
            <v>896335</v>
          </cell>
          <cell r="D57">
            <v>0</v>
          </cell>
        </row>
        <row r="58">
          <cell r="C58">
            <v>802580423</v>
          </cell>
          <cell r="D58">
            <v>0</v>
          </cell>
        </row>
        <row r="59">
          <cell r="C59">
            <v>1067685659</v>
          </cell>
          <cell r="D59">
            <v>0</v>
          </cell>
        </row>
        <row r="60">
          <cell r="C60">
            <v>465200</v>
          </cell>
          <cell r="D60">
            <v>0</v>
          </cell>
        </row>
        <row r="61">
          <cell r="C61">
            <v>16784947</v>
          </cell>
          <cell r="D61">
            <v>0</v>
          </cell>
        </row>
        <row r="62">
          <cell r="C62">
            <v>35968000</v>
          </cell>
          <cell r="D62">
            <v>0</v>
          </cell>
        </row>
        <row r="63">
          <cell r="C63">
            <v>729254</v>
          </cell>
          <cell r="D63">
            <v>0</v>
          </cell>
        </row>
        <row r="64">
          <cell r="C64">
            <v>36979202</v>
          </cell>
          <cell r="D64">
            <v>0</v>
          </cell>
        </row>
        <row r="65">
          <cell r="C65">
            <v>75014986</v>
          </cell>
          <cell r="D65">
            <v>0</v>
          </cell>
        </row>
        <row r="66">
          <cell r="C66">
            <v>8798815</v>
          </cell>
          <cell r="D66">
            <v>0</v>
          </cell>
        </row>
        <row r="67">
          <cell r="C67">
            <v>25358850</v>
          </cell>
          <cell r="D67">
            <v>0</v>
          </cell>
        </row>
        <row r="68">
          <cell r="C68">
            <v>31560292</v>
          </cell>
          <cell r="D68">
            <v>0</v>
          </cell>
        </row>
        <row r="69">
          <cell r="C69">
            <v>154481633</v>
          </cell>
          <cell r="D69">
            <v>0</v>
          </cell>
        </row>
        <row r="70">
          <cell r="C70">
            <v>54507</v>
          </cell>
          <cell r="D70">
            <v>0</v>
          </cell>
        </row>
        <row r="71">
          <cell r="C71">
            <v>23265465</v>
          </cell>
          <cell r="D71">
            <v>0</v>
          </cell>
        </row>
        <row r="72">
          <cell r="C72">
            <v>5158040</v>
          </cell>
          <cell r="D72">
            <v>0</v>
          </cell>
        </row>
        <row r="73">
          <cell r="C73">
            <v>67100350</v>
          </cell>
          <cell r="D73">
            <v>0</v>
          </cell>
        </row>
        <row r="74">
          <cell r="C74">
            <v>14828353</v>
          </cell>
          <cell r="D74">
            <v>0</v>
          </cell>
        </row>
        <row r="75">
          <cell r="C75">
            <v>485005</v>
          </cell>
          <cell r="D75">
            <v>0</v>
          </cell>
        </row>
        <row r="76">
          <cell r="C76">
            <v>77230995</v>
          </cell>
          <cell r="D76">
            <v>0</v>
          </cell>
        </row>
        <row r="77">
          <cell r="C77">
            <v>31550798</v>
          </cell>
          <cell r="D77">
            <v>0</v>
          </cell>
        </row>
        <row r="78">
          <cell r="C78">
            <v>5262538829</v>
          </cell>
          <cell r="D78">
            <v>0</v>
          </cell>
        </row>
        <row r="79">
          <cell r="C79">
            <v>1828144818</v>
          </cell>
          <cell r="D79">
            <v>0</v>
          </cell>
        </row>
        <row r="80">
          <cell r="C80">
            <v>75157425</v>
          </cell>
          <cell r="D80">
            <v>0</v>
          </cell>
        </row>
        <row r="81">
          <cell r="C81">
            <v>3315886</v>
          </cell>
          <cell r="D81">
            <v>0</v>
          </cell>
        </row>
        <row r="82">
          <cell r="C82">
            <v>0</v>
          </cell>
          <cell r="D82">
            <v>8</v>
          </cell>
        </row>
        <row r="83">
          <cell r="C83">
            <v>0</v>
          </cell>
          <cell r="D83">
            <v>7</v>
          </cell>
        </row>
        <row r="84">
          <cell r="C84">
            <v>9860060405</v>
          </cell>
          <cell r="D84">
            <v>0</v>
          </cell>
        </row>
        <row r="85">
          <cell r="C85">
            <v>18659614</v>
          </cell>
          <cell r="D85">
            <v>0</v>
          </cell>
        </row>
        <row r="86">
          <cell r="C86">
            <v>661066614</v>
          </cell>
          <cell r="D86">
            <v>0</v>
          </cell>
        </row>
        <row r="87">
          <cell r="C87">
            <v>22725805</v>
          </cell>
          <cell r="D87">
            <v>0</v>
          </cell>
        </row>
        <row r="88">
          <cell r="C88">
            <v>467119001</v>
          </cell>
          <cell r="D88">
            <v>0</v>
          </cell>
        </row>
        <row r="89">
          <cell r="C89">
            <v>52258411</v>
          </cell>
          <cell r="D89">
            <v>0</v>
          </cell>
        </row>
        <row r="90">
          <cell r="C90">
            <v>1735740</v>
          </cell>
          <cell r="D90">
            <v>0</v>
          </cell>
        </row>
        <row r="91">
          <cell r="C91">
            <v>93081076</v>
          </cell>
          <cell r="D91">
            <v>0</v>
          </cell>
        </row>
        <row r="92">
          <cell r="C92">
            <v>529190</v>
          </cell>
          <cell r="D92">
            <v>0</v>
          </cell>
        </row>
        <row r="93">
          <cell r="C93">
            <v>130358052</v>
          </cell>
          <cell r="D93">
            <v>0</v>
          </cell>
        </row>
        <row r="94">
          <cell r="C94">
            <v>300244096</v>
          </cell>
          <cell r="D94">
            <v>0</v>
          </cell>
        </row>
        <row r="95">
          <cell r="C95">
            <v>325936</v>
          </cell>
          <cell r="D95">
            <v>0</v>
          </cell>
        </row>
        <row r="96">
          <cell r="C96">
            <v>64248487</v>
          </cell>
          <cell r="D96">
            <v>0</v>
          </cell>
        </row>
        <row r="97">
          <cell r="C97">
            <v>68244461</v>
          </cell>
          <cell r="D97">
            <v>0</v>
          </cell>
        </row>
        <row r="98">
          <cell r="C98">
            <v>2615130981</v>
          </cell>
          <cell r="D98">
            <v>0</v>
          </cell>
        </row>
        <row r="99">
          <cell r="C99">
            <v>4276483319</v>
          </cell>
          <cell r="D99">
            <v>0</v>
          </cell>
        </row>
        <row r="100">
          <cell r="C100">
            <v>648471913</v>
          </cell>
          <cell r="D100">
            <v>0</v>
          </cell>
        </row>
        <row r="101">
          <cell r="C101">
            <v>272798807</v>
          </cell>
          <cell r="D101">
            <v>0</v>
          </cell>
        </row>
        <row r="102">
          <cell r="C102">
            <v>8416855409</v>
          </cell>
          <cell r="D102">
            <v>0</v>
          </cell>
        </row>
        <row r="103">
          <cell r="C103">
            <v>265473</v>
          </cell>
          <cell r="D103">
            <v>0</v>
          </cell>
        </row>
        <row r="104">
          <cell r="C104">
            <v>3478012</v>
          </cell>
          <cell r="D104">
            <v>0</v>
          </cell>
        </row>
        <row r="105">
          <cell r="C105">
            <v>14883754</v>
          </cell>
          <cell r="D105">
            <v>0</v>
          </cell>
        </row>
        <row r="106">
          <cell r="C106">
            <v>54168931</v>
          </cell>
          <cell r="D106">
            <v>0</v>
          </cell>
        </row>
        <row r="107">
          <cell r="C107">
            <v>147554588</v>
          </cell>
          <cell r="D107">
            <v>0</v>
          </cell>
        </row>
        <row r="108">
          <cell r="C108">
            <v>600000</v>
          </cell>
          <cell r="D108">
            <v>0</v>
          </cell>
        </row>
        <row r="109">
          <cell r="C109">
            <v>1103644</v>
          </cell>
          <cell r="D109">
            <v>0</v>
          </cell>
        </row>
        <row r="110">
          <cell r="C110">
            <v>14637003</v>
          </cell>
          <cell r="D110">
            <v>0</v>
          </cell>
        </row>
        <row r="111">
          <cell r="C111">
            <v>81358087</v>
          </cell>
          <cell r="D111">
            <v>0</v>
          </cell>
        </row>
        <row r="112">
          <cell r="C112">
            <v>113688035</v>
          </cell>
          <cell r="D112">
            <v>0</v>
          </cell>
        </row>
        <row r="113">
          <cell r="C113">
            <v>37865654</v>
          </cell>
          <cell r="D113">
            <v>0</v>
          </cell>
        </row>
        <row r="114">
          <cell r="C114">
            <v>2000000</v>
          </cell>
          <cell r="D114">
            <v>0</v>
          </cell>
        </row>
        <row r="115">
          <cell r="C115">
            <v>8278210</v>
          </cell>
          <cell r="D115">
            <v>0</v>
          </cell>
        </row>
        <row r="116">
          <cell r="C116">
            <v>26843826</v>
          </cell>
          <cell r="D116">
            <v>0</v>
          </cell>
        </row>
        <row r="117">
          <cell r="C117">
            <v>27259568</v>
          </cell>
          <cell r="D117">
            <v>0</v>
          </cell>
        </row>
        <row r="118">
          <cell r="C118">
            <v>304760464</v>
          </cell>
          <cell r="D118">
            <v>0</v>
          </cell>
        </row>
        <row r="119">
          <cell r="C119">
            <v>0</v>
          </cell>
          <cell r="D119">
            <v>1912831</v>
          </cell>
        </row>
        <row r="120">
          <cell r="C120">
            <v>76379625</v>
          </cell>
          <cell r="D120">
            <v>0</v>
          </cell>
        </row>
        <row r="121">
          <cell r="C121">
            <v>546804831</v>
          </cell>
          <cell r="D121">
            <v>0</v>
          </cell>
        </row>
        <row r="122">
          <cell r="C122">
            <v>3416210</v>
          </cell>
          <cell r="D122">
            <v>0</v>
          </cell>
        </row>
        <row r="123">
          <cell r="C123">
            <v>632164629</v>
          </cell>
          <cell r="D123">
            <v>0</v>
          </cell>
        </row>
        <row r="124">
          <cell r="C124">
            <v>1028252065</v>
          </cell>
          <cell r="D124">
            <v>0</v>
          </cell>
        </row>
        <row r="125">
          <cell r="C125">
            <v>24264</v>
          </cell>
          <cell r="D125">
            <v>0</v>
          </cell>
        </row>
        <row r="126">
          <cell r="C126">
            <v>181981898</v>
          </cell>
          <cell r="D126">
            <v>0</v>
          </cell>
        </row>
        <row r="127">
          <cell r="C127">
            <v>854035959</v>
          </cell>
          <cell r="D127">
            <v>0</v>
          </cell>
        </row>
        <row r="128">
          <cell r="C128">
            <v>676365440</v>
          </cell>
          <cell r="D128">
            <v>0</v>
          </cell>
        </row>
        <row r="129">
          <cell r="C129">
            <v>407017629</v>
          </cell>
          <cell r="D129">
            <v>0</v>
          </cell>
        </row>
        <row r="130">
          <cell r="C130">
            <v>158797592</v>
          </cell>
          <cell r="D130">
            <v>0</v>
          </cell>
        </row>
        <row r="131">
          <cell r="C131">
            <v>105137745</v>
          </cell>
          <cell r="D131">
            <v>0</v>
          </cell>
        </row>
        <row r="132">
          <cell r="C132">
            <v>53887872</v>
          </cell>
          <cell r="D132">
            <v>0</v>
          </cell>
        </row>
        <row r="133">
          <cell r="C133">
            <v>21814850</v>
          </cell>
          <cell r="D133">
            <v>0</v>
          </cell>
        </row>
        <row r="134">
          <cell r="C134">
            <v>391946323</v>
          </cell>
          <cell r="D134">
            <v>0</v>
          </cell>
        </row>
        <row r="135">
          <cell r="C135">
            <v>8061137</v>
          </cell>
          <cell r="D135">
            <v>0</v>
          </cell>
        </row>
        <row r="136">
          <cell r="C136">
            <v>4960269</v>
          </cell>
          <cell r="D136">
            <v>0</v>
          </cell>
        </row>
        <row r="137">
          <cell r="C137">
            <v>16008889</v>
          </cell>
          <cell r="D137">
            <v>0</v>
          </cell>
        </row>
        <row r="138">
          <cell r="C138">
            <v>218384083</v>
          </cell>
          <cell r="D138">
            <v>0</v>
          </cell>
        </row>
        <row r="139">
          <cell r="C139">
            <v>5630507</v>
          </cell>
          <cell r="D139">
            <v>0</v>
          </cell>
        </row>
        <row r="140">
          <cell r="C140">
            <v>325751728</v>
          </cell>
          <cell r="D140">
            <v>0</v>
          </cell>
        </row>
        <row r="141">
          <cell r="C141">
            <v>13510000</v>
          </cell>
          <cell r="D141">
            <v>0</v>
          </cell>
        </row>
        <row r="142">
          <cell r="C142">
            <v>148249555</v>
          </cell>
          <cell r="D142">
            <v>0</v>
          </cell>
        </row>
        <row r="143">
          <cell r="C143">
            <v>11657186</v>
          </cell>
          <cell r="D143">
            <v>0</v>
          </cell>
        </row>
        <row r="144">
          <cell r="C144">
            <v>35726979</v>
          </cell>
          <cell r="D144">
            <v>0</v>
          </cell>
        </row>
        <row r="145">
          <cell r="C145">
            <v>87536</v>
          </cell>
          <cell r="D145">
            <v>0</v>
          </cell>
        </row>
        <row r="146">
          <cell r="C146">
            <v>19196637</v>
          </cell>
          <cell r="D146">
            <v>0</v>
          </cell>
        </row>
        <row r="147">
          <cell r="C147">
            <v>1069368</v>
          </cell>
          <cell r="D147">
            <v>0</v>
          </cell>
        </row>
        <row r="148">
          <cell r="C148">
            <v>14985429</v>
          </cell>
          <cell r="D148">
            <v>0</v>
          </cell>
        </row>
        <row r="149">
          <cell r="C149">
            <v>133015</v>
          </cell>
          <cell r="D149">
            <v>0</v>
          </cell>
        </row>
        <row r="150">
          <cell r="C150">
            <v>51334056</v>
          </cell>
          <cell r="D150">
            <v>0</v>
          </cell>
        </row>
        <row r="151">
          <cell r="C151">
            <v>1643824</v>
          </cell>
          <cell r="D151">
            <v>0</v>
          </cell>
        </row>
        <row r="152">
          <cell r="C152">
            <v>4522640</v>
          </cell>
          <cell r="D152">
            <v>0</v>
          </cell>
        </row>
        <row r="153">
          <cell r="C153">
            <v>2140878</v>
          </cell>
          <cell r="D153">
            <v>0</v>
          </cell>
        </row>
        <row r="154">
          <cell r="C154">
            <v>8131893</v>
          </cell>
          <cell r="D154">
            <v>0</v>
          </cell>
        </row>
        <row r="155">
          <cell r="C155">
            <v>11344205</v>
          </cell>
          <cell r="D155">
            <v>0</v>
          </cell>
        </row>
        <row r="156">
          <cell r="C156">
            <v>819101371</v>
          </cell>
          <cell r="D156">
            <v>0</v>
          </cell>
        </row>
        <row r="157">
          <cell r="C157">
            <v>1414170</v>
          </cell>
          <cell r="D157">
            <v>0</v>
          </cell>
        </row>
        <row r="158">
          <cell r="C158">
            <v>536351627</v>
          </cell>
          <cell r="D158">
            <v>0</v>
          </cell>
        </row>
        <row r="159">
          <cell r="C159">
            <v>14504036</v>
          </cell>
          <cell r="D159">
            <v>0</v>
          </cell>
        </row>
        <row r="160">
          <cell r="C160">
            <v>624046371</v>
          </cell>
          <cell r="D160">
            <v>0</v>
          </cell>
        </row>
        <row r="161">
          <cell r="C161">
            <v>6962838308</v>
          </cell>
          <cell r="D161">
            <v>0</v>
          </cell>
        </row>
        <row r="162">
          <cell r="C162">
            <v>228020</v>
          </cell>
          <cell r="D162">
            <v>0</v>
          </cell>
        </row>
        <row r="163">
          <cell r="C163">
            <v>1625000</v>
          </cell>
          <cell r="D163">
            <v>0</v>
          </cell>
        </row>
        <row r="164">
          <cell r="C164">
            <v>88961618</v>
          </cell>
          <cell r="D164">
            <v>0</v>
          </cell>
        </row>
        <row r="165">
          <cell r="C165">
            <v>66811093</v>
          </cell>
          <cell r="D165">
            <v>0</v>
          </cell>
        </row>
        <row r="166">
          <cell r="C166">
            <v>249379724</v>
          </cell>
          <cell r="D166">
            <v>0</v>
          </cell>
        </row>
        <row r="167">
          <cell r="C167">
            <v>309623639</v>
          </cell>
          <cell r="D167">
            <v>0</v>
          </cell>
        </row>
        <row r="168">
          <cell r="C168">
            <v>102551320</v>
          </cell>
          <cell r="D168">
            <v>0</v>
          </cell>
        </row>
        <row r="169">
          <cell r="C169">
            <v>165198</v>
          </cell>
          <cell r="D169">
            <v>0</v>
          </cell>
        </row>
        <row r="170">
          <cell r="C170">
            <v>41904836</v>
          </cell>
          <cell r="D170">
            <v>0</v>
          </cell>
        </row>
        <row r="171">
          <cell r="C171">
            <v>3486128</v>
          </cell>
          <cell r="D171">
            <v>0</v>
          </cell>
        </row>
        <row r="172">
          <cell r="C172">
            <v>3232266</v>
          </cell>
          <cell r="D172">
            <v>0</v>
          </cell>
        </row>
        <row r="173">
          <cell r="C173">
            <v>99007957</v>
          </cell>
          <cell r="D173">
            <v>0</v>
          </cell>
        </row>
        <row r="174">
          <cell r="C174">
            <v>404521537</v>
          </cell>
          <cell r="D174">
            <v>0</v>
          </cell>
        </row>
        <row r="175">
          <cell r="C175">
            <v>103030616</v>
          </cell>
          <cell r="D175">
            <v>0</v>
          </cell>
        </row>
        <row r="176">
          <cell r="C176">
            <v>172869554</v>
          </cell>
          <cell r="D176">
            <v>0</v>
          </cell>
        </row>
        <row r="177">
          <cell r="C177">
            <v>9631386</v>
          </cell>
          <cell r="D177">
            <v>0</v>
          </cell>
        </row>
        <row r="178">
          <cell r="C178">
            <v>29048248</v>
          </cell>
          <cell r="D178">
            <v>0</v>
          </cell>
        </row>
        <row r="179">
          <cell r="C179">
            <v>16937984</v>
          </cell>
          <cell r="D179">
            <v>0</v>
          </cell>
        </row>
        <row r="180">
          <cell r="C180">
            <v>31892611</v>
          </cell>
          <cell r="D180">
            <v>0</v>
          </cell>
        </row>
        <row r="181">
          <cell r="C181">
            <v>180290799</v>
          </cell>
          <cell r="D181">
            <v>0</v>
          </cell>
        </row>
        <row r="182">
          <cell r="C182">
            <v>189789722</v>
          </cell>
          <cell r="D182">
            <v>0</v>
          </cell>
        </row>
        <row r="183">
          <cell r="C183">
            <v>174540157</v>
          </cell>
          <cell r="D183">
            <v>0</v>
          </cell>
        </row>
        <row r="184">
          <cell r="C184">
            <v>561148</v>
          </cell>
          <cell r="D184">
            <v>0</v>
          </cell>
        </row>
        <row r="185">
          <cell r="C185">
            <v>60928212</v>
          </cell>
          <cell r="D185">
            <v>0</v>
          </cell>
        </row>
        <row r="186">
          <cell r="C186">
            <v>4843026</v>
          </cell>
          <cell r="D186">
            <v>0</v>
          </cell>
        </row>
        <row r="187">
          <cell r="C187">
            <v>44667915</v>
          </cell>
          <cell r="D187">
            <v>0</v>
          </cell>
        </row>
        <row r="188">
          <cell r="C188">
            <v>1450787</v>
          </cell>
          <cell r="D188">
            <v>0</v>
          </cell>
        </row>
        <row r="189">
          <cell r="C189">
            <v>1082172576</v>
          </cell>
          <cell r="D189">
            <v>0</v>
          </cell>
        </row>
        <row r="190">
          <cell r="C190">
            <v>98887656</v>
          </cell>
          <cell r="D190">
            <v>0</v>
          </cell>
        </row>
        <row r="191">
          <cell r="C191">
            <v>217856166</v>
          </cell>
          <cell r="D191">
            <v>0</v>
          </cell>
        </row>
        <row r="192">
          <cell r="C192">
            <v>432570</v>
          </cell>
          <cell r="D192">
            <v>0</v>
          </cell>
        </row>
        <row r="193">
          <cell r="C193">
            <v>148633920</v>
          </cell>
          <cell r="D193">
            <v>0</v>
          </cell>
        </row>
        <row r="194">
          <cell r="C194">
            <v>4830640</v>
          </cell>
          <cell r="D194">
            <v>0</v>
          </cell>
        </row>
        <row r="195">
          <cell r="C195">
            <v>52197621</v>
          </cell>
          <cell r="D195">
            <v>0</v>
          </cell>
        </row>
        <row r="196">
          <cell r="C196">
            <v>1486913</v>
          </cell>
          <cell r="D196">
            <v>0</v>
          </cell>
        </row>
        <row r="197">
          <cell r="C197">
            <v>41250001</v>
          </cell>
          <cell r="D197">
            <v>0</v>
          </cell>
        </row>
        <row r="198">
          <cell r="C198">
            <v>51281501</v>
          </cell>
          <cell r="D198">
            <v>0</v>
          </cell>
        </row>
        <row r="199">
          <cell r="C199">
            <v>300000</v>
          </cell>
          <cell r="D199">
            <v>0</v>
          </cell>
        </row>
        <row r="200">
          <cell r="C200">
            <v>600000</v>
          </cell>
          <cell r="D200">
            <v>0</v>
          </cell>
        </row>
        <row r="201">
          <cell r="C201">
            <v>119084566</v>
          </cell>
          <cell r="D201">
            <v>0</v>
          </cell>
        </row>
        <row r="202">
          <cell r="C202">
            <v>896660</v>
          </cell>
          <cell r="D202">
            <v>0</v>
          </cell>
        </row>
        <row r="203">
          <cell r="C203">
            <v>313374626</v>
          </cell>
          <cell r="D203">
            <v>0</v>
          </cell>
        </row>
        <row r="204">
          <cell r="C204">
            <v>61625002</v>
          </cell>
          <cell r="D204">
            <v>0</v>
          </cell>
        </row>
        <row r="205">
          <cell r="C205">
            <v>39345850</v>
          </cell>
          <cell r="D205">
            <v>0</v>
          </cell>
        </row>
        <row r="206">
          <cell r="C206">
            <v>21489815</v>
          </cell>
          <cell r="D206">
            <v>0</v>
          </cell>
        </row>
        <row r="207">
          <cell r="C207">
            <v>56526392</v>
          </cell>
          <cell r="D207">
            <v>0</v>
          </cell>
        </row>
        <row r="208">
          <cell r="C208">
            <v>4200265</v>
          </cell>
          <cell r="D208">
            <v>0</v>
          </cell>
        </row>
        <row r="209">
          <cell r="C209">
            <v>163224244</v>
          </cell>
          <cell r="D209">
            <v>0</v>
          </cell>
        </row>
        <row r="210">
          <cell r="C210">
            <v>20319737</v>
          </cell>
          <cell r="D210">
            <v>0</v>
          </cell>
        </row>
        <row r="211">
          <cell r="C211">
            <v>62528409</v>
          </cell>
          <cell r="D211">
            <v>0</v>
          </cell>
        </row>
        <row r="212">
          <cell r="C212">
            <v>34464034</v>
          </cell>
          <cell r="D212">
            <v>0</v>
          </cell>
        </row>
        <row r="213">
          <cell r="C213">
            <v>20498438</v>
          </cell>
          <cell r="D213">
            <v>0</v>
          </cell>
        </row>
        <row r="214">
          <cell r="C214">
            <v>11811395</v>
          </cell>
          <cell r="D214">
            <v>0</v>
          </cell>
        </row>
        <row r="215">
          <cell r="C215">
            <v>537378563</v>
          </cell>
          <cell r="D215">
            <v>0</v>
          </cell>
        </row>
        <row r="216">
          <cell r="C216">
            <v>3011645</v>
          </cell>
          <cell r="D216">
            <v>0</v>
          </cell>
        </row>
        <row r="217">
          <cell r="C217">
            <v>1207734697</v>
          </cell>
          <cell r="D217">
            <v>0</v>
          </cell>
        </row>
        <row r="218">
          <cell r="C218">
            <v>473513652</v>
          </cell>
          <cell r="D218">
            <v>0</v>
          </cell>
        </row>
        <row r="219">
          <cell r="C219">
            <v>12502572</v>
          </cell>
          <cell r="D219">
            <v>0</v>
          </cell>
        </row>
        <row r="220">
          <cell r="C220">
            <v>2825803</v>
          </cell>
          <cell r="D220">
            <v>0</v>
          </cell>
        </row>
        <row r="221">
          <cell r="C221">
            <v>397015426</v>
          </cell>
          <cell r="D221">
            <v>0</v>
          </cell>
        </row>
        <row r="222">
          <cell r="C222">
            <v>151472024</v>
          </cell>
          <cell r="D222">
            <v>0</v>
          </cell>
        </row>
        <row r="223">
          <cell r="C223">
            <v>99000</v>
          </cell>
          <cell r="D223">
            <v>0</v>
          </cell>
        </row>
        <row r="224">
          <cell r="C224">
            <v>1306894958</v>
          </cell>
          <cell r="D224">
            <v>0</v>
          </cell>
        </row>
        <row r="225">
          <cell r="C225">
            <v>7860936</v>
          </cell>
          <cell r="D225">
            <v>0</v>
          </cell>
        </row>
        <row r="226">
          <cell r="C226">
            <v>28626156</v>
          </cell>
          <cell r="D226">
            <v>0</v>
          </cell>
        </row>
        <row r="227">
          <cell r="C227">
            <v>78726973</v>
          </cell>
          <cell r="D227">
            <v>0</v>
          </cell>
        </row>
        <row r="228">
          <cell r="C228">
            <v>133347925</v>
          </cell>
          <cell r="D228">
            <v>0</v>
          </cell>
        </row>
        <row r="229">
          <cell r="C229">
            <v>334595809</v>
          </cell>
          <cell r="D229">
            <v>0</v>
          </cell>
        </row>
        <row r="230">
          <cell r="C230">
            <v>51534366</v>
          </cell>
          <cell r="D230">
            <v>0</v>
          </cell>
        </row>
        <row r="231">
          <cell r="C231">
            <v>128084603</v>
          </cell>
          <cell r="D231">
            <v>0</v>
          </cell>
        </row>
        <row r="232">
          <cell r="C232">
            <v>6166544072</v>
          </cell>
          <cell r="D232">
            <v>0</v>
          </cell>
        </row>
        <row r="233">
          <cell r="C233">
            <v>51910817</v>
          </cell>
          <cell r="D233">
            <v>0</v>
          </cell>
        </row>
        <row r="234">
          <cell r="C234">
            <v>17308232</v>
          </cell>
          <cell r="D234">
            <v>0</v>
          </cell>
        </row>
        <row r="235">
          <cell r="C235">
            <v>2707856485</v>
          </cell>
          <cell r="D235">
            <v>0</v>
          </cell>
        </row>
        <row r="236">
          <cell r="C236">
            <v>666325326</v>
          </cell>
          <cell r="D236">
            <v>0</v>
          </cell>
        </row>
        <row r="237">
          <cell r="C237">
            <v>361597772</v>
          </cell>
          <cell r="D237">
            <v>0</v>
          </cell>
        </row>
        <row r="238">
          <cell r="C238">
            <v>261464933</v>
          </cell>
          <cell r="D238">
            <v>0</v>
          </cell>
        </row>
        <row r="239">
          <cell r="C239">
            <v>632926612</v>
          </cell>
          <cell r="D239">
            <v>0</v>
          </cell>
        </row>
        <row r="240">
          <cell r="C240">
            <v>624903884</v>
          </cell>
          <cell r="D240">
            <v>0</v>
          </cell>
        </row>
        <row r="241">
          <cell r="C241">
            <v>14699728</v>
          </cell>
          <cell r="D241">
            <v>0</v>
          </cell>
        </row>
        <row r="242">
          <cell r="C242">
            <v>73650852</v>
          </cell>
          <cell r="D242">
            <v>0</v>
          </cell>
        </row>
        <row r="243">
          <cell r="C243">
            <v>59376781</v>
          </cell>
          <cell r="D243">
            <v>0</v>
          </cell>
        </row>
        <row r="244">
          <cell r="C244">
            <v>6300000</v>
          </cell>
          <cell r="D244">
            <v>0</v>
          </cell>
        </row>
        <row r="245">
          <cell r="C245">
            <v>100000</v>
          </cell>
          <cell r="D245">
            <v>0</v>
          </cell>
        </row>
        <row r="246">
          <cell r="C246">
            <v>37935500</v>
          </cell>
          <cell r="D246">
            <v>0</v>
          </cell>
        </row>
        <row r="247">
          <cell r="C247">
            <v>31878636</v>
          </cell>
          <cell r="D247">
            <v>0</v>
          </cell>
        </row>
        <row r="248">
          <cell r="C248">
            <v>1961311</v>
          </cell>
          <cell r="D248">
            <v>0</v>
          </cell>
        </row>
        <row r="249">
          <cell r="C249">
            <v>1010875</v>
          </cell>
          <cell r="D249">
            <v>0</v>
          </cell>
        </row>
        <row r="250">
          <cell r="C250">
            <v>109833</v>
          </cell>
          <cell r="D250">
            <v>0</v>
          </cell>
        </row>
        <row r="251">
          <cell r="C251">
            <v>499443226</v>
          </cell>
          <cell r="D251">
            <v>0</v>
          </cell>
        </row>
        <row r="252">
          <cell r="C252">
            <v>81956470</v>
          </cell>
          <cell r="D252">
            <v>0</v>
          </cell>
        </row>
        <row r="253">
          <cell r="C253">
            <v>32880592</v>
          </cell>
          <cell r="D253">
            <v>0</v>
          </cell>
        </row>
        <row r="254">
          <cell r="C254">
            <v>205405</v>
          </cell>
          <cell r="D254">
            <v>0</v>
          </cell>
        </row>
        <row r="255">
          <cell r="C255">
            <v>2958987</v>
          </cell>
          <cell r="D255">
            <v>0</v>
          </cell>
        </row>
        <row r="256">
          <cell r="C256">
            <v>682691676</v>
          </cell>
          <cell r="D256">
            <v>0</v>
          </cell>
        </row>
        <row r="257">
          <cell r="C257">
            <v>175140</v>
          </cell>
          <cell r="D257">
            <v>0</v>
          </cell>
        </row>
        <row r="258">
          <cell r="C258">
            <v>2702555</v>
          </cell>
          <cell r="D258">
            <v>0</v>
          </cell>
        </row>
        <row r="259">
          <cell r="C259">
            <v>1386954183</v>
          </cell>
          <cell r="D259">
            <v>0</v>
          </cell>
        </row>
        <row r="260">
          <cell r="C260">
            <v>122811113</v>
          </cell>
          <cell r="D260">
            <v>0</v>
          </cell>
        </row>
        <row r="261">
          <cell r="C261">
            <v>112790652</v>
          </cell>
          <cell r="D261">
            <v>0</v>
          </cell>
        </row>
        <row r="262">
          <cell r="C262">
            <v>79731731</v>
          </cell>
          <cell r="D262">
            <v>0</v>
          </cell>
        </row>
        <row r="263">
          <cell r="C263">
            <v>17241308</v>
          </cell>
          <cell r="D263">
            <v>0</v>
          </cell>
        </row>
        <row r="264">
          <cell r="C264">
            <v>81874049</v>
          </cell>
          <cell r="D264">
            <v>0</v>
          </cell>
        </row>
        <row r="265">
          <cell r="C265">
            <v>75193845</v>
          </cell>
          <cell r="D265">
            <v>0</v>
          </cell>
        </row>
        <row r="266">
          <cell r="C266">
            <v>53154476</v>
          </cell>
          <cell r="D266">
            <v>0</v>
          </cell>
        </row>
        <row r="267">
          <cell r="C267">
            <v>11494202</v>
          </cell>
          <cell r="D267">
            <v>0</v>
          </cell>
        </row>
        <row r="268">
          <cell r="C268">
            <v>134200</v>
          </cell>
          <cell r="D268">
            <v>0</v>
          </cell>
        </row>
        <row r="269">
          <cell r="C269">
            <v>1959873</v>
          </cell>
          <cell r="D269">
            <v>0</v>
          </cell>
        </row>
        <row r="270">
          <cell r="C270">
            <v>11904658</v>
          </cell>
          <cell r="D270">
            <v>0</v>
          </cell>
        </row>
        <row r="271">
          <cell r="C271">
            <v>20756687</v>
          </cell>
          <cell r="D271">
            <v>0</v>
          </cell>
        </row>
        <row r="272">
          <cell r="C272">
            <v>12166468</v>
          </cell>
          <cell r="D272">
            <v>0</v>
          </cell>
        </row>
        <row r="273">
          <cell r="C273">
            <v>20287000</v>
          </cell>
          <cell r="D273">
            <v>0</v>
          </cell>
        </row>
        <row r="274">
          <cell r="C274">
            <v>70474932</v>
          </cell>
          <cell r="D274">
            <v>0</v>
          </cell>
        </row>
        <row r="275">
          <cell r="C275">
            <v>24211122</v>
          </cell>
          <cell r="D275">
            <v>0</v>
          </cell>
        </row>
        <row r="276">
          <cell r="C276">
            <v>788470</v>
          </cell>
          <cell r="D276">
            <v>0</v>
          </cell>
        </row>
        <row r="277">
          <cell r="C277">
            <v>400500000</v>
          </cell>
          <cell r="D277">
            <v>0</v>
          </cell>
        </row>
        <row r="278">
          <cell r="C278">
            <v>155000</v>
          </cell>
          <cell r="D278">
            <v>0</v>
          </cell>
        </row>
        <row r="279">
          <cell r="C279">
            <v>52785639</v>
          </cell>
          <cell r="D279">
            <v>0</v>
          </cell>
        </row>
        <row r="280">
          <cell r="C280">
            <v>200000</v>
          </cell>
          <cell r="D280">
            <v>0</v>
          </cell>
        </row>
        <row r="281">
          <cell r="C281">
            <v>397306716</v>
          </cell>
          <cell r="D281">
            <v>0</v>
          </cell>
        </row>
        <row r="282">
          <cell r="C282">
            <v>4603180568</v>
          </cell>
          <cell r="D282">
            <v>0</v>
          </cell>
        </row>
        <row r="283">
          <cell r="C283">
            <v>308149255</v>
          </cell>
          <cell r="D283">
            <v>0</v>
          </cell>
        </row>
        <row r="284">
          <cell r="C284">
            <v>87447430</v>
          </cell>
          <cell r="D284">
            <v>0</v>
          </cell>
        </row>
        <row r="285">
          <cell r="C285">
            <v>3074222106</v>
          </cell>
          <cell r="D285">
            <v>0</v>
          </cell>
        </row>
        <row r="286">
          <cell r="C286">
            <v>112517762</v>
          </cell>
          <cell r="D286">
            <v>0</v>
          </cell>
        </row>
        <row r="287">
          <cell r="C287">
            <v>6757746</v>
          </cell>
          <cell r="D287">
            <v>0</v>
          </cell>
        </row>
        <row r="288">
          <cell r="C288">
            <v>182</v>
          </cell>
          <cell r="D288">
            <v>0</v>
          </cell>
        </row>
        <row r="289">
          <cell r="C289">
            <v>0</v>
          </cell>
          <cell r="D289">
            <v>21466</v>
          </cell>
        </row>
        <row r="290">
          <cell r="C290">
            <v>27378209</v>
          </cell>
          <cell r="D290">
            <v>0</v>
          </cell>
        </row>
        <row r="291">
          <cell r="C291">
            <v>38857856</v>
          </cell>
          <cell r="D291">
            <v>0</v>
          </cell>
        </row>
        <row r="292">
          <cell r="C292">
            <v>2560414</v>
          </cell>
          <cell r="D292">
            <v>0</v>
          </cell>
        </row>
        <row r="293">
          <cell r="C293">
            <v>263473053</v>
          </cell>
          <cell r="D293">
            <v>0</v>
          </cell>
        </row>
        <row r="294">
          <cell r="C294">
            <v>27707384</v>
          </cell>
          <cell r="D294">
            <v>0</v>
          </cell>
        </row>
        <row r="295">
          <cell r="C295">
            <v>100000</v>
          </cell>
          <cell r="D295">
            <v>0</v>
          </cell>
        </row>
        <row r="296">
          <cell r="C296">
            <v>13791</v>
          </cell>
          <cell r="D296">
            <v>0</v>
          </cell>
        </row>
        <row r="297">
          <cell r="C297">
            <v>729345475</v>
          </cell>
          <cell r="D297">
            <v>0</v>
          </cell>
        </row>
        <row r="298">
          <cell r="C298">
            <v>456237905</v>
          </cell>
          <cell r="D298">
            <v>0</v>
          </cell>
        </row>
        <row r="299">
          <cell r="C299">
            <v>30054153</v>
          </cell>
          <cell r="D299">
            <v>0</v>
          </cell>
        </row>
        <row r="300">
          <cell r="C300">
            <v>111505850</v>
          </cell>
          <cell r="D300">
            <v>0</v>
          </cell>
        </row>
        <row r="301">
          <cell r="C301">
            <v>100525875</v>
          </cell>
          <cell r="D301">
            <v>0</v>
          </cell>
        </row>
        <row r="302">
          <cell r="C302">
            <v>73370233</v>
          </cell>
          <cell r="D302">
            <v>0</v>
          </cell>
        </row>
        <row r="303">
          <cell r="C303">
            <v>127509091</v>
          </cell>
          <cell r="D303">
            <v>0</v>
          </cell>
        </row>
        <row r="304">
          <cell r="C304">
            <v>4230913</v>
          </cell>
          <cell r="D304">
            <v>0</v>
          </cell>
        </row>
        <row r="305">
          <cell r="C305">
            <v>381946051</v>
          </cell>
          <cell r="D305">
            <v>0</v>
          </cell>
        </row>
        <row r="306">
          <cell r="C306">
            <v>210671226</v>
          </cell>
          <cell r="D306">
            <v>0</v>
          </cell>
        </row>
        <row r="307">
          <cell r="C307">
            <v>210482484</v>
          </cell>
          <cell r="D307">
            <v>0</v>
          </cell>
        </row>
        <row r="308">
          <cell r="C308">
            <v>3645198640</v>
          </cell>
          <cell r="D308">
            <v>0</v>
          </cell>
        </row>
        <row r="309">
          <cell r="C309">
            <v>3774408053</v>
          </cell>
          <cell r="D309">
            <v>0</v>
          </cell>
        </row>
        <row r="310">
          <cell r="C310">
            <v>2771129694</v>
          </cell>
          <cell r="D310">
            <v>0</v>
          </cell>
        </row>
        <row r="311">
          <cell r="C311">
            <v>39293786</v>
          </cell>
          <cell r="D311">
            <v>0</v>
          </cell>
        </row>
        <row r="312">
          <cell r="C312">
            <v>1278881204</v>
          </cell>
          <cell r="D312">
            <v>0</v>
          </cell>
        </row>
        <row r="313">
          <cell r="C313">
            <v>1426975038</v>
          </cell>
          <cell r="D313">
            <v>0</v>
          </cell>
        </row>
        <row r="314">
          <cell r="C314">
            <v>562801134</v>
          </cell>
          <cell r="D314">
            <v>0</v>
          </cell>
        </row>
        <row r="315">
          <cell r="C315">
            <v>100857695</v>
          </cell>
          <cell r="D315">
            <v>0</v>
          </cell>
        </row>
        <row r="316">
          <cell r="C316">
            <v>417795238</v>
          </cell>
          <cell r="D316">
            <v>0</v>
          </cell>
        </row>
        <row r="317">
          <cell r="C317">
            <v>433085822</v>
          </cell>
          <cell r="D317">
            <v>0</v>
          </cell>
        </row>
        <row r="318">
          <cell r="C318">
            <v>148879813</v>
          </cell>
          <cell r="D318">
            <v>0</v>
          </cell>
        </row>
        <row r="319">
          <cell r="C319">
            <v>4774149</v>
          </cell>
          <cell r="D319">
            <v>0</v>
          </cell>
        </row>
        <row r="320">
          <cell r="C320">
            <v>11835938</v>
          </cell>
          <cell r="D320">
            <v>0</v>
          </cell>
        </row>
        <row r="321">
          <cell r="C321">
            <v>26979903</v>
          </cell>
          <cell r="D321">
            <v>0</v>
          </cell>
        </row>
        <row r="322">
          <cell r="C322">
            <v>30529981</v>
          </cell>
          <cell r="D322">
            <v>0</v>
          </cell>
        </row>
        <row r="323">
          <cell r="C323">
            <v>240193338</v>
          </cell>
          <cell r="D323">
            <v>0</v>
          </cell>
        </row>
        <row r="324">
          <cell r="C324">
            <v>281258033</v>
          </cell>
          <cell r="D324">
            <v>0</v>
          </cell>
        </row>
        <row r="325">
          <cell r="C325">
            <v>464677589</v>
          </cell>
          <cell r="D325">
            <v>0</v>
          </cell>
        </row>
        <row r="326">
          <cell r="C326">
            <v>30937451</v>
          </cell>
          <cell r="D326">
            <v>0</v>
          </cell>
        </row>
        <row r="327">
          <cell r="C327">
            <v>5634654</v>
          </cell>
          <cell r="D327">
            <v>0</v>
          </cell>
        </row>
        <row r="328">
          <cell r="C328">
            <v>770153961</v>
          </cell>
          <cell r="D328">
            <v>0</v>
          </cell>
        </row>
        <row r="329">
          <cell r="C329">
            <v>5551700</v>
          </cell>
          <cell r="D329">
            <v>0</v>
          </cell>
        </row>
        <row r="330">
          <cell r="C330">
            <v>68502616</v>
          </cell>
          <cell r="D330">
            <v>0</v>
          </cell>
        </row>
        <row r="331">
          <cell r="C331">
            <v>131428933</v>
          </cell>
          <cell r="D331">
            <v>0</v>
          </cell>
        </row>
        <row r="332">
          <cell r="C332">
            <v>954245188</v>
          </cell>
          <cell r="D332">
            <v>0</v>
          </cell>
        </row>
        <row r="333">
          <cell r="C333">
            <v>907001996</v>
          </cell>
          <cell r="D333">
            <v>0</v>
          </cell>
        </row>
        <row r="334">
          <cell r="C334">
            <v>701837457</v>
          </cell>
          <cell r="D334">
            <v>0</v>
          </cell>
        </row>
        <row r="335">
          <cell r="C335">
            <v>16160500</v>
          </cell>
          <cell r="D335">
            <v>0</v>
          </cell>
        </row>
        <row r="336">
          <cell r="C336">
            <v>329964167</v>
          </cell>
          <cell r="D336">
            <v>0</v>
          </cell>
        </row>
        <row r="337">
          <cell r="C337">
            <v>5591516</v>
          </cell>
          <cell r="D337">
            <v>0</v>
          </cell>
        </row>
        <row r="338">
          <cell r="C338">
            <v>17598796</v>
          </cell>
          <cell r="D338">
            <v>0</v>
          </cell>
        </row>
        <row r="339">
          <cell r="C339">
            <v>476523181</v>
          </cell>
          <cell r="D339">
            <v>0</v>
          </cell>
        </row>
        <row r="340">
          <cell r="C340">
            <v>246751200</v>
          </cell>
          <cell r="D340">
            <v>0</v>
          </cell>
        </row>
        <row r="341">
          <cell r="C341">
            <v>177944499</v>
          </cell>
          <cell r="D341">
            <v>0</v>
          </cell>
        </row>
        <row r="342">
          <cell r="C342">
            <v>17040000</v>
          </cell>
          <cell r="D342">
            <v>0</v>
          </cell>
        </row>
        <row r="343">
          <cell r="C343">
            <v>170054169</v>
          </cell>
          <cell r="D343">
            <v>0</v>
          </cell>
        </row>
        <row r="344">
          <cell r="C344">
            <v>12506000</v>
          </cell>
          <cell r="D344">
            <v>0</v>
          </cell>
        </row>
        <row r="345">
          <cell r="C345">
            <v>19969882</v>
          </cell>
          <cell r="D345">
            <v>0</v>
          </cell>
        </row>
        <row r="346">
          <cell r="C346">
            <v>412892898</v>
          </cell>
          <cell r="D346">
            <v>0</v>
          </cell>
        </row>
        <row r="347">
          <cell r="C347">
            <v>185529947</v>
          </cell>
          <cell r="D347">
            <v>0</v>
          </cell>
        </row>
        <row r="348">
          <cell r="C348">
            <v>205100749</v>
          </cell>
          <cell r="D348">
            <v>0</v>
          </cell>
        </row>
        <row r="349">
          <cell r="C349">
            <v>220778166</v>
          </cell>
          <cell r="D349">
            <v>0</v>
          </cell>
        </row>
        <row r="350">
          <cell r="C350">
            <v>185453109</v>
          </cell>
          <cell r="D350">
            <v>0</v>
          </cell>
        </row>
        <row r="351">
          <cell r="C351">
            <v>180573680</v>
          </cell>
          <cell r="D351">
            <v>0</v>
          </cell>
        </row>
        <row r="352">
          <cell r="C352">
            <v>135155592</v>
          </cell>
          <cell r="D352">
            <v>0</v>
          </cell>
        </row>
        <row r="353">
          <cell r="C353">
            <v>356868972</v>
          </cell>
          <cell r="D353">
            <v>0</v>
          </cell>
        </row>
        <row r="354">
          <cell r="C354">
            <v>176747937</v>
          </cell>
          <cell r="D354">
            <v>0</v>
          </cell>
        </row>
        <row r="355">
          <cell r="C355">
            <v>52158551</v>
          </cell>
          <cell r="D355">
            <v>0</v>
          </cell>
        </row>
        <row r="356">
          <cell r="C356">
            <v>213109702</v>
          </cell>
          <cell r="D356">
            <v>0</v>
          </cell>
        </row>
        <row r="357">
          <cell r="C357">
            <v>106047578</v>
          </cell>
          <cell r="D357">
            <v>0</v>
          </cell>
        </row>
        <row r="358">
          <cell r="C358">
            <v>33789244</v>
          </cell>
          <cell r="D358">
            <v>0</v>
          </cell>
        </row>
        <row r="359">
          <cell r="C359">
            <v>30048362</v>
          </cell>
          <cell r="D359">
            <v>0</v>
          </cell>
        </row>
        <row r="360">
          <cell r="C360">
            <v>415800</v>
          </cell>
          <cell r="D360">
            <v>0</v>
          </cell>
        </row>
        <row r="361">
          <cell r="C361">
            <v>5565591</v>
          </cell>
          <cell r="D361">
            <v>0</v>
          </cell>
        </row>
        <row r="362">
          <cell r="C362">
            <v>150000</v>
          </cell>
          <cell r="D362">
            <v>0</v>
          </cell>
        </row>
        <row r="363">
          <cell r="C363">
            <v>79110995</v>
          </cell>
          <cell r="D363">
            <v>0</v>
          </cell>
        </row>
        <row r="364">
          <cell r="C364">
            <v>9256458</v>
          </cell>
          <cell r="D364">
            <v>0</v>
          </cell>
        </row>
        <row r="365">
          <cell r="C365">
            <v>78244231</v>
          </cell>
          <cell r="D365">
            <v>0</v>
          </cell>
        </row>
        <row r="366">
          <cell r="C366">
            <v>940000</v>
          </cell>
          <cell r="D366">
            <v>0</v>
          </cell>
        </row>
        <row r="367">
          <cell r="C367">
            <v>127713468</v>
          </cell>
          <cell r="D367">
            <v>0</v>
          </cell>
        </row>
        <row r="368">
          <cell r="C368">
            <v>287586869</v>
          </cell>
          <cell r="D368">
            <v>0</v>
          </cell>
        </row>
        <row r="369">
          <cell r="C369">
            <v>23106609</v>
          </cell>
          <cell r="D369">
            <v>0</v>
          </cell>
        </row>
        <row r="370">
          <cell r="C370">
            <v>79117253</v>
          </cell>
          <cell r="D370">
            <v>0</v>
          </cell>
        </row>
        <row r="371">
          <cell r="C371">
            <v>243225296</v>
          </cell>
          <cell r="D371">
            <v>0</v>
          </cell>
        </row>
        <row r="372">
          <cell r="C372">
            <v>63690056</v>
          </cell>
          <cell r="D372">
            <v>0</v>
          </cell>
        </row>
        <row r="373">
          <cell r="C373">
            <v>29854500</v>
          </cell>
          <cell r="D373">
            <v>0</v>
          </cell>
        </row>
        <row r="374">
          <cell r="C374">
            <v>915340397</v>
          </cell>
          <cell r="D374">
            <v>0</v>
          </cell>
        </row>
        <row r="375">
          <cell r="C375">
            <v>131608600</v>
          </cell>
          <cell r="D375">
            <v>0</v>
          </cell>
        </row>
        <row r="376">
          <cell r="C376">
            <v>111460000</v>
          </cell>
          <cell r="D376">
            <v>0</v>
          </cell>
        </row>
        <row r="377">
          <cell r="C377">
            <v>22256857</v>
          </cell>
          <cell r="D377">
            <v>0</v>
          </cell>
        </row>
        <row r="378">
          <cell r="C378">
            <v>25033265</v>
          </cell>
          <cell r="D378">
            <v>0</v>
          </cell>
        </row>
        <row r="379">
          <cell r="C379">
            <v>83943236</v>
          </cell>
          <cell r="D379">
            <v>0</v>
          </cell>
        </row>
        <row r="380">
          <cell r="C380">
            <v>159250347</v>
          </cell>
          <cell r="D380">
            <v>0</v>
          </cell>
        </row>
        <row r="381">
          <cell r="C381">
            <v>154074060</v>
          </cell>
          <cell r="D381">
            <v>0</v>
          </cell>
        </row>
        <row r="382">
          <cell r="C382">
            <v>263145477</v>
          </cell>
          <cell r="D382">
            <v>0</v>
          </cell>
        </row>
        <row r="383">
          <cell r="C383">
            <v>58783225</v>
          </cell>
          <cell r="D383">
            <v>0</v>
          </cell>
        </row>
        <row r="384">
          <cell r="C384">
            <v>54901654</v>
          </cell>
          <cell r="D384">
            <v>0</v>
          </cell>
        </row>
        <row r="385">
          <cell r="C385">
            <v>0</v>
          </cell>
          <cell r="D385">
            <v>16285423</v>
          </cell>
        </row>
        <row r="386">
          <cell r="C386">
            <v>0</v>
          </cell>
          <cell r="D386">
            <v>12237463</v>
          </cell>
        </row>
        <row r="387">
          <cell r="C387">
            <v>5305133</v>
          </cell>
          <cell r="D387">
            <v>0</v>
          </cell>
        </row>
        <row r="388">
          <cell r="C388">
            <v>0</v>
          </cell>
          <cell r="D388">
            <v>16350267</v>
          </cell>
        </row>
        <row r="389">
          <cell r="C389">
            <v>0</v>
          </cell>
          <cell r="D389">
            <v>15331525</v>
          </cell>
        </row>
        <row r="390">
          <cell r="C390">
            <v>0</v>
          </cell>
          <cell r="D390">
            <v>115299440</v>
          </cell>
        </row>
        <row r="391">
          <cell r="C391">
            <v>32831945</v>
          </cell>
          <cell r="D391">
            <v>0</v>
          </cell>
        </row>
        <row r="392">
          <cell r="C392">
            <v>153227920</v>
          </cell>
          <cell r="D392">
            <v>0</v>
          </cell>
        </row>
        <row r="393">
          <cell r="C393">
            <v>10749794</v>
          </cell>
          <cell r="D393">
            <v>0</v>
          </cell>
        </row>
        <row r="394">
          <cell r="C394">
            <v>47262079</v>
          </cell>
          <cell r="D394">
            <v>0</v>
          </cell>
        </row>
        <row r="395">
          <cell r="C395">
            <v>33834693</v>
          </cell>
          <cell r="D395">
            <v>0</v>
          </cell>
        </row>
        <row r="396">
          <cell r="C396">
            <v>0</v>
          </cell>
          <cell r="D396">
            <v>49081441</v>
          </cell>
        </row>
        <row r="397">
          <cell r="C397">
            <v>109736746</v>
          </cell>
          <cell r="D397">
            <v>0</v>
          </cell>
        </row>
        <row r="398">
          <cell r="C398">
            <v>0</v>
          </cell>
          <cell r="D398">
            <v>29872670</v>
          </cell>
        </row>
        <row r="399">
          <cell r="C399">
            <v>25260317</v>
          </cell>
          <cell r="D399">
            <v>0</v>
          </cell>
        </row>
        <row r="400">
          <cell r="C400">
            <v>49346523</v>
          </cell>
          <cell r="D400">
            <v>0</v>
          </cell>
        </row>
        <row r="401">
          <cell r="C401">
            <v>7374149</v>
          </cell>
          <cell r="D401">
            <v>0</v>
          </cell>
        </row>
        <row r="402">
          <cell r="C402">
            <v>8949527</v>
          </cell>
          <cell r="D402">
            <v>0</v>
          </cell>
        </row>
        <row r="403">
          <cell r="C403">
            <v>0</v>
          </cell>
          <cell r="D403">
            <v>5118012</v>
          </cell>
        </row>
        <row r="404">
          <cell r="C404">
            <v>0</v>
          </cell>
          <cell r="D404">
            <v>2246037</v>
          </cell>
        </row>
        <row r="405">
          <cell r="C405">
            <v>29700000</v>
          </cell>
          <cell r="D405">
            <v>0</v>
          </cell>
        </row>
        <row r="406">
          <cell r="C406">
            <v>8700000</v>
          </cell>
          <cell r="D406">
            <v>0</v>
          </cell>
        </row>
        <row r="407">
          <cell r="C407">
            <v>13350000</v>
          </cell>
          <cell r="D407">
            <v>0</v>
          </cell>
        </row>
        <row r="408">
          <cell r="C408">
            <v>12210930</v>
          </cell>
          <cell r="D408">
            <v>0</v>
          </cell>
        </row>
        <row r="409">
          <cell r="C409">
            <v>5333850</v>
          </cell>
          <cell r="D409">
            <v>0</v>
          </cell>
        </row>
        <row r="410">
          <cell r="C410">
            <v>11644440</v>
          </cell>
          <cell r="D410">
            <v>0</v>
          </cell>
        </row>
        <row r="411">
          <cell r="C411">
            <v>0</v>
          </cell>
          <cell r="D411">
            <v>7633050</v>
          </cell>
        </row>
        <row r="412">
          <cell r="C412">
            <v>0</v>
          </cell>
          <cell r="D412">
            <v>4329720</v>
          </cell>
        </row>
        <row r="413">
          <cell r="C413">
            <v>0</v>
          </cell>
          <cell r="D413">
            <v>11700450</v>
          </cell>
        </row>
        <row r="414">
          <cell r="C414">
            <v>4500000</v>
          </cell>
          <cell r="D414">
            <v>0</v>
          </cell>
        </row>
        <row r="415">
          <cell r="C415">
            <v>1156249656</v>
          </cell>
          <cell r="D415">
            <v>0</v>
          </cell>
        </row>
        <row r="416">
          <cell r="C416">
            <v>44120275</v>
          </cell>
          <cell r="D416">
            <v>0</v>
          </cell>
        </row>
        <row r="417">
          <cell r="C417">
            <v>1411347</v>
          </cell>
          <cell r="D417">
            <v>0</v>
          </cell>
        </row>
        <row r="418">
          <cell r="C418">
            <v>16848578321</v>
          </cell>
          <cell r="D418">
            <v>0</v>
          </cell>
        </row>
        <row r="419">
          <cell r="C419">
            <v>2953200168</v>
          </cell>
          <cell r="D419">
            <v>0</v>
          </cell>
        </row>
        <row r="420">
          <cell r="C420">
            <v>202640664</v>
          </cell>
          <cell r="D420">
            <v>0</v>
          </cell>
        </row>
        <row r="421">
          <cell r="C421">
            <v>2263702</v>
          </cell>
          <cell r="D421">
            <v>0</v>
          </cell>
        </row>
        <row r="422">
          <cell r="C422">
            <v>3007256041</v>
          </cell>
          <cell r="D422">
            <v>0</v>
          </cell>
        </row>
        <row r="423">
          <cell r="C423">
            <v>310635917</v>
          </cell>
          <cell r="D423">
            <v>0</v>
          </cell>
        </row>
        <row r="424">
          <cell r="C424">
            <v>292232133</v>
          </cell>
          <cell r="D424">
            <v>0</v>
          </cell>
        </row>
        <row r="425">
          <cell r="C425">
            <v>360023936</v>
          </cell>
          <cell r="D425">
            <v>0</v>
          </cell>
        </row>
        <row r="426">
          <cell r="C426">
            <v>216509266</v>
          </cell>
          <cell r="D426">
            <v>0</v>
          </cell>
        </row>
        <row r="427">
          <cell r="C427">
            <v>0</v>
          </cell>
          <cell r="D427">
            <v>19083404403</v>
          </cell>
        </row>
        <row r="428">
          <cell r="C428">
            <v>72213541</v>
          </cell>
          <cell r="D428">
            <v>0</v>
          </cell>
        </row>
        <row r="429">
          <cell r="C429">
            <v>14745750</v>
          </cell>
          <cell r="D429">
            <v>0</v>
          </cell>
        </row>
        <row r="430">
          <cell r="C430">
            <v>0</v>
          </cell>
          <cell r="D430">
            <v>9960388</v>
          </cell>
        </row>
        <row r="431">
          <cell r="C431">
            <v>0</v>
          </cell>
          <cell r="D431">
            <v>399909450915</v>
          </cell>
        </row>
        <row r="432">
          <cell r="C432">
            <v>73605429025</v>
          </cell>
          <cell r="D432">
            <v>0</v>
          </cell>
        </row>
        <row r="433">
          <cell r="C433">
            <v>0</v>
          </cell>
          <cell r="D433">
            <v>202656651</v>
          </cell>
        </row>
        <row r="434">
          <cell r="C434">
            <v>301059</v>
          </cell>
          <cell r="D434">
            <v>0</v>
          </cell>
        </row>
        <row r="435">
          <cell r="C435">
            <v>7519795</v>
          </cell>
          <cell r="D435">
            <v>0</v>
          </cell>
        </row>
        <row r="436">
          <cell r="C436">
            <v>584208574</v>
          </cell>
          <cell r="D436">
            <v>0</v>
          </cell>
        </row>
        <row r="437">
          <cell r="C437">
            <v>36271133</v>
          </cell>
          <cell r="D437">
            <v>0</v>
          </cell>
        </row>
        <row r="438">
          <cell r="C438">
            <v>6144586113</v>
          </cell>
          <cell r="D438">
            <v>0</v>
          </cell>
        </row>
        <row r="439">
          <cell r="C439">
            <v>16352682</v>
          </cell>
          <cell r="D439">
            <v>0</v>
          </cell>
        </row>
        <row r="440">
          <cell r="C440">
            <v>10657349308</v>
          </cell>
          <cell r="D440">
            <v>0</v>
          </cell>
        </row>
        <row r="441">
          <cell r="C441">
            <v>505439753</v>
          </cell>
          <cell r="D441">
            <v>0</v>
          </cell>
        </row>
        <row r="442">
          <cell r="C442">
            <v>0</v>
          </cell>
          <cell r="D442">
            <v>494556950</v>
          </cell>
        </row>
        <row r="443">
          <cell r="C443">
            <v>397791025</v>
          </cell>
          <cell r="D443">
            <v>0</v>
          </cell>
        </row>
        <row r="444">
          <cell r="C444">
            <v>0</v>
          </cell>
          <cell r="D444">
            <v>15032000</v>
          </cell>
        </row>
        <row r="445">
          <cell r="C445">
            <v>0</v>
          </cell>
          <cell r="D445">
            <v>140187329</v>
          </cell>
        </row>
        <row r="446">
          <cell r="C446">
            <v>0</v>
          </cell>
          <cell r="D446">
            <v>125000</v>
          </cell>
        </row>
        <row r="447">
          <cell r="C447">
            <v>0</v>
          </cell>
          <cell r="D447">
            <v>235242966</v>
          </cell>
        </row>
        <row r="448">
          <cell r="C448">
            <v>0</v>
          </cell>
          <cell r="D448">
            <v>109287025</v>
          </cell>
        </row>
        <row r="449">
          <cell r="C449">
            <v>0</v>
          </cell>
          <cell r="D449">
            <v>674810085</v>
          </cell>
        </row>
        <row r="450">
          <cell r="C450">
            <v>0</v>
          </cell>
          <cell r="D450">
            <v>480778368</v>
          </cell>
        </row>
        <row r="451">
          <cell r="C451">
            <v>0</v>
          </cell>
          <cell r="D451">
            <v>35856780</v>
          </cell>
        </row>
        <row r="452">
          <cell r="C452">
            <v>0</v>
          </cell>
          <cell r="D452">
            <v>755754470</v>
          </cell>
        </row>
        <row r="453">
          <cell r="C453">
            <v>0</v>
          </cell>
          <cell r="D453">
            <v>2203690</v>
          </cell>
        </row>
        <row r="454">
          <cell r="C454">
            <v>0</v>
          </cell>
          <cell r="D454">
            <v>500000000</v>
          </cell>
        </row>
        <row r="455">
          <cell r="C455">
            <v>0</v>
          </cell>
          <cell r="D455">
            <v>93867895</v>
          </cell>
        </row>
        <row r="456">
          <cell r="C456">
            <v>0</v>
          </cell>
          <cell r="D456">
            <v>12699811</v>
          </cell>
        </row>
        <row r="457">
          <cell r="C457">
            <v>0</v>
          </cell>
          <cell r="D457">
            <v>12150</v>
          </cell>
        </row>
        <row r="458">
          <cell r="C458">
            <v>0</v>
          </cell>
          <cell r="D458">
            <v>37464675</v>
          </cell>
        </row>
        <row r="459">
          <cell r="C459">
            <v>0</v>
          </cell>
          <cell r="D459">
            <v>16300378</v>
          </cell>
        </row>
        <row r="460">
          <cell r="C460">
            <v>0</v>
          </cell>
          <cell r="D460">
            <v>33392549</v>
          </cell>
        </row>
        <row r="461">
          <cell r="C461">
            <v>0</v>
          </cell>
          <cell r="D461">
            <v>680872302</v>
          </cell>
        </row>
        <row r="462">
          <cell r="C462">
            <v>0</v>
          </cell>
          <cell r="D462">
            <v>275156868975</v>
          </cell>
        </row>
        <row r="463">
          <cell r="C463">
            <v>273114085674</v>
          </cell>
          <cell r="D463">
            <v>0</v>
          </cell>
        </row>
        <row r="464">
          <cell r="C464">
            <v>72000</v>
          </cell>
          <cell r="D464">
            <v>0</v>
          </cell>
        </row>
        <row r="465">
          <cell r="C465">
            <v>0</v>
          </cell>
          <cell r="D465">
            <v>14721600</v>
          </cell>
        </row>
        <row r="466">
          <cell r="C466">
            <v>0</v>
          </cell>
          <cell r="D466">
            <v>36000000</v>
          </cell>
        </row>
        <row r="467">
          <cell r="C467">
            <v>0</v>
          </cell>
          <cell r="D467">
            <v>40161708</v>
          </cell>
        </row>
        <row r="468">
          <cell r="C468">
            <v>0</v>
          </cell>
          <cell r="D468">
            <v>103335768</v>
          </cell>
        </row>
        <row r="469">
          <cell r="C469">
            <v>0</v>
          </cell>
          <cell r="D469">
            <v>292557899</v>
          </cell>
        </row>
        <row r="470">
          <cell r="C470">
            <v>0</v>
          </cell>
          <cell r="D470">
            <v>108909801</v>
          </cell>
        </row>
        <row r="471">
          <cell r="C471">
            <v>0</v>
          </cell>
          <cell r="D471">
            <v>129607512</v>
          </cell>
        </row>
        <row r="472">
          <cell r="C472">
            <v>0</v>
          </cell>
          <cell r="D472">
            <v>58409190</v>
          </cell>
        </row>
        <row r="473">
          <cell r="C473">
            <v>25620093</v>
          </cell>
          <cell r="D473">
            <v>0</v>
          </cell>
        </row>
        <row r="474">
          <cell r="C474">
            <v>5326259</v>
          </cell>
          <cell r="D474">
            <v>0</v>
          </cell>
        </row>
        <row r="475">
          <cell r="C475">
            <v>0</v>
          </cell>
          <cell r="D475">
            <v>61782460</v>
          </cell>
        </row>
        <row r="476">
          <cell r="C476">
            <v>0</v>
          </cell>
          <cell r="D476">
            <v>1510245</v>
          </cell>
        </row>
        <row r="477">
          <cell r="C477">
            <v>0</v>
          </cell>
          <cell r="D477">
            <v>1489497</v>
          </cell>
        </row>
        <row r="478">
          <cell r="C478">
            <v>501177074</v>
          </cell>
          <cell r="D478">
            <v>0</v>
          </cell>
        </row>
        <row r="479">
          <cell r="C479">
            <v>543862217</v>
          </cell>
          <cell r="D479">
            <v>0</v>
          </cell>
        </row>
        <row r="480">
          <cell r="C480">
            <v>19357696</v>
          </cell>
          <cell r="D480">
            <v>0</v>
          </cell>
        </row>
        <row r="481">
          <cell r="C481">
            <v>0</v>
          </cell>
          <cell r="D481">
            <v>12441642</v>
          </cell>
        </row>
        <row r="482">
          <cell r="C482">
            <v>0</v>
          </cell>
          <cell r="D482">
            <v>80686285</v>
          </cell>
        </row>
        <row r="483">
          <cell r="C483">
            <v>0</v>
          </cell>
          <cell r="D483">
            <v>22965827</v>
          </cell>
        </row>
        <row r="484">
          <cell r="C484">
            <v>0</v>
          </cell>
          <cell r="D484">
            <v>20638400</v>
          </cell>
        </row>
        <row r="485">
          <cell r="C485">
            <v>0</v>
          </cell>
          <cell r="D485">
            <v>1840072</v>
          </cell>
        </row>
        <row r="486">
          <cell r="C486">
            <v>0</v>
          </cell>
          <cell r="D486">
            <v>214776</v>
          </cell>
        </row>
        <row r="487">
          <cell r="C487">
            <v>0</v>
          </cell>
          <cell r="D487">
            <v>7582575</v>
          </cell>
        </row>
        <row r="488">
          <cell r="C488">
            <v>0</v>
          </cell>
          <cell r="D488">
            <v>631351833</v>
          </cell>
        </row>
        <row r="489">
          <cell r="C489">
            <v>0</v>
          </cell>
          <cell r="D489">
            <v>331588225</v>
          </cell>
        </row>
        <row r="490">
          <cell r="C490">
            <v>0</v>
          </cell>
          <cell r="D490">
            <v>149126606</v>
          </cell>
        </row>
        <row r="491">
          <cell r="C491">
            <v>0</v>
          </cell>
          <cell r="D491">
            <v>18686504</v>
          </cell>
        </row>
        <row r="492">
          <cell r="C492">
            <v>0</v>
          </cell>
          <cell r="D492">
            <v>1448460</v>
          </cell>
        </row>
        <row r="493">
          <cell r="C493">
            <v>0</v>
          </cell>
          <cell r="D493">
            <v>71939</v>
          </cell>
        </row>
        <row r="494">
          <cell r="C494">
            <v>0</v>
          </cell>
          <cell r="D494">
            <v>2002052</v>
          </cell>
        </row>
        <row r="495">
          <cell r="C495">
            <v>0</v>
          </cell>
          <cell r="D495">
            <v>504805572</v>
          </cell>
        </row>
        <row r="496">
          <cell r="C496">
            <v>0</v>
          </cell>
          <cell r="D496">
            <v>6114415</v>
          </cell>
        </row>
        <row r="497">
          <cell r="C497">
            <v>0</v>
          </cell>
          <cell r="D497">
            <v>649803140</v>
          </cell>
        </row>
        <row r="498">
          <cell r="C498">
            <v>0</v>
          </cell>
          <cell r="D498">
            <v>423915</v>
          </cell>
        </row>
        <row r="499">
          <cell r="C499">
            <v>0</v>
          </cell>
          <cell r="D499">
            <v>1522195189</v>
          </cell>
        </row>
        <row r="500">
          <cell r="C500">
            <v>0</v>
          </cell>
          <cell r="D500">
            <v>9790027</v>
          </cell>
        </row>
        <row r="501">
          <cell r="C501">
            <v>0</v>
          </cell>
          <cell r="D501">
            <v>153398468</v>
          </cell>
        </row>
        <row r="502">
          <cell r="C502">
            <v>0</v>
          </cell>
          <cell r="D502">
            <v>129810</v>
          </cell>
        </row>
        <row r="503">
          <cell r="C503">
            <v>0</v>
          </cell>
          <cell r="D503">
            <v>376500</v>
          </cell>
        </row>
        <row r="504">
          <cell r="C504">
            <v>0</v>
          </cell>
          <cell r="D504">
            <v>445331746</v>
          </cell>
        </row>
        <row r="505">
          <cell r="C505">
            <v>0</v>
          </cell>
          <cell r="D505">
            <v>146932236</v>
          </cell>
        </row>
        <row r="506">
          <cell r="C506">
            <v>0</v>
          </cell>
          <cell r="D506">
            <v>238468019</v>
          </cell>
        </row>
        <row r="507">
          <cell r="C507">
            <v>0</v>
          </cell>
          <cell r="D507">
            <v>3074222106</v>
          </cell>
        </row>
        <row r="508">
          <cell r="C508">
            <v>0</v>
          </cell>
          <cell r="D508">
            <v>5776132</v>
          </cell>
        </row>
        <row r="509">
          <cell r="C509">
            <v>0</v>
          </cell>
          <cell r="D509">
            <v>27568964</v>
          </cell>
        </row>
        <row r="510">
          <cell r="C510">
            <v>0</v>
          </cell>
          <cell r="D510">
            <v>62920</v>
          </cell>
        </row>
        <row r="511">
          <cell r="C511">
            <v>0</v>
          </cell>
          <cell r="D511">
            <v>87447430</v>
          </cell>
        </row>
        <row r="512">
          <cell r="C512">
            <v>0</v>
          </cell>
          <cell r="D512">
            <v>624855</v>
          </cell>
        </row>
        <row r="513">
          <cell r="C513">
            <v>0</v>
          </cell>
          <cell r="D513">
            <v>19479909</v>
          </cell>
        </row>
        <row r="514">
          <cell r="C514">
            <v>0</v>
          </cell>
          <cell r="D514">
            <v>3357199274</v>
          </cell>
        </row>
        <row r="515">
          <cell r="C515">
            <v>0</v>
          </cell>
          <cell r="D515">
            <v>785324270</v>
          </cell>
        </row>
        <row r="516">
          <cell r="C516">
            <v>0</v>
          </cell>
          <cell r="D516">
            <v>78845330</v>
          </cell>
        </row>
        <row r="517">
          <cell r="C517">
            <v>0</v>
          </cell>
          <cell r="D517">
            <v>7240628</v>
          </cell>
        </row>
        <row r="518">
          <cell r="C518">
            <v>0</v>
          </cell>
          <cell r="D518">
            <v>31935477</v>
          </cell>
        </row>
        <row r="519">
          <cell r="C519">
            <v>0</v>
          </cell>
          <cell r="D519">
            <v>132866367</v>
          </cell>
        </row>
        <row r="520">
          <cell r="C520">
            <v>868527393</v>
          </cell>
          <cell r="D520">
            <v>0</v>
          </cell>
        </row>
        <row r="521">
          <cell r="C521">
            <v>0</v>
          </cell>
          <cell r="D521">
            <v>121668686</v>
          </cell>
        </row>
        <row r="522">
          <cell r="C522">
            <v>0</v>
          </cell>
          <cell r="D522">
            <v>714259744</v>
          </cell>
        </row>
        <row r="525">
          <cell r="D525">
            <v>42232593828</v>
          </cell>
        </row>
        <row r="526">
          <cell r="D526">
            <v>42232593828</v>
          </cell>
        </row>
        <row r="527">
          <cell r="D527">
            <v>0</v>
          </cell>
        </row>
        <row r="529">
          <cell r="D529">
            <v>95863315445.330002</v>
          </cell>
        </row>
        <row r="530">
          <cell r="C530">
            <v>4449758207.8774986</v>
          </cell>
        </row>
        <row r="531">
          <cell r="D531">
            <v>4627725567.7275</v>
          </cell>
        </row>
        <row r="536">
          <cell r="D536">
            <v>0</v>
          </cell>
        </row>
        <row r="537">
          <cell r="C537">
            <v>0</v>
          </cell>
        </row>
        <row r="539">
          <cell r="C539">
            <v>0</v>
          </cell>
        </row>
        <row r="542">
          <cell r="C542">
            <v>95863315445.330002</v>
          </cell>
        </row>
        <row r="543">
          <cell r="D543">
            <v>4449758207.8774986</v>
          </cell>
        </row>
        <row r="544">
          <cell r="C544">
            <v>4627725567.7275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  <cell r="D547">
            <v>0</v>
          </cell>
        </row>
        <row r="549">
          <cell r="C549">
            <v>16775294461.044439</v>
          </cell>
        </row>
        <row r="552">
          <cell r="C552">
            <v>975263048.99996638</v>
          </cell>
          <cell r="D552">
            <v>0</v>
          </cell>
        </row>
        <row r="553">
          <cell r="C553">
            <v>1055899200</v>
          </cell>
          <cell r="D553">
            <v>0</v>
          </cell>
        </row>
        <row r="554">
          <cell r="C554">
            <v>73434000</v>
          </cell>
          <cell r="D554">
            <v>0</v>
          </cell>
        </row>
        <row r="555">
          <cell r="C555">
            <v>2605698000</v>
          </cell>
          <cell r="D555">
            <v>0</v>
          </cell>
        </row>
        <row r="556">
          <cell r="C556">
            <v>166251750</v>
          </cell>
          <cell r="D556">
            <v>0</v>
          </cell>
        </row>
        <row r="557">
          <cell r="C557">
            <v>0</v>
          </cell>
          <cell r="D557">
            <v>4876545998.9999666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7692202163.0796623</v>
          </cell>
          <cell r="D560">
            <v>0</v>
          </cell>
        </row>
        <row r="561">
          <cell r="C561">
            <v>0</v>
          </cell>
          <cell r="D561">
            <v>7692202163.0796623</v>
          </cell>
        </row>
        <row r="562">
          <cell r="C562">
            <v>631351833</v>
          </cell>
          <cell r="D562">
            <v>0</v>
          </cell>
        </row>
        <row r="563">
          <cell r="C563">
            <v>0</v>
          </cell>
          <cell r="D563">
            <v>573868301.81150126</v>
          </cell>
        </row>
        <row r="564">
          <cell r="C564">
            <v>0</v>
          </cell>
          <cell r="D564">
            <v>57483531.188498743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488553864.17525333</v>
          </cell>
          <cell r="D574">
            <v>0</v>
          </cell>
        </row>
        <row r="575">
          <cell r="C575">
            <v>0</v>
          </cell>
          <cell r="D575">
            <v>488553864.17525333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400000000</v>
          </cell>
        </row>
        <row r="582">
          <cell r="C582">
            <v>0</v>
          </cell>
          <cell r="D582">
            <v>4603180568</v>
          </cell>
        </row>
        <row r="583">
          <cell r="C583">
            <v>0</v>
          </cell>
          <cell r="D583">
            <v>308149255</v>
          </cell>
        </row>
        <row r="584">
          <cell r="D584">
            <v>397306716</v>
          </cell>
        </row>
        <row r="585">
          <cell r="C585">
            <v>5708636539</v>
          </cell>
          <cell r="D585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E4" t="str">
            <v>D02</v>
          </cell>
        </row>
        <row r="5">
          <cell r="E5" t="str">
            <v>D03</v>
          </cell>
        </row>
        <row r="6">
          <cell r="E6" t="str">
            <v>D03</v>
          </cell>
        </row>
        <row r="7">
          <cell r="E7" t="str">
            <v>E01</v>
          </cell>
        </row>
        <row r="8">
          <cell r="E8" t="str">
            <v>D02</v>
          </cell>
        </row>
        <row r="9">
          <cell r="E9" t="str">
            <v>E01</v>
          </cell>
        </row>
        <row r="10">
          <cell r="E10" t="str">
            <v>D02</v>
          </cell>
        </row>
        <row r="11">
          <cell r="E11" t="str">
            <v>F01</v>
          </cell>
        </row>
        <row r="12">
          <cell r="E12" t="str">
            <v>F01</v>
          </cell>
        </row>
        <row r="13">
          <cell r="E13" t="str">
            <v>D03</v>
          </cell>
        </row>
        <row r="14">
          <cell r="E14" t="str">
            <v>F01</v>
          </cell>
        </row>
        <row r="15">
          <cell r="E15" t="str">
            <v>F01</v>
          </cell>
        </row>
        <row r="16">
          <cell r="E16" t="str">
            <v>E03</v>
          </cell>
        </row>
        <row r="17">
          <cell r="E17" t="str">
            <v>E03</v>
          </cell>
        </row>
        <row r="18">
          <cell r="E18" t="str">
            <v>E03</v>
          </cell>
        </row>
        <row r="19">
          <cell r="E19" t="str">
            <v>F01</v>
          </cell>
        </row>
        <row r="20">
          <cell r="E20" t="str">
            <v>F01</v>
          </cell>
        </row>
        <row r="21">
          <cell r="E21" t="str">
            <v>F01</v>
          </cell>
        </row>
        <row r="22">
          <cell r="E22" t="str">
            <v>E04</v>
          </cell>
        </row>
        <row r="23">
          <cell r="E23" t="str">
            <v>E04</v>
          </cell>
        </row>
        <row r="24">
          <cell r="E24" t="str">
            <v>E04</v>
          </cell>
        </row>
        <row r="25">
          <cell r="E25" t="str">
            <v>F06</v>
          </cell>
        </row>
        <row r="26">
          <cell r="E26" t="str">
            <v>F06</v>
          </cell>
        </row>
        <row r="27">
          <cell r="E27" t="str">
            <v>D05</v>
          </cell>
        </row>
        <row r="28">
          <cell r="E28" t="str">
            <v>F02</v>
          </cell>
        </row>
        <row r="29">
          <cell r="E29" t="str">
            <v>F02</v>
          </cell>
        </row>
        <row r="30">
          <cell r="E30" t="str">
            <v>F06</v>
          </cell>
        </row>
        <row r="31">
          <cell r="E31" t="str">
            <v>F02</v>
          </cell>
        </row>
        <row r="32">
          <cell r="E32" t="str">
            <v>D04</v>
          </cell>
        </row>
        <row r="33">
          <cell r="E33" t="str">
            <v>D04</v>
          </cell>
        </row>
        <row r="34">
          <cell r="E34" t="str">
            <v>D04</v>
          </cell>
        </row>
        <row r="35">
          <cell r="E35" t="str">
            <v>F02</v>
          </cell>
        </row>
        <row r="36">
          <cell r="E36" t="str">
            <v>F03</v>
          </cell>
        </row>
        <row r="37">
          <cell r="E37" t="str">
            <v>F03</v>
          </cell>
        </row>
        <row r="38">
          <cell r="E38" t="str">
            <v>F03</v>
          </cell>
        </row>
        <row r="39">
          <cell r="E39" t="str">
            <v>E03</v>
          </cell>
        </row>
        <row r="40">
          <cell r="E40" t="str">
            <v>E03</v>
          </cell>
        </row>
        <row r="41">
          <cell r="E41" t="str">
            <v>F03</v>
          </cell>
        </row>
        <row r="42">
          <cell r="E42" t="str">
            <v>F03</v>
          </cell>
        </row>
        <row r="43">
          <cell r="E43" t="str">
            <v>F04</v>
          </cell>
        </row>
        <row r="44">
          <cell r="E44" t="str">
            <v>F04</v>
          </cell>
        </row>
        <row r="45">
          <cell r="E45" t="str">
            <v>F04</v>
          </cell>
        </row>
        <row r="46">
          <cell r="E46" t="str">
            <v>F04</v>
          </cell>
        </row>
        <row r="47">
          <cell r="E47" t="str">
            <v>F04</v>
          </cell>
        </row>
        <row r="48">
          <cell r="E48" t="str">
            <v>F04</v>
          </cell>
        </row>
        <row r="49">
          <cell r="E49" t="str">
            <v>F04</v>
          </cell>
        </row>
        <row r="50">
          <cell r="E50" t="str">
            <v>F03</v>
          </cell>
        </row>
        <row r="51">
          <cell r="E51" t="str">
            <v>F05</v>
          </cell>
        </row>
        <row r="52">
          <cell r="E52" t="str">
            <v>E04</v>
          </cell>
        </row>
        <row r="53">
          <cell r="E53" t="str">
            <v>E04</v>
          </cell>
        </row>
        <row r="54">
          <cell r="E54" t="str">
            <v>E04</v>
          </cell>
        </row>
        <row r="55">
          <cell r="E55" t="str">
            <v>F03</v>
          </cell>
        </row>
        <row r="56">
          <cell r="E56" t="str">
            <v>F03</v>
          </cell>
        </row>
        <row r="57">
          <cell r="E57" t="str">
            <v>F03</v>
          </cell>
        </row>
        <row r="58">
          <cell r="E58" t="str">
            <v>F03</v>
          </cell>
        </row>
        <row r="59">
          <cell r="E59" t="str">
            <v>F03</v>
          </cell>
        </row>
        <row r="60">
          <cell r="E60" t="str">
            <v>F03</v>
          </cell>
        </row>
        <row r="61">
          <cell r="E61" t="str">
            <v>F03</v>
          </cell>
        </row>
        <row r="62">
          <cell r="E62" t="str">
            <v>F03</v>
          </cell>
        </row>
        <row r="63">
          <cell r="E63" t="str">
            <v>F03</v>
          </cell>
        </row>
        <row r="64">
          <cell r="E64" t="str">
            <v>F03</v>
          </cell>
        </row>
        <row r="65">
          <cell r="E65" t="str">
            <v>F03</v>
          </cell>
        </row>
        <row r="66">
          <cell r="E66" t="str">
            <v>F06</v>
          </cell>
        </row>
        <row r="67">
          <cell r="E67" t="str">
            <v>F03</v>
          </cell>
        </row>
        <row r="68">
          <cell r="E68" t="str">
            <v>F03</v>
          </cell>
        </row>
        <row r="69">
          <cell r="E69" t="str">
            <v>F03</v>
          </cell>
        </row>
        <row r="70">
          <cell r="E70" t="str">
            <v>F03</v>
          </cell>
        </row>
        <row r="71">
          <cell r="E71" t="str">
            <v>E06</v>
          </cell>
        </row>
        <row r="72">
          <cell r="E72" t="str">
            <v>F03</v>
          </cell>
        </row>
        <row r="73">
          <cell r="E73" t="str">
            <v>F03</v>
          </cell>
        </row>
        <row r="74">
          <cell r="E74" t="str">
            <v>F03</v>
          </cell>
        </row>
        <row r="75">
          <cell r="E75" t="str">
            <v>F05</v>
          </cell>
        </row>
        <row r="76">
          <cell r="E76" t="str">
            <v>F03</v>
          </cell>
        </row>
        <row r="77">
          <cell r="E77" t="str">
            <v>F03</v>
          </cell>
        </row>
        <row r="78">
          <cell r="E78" t="str">
            <v>F03</v>
          </cell>
        </row>
        <row r="79">
          <cell r="E79" t="str">
            <v>F07</v>
          </cell>
        </row>
        <row r="80">
          <cell r="E80" t="str">
            <v>F06</v>
          </cell>
        </row>
        <row r="81">
          <cell r="E81" t="str">
            <v>F06</v>
          </cell>
        </row>
        <row r="82">
          <cell r="E82" t="str">
            <v>F06</v>
          </cell>
        </row>
        <row r="83">
          <cell r="E83" t="str">
            <v>F06</v>
          </cell>
        </row>
        <row r="84">
          <cell r="E84" t="str">
            <v>F06</v>
          </cell>
        </row>
        <row r="85">
          <cell r="E85" t="str">
            <v>F06</v>
          </cell>
        </row>
        <row r="86">
          <cell r="E86" t="str">
            <v>F07</v>
          </cell>
        </row>
        <row r="87">
          <cell r="E87" t="str">
            <v>F07</v>
          </cell>
        </row>
        <row r="88">
          <cell r="E88" t="str">
            <v>F07</v>
          </cell>
        </row>
        <row r="89">
          <cell r="E89" t="str">
            <v>F07</v>
          </cell>
        </row>
        <row r="90">
          <cell r="E90" t="str">
            <v>F07</v>
          </cell>
        </row>
        <row r="91">
          <cell r="E91" t="str">
            <v>F07</v>
          </cell>
        </row>
        <row r="92">
          <cell r="E92" t="str">
            <v>F07</v>
          </cell>
        </row>
        <row r="93">
          <cell r="E93" t="str">
            <v>F07</v>
          </cell>
        </row>
        <row r="94">
          <cell r="E94" t="str">
            <v>F05</v>
          </cell>
        </row>
        <row r="95">
          <cell r="E95" t="str">
            <v>F05</v>
          </cell>
        </row>
        <row r="96">
          <cell r="E96" t="str">
            <v>F05</v>
          </cell>
        </row>
        <row r="97">
          <cell r="E97" t="str">
            <v>G03</v>
          </cell>
        </row>
        <row r="98">
          <cell r="E98" t="str">
            <v>F06</v>
          </cell>
        </row>
        <row r="99">
          <cell r="E99" t="str">
            <v>F06</v>
          </cell>
        </row>
        <row r="100">
          <cell r="E100" t="str">
            <v>F06</v>
          </cell>
        </row>
        <row r="101">
          <cell r="E101" t="str">
            <v>F06</v>
          </cell>
        </row>
        <row r="102">
          <cell r="E102" t="str">
            <v>F06</v>
          </cell>
        </row>
        <row r="103">
          <cell r="E103" t="str">
            <v>F06</v>
          </cell>
        </row>
        <row r="104">
          <cell r="E104" t="str">
            <v>F06</v>
          </cell>
        </row>
        <row r="105">
          <cell r="E105" t="str">
            <v>F06</v>
          </cell>
        </row>
        <row r="106">
          <cell r="E106" t="str">
            <v>F06</v>
          </cell>
        </row>
        <row r="107">
          <cell r="E107" t="str">
            <v>F06</v>
          </cell>
        </row>
        <row r="108">
          <cell r="E108" t="str">
            <v>F06</v>
          </cell>
        </row>
        <row r="109">
          <cell r="E109" t="str">
            <v>F06</v>
          </cell>
        </row>
        <row r="110">
          <cell r="E110" t="str">
            <v>F06</v>
          </cell>
        </row>
        <row r="111">
          <cell r="E111" t="str">
            <v>F06</v>
          </cell>
        </row>
        <row r="112">
          <cell r="E112" t="str">
            <v>F06</v>
          </cell>
        </row>
        <row r="113">
          <cell r="E113" t="str">
            <v>F06</v>
          </cell>
        </row>
        <row r="114">
          <cell r="E114" t="str">
            <v>F06</v>
          </cell>
        </row>
        <row r="115">
          <cell r="E115" t="str">
            <v>F06</v>
          </cell>
        </row>
        <row r="116">
          <cell r="E116" t="str">
            <v>F06</v>
          </cell>
        </row>
        <row r="117">
          <cell r="E117" t="str">
            <v>F06</v>
          </cell>
        </row>
        <row r="118">
          <cell r="E118" t="str">
            <v>F06</v>
          </cell>
        </row>
        <row r="119">
          <cell r="E119" t="str">
            <v>F06</v>
          </cell>
        </row>
        <row r="120">
          <cell r="E120" t="str">
            <v>F06</v>
          </cell>
        </row>
        <row r="121">
          <cell r="E121" t="str">
            <v>F06</v>
          </cell>
        </row>
        <row r="122">
          <cell r="E122" t="str">
            <v>F06</v>
          </cell>
        </row>
        <row r="123">
          <cell r="E123" t="str">
            <v>F06</v>
          </cell>
        </row>
        <row r="124">
          <cell r="E124" t="str">
            <v>F06</v>
          </cell>
        </row>
        <row r="125">
          <cell r="E125" t="str">
            <v>F06</v>
          </cell>
        </row>
        <row r="126">
          <cell r="E126" t="str">
            <v>F06</v>
          </cell>
        </row>
        <row r="127">
          <cell r="E127" t="str">
            <v>F06</v>
          </cell>
        </row>
        <row r="128">
          <cell r="E128" t="str">
            <v>F06</v>
          </cell>
        </row>
        <row r="129">
          <cell r="E129" t="str">
            <v>F06</v>
          </cell>
        </row>
        <row r="130">
          <cell r="E130" t="str">
            <v>F06</v>
          </cell>
        </row>
        <row r="131">
          <cell r="E131" t="str">
            <v>F06</v>
          </cell>
        </row>
        <row r="132">
          <cell r="E132" t="str">
            <v>F06</v>
          </cell>
        </row>
        <row r="133">
          <cell r="E133" t="str">
            <v>F06</v>
          </cell>
        </row>
        <row r="134">
          <cell r="E134" t="str">
            <v>F06</v>
          </cell>
        </row>
        <row r="135">
          <cell r="E135" t="str">
            <v>F06</v>
          </cell>
        </row>
        <row r="136">
          <cell r="E136" t="str">
            <v>F06</v>
          </cell>
        </row>
        <row r="137">
          <cell r="E137" t="str">
            <v>F06</v>
          </cell>
        </row>
        <row r="138">
          <cell r="E138" t="str">
            <v>F06</v>
          </cell>
        </row>
        <row r="139">
          <cell r="E139" t="str">
            <v>F06</v>
          </cell>
        </row>
        <row r="140">
          <cell r="E140" t="str">
            <v>H01</v>
          </cell>
        </row>
        <row r="141">
          <cell r="E141" t="str">
            <v>G02</v>
          </cell>
        </row>
        <row r="142">
          <cell r="E142" t="str">
            <v>G05</v>
          </cell>
        </row>
        <row r="143">
          <cell r="E143" t="str">
            <v>B01</v>
          </cell>
        </row>
        <row r="144">
          <cell r="E144" t="str">
            <v>B01</v>
          </cell>
        </row>
        <row r="145">
          <cell r="E145" t="str">
            <v>G01</v>
          </cell>
        </row>
        <row r="146">
          <cell r="E146" t="str">
            <v>G01</v>
          </cell>
        </row>
        <row r="147">
          <cell r="E147" t="str">
            <v>G01</v>
          </cell>
        </row>
        <row r="148">
          <cell r="E148" t="str">
            <v>C01</v>
          </cell>
        </row>
        <row r="149">
          <cell r="E149" t="str">
            <v>C01</v>
          </cell>
        </row>
        <row r="150">
          <cell r="E150" t="str">
            <v>C01</v>
          </cell>
        </row>
        <row r="151">
          <cell r="E151" t="str">
            <v>G01</v>
          </cell>
        </row>
        <row r="152">
          <cell r="E152" t="str">
            <v>G04</v>
          </cell>
        </row>
        <row r="153">
          <cell r="E153" t="str">
            <v>H02</v>
          </cell>
        </row>
        <row r="154">
          <cell r="E154" t="str">
            <v>G01</v>
          </cell>
        </row>
        <row r="155">
          <cell r="E155" t="str">
            <v>G06</v>
          </cell>
        </row>
        <row r="156">
          <cell r="E156" t="str">
            <v>I06</v>
          </cell>
        </row>
        <row r="165">
          <cell r="E165" t="str">
            <v>D02</v>
          </cell>
        </row>
        <row r="166">
          <cell r="E166" t="str">
            <v>D02</v>
          </cell>
        </row>
        <row r="167">
          <cell r="E167" t="str">
            <v>I05</v>
          </cell>
        </row>
        <row r="168">
          <cell r="E168" t="str">
            <v>F03</v>
          </cell>
        </row>
        <row r="169">
          <cell r="E169" t="str">
            <v>I05</v>
          </cell>
        </row>
        <row r="170">
          <cell r="E170" t="str">
            <v>F03</v>
          </cell>
        </row>
        <row r="172">
          <cell r="E172" t="str">
            <v>B03</v>
          </cell>
        </row>
        <row r="173">
          <cell r="E173" t="str">
            <v>B03</v>
          </cell>
        </row>
        <row r="174">
          <cell r="E174" t="str">
            <v>B01</v>
          </cell>
        </row>
        <row r="175">
          <cell r="E175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de_garde"/>
      <sheetName val="Sommaire"/>
      <sheetName val="Légende"/>
      <sheetName val="Data"/>
      <sheetName val="Bilan_I"/>
      <sheetName val="Compte_de_résultats_II"/>
      <sheetName val="Bal_Bilan_&amp;_XMQ_Travaux_III"/>
      <sheetName val="Bal_Bilan_Reporting_N_IV"/>
      <sheetName val="Bal_XMQ_Reporting_N_V"/>
      <sheetName val="Bal_Bilan_Reporting_N-1_VI"/>
      <sheetName val="Bal_XMQ_Reporting_N-1_VII"/>
      <sheetName val="Capitaux_Propres_Travaux_1"/>
      <sheetName val="Capitaux_Propres_Mouvements_2"/>
      <sheetName val="Prov_Réglementées_Travaux_3"/>
      <sheetName val="Prov_Réglementées_Mvts_4"/>
      <sheetName val="Dettes_&amp;_Emprunts_Travaux_5"/>
      <sheetName val="Synthèse_Emprunts_6"/>
      <sheetName val="Emprunts_Mouvements_7"/>
      <sheetName val="Consignation_Caution_Travaux_8"/>
      <sheetName val="Fonds_Consignation_Mvts_9"/>
      <sheetName val="PRC_Travaux_10"/>
      <sheetName val="Liste_Litiges_&amp;_Contentieux_11"/>
      <sheetName val="PRC_Mouvements_12"/>
      <sheetName val="Immobilisations_Travaux_13"/>
      <sheetName val="Cadrage_Fichier_Immos_BG_14"/>
      <sheetName val="Tableau Mvts Immos_15"/>
      <sheetName val="Analyse_Investissements_16"/>
      <sheetName val="Analyses_Immos_en_Cours_17"/>
      <sheetName val="PV_MV_Cessions_18"/>
      <sheetName val="Stocks_Travaux_19"/>
      <sheetName val="Cadrage_Stocks_20"/>
      <sheetName val="Stocks_Cours_de_route_21"/>
      <sheetName val="Mouvements_Stocks_22"/>
      <sheetName val="Stocks_BG_vs_Inventaire_23"/>
      <sheetName val="Analyse_Coût_de_revient_24"/>
      <sheetName val="Analyse_PSF_PF_25"/>
      <sheetName val="Test_Dépréciation_Stocks_26"/>
      <sheetName val="Dettes_Fournisseurs_Travaux_27"/>
      <sheetName val="Liste_Fournisseurs_Approuvés_28"/>
      <sheetName val="Reco_Fournisseurs_Interco_29"/>
      <sheetName val="Créances_&amp;_Dettes_GE_30"/>
      <sheetName val="Fournisseurs_EAP_31"/>
      <sheetName val="Fournisseurs_FNP_31B"/>
      <sheetName val="Fournisseurs_Débiteurs_32"/>
      <sheetName val="Etat_Avances_sur_Commandes_33"/>
      <sheetName val="Créances_Clientèles_Travaux_34"/>
      <sheetName val="Cadrage_CA_35"/>
      <sheetName val="Reco_Clients_Interco_36"/>
      <sheetName val="Clients_EAR_37"/>
      <sheetName val="Clients_DTX_&amp;_Prov_38"/>
      <sheetName val="Créances_Personnel_Travaux_39"/>
      <sheetName val="Etat_Avances_Personnel_40"/>
      <sheetName val="Etat_Prêts_Personnel_41"/>
      <sheetName val="Dettes_Personnel_Travaux_42"/>
      <sheetName val="Etat_Dettes_Sociales_43"/>
      <sheetName val="Cadrage_Livre_de_Paie_BG_44"/>
      <sheetName val="Suivi_Effectifs_45"/>
      <sheetName val="Cadrage_ITS_Salaires_46"/>
      <sheetName val="Cadrage_CNSS_47"/>
      <sheetName val="Dettes_Fiscales_Travaux_48"/>
      <sheetName val="Etat_Impôts_&amp;_Taxes_49"/>
      <sheetName val="Cadrage_TVA_Bilan_50"/>
      <sheetName val="Cadrage_TVA_51"/>
      <sheetName val="Cadrage_IT_Activités_52"/>
      <sheetName val="Créances_Fiscales_Travaux_53"/>
      <sheetName val="Etat_Créances_Fiscales_54"/>
      <sheetName val="Résultat_Fiscal_55"/>
      <sheetName val="Etat_Dettes_Sté_Apparentée_56"/>
      <sheetName val="Etat_Créances_Sté_Apparentée_57"/>
      <sheetName val="Créditeurs_Divers_Travaux_58"/>
      <sheetName val="Etat_Autres_Créditeurs_59"/>
      <sheetName val="Etat_Régularisation_Passif_60"/>
      <sheetName val="Autres_Créances_Travaux_61"/>
      <sheetName val="Etat_Autres_Débiteurs_62"/>
      <sheetName val="Provisions_Autres_Débiteurs_63"/>
      <sheetName val="Régularisation_Actif_64"/>
      <sheetName val="Banques_&amp;_Caisse_Travaux_65"/>
      <sheetName val="Synthèse_Comptes_Bancaires_66"/>
      <sheetName val="Synthèse_Comptes_de_Caisse_67"/>
      <sheetName val="Synthèse_VMP_68"/>
      <sheetName val="Synthèse_Crédit_Trésorerie_69"/>
      <sheetName val="Synthèse_Pièces_Provisoires_70"/>
      <sheetName val="Etat_Hors_Bilan_71"/>
      <sheetName val="Etat_Résultat_HE_72"/>
      <sheetName val="Guide_de_Clôture_Pays_CM_Sociét"/>
    </sheetNames>
    <sheetDataSet>
      <sheetData sheetId="0">
        <row r="3">
          <cell r="B3" t="str">
            <v>SABC</v>
          </cell>
        </row>
      </sheetData>
      <sheetData sheetId="1"/>
      <sheetData sheetId="2">
        <row r="22">
          <cell r="B22">
            <v>43136</v>
          </cell>
        </row>
      </sheetData>
      <sheetData sheetId="3"/>
      <sheetData sheetId="4">
        <row r="12">
          <cell r="J12">
            <v>42735</v>
          </cell>
        </row>
      </sheetData>
      <sheetData sheetId="5">
        <row r="9">
          <cell r="H9">
            <v>42735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1936012769</v>
          </cell>
          <cell r="D4">
            <v>0</v>
          </cell>
          <cell r="E4" t="str">
            <v>D02</v>
          </cell>
        </row>
        <row r="5">
          <cell r="C5">
            <v>60908135</v>
          </cell>
          <cell r="D5">
            <v>0</v>
          </cell>
          <cell r="E5" t="str">
            <v>D03</v>
          </cell>
        </row>
        <row r="6">
          <cell r="C6">
            <v>8773</v>
          </cell>
          <cell r="D6">
            <v>0</v>
          </cell>
          <cell r="E6" t="str">
            <v>D03</v>
          </cell>
        </row>
        <row r="7">
          <cell r="C7">
            <v>1534017</v>
          </cell>
          <cell r="D7">
            <v>0</v>
          </cell>
          <cell r="E7" t="str">
            <v>D02</v>
          </cell>
        </row>
        <row r="8">
          <cell r="C8">
            <v>347654</v>
          </cell>
          <cell r="D8">
            <v>0</v>
          </cell>
          <cell r="E8" t="str">
            <v>D02</v>
          </cell>
        </row>
        <row r="9">
          <cell r="C9">
            <v>741000</v>
          </cell>
          <cell r="D9">
            <v>0</v>
          </cell>
          <cell r="E9" t="str">
            <v>F01</v>
          </cell>
        </row>
        <row r="10">
          <cell r="C10">
            <v>50048370</v>
          </cell>
          <cell r="D10">
            <v>0</v>
          </cell>
          <cell r="E10" t="str">
            <v>D03</v>
          </cell>
        </row>
        <row r="11">
          <cell r="C11">
            <v>4746419</v>
          </cell>
          <cell r="D11">
            <v>0</v>
          </cell>
          <cell r="E11" t="str">
            <v>F01</v>
          </cell>
        </row>
        <row r="12">
          <cell r="C12">
            <v>604261</v>
          </cell>
          <cell r="D12">
            <v>0</v>
          </cell>
          <cell r="E12" t="str">
            <v>F01</v>
          </cell>
        </row>
        <row r="13">
          <cell r="C13">
            <v>17704379</v>
          </cell>
          <cell r="D13">
            <v>0</v>
          </cell>
          <cell r="E13" t="str">
            <v>E03</v>
          </cell>
        </row>
        <row r="14">
          <cell r="C14">
            <v>27295631</v>
          </cell>
          <cell r="D14">
            <v>0</v>
          </cell>
          <cell r="E14" t="str">
            <v>E03</v>
          </cell>
        </row>
        <row r="15">
          <cell r="C15">
            <v>6771393</v>
          </cell>
          <cell r="D15">
            <v>0</v>
          </cell>
          <cell r="E15" t="str">
            <v>F01</v>
          </cell>
        </row>
        <row r="16">
          <cell r="C16">
            <v>281325</v>
          </cell>
          <cell r="D16">
            <v>0</v>
          </cell>
          <cell r="E16" t="str">
            <v>F01</v>
          </cell>
        </row>
        <row r="17">
          <cell r="C17">
            <v>11650</v>
          </cell>
          <cell r="D17">
            <v>0</v>
          </cell>
          <cell r="E17" t="str">
            <v>F01</v>
          </cell>
        </row>
        <row r="18">
          <cell r="C18">
            <v>41637443</v>
          </cell>
          <cell r="D18">
            <v>0</v>
          </cell>
          <cell r="E18" t="str">
            <v>E04</v>
          </cell>
        </row>
        <row r="19">
          <cell r="C19">
            <v>15085227</v>
          </cell>
          <cell r="D19">
            <v>0</v>
          </cell>
          <cell r="E19" t="str">
            <v>D05</v>
          </cell>
        </row>
        <row r="20">
          <cell r="C20">
            <v>2021690</v>
          </cell>
          <cell r="D20">
            <v>0</v>
          </cell>
          <cell r="E20" t="str">
            <v>F02</v>
          </cell>
        </row>
        <row r="21">
          <cell r="C21">
            <v>2000</v>
          </cell>
          <cell r="D21">
            <v>0</v>
          </cell>
          <cell r="E21" t="str">
            <v>F02</v>
          </cell>
        </row>
        <row r="22">
          <cell r="C22">
            <v>629100</v>
          </cell>
          <cell r="D22">
            <v>0</v>
          </cell>
          <cell r="E22" t="str">
            <v>F02</v>
          </cell>
        </row>
        <row r="23">
          <cell r="C23">
            <v>114000</v>
          </cell>
          <cell r="D23">
            <v>0</v>
          </cell>
          <cell r="E23" t="str">
            <v>F02</v>
          </cell>
        </row>
        <row r="24">
          <cell r="C24">
            <v>71441848</v>
          </cell>
          <cell r="D24">
            <v>0</v>
          </cell>
          <cell r="E24" t="str">
            <v>D04</v>
          </cell>
        </row>
        <row r="25">
          <cell r="C25">
            <v>445159397</v>
          </cell>
          <cell r="D25">
            <v>0</v>
          </cell>
          <cell r="E25" t="str">
            <v>D04</v>
          </cell>
        </row>
        <row r="26">
          <cell r="C26">
            <v>129500</v>
          </cell>
          <cell r="D26">
            <v>0</v>
          </cell>
          <cell r="E26" t="str">
            <v>F02</v>
          </cell>
        </row>
        <row r="27">
          <cell r="C27">
            <v>150000</v>
          </cell>
          <cell r="D27">
            <v>0</v>
          </cell>
          <cell r="E27" t="str">
            <v>F02</v>
          </cell>
        </row>
        <row r="28">
          <cell r="C28">
            <v>1325370</v>
          </cell>
          <cell r="D28">
            <v>0</v>
          </cell>
          <cell r="E28" t="str">
            <v>F03</v>
          </cell>
        </row>
        <row r="29">
          <cell r="C29">
            <v>1440000</v>
          </cell>
          <cell r="D29">
            <v>0</v>
          </cell>
          <cell r="E29" t="str">
            <v>F03</v>
          </cell>
        </row>
        <row r="30">
          <cell r="C30">
            <v>1372000</v>
          </cell>
          <cell r="D30">
            <v>0</v>
          </cell>
          <cell r="E30" t="str">
            <v>F03</v>
          </cell>
        </row>
        <row r="31">
          <cell r="C31">
            <v>1362044</v>
          </cell>
          <cell r="D31">
            <v>0</v>
          </cell>
          <cell r="E31" t="str">
            <v>F03</v>
          </cell>
        </row>
        <row r="32">
          <cell r="C32">
            <v>4502421</v>
          </cell>
          <cell r="D32">
            <v>0</v>
          </cell>
          <cell r="E32" t="str">
            <v>E03</v>
          </cell>
        </row>
        <row r="33">
          <cell r="C33">
            <v>534633</v>
          </cell>
          <cell r="D33">
            <v>0</v>
          </cell>
          <cell r="E33" t="str">
            <v>F03</v>
          </cell>
        </row>
        <row r="34">
          <cell r="C34">
            <v>1721226</v>
          </cell>
          <cell r="D34">
            <v>0</v>
          </cell>
          <cell r="E34" t="str">
            <v>F04</v>
          </cell>
        </row>
        <row r="35">
          <cell r="C35">
            <v>604250</v>
          </cell>
          <cell r="D35">
            <v>0</v>
          </cell>
          <cell r="E35" t="str">
            <v>F04</v>
          </cell>
        </row>
        <row r="36">
          <cell r="C36">
            <v>1221390</v>
          </cell>
          <cell r="D36">
            <v>0</v>
          </cell>
          <cell r="E36" t="str">
            <v>F04</v>
          </cell>
        </row>
        <row r="37">
          <cell r="C37">
            <v>91080</v>
          </cell>
          <cell r="D37">
            <v>0</v>
          </cell>
          <cell r="E37" t="str">
            <v>F04</v>
          </cell>
        </row>
        <row r="38">
          <cell r="C38">
            <v>37950</v>
          </cell>
          <cell r="D38">
            <v>0</v>
          </cell>
          <cell r="E38" t="str">
            <v>F04</v>
          </cell>
        </row>
        <row r="39">
          <cell r="C39">
            <v>152982</v>
          </cell>
          <cell r="D39">
            <v>0</v>
          </cell>
          <cell r="E39" t="str">
            <v>F03</v>
          </cell>
        </row>
        <row r="40">
          <cell r="C40">
            <v>4041500</v>
          </cell>
          <cell r="D40">
            <v>0</v>
          </cell>
          <cell r="E40" t="str">
            <v>E04</v>
          </cell>
        </row>
        <row r="41">
          <cell r="C41">
            <v>78651675</v>
          </cell>
          <cell r="D41">
            <v>0</v>
          </cell>
          <cell r="E41" t="str">
            <v>E04</v>
          </cell>
        </row>
        <row r="42">
          <cell r="C42">
            <v>169380</v>
          </cell>
          <cell r="D42">
            <v>0</v>
          </cell>
          <cell r="E42" t="str">
            <v>E04</v>
          </cell>
        </row>
        <row r="43">
          <cell r="C43">
            <v>500000</v>
          </cell>
          <cell r="D43">
            <v>0</v>
          </cell>
          <cell r="E43" t="str">
            <v>E04</v>
          </cell>
        </row>
        <row r="44">
          <cell r="C44">
            <v>692992</v>
          </cell>
          <cell r="D44">
            <v>0</v>
          </cell>
          <cell r="E44" t="str">
            <v>F03</v>
          </cell>
        </row>
        <row r="45">
          <cell r="C45">
            <v>4034100</v>
          </cell>
          <cell r="D45">
            <v>0</v>
          </cell>
          <cell r="E45" t="str">
            <v>F03</v>
          </cell>
        </row>
        <row r="46">
          <cell r="C46">
            <v>4022785</v>
          </cell>
          <cell r="D46">
            <v>0</v>
          </cell>
          <cell r="E46" t="str">
            <v>F03</v>
          </cell>
        </row>
        <row r="47">
          <cell r="C47">
            <v>80027</v>
          </cell>
          <cell r="D47">
            <v>0</v>
          </cell>
          <cell r="E47" t="str">
            <v>F03</v>
          </cell>
        </row>
        <row r="48">
          <cell r="C48">
            <v>5592220</v>
          </cell>
          <cell r="D48">
            <v>0</v>
          </cell>
          <cell r="E48" t="str">
            <v>F03</v>
          </cell>
        </row>
        <row r="49">
          <cell r="C49">
            <v>815700</v>
          </cell>
          <cell r="D49">
            <v>0</v>
          </cell>
          <cell r="E49" t="str">
            <v>F03</v>
          </cell>
        </row>
        <row r="50">
          <cell r="C50">
            <v>1000000</v>
          </cell>
          <cell r="D50">
            <v>0</v>
          </cell>
          <cell r="E50" t="str">
            <v>F03</v>
          </cell>
        </row>
        <row r="51">
          <cell r="C51">
            <v>10493546</v>
          </cell>
          <cell r="D51">
            <v>0</v>
          </cell>
          <cell r="E51" t="str">
            <v>F03</v>
          </cell>
        </row>
        <row r="52">
          <cell r="C52">
            <v>7425</v>
          </cell>
          <cell r="D52">
            <v>0</v>
          </cell>
          <cell r="E52" t="str">
            <v>F06</v>
          </cell>
        </row>
        <row r="53">
          <cell r="C53">
            <v>634950</v>
          </cell>
          <cell r="D53">
            <v>0</v>
          </cell>
          <cell r="E53" t="str">
            <v>F06</v>
          </cell>
        </row>
        <row r="54">
          <cell r="C54">
            <v>84000000</v>
          </cell>
          <cell r="D54">
            <v>0</v>
          </cell>
          <cell r="E54" t="str">
            <v>F03</v>
          </cell>
        </row>
        <row r="55">
          <cell r="C55">
            <v>1348810</v>
          </cell>
          <cell r="D55">
            <v>0</v>
          </cell>
          <cell r="E55" t="str">
            <v>F03</v>
          </cell>
        </row>
        <row r="56">
          <cell r="C56">
            <v>1434500</v>
          </cell>
          <cell r="D56">
            <v>0</v>
          </cell>
          <cell r="E56" t="str">
            <v>F03</v>
          </cell>
        </row>
        <row r="57">
          <cell r="C57">
            <v>4245000</v>
          </cell>
          <cell r="D57">
            <v>0</v>
          </cell>
          <cell r="E57" t="str">
            <v>F03</v>
          </cell>
        </row>
        <row r="58">
          <cell r="C58">
            <v>92743874</v>
          </cell>
          <cell r="D58">
            <v>0</v>
          </cell>
          <cell r="E58" t="str">
            <v>E06</v>
          </cell>
        </row>
        <row r="59">
          <cell r="C59">
            <v>78999996</v>
          </cell>
          <cell r="D59">
            <v>0</v>
          </cell>
          <cell r="E59" t="str">
            <v>F03</v>
          </cell>
        </row>
        <row r="60">
          <cell r="C60">
            <v>9000</v>
          </cell>
          <cell r="D60">
            <v>0</v>
          </cell>
          <cell r="E60" t="str">
            <v>F03</v>
          </cell>
        </row>
        <row r="61">
          <cell r="C61">
            <v>3906454</v>
          </cell>
          <cell r="D61">
            <v>0</v>
          </cell>
          <cell r="E61" t="str">
            <v>F03</v>
          </cell>
        </row>
        <row r="62">
          <cell r="C62">
            <v>6500000</v>
          </cell>
          <cell r="D62">
            <v>0</v>
          </cell>
          <cell r="E62" t="str">
            <v>F03</v>
          </cell>
        </row>
        <row r="63">
          <cell r="C63">
            <v>600000</v>
          </cell>
          <cell r="D63">
            <v>0</v>
          </cell>
          <cell r="E63" t="str">
            <v>F05</v>
          </cell>
        </row>
        <row r="64">
          <cell r="C64">
            <v>1809670</v>
          </cell>
          <cell r="D64">
            <v>0</v>
          </cell>
          <cell r="E64" t="str">
            <v>F03</v>
          </cell>
        </row>
        <row r="65">
          <cell r="C65">
            <v>1478349</v>
          </cell>
          <cell r="D65">
            <v>0</v>
          </cell>
          <cell r="E65" t="str">
            <v>F03</v>
          </cell>
        </row>
        <row r="66">
          <cell r="C66">
            <v>4407180</v>
          </cell>
          <cell r="D66">
            <v>0</v>
          </cell>
          <cell r="E66" t="str">
            <v>F07</v>
          </cell>
        </row>
        <row r="67">
          <cell r="C67">
            <v>916422</v>
          </cell>
          <cell r="D67">
            <v>0</v>
          </cell>
          <cell r="E67" t="str">
            <v>F06</v>
          </cell>
        </row>
        <row r="68">
          <cell r="C68">
            <v>215143</v>
          </cell>
          <cell r="D68">
            <v>0</v>
          </cell>
          <cell r="E68" t="str">
            <v>F06</v>
          </cell>
        </row>
        <row r="69">
          <cell r="C69">
            <v>197300</v>
          </cell>
          <cell r="D69">
            <v>0</v>
          </cell>
          <cell r="E69" t="str">
            <v>F06</v>
          </cell>
        </row>
        <row r="70">
          <cell r="C70">
            <v>610950</v>
          </cell>
          <cell r="D70">
            <v>0</v>
          </cell>
          <cell r="E70" t="str">
            <v>F06</v>
          </cell>
        </row>
        <row r="71">
          <cell r="C71">
            <v>143432</v>
          </cell>
          <cell r="D71">
            <v>0</v>
          </cell>
          <cell r="E71" t="str">
            <v>F06</v>
          </cell>
        </row>
        <row r="72">
          <cell r="C72">
            <v>131535</v>
          </cell>
          <cell r="D72">
            <v>0</v>
          </cell>
          <cell r="E72" t="str">
            <v>F06</v>
          </cell>
        </row>
        <row r="73">
          <cell r="C73">
            <v>6000</v>
          </cell>
          <cell r="D73">
            <v>0</v>
          </cell>
          <cell r="E73" t="str">
            <v>F07</v>
          </cell>
        </row>
        <row r="74">
          <cell r="C74">
            <v>77450</v>
          </cell>
          <cell r="D74">
            <v>0</v>
          </cell>
          <cell r="E74" t="str">
            <v>F07</v>
          </cell>
        </row>
        <row r="75">
          <cell r="C75">
            <v>50000</v>
          </cell>
          <cell r="D75">
            <v>0</v>
          </cell>
          <cell r="E75" t="str">
            <v>F07</v>
          </cell>
        </row>
        <row r="76">
          <cell r="C76">
            <v>145252</v>
          </cell>
          <cell r="D76">
            <v>0</v>
          </cell>
          <cell r="E76" t="str">
            <v>F07</v>
          </cell>
        </row>
        <row r="77">
          <cell r="C77">
            <v>22999269</v>
          </cell>
          <cell r="D77">
            <v>0</v>
          </cell>
          <cell r="E77" t="str">
            <v>F07</v>
          </cell>
        </row>
        <row r="78">
          <cell r="C78">
            <v>10002</v>
          </cell>
          <cell r="D78">
            <v>0</v>
          </cell>
          <cell r="E78" t="str">
            <v>F07</v>
          </cell>
        </row>
        <row r="79">
          <cell r="C79">
            <v>8308</v>
          </cell>
          <cell r="D79">
            <v>0</v>
          </cell>
          <cell r="E79" t="str">
            <v>F05</v>
          </cell>
        </row>
        <row r="80">
          <cell r="C80">
            <v>5373366</v>
          </cell>
          <cell r="D80">
            <v>0</v>
          </cell>
          <cell r="E80" t="str">
            <v>F05</v>
          </cell>
        </row>
        <row r="81">
          <cell r="C81">
            <v>2080000</v>
          </cell>
          <cell r="D81">
            <v>0</v>
          </cell>
          <cell r="E81" t="str">
            <v>F05</v>
          </cell>
        </row>
        <row r="82">
          <cell r="C82">
            <v>9999996</v>
          </cell>
          <cell r="D82">
            <v>0</v>
          </cell>
          <cell r="E82" t="str">
            <v>G03</v>
          </cell>
        </row>
        <row r="83">
          <cell r="C83">
            <v>1592640</v>
          </cell>
          <cell r="D83">
            <v>0</v>
          </cell>
          <cell r="E83" t="str">
            <v>F06</v>
          </cell>
        </row>
        <row r="84">
          <cell r="C84">
            <v>36563144</v>
          </cell>
          <cell r="D84">
            <v>0</v>
          </cell>
          <cell r="E84" t="str">
            <v>F06</v>
          </cell>
        </row>
        <row r="85">
          <cell r="C85">
            <v>8445881</v>
          </cell>
          <cell r="D85">
            <v>0</v>
          </cell>
          <cell r="E85" t="str">
            <v>F06</v>
          </cell>
        </row>
        <row r="86">
          <cell r="C86">
            <v>7187651</v>
          </cell>
          <cell r="D86">
            <v>0</v>
          </cell>
          <cell r="E86" t="str">
            <v>F06</v>
          </cell>
        </row>
        <row r="87">
          <cell r="C87">
            <v>7500</v>
          </cell>
          <cell r="D87">
            <v>0</v>
          </cell>
          <cell r="E87" t="str">
            <v>F06</v>
          </cell>
        </row>
        <row r="88">
          <cell r="C88">
            <v>2886746</v>
          </cell>
          <cell r="D88">
            <v>0</v>
          </cell>
          <cell r="E88" t="str">
            <v>F06</v>
          </cell>
        </row>
        <row r="89">
          <cell r="C89">
            <v>876751</v>
          </cell>
          <cell r="D89">
            <v>0</v>
          </cell>
          <cell r="E89" t="str">
            <v>F06</v>
          </cell>
        </row>
        <row r="90">
          <cell r="C90">
            <v>100008</v>
          </cell>
          <cell r="D90">
            <v>0</v>
          </cell>
          <cell r="E90" t="str">
            <v>F06</v>
          </cell>
        </row>
        <row r="91">
          <cell r="C91">
            <v>3397288</v>
          </cell>
          <cell r="D91">
            <v>0</v>
          </cell>
          <cell r="E91" t="str">
            <v>F06</v>
          </cell>
        </row>
        <row r="92">
          <cell r="C92">
            <v>895715</v>
          </cell>
          <cell r="D92">
            <v>0</v>
          </cell>
          <cell r="E92" t="str">
            <v>F06</v>
          </cell>
        </row>
        <row r="93">
          <cell r="C93">
            <v>634327</v>
          </cell>
          <cell r="D93">
            <v>0</v>
          </cell>
          <cell r="E93" t="str">
            <v>F06</v>
          </cell>
        </row>
        <row r="94">
          <cell r="C94">
            <v>2114571</v>
          </cell>
          <cell r="D94">
            <v>0</v>
          </cell>
          <cell r="E94" t="str">
            <v>F06</v>
          </cell>
        </row>
        <row r="95">
          <cell r="C95">
            <v>520835</v>
          </cell>
          <cell r="D95">
            <v>0</v>
          </cell>
          <cell r="E95" t="str">
            <v>F06</v>
          </cell>
        </row>
        <row r="96">
          <cell r="C96">
            <v>1251482</v>
          </cell>
          <cell r="D96">
            <v>0</v>
          </cell>
          <cell r="E96" t="str">
            <v>F06</v>
          </cell>
        </row>
        <row r="97">
          <cell r="C97">
            <v>271757</v>
          </cell>
          <cell r="D97">
            <v>0</v>
          </cell>
          <cell r="E97" t="str">
            <v>F06</v>
          </cell>
        </row>
        <row r="98">
          <cell r="C98">
            <v>6284177</v>
          </cell>
          <cell r="D98">
            <v>0</v>
          </cell>
          <cell r="E98" t="str">
            <v>F06</v>
          </cell>
        </row>
        <row r="99">
          <cell r="C99">
            <v>1801486</v>
          </cell>
          <cell r="D99">
            <v>0</v>
          </cell>
          <cell r="E99" t="str">
            <v>F06</v>
          </cell>
        </row>
        <row r="100">
          <cell r="C100">
            <v>3120000</v>
          </cell>
          <cell r="D100">
            <v>0</v>
          </cell>
          <cell r="E100" t="str">
            <v>F06</v>
          </cell>
        </row>
        <row r="101">
          <cell r="C101">
            <v>3979000</v>
          </cell>
          <cell r="D101">
            <v>0</v>
          </cell>
          <cell r="E101" t="str">
            <v>F06</v>
          </cell>
        </row>
        <row r="102">
          <cell r="C102">
            <v>450000</v>
          </cell>
          <cell r="D102">
            <v>0</v>
          </cell>
          <cell r="E102" t="str">
            <v>F06</v>
          </cell>
        </row>
        <row r="103">
          <cell r="C103">
            <v>960000</v>
          </cell>
          <cell r="D103">
            <v>0</v>
          </cell>
          <cell r="E103" t="str">
            <v>F06</v>
          </cell>
        </row>
        <row r="104">
          <cell r="C104">
            <v>3897808</v>
          </cell>
          <cell r="D104">
            <v>0</v>
          </cell>
          <cell r="E104" t="str">
            <v>F06</v>
          </cell>
        </row>
        <row r="105">
          <cell r="C105">
            <v>1352250</v>
          </cell>
          <cell r="D105">
            <v>0</v>
          </cell>
          <cell r="E105" t="str">
            <v>F06</v>
          </cell>
        </row>
        <row r="106">
          <cell r="C106">
            <v>98506</v>
          </cell>
          <cell r="D106">
            <v>0</v>
          </cell>
          <cell r="E106" t="str">
            <v>F06</v>
          </cell>
        </row>
        <row r="107">
          <cell r="C107">
            <v>1423955</v>
          </cell>
          <cell r="D107">
            <v>0</v>
          </cell>
          <cell r="E107" t="str">
            <v>F06</v>
          </cell>
        </row>
        <row r="108">
          <cell r="C108">
            <v>347210</v>
          </cell>
          <cell r="D108">
            <v>0</v>
          </cell>
          <cell r="E108" t="str">
            <v>F06</v>
          </cell>
        </row>
        <row r="109">
          <cell r="C109">
            <v>549752</v>
          </cell>
          <cell r="D109">
            <v>0</v>
          </cell>
          <cell r="E109" t="str">
            <v>F06</v>
          </cell>
        </row>
        <row r="110">
          <cell r="C110">
            <v>4520684</v>
          </cell>
          <cell r="D110">
            <v>0</v>
          </cell>
          <cell r="E110" t="str">
            <v>F06</v>
          </cell>
        </row>
        <row r="111">
          <cell r="C111">
            <v>627248</v>
          </cell>
          <cell r="D111">
            <v>0</v>
          </cell>
          <cell r="E111" t="str">
            <v>F06</v>
          </cell>
        </row>
        <row r="112">
          <cell r="C112">
            <v>252000</v>
          </cell>
          <cell r="D112">
            <v>0</v>
          </cell>
          <cell r="E112" t="str">
            <v>F06</v>
          </cell>
        </row>
        <row r="113">
          <cell r="C113">
            <v>2218207</v>
          </cell>
          <cell r="D113">
            <v>0</v>
          </cell>
          <cell r="E113" t="str">
            <v>F06</v>
          </cell>
        </row>
        <row r="114">
          <cell r="C114">
            <v>376349</v>
          </cell>
          <cell r="D114">
            <v>0</v>
          </cell>
          <cell r="E114" t="str">
            <v>F06</v>
          </cell>
        </row>
        <row r="115">
          <cell r="C115">
            <v>151200</v>
          </cell>
          <cell r="D115">
            <v>0</v>
          </cell>
          <cell r="E115" t="str">
            <v>F06</v>
          </cell>
        </row>
        <row r="116">
          <cell r="C116">
            <v>52495</v>
          </cell>
          <cell r="D116">
            <v>0</v>
          </cell>
          <cell r="E116" t="str">
            <v>F06</v>
          </cell>
        </row>
        <row r="117">
          <cell r="C117">
            <v>602718</v>
          </cell>
          <cell r="D117">
            <v>0</v>
          </cell>
          <cell r="E117" t="str">
            <v>F06</v>
          </cell>
        </row>
        <row r="118">
          <cell r="C118">
            <v>1872000</v>
          </cell>
          <cell r="D118">
            <v>0</v>
          </cell>
          <cell r="E118" t="str">
            <v>F06</v>
          </cell>
        </row>
        <row r="119">
          <cell r="C119">
            <v>450000</v>
          </cell>
          <cell r="D119">
            <v>0</v>
          </cell>
          <cell r="E119" t="str">
            <v>F06</v>
          </cell>
        </row>
        <row r="120">
          <cell r="C120">
            <v>54837</v>
          </cell>
          <cell r="D120">
            <v>0</v>
          </cell>
          <cell r="E120" t="str">
            <v>F06</v>
          </cell>
        </row>
        <row r="121">
          <cell r="C121">
            <v>198204</v>
          </cell>
          <cell r="D121">
            <v>0</v>
          </cell>
          <cell r="E121" t="str">
            <v>F06</v>
          </cell>
        </row>
        <row r="122">
          <cell r="C122">
            <v>2707084</v>
          </cell>
          <cell r="D122">
            <v>0</v>
          </cell>
          <cell r="E122" t="str">
            <v>F06</v>
          </cell>
        </row>
        <row r="123">
          <cell r="C123">
            <v>2205152</v>
          </cell>
          <cell r="D123">
            <v>0</v>
          </cell>
          <cell r="E123" t="str">
            <v>F06</v>
          </cell>
        </row>
        <row r="124">
          <cell r="C124">
            <v>561874</v>
          </cell>
          <cell r="D124">
            <v>0</v>
          </cell>
          <cell r="E124" t="str">
            <v>F06</v>
          </cell>
        </row>
        <row r="125">
          <cell r="C125">
            <v>0</v>
          </cell>
          <cell r="D125">
            <v>40703</v>
          </cell>
          <cell r="E125" t="str">
            <v>F06</v>
          </cell>
        </row>
        <row r="126">
          <cell r="C126">
            <v>882768</v>
          </cell>
          <cell r="D126">
            <v>0</v>
          </cell>
          <cell r="E126" t="str">
            <v>F06</v>
          </cell>
        </row>
        <row r="127">
          <cell r="C127">
            <v>118575</v>
          </cell>
          <cell r="D127">
            <v>0</v>
          </cell>
          <cell r="E127" t="str">
            <v>F06</v>
          </cell>
        </row>
        <row r="128">
          <cell r="C128">
            <v>216616</v>
          </cell>
          <cell r="D128">
            <v>0</v>
          </cell>
          <cell r="E128" t="str">
            <v>F06</v>
          </cell>
        </row>
        <row r="129">
          <cell r="C129">
            <v>1137606</v>
          </cell>
          <cell r="D129">
            <v>0</v>
          </cell>
          <cell r="E129" t="str">
            <v>H01</v>
          </cell>
        </row>
        <row r="130">
          <cell r="C130">
            <v>182134499</v>
          </cell>
          <cell r="D130">
            <v>0</v>
          </cell>
          <cell r="E130" t="str">
            <v>G02</v>
          </cell>
        </row>
        <row r="131">
          <cell r="C131">
            <v>4752000</v>
          </cell>
          <cell r="D131">
            <v>0</v>
          </cell>
          <cell r="E131" t="str">
            <v>G05</v>
          </cell>
        </row>
        <row r="132">
          <cell r="C132">
            <v>0</v>
          </cell>
          <cell r="D132">
            <v>96746675</v>
          </cell>
          <cell r="E132" t="str">
            <v>B01</v>
          </cell>
        </row>
        <row r="133">
          <cell r="C133">
            <v>0</v>
          </cell>
          <cell r="D133">
            <v>3609556660</v>
          </cell>
          <cell r="E133" t="str">
            <v>B01</v>
          </cell>
        </row>
        <row r="134">
          <cell r="C134">
            <v>0</v>
          </cell>
          <cell r="D134">
            <v>1877836</v>
          </cell>
          <cell r="E134" t="str">
            <v>G01</v>
          </cell>
        </row>
        <row r="135">
          <cell r="C135">
            <v>0</v>
          </cell>
          <cell r="D135">
            <v>70000</v>
          </cell>
          <cell r="E135" t="str">
            <v>G01</v>
          </cell>
        </row>
        <row r="136">
          <cell r="C136">
            <v>0</v>
          </cell>
          <cell r="D136">
            <v>10224</v>
          </cell>
          <cell r="E136" t="str">
            <v>G01</v>
          </cell>
        </row>
        <row r="137">
          <cell r="C137">
            <v>2671162704</v>
          </cell>
          <cell r="D137">
            <v>0</v>
          </cell>
          <cell r="E137" t="str">
            <v>C01</v>
          </cell>
        </row>
        <row r="138">
          <cell r="C138">
            <v>1341648</v>
          </cell>
          <cell r="D138">
            <v>0</v>
          </cell>
          <cell r="E138" t="str">
            <v>C01</v>
          </cell>
        </row>
        <row r="139">
          <cell r="C139">
            <v>28145376</v>
          </cell>
          <cell r="D139">
            <v>0</v>
          </cell>
          <cell r="E139" t="str">
            <v>C01</v>
          </cell>
        </row>
        <row r="140">
          <cell r="C140">
            <v>0</v>
          </cell>
          <cell r="D140">
            <v>2760249912</v>
          </cell>
          <cell r="E140" t="str">
            <v>C01</v>
          </cell>
        </row>
        <row r="141">
          <cell r="C141">
            <v>0</v>
          </cell>
          <cell r="D141">
            <v>130391</v>
          </cell>
          <cell r="E141" t="str">
            <v>H02</v>
          </cell>
        </row>
        <row r="142">
          <cell r="C142">
            <v>0</v>
          </cell>
          <cell r="D142">
            <v>31849998</v>
          </cell>
          <cell r="E142" t="str">
            <v>G06</v>
          </cell>
        </row>
        <row r="143">
          <cell r="C143">
            <v>133709576</v>
          </cell>
          <cell r="D143">
            <v>0</v>
          </cell>
          <cell r="E143" t="str">
            <v>I06</v>
          </cell>
        </row>
        <row r="147">
          <cell r="D147">
            <v>0</v>
          </cell>
        </row>
        <row r="149">
          <cell r="C149">
            <v>694813397.9325</v>
          </cell>
          <cell r="E149" t="str">
            <v>B03</v>
          </cell>
        </row>
        <row r="150">
          <cell r="C150">
            <v>36094202.490000002</v>
          </cell>
          <cell r="E150" t="str">
            <v>B03</v>
          </cell>
        </row>
        <row r="151">
          <cell r="D151">
            <v>694813397.9325</v>
          </cell>
          <cell r="E151" t="str">
            <v>B01</v>
          </cell>
        </row>
        <row r="152">
          <cell r="D152">
            <v>36094202.490000002</v>
          </cell>
          <cell r="E152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Ventes_B_07"/>
      <sheetName val="XMQ_BUDGET0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1119869622</v>
          </cell>
          <cell r="D4">
            <v>0</v>
          </cell>
          <cell r="E4" t="str">
            <v>D02</v>
          </cell>
        </row>
        <row r="5">
          <cell r="C5">
            <v>48463426</v>
          </cell>
          <cell r="D5">
            <v>0</v>
          </cell>
          <cell r="E5" t="str">
            <v>D02</v>
          </cell>
        </row>
        <row r="6">
          <cell r="C6">
            <v>927062385</v>
          </cell>
          <cell r="D6">
            <v>0</v>
          </cell>
          <cell r="E6" t="str">
            <v>D03</v>
          </cell>
        </row>
        <row r="7">
          <cell r="C7">
            <v>4488420</v>
          </cell>
          <cell r="D7">
            <v>0</v>
          </cell>
          <cell r="E7" t="str">
            <v>F01</v>
          </cell>
        </row>
        <row r="8">
          <cell r="C8">
            <v>0</v>
          </cell>
          <cell r="D8">
            <v>5823311</v>
          </cell>
          <cell r="E8" t="str">
            <v>D02</v>
          </cell>
        </row>
        <row r="9">
          <cell r="C9">
            <v>0</v>
          </cell>
          <cell r="D9">
            <v>8688950</v>
          </cell>
          <cell r="E9" t="str">
            <v>E03</v>
          </cell>
        </row>
        <row r="10">
          <cell r="C10">
            <v>308378252</v>
          </cell>
          <cell r="D10">
            <v>0</v>
          </cell>
          <cell r="E10" t="str">
            <v>E03</v>
          </cell>
        </row>
        <row r="11">
          <cell r="C11">
            <v>0</v>
          </cell>
          <cell r="D11">
            <v>144482</v>
          </cell>
          <cell r="E11" t="str">
            <v>D06</v>
          </cell>
        </row>
        <row r="12">
          <cell r="C12">
            <v>811000</v>
          </cell>
          <cell r="D12">
            <v>0</v>
          </cell>
          <cell r="E12" t="str">
            <v>F01</v>
          </cell>
        </row>
        <row r="13">
          <cell r="C13">
            <v>16353914</v>
          </cell>
          <cell r="D13">
            <v>0</v>
          </cell>
          <cell r="E13" t="str">
            <v>F01</v>
          </cell>
        </row>
        <row r="14">
          <cell r="C14">
            <v>11871811</v>
          </cell>
          <cell r="D14">
            <v>0</v>
          </cell>
          <cell r="E14" t="str">
            <v>F01</v>
          </cell>
        </row>
        <row r="15">
          <cell r="C15">
            <v>2442543</v>
          </cell>
          <cell r="D15">
            <v>0</v>
          </cell>
          <cell r="E15" t="str">
            <v>F01</v>
          </cell>
        </row>
        <row r="16">
          <cell r="C16">
            <v>344744</v>
          </cell>
          <cell r="D16">
            <v>0</v>
          </cell>
          <cell r="E16" t="str">
            <v>F01</v>
          </cell>
        </row>
        <row r="17">
          <cell r="C17">
            <v>1693248</v>
          </cell>
          <cell r="D17">
            <v>0</v>
          </cell>
          <cell r="E17" t="str">
            <v>D03</v>
          </cell>
        </row>
        <row r="18">
          <cell r="C18">
            <v>150969</v>
          </cell>
          <cell r="D18">
            <v>0</v>
          </cell>
          <cell r="E18" t="str">
            <v>F06</v>
          </cell>
        </row>
        <row r="19">
          <cell r="C19">
            <v>457288640</v>
          </cell>
          <cell r="D19">
            <v>0</v>
          </cell>
          <cell r="E19" t="str">
            <v>D03</v>
          </cell>
        </row>
        <row r="20">
          <cell r="C20">
            <v>2759576</v>
          </cell>
          <cell r="D20">
            <v>0</v>
          </cell>
          <cell r="E20" t="str">
            <v>F06</v>
          </cell>
        </row>
        <row r="21">
          <cell r="C21">
            <v>564400</v>
          </cell>
          <cell r="D21">
            <v>0</v>
          </cell>
          <cell r="E21" t="str">
            <v>F01</v>
          </cell>
        </row>
        <row r="22">
          <cell r="C22">
            <v>9640742</v>
          </cell>
          <cell r="D22">
            <v>0</v>
          </cell>
          <cell r="E22" t="str">
            <v>F01</v>
          </cell>
        </row>
        <row r="23">
          <cell r="C23">
            <v>9654000</v>
          </cell>
          <cell r="D23">
            <v>0</v>
          </cell>
          <cell r="E23" t="str">
            <v>E03</v>
          </cell>
        </row>
        <row r="24">
          <cell r="C24">
            <v>54478436</v>
          </cell>
          <cell r="D24">
            <v>0</v>
          </cell>
          <cell r="E24" t="str">
            <v>F01</v>
          </cell>
        </row>
        <row r="25">
          <cell r="C25">
            <v>152250</v>
          </cell>
          <cell r="D25">
            <v>0</v>
          </cell>
          <cell r="E25" t="str">
            <v>F01</v>
          </cell>
        </row>
        <row r="26">
          <cell r="C26">
            <v>11442291</v>
          </cell>
          <cell r="D26">
            <v>0</v>
          </cell>
          <cell r="E26" t="str">
            <v>F01</v>
          </cell>
        </row>
        <row r="27">
          <cell r="C27">
            <v>7194325</v>
          </cell>
          <cell r="D27">
            <v>0</v>
          </cell>
          <cell r="E27" t="str">
            <v>F06</v>
          </cell>
        </row>
        <row r="28">
          <cell r="C28">
            <v>1012200</v>
          </cell>
          <cell r="D28">
            <v>0</v>
          </cell>
          <cell r="E28" t="str">
            <v>F01</v>
          </cell>
        </row>
        <row r="29">
          <cell r="C29">
            <v>204692148</v>
          </cell>
          <cell r="D29">
            <v>0</v>
          </cell>
          <cell r="E29" t="str">
            <v>D02</v>
          </cell>
        </row>
        <row r="30">
          <cell r="C30">
            <v>11427141</v>
          </cell>
          <cell r="D30">
            <v>0</v>
          </cell>
          <cell r="E30" t="str">
            <v>G01</v>
          </cell>
        </row>
        <row r="31">
          <cell r="C31">
            <v>6952500</v>
          </cell>
          <cell r="D31">
            <v>0</v>
          </cell>
          <cell r="E31" t="str">
            <v>G01</v>
          </cell>
        </row>
        <row r="32">
          <cell r="C32">
            <v>106180324</v>
          </cell>
          <cell r="D32">
            <v>0</v>
          </cell>
          <cell r="E32" t="str">
            <v>G01</v>
          </cell>
        </row>
        <row r="33">
          <cell r="C33">
            <v>1161807621</v>
          </cell>
          <cell r="D33">
            <v>0</v>
          </cell>
          <cell r="E33" t="str">
            <v>G01</v>
          </cell>
        </row>
        <row r="34">
          <cell r="C34">
            <v>812860</v>
          </cell>
          <cell r="D34">
            <v>0</v>
          </cell>
          <cell r="E34" t="str">
            <v>F02</v>
          </cell>
        </row>
        <row r="35">
          <cell r="C35">
            <v>808150</v>
          </cell>
          <cell r="D35">
            <v>0</v>
          </cell>
          <cell r="E35" t="str">
            <v>F02</v>
          </cell>
        </row>
        <row r="36">
          <cell r="C36">
            <v>11539522</v>
          </cell>
          <cell r="D36">
            <v>0</v>
          </cell>
          <cell r="E36" t="str">
            <v>F02</v>
          </cell>
        </row>
        <row r="37">
          <cell r="C37">
            <v>4573267</v>
          </cell>
          <cell r="D37">
            <v>0</v>
          </cell>
          <cell r="E37" t="str">
            <v>F06</v>
          </cell>
        </row>
        <row r="38">
          <cell r="C38">
            <v>2000</v>
          </cell>
          <cell r="D38">
            <v>0</v>
          </cell>
          <cell r="E38" t="str">
            <v>F02</v>
          </cell>
        </row>
        <row r="39">
          <cell r="C39">
            <v>230400</v>
          </cell>
          <cell r="D39">
            <v>0</v>
          </cell>
          <cell r="E39" t="str">
            <v>F02</v>
          </cell>
        </row>
        <row r="40">
          <cell r="C40">
            <v>6335550</v>
          </cell>
          <cell r="D40">
            <v>0</v>
          </cell>
          <cell r="E40" t="str">
            <v>F02</v>
          </cell>
        </row>
        <row r="41">
          <cell r="C41">
            <v>0</v>
          </cell>
          <cell r="D41">
            <v>0</v>
          </cell>
          <cell r="E41" t="str">
            <v>F02</v>
          </cell>
        </row>
        <row r="42">
          <cell r="C42">
            <v>0</v>
          </cell>
          <cell r="D42">
            <v>0</v>
          </cell>
          <cell r="E42" t="str">
            <v>D05</v>
          </cell>
        </row>
        <row r="43">
          <cell r="C43">
            <v>39200</v>
          </cell>
          <cell r="D43">
            <v>0</v>
          </cell>
          <cell r="E43" t="str">
            <v>F02</v>
          </cell>
        </row>
        <row r="44">
          <cell r="C44">
            <v>8000</v>
          </cell>
          <cell r="D44">
            <v>0</v>
          </cell>
          <cell r="E44" t="str">
            <v>F02</v>
          </cell>
        </row>
        <row r="45">
          <cell r="C45">
            <v>94200</v>
          </cell>
          <cell r="D45">
            <v>0</v>
          </cell>
          <cell r="E45" t="str">
            <v>F02</v>
          </cell>
        </row>
        <row r="46">
          <cell r="C46">
            <v>12400</v>
          </cell>
          <cell r="D46">
            <v>0</v>
          </cell>
          <cell r="E46" t="str">
            <v>F02</v>
          </cell>
        </row>
        <row r="47">
          <cell r="C47">
            <v>6055510</v>
          </cell>
          <cell r="D47">
            <v>0</v>
          </cell>
          <cell r="E47" t="str">
            <v>F02</v>
          </cell>
        </row>
        <row r="48">
          <cell r="C48">
            <v>2100000</v>
          </cell>
          <cell r="D48">
            <v>0</v>
          </cell>
          <cell r="E48" t="str">
            <v>F06</v>
          </cell>
        </row>
        <row r="49">
          <cell r="C49">
            <v>400000</v>
          </cell>
          <cell r="D49">
            <v>0</v>
          </cell>
          <cell r="E49" t="str">
            <v>F03</v>
          </cell>
        </row>
        <row r="50">
          <cell r="C50">
            <v>815000</v>
          </cell>
          <cell r="D50">
            <v>0</v>
          </cell>
          <cell r="E50" t="str">
            <v>F03</v>
          </cell>
        </row>
        <row r="51">
          <cell r="C51">
            <v>3882580</v>
          </cell>
          <cell r="D51">
            <v>0</v>
          </cell>
          <cell r="E51" t="str">
            <v>F03</v>
          </cell>
        </row>
        <row r="52">
          <cell r="C52">
            <v>990769</v>
          </cell>
          <cell r="D52">
            <v>0</v>
          </cell>
          <cell r="E52" t="str">
            <v>F03</v>
          </cell>
        </row>
        <row r="53">
          <cell r="C53">
            <v>3019597</v>
          </cell>
          <cell r="D53">
            <v>0</v>
          </cell>
          <cell r="E53" t="str">
            <v>F03</v>
          </cell>
        </row>
        <row r="54">
          <cell r="C54">
            <v>10824320</v>
          </cell>
          <cell r="D54">
            <v>0</v>
          </cell>
          <cell r="E54" t="str">
            <v>E03</v>
          </cell>
        </row>
        <row r="55">
          <cell r="C55">
            <v>3391839</v>
          </cell>
          <cell r="D55">
            <v>0</v>
          </cell>
          <cell r="E55" t="str">
            <v>F03</v>
          </cell>
        </row>
        <row r="56">
          <cell r="C56">
            <v>3471000</v>
          </cell>
          <cell r="D56">
            <v>0</v>
          </cell>
          <cell r="E56" t="str">
            <v>F03</v>
          </cell>
        </row>
        <row r="57">
          <cell r="C57">
            <v>8224534</v>
          </cell>
          <cell r="D57">
            <v>0</v>
          </cell>
          <cell r="E57" t="str">
            <v>F03</v>
          </cell>
        </row>
        <row r="58">
          <cell r="C58">
            <v>454503</v>
          </cell>
          <cell r="D58">
            <v>0</v>
          </cell>
          <cell r="E58" t="str">
            <v>F04</v>
          </cell>
        </row>
        <row r="59">
          <cell r="C59">
            <v>13001569</v>
          </cell>
          <cell r="D59">
            <v>0</v>
          </cell>
          <cell r="E59" t="str">
            <v>F04</v>
          </cell>
        </row>
        <row r="60">
          <cell r="C60">
            <v>139398</v>
          </cell>
          <cell r="D60">
            <v>0</v>
          </cell>
          <cell r="E60" t="str">
            <v>F04</v>
          </cell>
        </row>
        <row r="61">
          <cell r="C61">
            <v>2400128</v>
          </cell>
          <cell r="D61">
            <v>0</v>
          </cell>
          <cell r="E61" t="str">
            <v>F04</v>
          </cell>
        </row>
        <row r="62">
          <cell r="C62">
            <v>9348493</v>
          </cell>
          <cell r="D62">
            <v>0</v>
          </cell>
          <cell r="E62" t="str">
            <v>F04</v>
          </cell>
        </row>
        <row r="63">
          <cell r="C63">
            <v>106260</v>
          </cell>
          <cell r="D63">
            <v>0</v>
          </cell>
          <cell r="E63" t="str">
            <v>F04</v>
          </cell>
        </row>
        <row r="64">
          <cell r="C64">
            <v>55230</v>
          </cell>
          <cell r="D64">
            <v>0</v>
          </cell>
          <cell r="E64" t="str">
            <v>F04</v>
          </cell>
        </row>
        <row r="65">
          <cell r="C65">
            <v>1025416</v>
          </cell>
          <cell r="D65">
            <v>0</v>
          </cell>
          <cell r="E65" t="str">
            <v>F04</v>
          </cell>
        </row>
        <row r="66">
          <cell r="C66">
            <v>4166928</v>
          </cell>
          <cell r="D66">
            <v>0</v>
          </cell>
          <cell r="E66" t="str">
            <v>F05</v>
          </cell>
        </row>
        <row r="67">
          <cell r="C67">
            <v>377506</v>
          </cell>
          <cell r="D67">
            <v>0</v>
          </cell>
          <cell r="E67" t="str">
            <v>F05</v>
          </cell>
        </row>
        <row r="68">
          <cell r="C68">
            <v>366250</v>
          </cell>
          <cell r="D68">
            <v>0</v>
          </cell>
          <cell r="E68" t="str">
            <v>E04</v>
          </cell>
        </row>
        <row r="69">
          <cell r="C69">
            <v>1820216</v>
          </cell>
          <cell r="D69">
            <v>0</v>
          </cell>
          <cell r="E69" t="str">
            <v>F05</v>
          </cell>
        </row>
        <row r="70">
          <cell r="C70">
            <v>3645839</v>
          </cell>
          <cell r="D70">
            <v>0</v>
          </cell>
          <cell r="E70" t="str">
            <v>F03</v>
          </cell>
        </row>
        <row r="71">
          <cell r="C71">
            <v>3379094</v>
          </cell>
          <cell r="D71">
            <v>0</v>
          </cell>
          <cell r="E71" t="str">
            <v>F03</v>
          </cell>
        </row>
        <row r="72">
          <cell r="C72">
            <v>328429</v>
          </cell>
          <cell r="D72">
            <v>0</v>
          </cell>
          <cell r="E72" t="str">
            <v>F03</v>
          </cell>
        </row>
        <row r="73">
          <cell r="C73">
            <v>72680</v>
          </cell>
          <cell r="D73">
            <v>0</v>
          </cell>
          <cell r="E73" t="str">
            <v>F03</v>
          </cell>
        </row>
        <row r="74">
          <cell r="C74">
            <v>1985817</v>
          </cell>
          <cell r="D74">
            <v>0</v>
          </cell>
          <cell r="E74" t="str">
            <v>F03</v>
          </cell>
        </row>
        <row r="75">
          <cell r="C75">
            <v>3519416</v>
          </cell>
          <cell r="D75">
            <v>0</v>
          </cell>
          <cell r="E75" t="str">
            <v>F03</v>
          </cell>
        </row>
        <row r="76">
          <cell r="C76">
            <v>9419444</v>
          </cell>
          <cell r="D76">
            <v>0</v>
          </cell>
          <cell r="E76" t="str">
            <v>F03</v>
          </cell>
        </row>
        <row r="77">
          <cell r="C77">
            <v>928713</v>
          </cell>
          <cell r="D77">
            <v>0</v>
          </cell>
          <cell r="E77" t="str">
            <v>F03</v>
          </cell>
        </row>
        <row r="78">
          <cell r="C78">
            <v>400000</v>
          </cell>
          <cell r="D78">
            <v>0</v>
          </cell>
          <cell r="E78" t="str">
            <v>F03</v>
          </cell>
        </row>
        <row r="79">
          <cell r="C79">
            <v>0</v>
          </cell>
          <cell r="D79">
            <v>36078</v>
          </cell>
          <cell r="E79" t="str">
            <v>F03</v>
          </cell>
        </row>
        <row r="80">
          <cell r="C80">
            <v>2304000</v>
          </cell>
          <cell r="D80">
            <v>0</v>
          </cell>
          <cell r="E80" t="str">
            <v>F03</v>
          </cell>
        </row>
        <row r="81">
          <cell r="C81">
            <v>1683477</v>
          </cell>
          <cell r="D81">
            <v>0</v>
          </cell>
          <cell r="E81" t="str">
            <v>F03</v>
          </cell>
        </row>
        <row r="82">
          <cell r="C82">
            <v>1677000</v>
          </cell>
          <cell r="D82">
            <v>0</v>
          </cell>
          <cell r="E82" t="str">
            <v>F03</v>
          </cell>
        </row>
        <row r="83">
          <cell r="C83">
            <v>13979164</v>
          </cell>
          <cell r="D83">
            <v>0</v>
          </cell>
          <cell r="E83" t="str">
            <v>F03</v>
          </cell>
        </row>
        <row r="84">
          <cell r="C84">
            <v>0</v>
          </cell>
          <cell r="D84">
            <v>0</v>
          </cell>
          <cell r="E84" t="str">
            <v>F06</v>
          </cell>
        </row>
        <row r="85">
          <cell r="C85">
            <v>7702277</v>
          </cell>
          <cell r="D85">
            <v>0</v>
          </cell>
          <cell r="E85" t="str">
            <v>F03</v>
          </cell>
        </row>
        <row r="86">
          <cell r="C86">
            <v>2860000</v>
          </cell>
          <cell r="D86">
            <v>0</v>
          </cell>
          <cell r="E86" t="str">
            <v>F03</v>
          </cell>
        </row>
        <row r="87">
          <cell r="C87">
            <v>5340901</v>
          </cell>
          <cell r="D87">
            <v>0</v>
          </cell>
          <cell r="E87" t="str">
            <v>F03</v>
          </cell>
        </row>
        <row r="88">
          <cell r="C88">
            <v>27877523</v>
          </cell>
          <cell r="D88">
            <v>0</v>
          </cell>
          <cell r="E88" t="str">
            <v>F03</v>
          </cell>
        </row>
        <row r="89">
          <cell r="C89">
            <v>8502550</v>
          </cell>
          <cell r="D89">
            <v>0</v>
          </cell>
          <cell r="E89" t="str">
            <v>F03</v>
          </cell>
        </row>
        <row r="90">
          <cell r="C90">
            <v>348706</v>
          </cell>
          <cell r="D90">
            <v>0</v>
          </cell>
          <cell r="E90" t="str">
            <v>F03</v>
          </cell>
        </row>
        <row r="91">
          <cell r="C91">
            <v>34978952</v>
          </cell>
          <cell r="D91">
            <v>0</v>
          </cell>
          <cell r="E91" t="str">
            <v>F03</v>
          </cell>
        </row>
        <row r="92">
          <cell r="C92">
            <v>70000000</v>
          </cell>
          <cell r="D92">
            <v>0</v>
          </cell>
          <cell r="E92" t="str">
            <v>F03</v>
          </cell>
        </row>
        <row r="93">
          <cell r="C93">
            <v>1023500</v>
          </cell>
          <cell r="D93">
            <v>0</v>
          </cell>
          <cell r="E93" t="str">
            <v>F03</v>
          </cell>
        </row>
        <row r="94">
          <cell r="C94">
            <v>0</v>
          </cell>
          <cell r="D94">
            <v>0</v>
          </cell>
          <cell r="E94" t="str">
            <v>F03</v>
          </cell>
        </row>
        <row r="95">
          <cell r="C95">
            <v>35000000</v>
          </cell>
          <cell r="D95">
            <v>0</v>
          </cell>
          <cell r="E95" t="str">
            <v>F03</v>
          </cell>
        </row>
        <row r="96">
          <cell r="C96">
            <v>8600000</v>
          </cell>
          <cell r="D96">
            <v>0</v>
          </cell>
          <cell r="E96" t="str">
            <v>F03</v>
          </cell>
        </row>
        <row r="97">
          <cell r="C97">
            <v>1741000</v>
          </cell>
          <cell r="D97">
            <v>0</v>
          </cell>
          <cell r="E97" t="str">
            <v>F03</v>
          </cell>
        </row>
        <row r="98">
          <cell r="C98">
            <v>0</v>
          </cell>
          <cell r="D98">
            <v>0</v>
          </cell>
          <cell r="E98" t="str">
            <v>F03</v>
          </cell>
        </row>
        <row r="99">
          <cell r="C99">
            <v>500000</v>
          </cell>
          <cell r="D99">
            <v>0</v>
          </cell>
          <cell r="E99" t="str">
            <v>F05</v>
          </cell>
        </row>
        <row r="100">
          <cell r="C100">
            <v>9218778</v>
          </cell>
          <cell r="D100">
            <v>0</v>
          </cell>
          <cell r="E100" t="str">
            <v>F03</v>
          </cell>
        </row>
        <row r="101">
          <cell r="C101">
            <v>600000</v>
          </cell>
          <cell r="D101">
            <v>0</v>
          </cell>
          <cell r="E101" t="str">
            <v>F03</v>
          </cell>
        </row>
        <row r="102">
          <cell r="C102">
            <v>106550</v>
          </cell>
          <cell r="D102">
            <v>0</v>
          </cell>
          <cell r="E102" t="str">
            <v>F03</v>
          </cell>
        </row>
        <row r="103">
          <cell r="C103">
            <v>4006178</v>
          </cell>
          <cell r="D103">
            <v>0</v>
          </cell>
          <cell r="E103" t="str">
            <v>F03</v>
          </cell>
        </row>
        <row r="104">
          <cell r="C104">
            <v>781000</v>
          </cell>
          <cell r="D104">
            <v>0</v>
          </cell>
          <cell r="E104" t="str">
            <v>F07</v>
          </cell>
        </row>
        <row r="105">
          <cell r="C105">
            <v>7996093</v>
          </cell>
          <cell r="D105">
            <v>0</v>
          </cell>
          <cell r="E105" t="str">
            <v>F07</v>
          </cell>
        </row>
        <row r="106">
          <cell r="C106">
            <v>4054827</v>
          </cell>
          <cell r="D106">
            <v>0</v>
          </cell>
          <cell r="E106" t="str">
            <v>F06</v>
          </cell>
        </row>
        <row r="107">
          <cell r="C107">
            <v>2238935</v>
          </cell>
          <cell r="D107">
            <v>0</v>
          </cell>
          <cell r="E107" t="str">
            <v>F06</v>
          </cell>
        </row>
        <row r="108">
          <cell r="C108">
            <v>1970062</v>
          </cell>
          <cell r="D108">
            <v>0</v>
          </cell>
          <cell r="E108" t="str">
            <v>F06</v>
          </cell>
        </row>
        <row r="109">
          <cell r="C109">
            <v>348664</v>
          </cell>
          <cell r="D109">
            <v>0</v>
          </cell>
          <cell r="E109" t="str">
            <v>F06</v>
          </cell>
        </row>
        <row r="110">
          <cell r="C110">
            <v>2703222</v>
          </cell>
          <cell r="D110">
            <v>0</v>
          </cell>
          <cell r="E110" t="str">
            <v>F06</v>
          </cell>
        </row>
        <row r="111">
          <cell r="C111">
            <v>1492633</v>
          </cell>
          <cell r="D111">
            <v>0</v>
          </cell>
          <cell r="E111" t="str">
            <v>F06</v>
          </cell>
        </row>
        <row r="112">
          <cell r="C112">
            <v>1313376</v>
          </cell>
          <cell r="D112">
            <v>0</v>
          </cell>
          <cell r="E112" t="str">
            <v>F06</v>
          </cell>
        </row>
        <row r="113">
          <cell r="C113">
            <v>232441</v>
          </cell>
          <cell r="D113">
            <v>0</v>
          </cell>
          <cell r="E113" t="str">
            <v>F06</v>
          </cell>
        </row>
        <row r="114">
          <cell r="C114">
            <v>57200</v>
          </cell>
          <cell r="D114">
            <v>0</v>
          </cell>
          <cell r="E114" t="str">
            <v>F07</v>
          </cell>
        </row>
        <row r="115">
          <cell r="C115">
            <v>201850</v>
          </cell>
          <cell r="D115">
            <v>0</v>
          </cell>
          <cell r="E115" t="str">
            <v>F07</v>
          </cell>
        </row>
        <row r="116">
          <cell r="C116">
            <v>93100</v>
          </cell>
          <cell r="D116">
            <v>0</v>
          </cell>
          <cell r="E116" t="str">
            <v>F07</v>
          </cell>
        </row>
        <row r="117">
          <cell r="C117">
            <v>10000</v>
          </cell>
          <cell r="D117">
            <v>0</v>
          </cell>
          <cell r="E117" t="str">
            <v>F07</v>
          </cell>
        </row>
        <row r="118">
          <cell r="C118">
            <v>215000</v>
          </cell>
          <cell r="D118">
            <v>0</v>
          </cell>
          <cell r="E118" t="str">
            <v>F07</v>
          </cell>
        </row>
        <row r="119">
          <cell r="C119">
            <v>28620</v>
          </cell>
          <cell r="D119">
            <v>0</v>
          </cell>
          <cell r="E119" t="str">
            <v>F07</v>
          </cell>
        </row>
        <row r="120">
          <cell r="C120">
            <v>4000</v>
          </cell>
          <cell r="D120">
            <v>0</v>
          </cell>
          <cell r="E120" t="str">
            <v>F05</v>
          </cell>
        </row>
        <row r="121">
          <cell r="C121">
            <v>14567117</v>
          </cell>
          <cell r="D121">
            <v>0</v>
          </cell>
          <cell r="E121" t="str">
            <v>F07</v>
          </cell>
        </row>
        <row r="122">
          <cell r="C122">
            <v>3925951</v>
          </cell>
          <cell r="D122">
            <v>0</v>
          </cell>
          <cell r="E122" t="str">
            <v>F05</v>
          </cell>
        </row>
        <row r="123">
          <cell r="C123">
            <v>528151</v>
          </cell>
          <cell r="D123">
            <v>0</v>
          </cell>
          <cell r="E123" t="str">
            <v>F05</v>
          </cell>
        </row>
        <row r="124">
          <cell r="C124">
            <v>4862101</v>
          </cell>
          <cell r="D124">
            <v>0</v>
          </cell>
          <cell r="E124" t="str">
            <v>F05</v>
          </cell>
        </row>
        <row r="125">
          <cell r="C125">
            <v>1070000</v>
          </cell>
          <cell r="D125">
            <v>0</v>
          </cell>
          <cell r="E125" t="str">
            <v>F05</v>
          </cell>
        </row>
        <row r="126">
          <cell r="C126">
            <v>1600</v>
          </cell>
          <cell r="D126">
            <v>0</v>
          </cell>
          <cell r="E126" t="str">
            <v>F05</v>
          </cell>
        </row>
        <row r="127">
          <cell r="C127">
            <v>59500000</v>
          </cell>
          <cell r="D127">
            <v>0</v>
          </cell>
          <cell r="E127" t="str">
            <v>G03</v>
          </cell>
        </row>
        <row r="128">
          <cell r="C128">
            <v>1050000</v>
          </cell>
          <cell r="D128">
            <v>0</v>
          </cell>
          <cell r="E128" t="str">
            <v>G03</v>
          </cell>
        </row>
        <row r="129">
          <cell r="C129">
            <v>156363661</v>
          </cell>
          <cell r="D129">
            <v>0</v>
          </cell>
          <cell r="E129" t="str">
            <v>F06</v>
          </cell>
        </row>
        <row r="130">
          <cell r="C130">
            <v>85435388</v>
          </cell>
          <cell r="D130">
            <v>0</v>
          </cell>
          <cell r="E130" t="str">
            <v>F06</v>
          </cell>
        </row>
        <row r="131">
          <cell r="C131">
            <v>80292062</v>
          </cell>
          <cell r="D131">
            <v>0</v>
          </cell>
          <cell r="E131" t="str">
            <v>F06</v>
          </cell>
        </row>
        <row r="132">
          <cell r="C132">
            <v>13839211</v>
          </cell>
          <cell r="D132">
            <v>0</v>
          </cell>
          <cell r="E132" t="str">
            <v>F06</v>
          </cell>
        </row>
        <row r="133">
          <cell r="C133">
            <v>9754780</v>
          </cell>
          <cell r="D133">
            <v>0</v>
          </cell>
          <cell r="E133" t="str">
            <v>F06</v>
          </cell>
        </row>
        <row r="134">
          <cell r="C134">
            <v>20959658</v>
          </cell>
          <cell r="D134">
            <v>0</v>
          </cell>
          <cell r="E134" t="str">
            <v>F06</v>
          </cell>
        </row>
        <row r="135">
          <cell r="C135">
            <v>8923807</v>
          </cell>
          <cell r="D135">
            <v>0</v>
          </cell>
          <cell r="E135" t="str">
            <v>F06</v>
          </cell>
        </row>
        <row r="136">
          <cell r="C136">
            <v>8711774</v>
          </cell>
          <cell r="D136">
            <v>0</v>
          </cell>
          <cell r="E136" t="str">
            <v>F06</v>
          </cell>
        </row>
        <row r="137">
          <cell r="C137">
            <v>13699865</v>
          </cell>
          <cell r="D137">
            <v>0</v>
          </cell>
          <cell r="E137" t="str">
            <v>F06</v>
          </cell>
        </row>
        <row r="138">
          <cell r="C138">
            <v>7730883</v>
          </cell>
          <cell r="D138">
            <v>0</v>
          </cell>
          <cell r="E138" t="str">
            <v>F06</v>
          </cell>
        </row>
        <row r="139">
          <cell r="C139">
            <v>11813850</v>
          </cell>
          <cell r="D139">
            <v>0</v>
          </cell>
          <cell r="E139" t="str">
            <v>F06</v>
          </cell>
        </row>
        <row r="140">
          <cell r="C140">
            <v>2090750</v>
          </cell>
          <cell r="D140">
            <v>0</v>
          </cell>
          <cell r="E140" t="str">
            <v>F06</v>
          </cell>
        </row>
        <row r="141">
          <cell r="C141">
            <v>648526</v>
          </cell>
          <cell r="D141">
            <v>0</v>
          </cell>
          <cell r="E141" t="str">
            <v>F06</v>
          </cell>
        </row>
        <row r="142">
          <cell r="C142">
            <v>19796620</v>
          </cell>
          <cell r="D142">
            <v>0</v>
          </cell>
          <cell r="E142" t="str">
            <v>F06</v>
          </cell>
        </row>
        <row r="143">
          <cell r="C143">
            <v>2817545</v>
          </cell>
          <cell r="D143">
            <v>0</v>
          </cell>
          <cell r="E143" t="str">
            <v>F06</v>
          </cell>
        </row>
        <row r="144">
          <cell r="C144">
            <v>23755972</v>
          </cell>
          <cell r="D144">
            <v>0</v>
          </cell>
          <cell r="E144" t="str">
            <v>F06</v>
          </cell>
        </row>
        <row r="145">
          <cell r="C145">
            <v>13860000</v>
          </cell>
          <cell r="D145">
            <v>0</v>
          </cell>
          <cell r="E145" t="str">
            <v>F06</v>
          </cell>
        </row>
        <row r="146">
          <cell r="C146">
            <v>24210000</v>
          </cell>
          <cell r="D146">
            <v>0</v>
          </cell>
          <cell r="E146" t="str">
            <v>F06</v>
          </cell>
        </row>
        <row r="147">
          <cell r="C147">
            <v>15580000</v>
          </cell>
          <cell r="D147">
            <v>0</v>
          </cell>
          <cell r="E147" t="str">
            <v>F06</v>
          </cell>
        </row>
        <row r="148">
          <cell r="C148">
            <v>4407500</v>
          </cell>
          <cell r="D148">
            <v>0</v>
          </cell>
          <cell r="E148" t="str">
            <v>F06</v>
          </cell>
        </row>
        <row r="149">
          <cell r="C149">
            <v>6310000</v>
          </cell>
          <cell r="D149">
            <v>0</v>
          </cell>
          <cell r="E149" t="str">
            <v>F06</v>
          </cell>
        </row>
        <row r="150">
          <cell r="C150">
            <v>630000</v>
          </cell>
          <cell r="D150">
            <v>0</v>
          </cell>
          <cell r="E150" t="str">
            <v>F06</v>
          </cell>
        </row>
        <row r="151">
          <cell r="C151">
            <v>19581292</v>
          </cell>
          <cell r="D151">
            <v>0</v>
          </cell>
          <cell r="E151" t="str">
            <v>F06</v>
          </cell>
        </row>
        <row r="152">
          <cell r="C152">
            <v>14022678</v>
          </cell>
          <cell r="D152">
            <v>0</v>
          </cell>
          <cell r="E152" t="str">
            <v>F06</v>
          </cell>
        </row>
        <row r="153">
          <cell r="C153">
            <v>4347681</v>
          </cell>
          <cell r="D153">
            <v>0</v>
          </cell>
          <cell r="E153" t="str">
            <v>F06</v>
          </cell>
        </row>
        <row r="154">
          <cell r="C154">
            <v>4479152</v>
          </cell>
          <cell r="D154">
            <v>0</v>
          </cell>
          <cell r="E154" t="str">
            <v>F06</v>
          </cell>
        </row>
        <row r="155">
          <cell r="C155">
            <v>6311235</v>
          </cell>
          <cell r="D155">
            <v>0</v>
          </cell>
          <cell r="E155" t="str">
            <v>F06</v>
          </cell>
        </row>
        <row r="156">
          <cell r="C156">
            <v>3598007</v>
          </cell>
          <cell r="D156">
            <v>0</v>
          </cell>
          <cell r="E156" t="str">
            <v>F06</v>
          </cell>
        </row>
        <row r="157">
          <cell r="C157">
            <v>2862672</v>
          </cell>
          <cell r="D157">
            <v>0</v>
          </cell>
          <cell r="E157" t="str">
            <v>F06</v>
          </cell>
        </row>
        <row r="158">
          <cell r="C158">
            <v>16319669</v>
          </cell>
          <cell r="D158">
            <v>0</v>
          </cell>
          <cell r="E158" t="str">
            <v>F06</v>
          </cell>
        </row>
        <row r="159">
          <cell r="C159">
            <v>6158036</v>
          </cell>
          <cell r="D159">
            <v>0</v>
          </cell>
          <cell r="E159" t="str">
            <v>F06</v>
          </cell>
        </row>
        <row r="160">
          <cell r="C160">
            <v>1638000</v>
          </cell>
          <cell r="D160">
            <v>0</v>
          </cell>
          <cell r="E160" t="str">
            <v>F06</v>
          </cell>
        </row>
        <row r="161">
          <cell r="C161">
            <v>9791805</v>
          </cell>
          <cell r="D161">
            <v>0</v>
          </cell>
          <cell r="E161" t="str">
            <v>F06</v>
          </cell>
        </row>
        <row r="162">
          <cell r="C162">
            <v>3694823</v>
          </cell>
          <cell r="D162">
            <v>0</v>
          </cell>
          <cell r="E162" t="str">
            <v>F06</v>
          </cell>
        </row>
        <row r="163">
          <cell r="C163">
            <v>982800</v>
          </cell>
          <cell r="D163">
            <v>0</v>
          </cell>
          <cell r="E163" t="str">
            <v>F06</v>
          </cell>
        </row>
        <row r="164">
          <cell r="C164">
            <v>684078</v>
          </cell>
          <cell r="D164">
            <v>0</v>
          </cell>
          <cell r="E164" t="str">
            <v>F06</v>
          </cell>
        </row>
        <row r="165">
          <cell r="C165">
            <v>235200</v>
          </cell>
          <cell r="D165">
            <v>0</v>
          </cell>
          <cell r="E165" t="str">
            <v>F06</v>
          </cell>
        </row>
        <row r="166">
          <cell r="C166">
            <v>110000</v>
          </cell>
          <cell r="D166">
            <v>0</v>
          </cell>
          <cell r="E166" t="str">
            <v>F06</v>
          </cell>
        </row>
        <row r="167">
          <cell r="C167">
            <v>1152051</v>
          </cell>
          <cell r="D167">
            <v>0</v>
          </cell>
          <cell r="E167" t="str">
            <v>F06</v>
          </cell>
        </row>
        <row r="168">
          <cell r="C168">
            <v>4869944</v>
          </cell>
          <cell r="D168">
            <v>0</v>
          </cell>
          <cell r="E168" t="str">
            <v>F06</v>
          </cell>
        </row>
        <row r="169">
          <cell r="C169">
            <v>8631874</v>
          </cell>
          <cell r="D169">
            <v>0</v>
          </cell>
          <cell r="E169" t="str">
            <v>F06</v>
          </cell>
        </row>
        <row r="170">
          <cell r="C170">
            <v>14000000</v>
          </cell>
          <cell r="D170">
            <v>0</v>
          </cell>
          <cell r="E170" t="str">
            <v>F06</v>
          </cell>
        </row>
        <row r="171">
          <cell r="C171">
            <v>8384000</v>
          </cell>
          <cell r="D171">
            <v>0</v>
          </cell>
          <cell r="E171" t="str">
            <v>F06</v>
          </cell>
        </row>
        <row r="172">
          <cell r="C172">
            <v>4455000</v>
          </cell>
          <cell r="D172">
            <v>0</v>
          </cell>
          <cell r="E172" t="str">
            <v>F06</v>
          </cell>
        </row>
        <row r="173">
          <cell r="C173">
            <v>602659</v>
          </cell>
          <cell r="D173">
            <v>0</v>
          </cell>
          <cell r="E173" t="str">
            <v>F06</v>
          </cell>
        </row>
        <row r="174">
          <cell r="C174">
            <v>2178266</v>
          </cell>
          <cell r="D174">
            <v>0</v>
          </cell>
          <cell r="E174" t="str">
            <v>F06</v>
          </cell>
        </row>
        <row r="175">
          <cell r="C175">
            <v>4697560</v>
          </cell>
          <cell r="D175">
            <v>0</v>
          </cell>
          <cell r="E175" t="str">
            <v>F06</v>
          </cell>
        </row>
        <row r="176">
          <cell r="C176">
            <v>12707003</v>
          </cell>
          <cell r="D176">
            <v>0</v>
          </cell>
          <cell r="E176" t="str">
            <v>F06</v>
          </cell>
        </row>
        <row r="177">
          <cell r="C177">
            <v>9564127</v>
          </cell>
          <cell r="D177">
            <v>0</v>
          </cell>
          <cell r="E177" t="str">
            <v>F06</v>
          </cell>
        </row>
        <row r="178">
          <cell r="C178">
            <v>5266483</v>
          </cell>
          <cell r="D178">
            <v>0</v>
          </cell>
          <cell r="E178" t="str">
            <v>F06</v>
          </cell>
        </row>
        <row r="179">
          <cell r="C179">
            <v>1998502</v>
          </cell>
          <cell r="D179">
            <v>0</v>
          </cell>
          <cell r="E179" t="str">
            <v>F06</v>
          </cell>
        </row>
        <row r="180">
          <cell r="C180">
            <v>440342</v>
          </cell>
          <cell r="D180">
            <v>0</v>
          </cell>
          <cell r="E180" t="str">
            <v>F06</v>
          </cell>
        </row>
        <row r="181">
          <cell r="C181">
            <v>0</v>
          </cell>
          <cell r="D181">
            <v>549221</v>
          </cell>
          <cell r="E181" t="str">
            <v>F06</v>
          </cell>
        </row>
        <row r="182">
          <cell r="C182">
            <v>1679148</v>
          </cell>
          <cell r="D182">
            <v>0</v>
          </cell>
          <cell r="E182" t="str">
            <v>F06</v>
          </cell>
        </row>
        <row r="183">
          <cell r="C183">
            <v>225263</v>
          </cell>
          <cell r="D183">
            <v>0</v>
          </cell>
          <cell r="E183" t="str">
            <v>F06</v>
          </cell>
        </row>
        <row r="184">
          <cell r="C184">
            <v>3909463</v>
          </cell>
          <cell r="D184">
            <v>0</v>
          </cell>
          <cell r="E184" t="str">
            <v>F06</v>
          </cell>
        </row>
        <row r="185">
          <cell r="C185">
            <v>518716</v>
          </cell>
          <cell r="D185">
            <v>0</v>
          </cell>
          <cell r="E185" t="str">
            <v>H01</v>
          </cell>
        </row>
        <row r="186">
          <cell r="C186">
            <v>504037</v>
          </cell>
          <cell r="D186">
            <v>0</v>
          </cell>
          <cell r="E186" t="str">
            <v>H01</v>
          </cell>
        </row>
        <row r="187">
          <cell r="C187">
            <v>3</v>
          </cell>
          <cell r="D187">
            <v>0</v>
          </cell>
          <cell r="E187" t="str">
            <v>H03</v>
          </cell>
        </row>
        <row r="188">
          <cell r="C188">
            <v>550083331</v>
          </cell>
          <cell r="D188">
            <v>0</v>
          </cell>
          <cell r="E188" t="str">
            <v>G02</v>
          </cell>
        </row>
        <row r="189">
          <cell r="C189">
            <v>3712247</v>
          </cell>
          <cell r="D189">
            <v>0</v>
          </cell>
          <cell r="E189" t="str">
            <v>G02</v>
          </cell>
        </row>
        <row r="190">
          <cell r="C190">
            <v>19391223</v>
          </cell>
          <cell r="D190">
            <v>0</v>
          </cell>
          <cell r="E190" t="str">
            <v>G05</v>
          </cell>
        </row>
        <row r="191">
          <cell r="C191">
            <v>0</v>
          </cell>
          <cell r="D191">
            <v>22356375</v>
          </cell>
          <cell r="E191" t="str">
            <v>B01</v>
          </cell>
        </row>
        <row r="192">
          <cell r="C192">
            <v>0</v>
          </cell>
          <cell r="D192">
            <v>276718094</v>
          </cell>
          <cell r="E192" t="str">
            <v>B01</v>
          </cell>
        </row>
        <row r="193">
          <cell r="C193">
            <v>0</v>
          </cell>
          <cell r="D193">
            <v>31911000</v>
          </cell>
          <cell r="E193" t="str">
            <v>B01</v>
          </cell>
        </row>
        <row r="194">
          <cell r="C194">
            <v>451105</v>
          </cell>
          <cell r="D194">
            <v>0</v>
          </cell>
          <cell r="E194" t="str">
            <v>B02</v>
          </cell>
        </row>
        <row r="195">
          <cell r="C195">
            <v>0</v>
          </cell>
          <cell r="D195">
            <v>1135626054</v>
          </cell>
          <cell r="E195" t="str">
            <v>B01</v>
          </cell>
        </row>
        <row r="196">
          <cell r="C196">
            <v>0</v>
          </cell>
          <cell r="D196">
            <v>3530352996</v>
          </cell>
          <cell r="E196" t="str">
            <v>B01</v>
          </cell>
        </row>
        <row r="197">
          <cell r="C197">
            <v>0</v>
          </cell>
          <cell r="D197">
            <v>2541980</v>
          </cell>
          <cell r="E197" t="str">
            <v>G01</v>
          </cell>
        </row>
        <row r="198">
          <cell r="C198">
            <v>0</v>
          </cell>
          <cell r="D198">
            <v>1208173443</v>
          </cell>
          <cell r="E198" t="str">
            <v>G01</v>
          </cell>
        </row>
        <row r="199">
          <cell r="C199">
            <v>0</v>
          </cell>
          <cell r="D199">
            <v>2223320</v>
          </cell>
          <cell r="E199" t="str">
            <v>G01</v>
          </cell>
        </row>
        <row r="200">
          <cell r="C200">
            <v>0</v>
          </cell>
          <cell r="D200">
            <v>3364742</v>
          </cell>
          <cell r="E200" t="str">
            <v>G01</v>
          </cell>
        </row>
        <row r="201">
          <cell r="C201">
            <v>0</v>
          </cell>
          <cell r="D201">
            <v>9329980</v>
          </cell>
          <cell r="E201" t="str">
            <v>G01</v>
          </cell>
        </row>
        <row r="202">
          <cell r="C202">
            <v>0</v>
          </cell>
          <cell r="D202">
            <v>140000</v>
          </cell>
          <cell r="E202" t="str">
            <v>G01</v>
          </cell>
        </row>
        <row r="203">
          <cell r="C203">
            <v>0</v>
          </cell>
          <cell r="D203">
            <v>3197464252</v>
          </cell>
          <cell r="E203" t="str">
            <v>C01</v>
          </cell>
        </row>
        <row r="204">
          <cell r="C204">
            <v>27823494</v>
          </cell>
          <cell r="D204">
            <v>0</v>
          </cell>
          <cell r="E204" t="str">
            <v>C01</v>
          </cell>
        </row>
        <row r="205">
          <cell r="C205">
            <v>0</v>
          </cell>
          <cell r="D205">
            <v>504937580</v>
          </cell>
          <cell r="E205" t="str">
            <v>C01</v>
          </cell>
        </row>
        <row r="206">
          <cell r="C206">
            <v>14445693</v>
          </cell>
          <cell r="D206">
            <v>0</v>
          </cell>
          <cell r="E206" t="str">
            <v>C01</v>
          </cell>
        </row>
        <row r="207">
          <cell r="C207">
            <v>3649095203</v>
          </cell>
          <cell r="D207">
            <v>0</v>
          </cell>
          <cell r="E207" t="str">
            <v>C01</v>
          </cell>
        </row>
        <row r="208">
          <cell r="C208">
            <v>489241152</v>
          </cell>
          <cell r="D208">
            <v>0</v>
          </cell>
          <cell r="E208" t="str">
            <v>C01</v>
          </cell>
        </row>
        <row r="209">
          <cell r="C209">
            <v>0</v>
          </cell>
          <cell r="D209">
            <v>2486851</v>
          </cell>
          <cell r="E209" t="str">
            <v>G01</v>
          </cell>
        </row>
        <row r="210">
          <cell r="C210">
            <v>0</v>
          </cell>
          <cell r="D210">
            <v>11666669</v>
          </cell>
          <cell r="E210" t="str">
            <v>G04</v>
          </cell>
        </row>
        <row r="211">
          <cell r="C211">
            <v>0</v>
          </cell>
          <cell r="D211">
            <v>0</v>
          </cell>
          <cell r="E211" t="str">
            <v>G06</v>
          </cell>
        </row>
        <row r="212">
          <cell r="C212">
            <v>0</v>
          </cell>
          <cell r="D212">
            <v>13708333</v>
          </cell>
          <cell r="E212" t="str">
            <v>H02</v>
          </cell>
        </row>
        <row r="213">
          <cell r="C213">
            <v>0</v>
          </cell>
          <cell r="D213">
            <v>787110</v>
          </cell>
          <cell r="E213" t="str">
            <v>H02</v>
          </cell>
        </row>
        <row r="214">
          <cell r="C214">
            <v>0</v>
          </cell>
          <cell r="D214">
            <v>1222172</v>
          </cell>
          <cell r="E214" t="str">
            <v>H02</v>
          </cell>
        </row>
        <row r="215">
          <cell r="C215">
            <v>0</v>
          </cell>
          <cell r="D215">
            <v>78899521</v>
          </cell>
          <cell r="E215" t="str">
            <v>E03</v>
          </cell>
        </row>
        <row r="216">
          <cell r="C216">
            <v>0</v>
          </cell>
          <cell r="D216">
            <v>3722066</v>
          </cell>
          <cell r="E216" t="str">
            <v>F01</v>
          </cell>
        </row>
        <row r="217">
          <cell r="C217">
            <v>0</v>
          </cell>
          <cell r="D217">
            <v>37872047</v>
          </cell>
          <cell r="E217" t="str">
            <v>F03</v>
          </cell>
        </row>
        <row r="218">
          <cell r="C218">
            <v>0</v>
          </cell>
          <cell r="D218">
            <v>0</v>
          </cell>
          <cell r="E218" t="str">
            <v>F06</v>
          </cell>
        </row>
        <row r="219">
          <cell r="C219">
            <v>0</v>
          </cell>
          <cell r="D219">
            <v>2605760</v>
          </cell>
          <cell r="E219" t="str">
            <v>G01</v>
          </cell>
        </row>
        <row r="220">
          <cell r="C220">
            <v>0</v>
          </cell>
          <cell r="D220">
            <v>14567117</v>
          </cell>
          <cell r="E220" t="str">
            <v>F07</v>
          </cell>
        </row>
        <row r="222">
          <cell r="C222">
            <v>10425522323</v>
          </cell>
          <cell r="D222">
            <v>10107919504</v>
          </cell>
        </row>
        <row r="224">
          <cell r="D224">
            <v>317602819</v>
          </cell>
        </row>
        <row r="226">
          <cell r="C226">
            <v>276356544</v>
          </cell>
          <cell r="D226">
            <v>0</v>
          </cell>
          <cell r="E226" t="str">
            <v>B03</v>
          </cell>
        </row>
        <row r="227">
          <cell r="D227">
            <v>276356544</v>
          </cell>
          <cell r="E227" t="str">
            <v>B01</v>
          </cell>
        </row>
        <row r="228">
          <cell r="C228">
            <v>131670</v>
          </cell>
          <cell r="D228">
            <v>0</v>
          </cell>
          <cell r="E228" t="str">
            <v>B03</v>
          </cell>
        </row>
        <row r="229">
          <cell r="D229">
            <v>131670</v>
          </cell>
          <cell r="E229" t="str">
            <v>B01</v>
          </cell>
        </row>
        <row r="230">
          <cell r="C230">
            <v>68445155.669</v>
          </cell>
          <cell r="E230" t="str">
            <v>I06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"/>
      <sheetName val="Eqar TCCC."/>
      <sheetName val="Daur TCCC."/>
      <sheetName val="Cve TCCC."/>
      <sheetName val="Gam TCCC."/>
      <sheetName val="Gui TCCC."/>
      <sheetName val="GuB TCCC."/>
      <sheetName val="GuE TCCC."/>
      <sheetName val="Mta TCCC."/>
      <sheetName val="NDau TCCC."/>
      <sheetName val="Gha TCCC."/>
      <sheetName val="Lib TCCC."/>
      <sheetName val="Stp TCCC."/>
      <sheetName val="Sle TCCC."/>
      <sheetName val="Acc"/>
      <sheetName val="Bal_XMQ"/>
      <sheetName val="RdM_ITS"/>
      <sheetName val="Eqar_TCCC_"/>
      <sheetName val="Daur_TCCC_"/>
      <sheetName val="Cve_TCCC_"/>
      <sheetName val="Gam_TCCC_"/>
      <sheetName val="Gui_TCCC_"/>
      <sheetName val="GuB_TCCC_"/>
      <sheetName val="GuE_TCCC_"/>
      <sheetName val="Mta_TCCC_"/>
      <sheetName val="NDau_TCCC_"/>
      <sheetName val="Gha_TCCC_"/>
      <sheetName val="Lib_TCCC_"/>
      <sheetName val="Stp_TCCC_"/>
      <sheetName val="Sle_TCCC_"/>
      <sheetName val="Eqar_TCCC_1"/>
      <sheetName val="Daur_TCCC_1"/>
      <sheetName val="Cve_TCCC_1"/>
      <sheetName val="Gam_TCCC_1"/>
      <sheetName val="Gui_TCCC_1"/>
      <sheetName val="GuB_TCCC_1"/>
      <sheetName val="GuE_TCCC_1"/>
      <sheetName val="Mta_TCCC_1"/>
      <sheetName val="NDau_TCCC_1"/>
      <sheetName val="Gha_TCCC_1"/>
      <sheetName val="Lib_TCCC_1"/>
      <sheetName val="Stp_TCCC_1"/>
      <sheetName val="Sle_TCCC_1"/>
    </sheetNames>
    <sheetDataSet>
      <sheetData sheetId="0" refreshError="1"/>
      <sheetData sheetId="1" refreshError="1">
        <row r="53">
          <cell r="I53" t="str">
            <v>Colnum</v>
          </cell>
          <cell r="J53" t="str">
            <v>Countries</v>
          </cell>
          <cell r="K53" t="str">
            <v>Abreviation</v>
          </cell>
          <cell r="L53" t="str">
            <v>BrandLab</v>
          </cell>
          <cell r="M53" t="str">
            <v>AnList</v>
          </cell>
          <cell r="N53" t="str">
            <v>ColumnList</v>
          </cell>
          <cell r="O53" t="str">
            <v>Country</v>
          </cell>
          <cell r="P53" t="str">
            <v>Country</v>
          </cell>
          <cell r="Q53" t="str">
            <v>Longueur</v>
          </cell>
          <cell r="R53" t="str">
            <v>Pres1</v>
          </cell>
          <cell r="S53" t="str">
            <v>Pres2</v>
          </cell>
          <cell r="T53" t="str">
            <v>Pres3</v>
          </cell>
          <cell r="U53" t="str">
            <v>C1</v>
          </cell>
          <cell r="W53" t="str">
            <v>C2</v>
          </cell>
          <cell r="X53" t="str">
            <v>C3</v>
          </cell>
          <cell r="Y53" t="str">
            <v>Nombre</v>
          </cell>
          <cell r="Z53" t="str">
            <v>Brand</v>
          </cell>
          <cell r="AA53" t="str">
            <v>Countrys</v>
          </cell>
        </row>
        <row r="54">
          <cell r="A54">
            <v>10</v>
          </cell>
          <cell r="H54">
            <v>1</v>
          </cell>
          <cell r="I54">
            <v>13</v>
          </cell>
          <cell r="J54" t="str">
            <v>Sierra Leone</v>
          </cell>
          <cell r="K54" t="str">
            <v>Sle</v>
          </cell>
          <cell r="L54" t="str">
            <v>OthKO</v>
          </cell>
          <cell r="M54">
            <v>94</v>
          </cell>
          <cell r="N54">
            <v>2</v>
          </cell>
          <cell r="O54">
            <v>12</v>
          </cell>
          <cell r="Z54" t="str">
            <v>Local</v>
          </cell>
          <cell r="AA54" t="str">
            <v>Sie</v>
          </cell>
        </row>
        <row r="55">
          <cell r="H55">
            <v>2</v>
          </cell>
          <cell r="I55">
            <v>12</v>
          </cell>
          <cell r="J55" t="str">
            <v>Sao Tome &amp; Principe</v>
          </cell>
          <cell r="K55" t="str">
            <v>Stp</v>
          </cell>
          <cell r="L55" t="str">
            <v>Krest</v>
          </cell>
          <cell r="M55">
            <v>95</v>
          </cell>
          <cell r="N55">
            <v>5</v>
          </cell>
          <cell r="O55">
            <v>19</v>
          </cell>
          <cell r="Z55" t="str">
            <v>OthKO</v>
          </cell>
          <cell r="AA55" t="str">
            <v>Sao</v>
          </cell>
        </row>
        <row r="56">
          <cell r="A56">
            <v>35727</v>
          </cell>
          <cell r="H56">
            <v>3</v>
          </cell>
          <cell r="I56">
            <v>10</v>
          </cell>
          <cell r="J56" t="str">
            <v>Liberia</v>
          </cell>
          <cell r="K56" t="str">
            <v>Lib</v>
          </cell>
          <cell r="L56" t="str">
            <v>Fanta</v>
          </cell>
          <cell r="M56">
            <v>96</v>
          </cell>
          <cell r="N56">
            <v>7</v>
          </cell>
          <cell r="O56">
            <v>7</v>
          </cell>
          <cell r="Z56" t="str">
            <v>Krest</v>
          </cell>
          <cell r="AA56" t="str">
            <v>Lib</v>
          </cell>
        </row>
        <row r="57">
          <cell r="H57">
            <v>4</v>
          </cell>
          <cell r="I57">
            <v>6</v>
          </cell>
          <cell r="J57" t="str">
            <v>Ghana</v>
          </cell>
          <cell r="K57" t="str">
            <v>Gha</v>
          </cell>
          <cell r="L57" t="str">
            <v>Sprite</v>
          </cell>
          <cell r="M57" t="str">
            <v>97bgt</v>
          </cell>
          <cell r="N57">
            <v>11</v>
          </cell>
          <cell r="O57">
            <v>5</v>
          </cell>
          <cell r="Z57" t="str">
            <v>Fanta</v>
          </cell>
          <cell r="AA57" t="str">
            <v>Gha</v>
          </cell>
        </row>
        <row r="58">
          <cell r="H58">
            <v>5</v>
          </cell>
          <cell r="I58">
            <v>14</v>
          </cell>
          <cell r="J58" t="str">
            <v>Non Daurella</v>
          </cell>
          <cell r="K58" t="str">
            <v>NDau</v>
          </cell>
          <cell r="L58" t="str">
            <v>Coke</v>
          </cell>
          <cell r="M58" t="str">
            <v>97pre</v>
          </cell>
          <cell r="N58">
            <v>13</v>
          </cell>
          <cell r="O58">
            <v>12</v>
          </cell>
          <cell r="Z58" t="str">
            <v>Sprite</v>
          </cell>
          <cell r="AA58" t="str">
            <v>Non</v>
          </cell>
        </row>
        <row r="59">
          <cell r="H59">
            <v>6</v>
          </cell>
          <cell r="I59">
            <v>11</v>
          </cell>
          <cell r="J59" t="str">
            <v>Mauritania</v>
          </cell>
          <cell r="K59" t="str">
            <v>Mta</v>
          </cell>
          <cell r="L59" t="str">
            <v>TCCC</v>
          </cell>
          <cell r="M59">
            <v>97</v>
          </cell>
          <cell r="N59">
            <v>15</v>
          </cell>
          <cell r="O59">
            <v>10</v>
          </cell>
          <cell r="Z59" t="str">
            <v>Coke</v>
          </cell>
          <cell r="AA59" t="str">
            <v>Mau</v>
          </cell>
        </row>
        <row r="60">
          <cell r="A60">
            <v>1</v>
          </cell>
          <cell r="H60">
            <v>7</v>
          </cell>
          <cell r="I60">
            <v>9</v>
          </cell>
          <cell r="J60" t="str">
            <v>Guinea Equatorial</v>
          </cell>
          <cell r="K60" t="str">
            <v>GuE</v>
          </cell>
          <cell r="M60" t="str">
            <v>98obp</v>
          </cell>
          <cell r="N60">
            <v>23</v>
          </cell>
          <cell r="O60">
            <v>17</v>
          </cell>
          <cell r="Z60" t="str">
            <v>TCCC</v>
          </cell>
          <cell r="AA60" t="str">
            <v>Gui</v>
          </cell>
        </row>
        <row r="61">
          <cell r="H61">
            <v>8</v>
          </cell>
          <cell r="I61">
            <v>8</v>
          </cell>
          <cell r="J61" t="str">
            <v>Guinea Bissau</v>
          </cell>
          <cell r="K61" t="str">
            <v>GuB</v>
          </cell>
          <cell r="M61">
            <v>98</v>
          </cell>
          <cell r="N61">
            <v>24</v>
          </cell>
          <cell r="O61">
            <v>13</v>
          </cell>
          <cell r="AA61" t="str">
            <v>Gui</v>
          </cell>
        </row>
        <row r="62">
          <cell r="H62">
            <v>9</v>
          </cell>
          <cell r="I62">
            <v>7</v>
          </cell>
          <cell r="J62" t="str">
            <v>Guinea</v>
          </cell>
          <cell r="K62" t="str">
            <v>Gui</v>
          </cell>
          <cell r="O62">
            <v>6</v>
          </cell>
          <cell r="AA62" t="str">
            <v>Gui</v>
          </cell>
        </row>
        <row r="63">
          <cell r="H63">
            <v>10</v>
          </cell>
          <cell r="I63">
            <v>5</v>
          </cell>
          <cell r="J63" t="str">
            <v>Gambia</v>
          </cell>
          <cell r="K63" t="str">
            <v>Gam</v>
          </cell>
          <cell r="O63">
            <v>6</v>
          </cell>
          <cell r="AA63" t="str">
            <v>Gam</v>
          </cell>
        </row>
        <row r="64">
          <cell r="H64">
            <v>11</v>
          </cell>
          <cell r="I64">
            <v>4</v>
          </cell>
          <cell r="J64" t="str">
            <v>Cape Verde</v>
          </cell>
          <cell r="K64" t="str">
            <v>Cve</v>
          </cell>
          <cell r="O64">
            <v>10</v>
          </cell>
          <cell r="AA64" t="str">
            <v>Cap</v>
          </cell>
        </row>
        <row r="65">
          <cell r="H65">
            <v>12</v>
          </cell>
          <cell r="I65">
            <v>15</v>
          </cell>
          <cell r="J65" t="str">
            <v>Daurella Group</v>
          </cell>
          <cell r="K65" t="str">
            <v>Daur</v>
          </cell>
          <cell r="O65">
            <v>14</v>
          </cell>
          <cell r="AA65" t="str">
            <v>Dau</v>
          </cell>
        </row>
        <row r="66">
          <cell r="H66">
            <v>13</v>
          </cell>
          <cell r="I66">
            <v>3</v>
          </cell>
          <cell r="J66" t="str">
            <v>Equatorial Africa Region</v>
          </cell>
          <cell r="K66" t="str">
            <v>Eqar</v>
          </cell>
          <cell r="O66">
            <v>24</v>
          </cell>
          <cell r="AA66" t="str">
            <v>Equ</v>
          </cell>
        </row>
        <row r="67">
          <cell r="O67" t="str">
            <v/>
          </cell>
          <cell r="AA67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NFO"/>
      <sheetName val="BAP"/>
      <sheetName val="Commande"/>
      <sheetName val="FG 2007"/>
      <sheetName val="FG 4000"/>
      <sheetName val="SYNTH FG 4000"/>
      <sheetName val="FG 4050"/>
      <sheetName val="SYNTH FG 4050"/>
      <sheetName val="Urgences"/>
      <sheetName val="SIMHL"/>
    </sheetNames>
    <sheetDataSet>
      <sheetData sheetId="0" refreshError="1">
        <row r="1">
          <cell r="E1" t="str">
            <v>FPF</v>
          </cell>
          <cell r="F1" t="str">
            <v>DATE</v>
          </cell>
          <cell r="G1" t="str">
            <v>LIV</v>
          </cell>
          <cell r="H1" t="str">
            <v>DESCRIPTION</v>
          </cell>
          <cell r="I1" t="str">
            <v>FRN</v>
          </cell>
          <cell r="J1" t="str">
            <v>USI</v>
          </cell>
          <cell r="K1" t="str">
            <v>COUT</v>
          </cell>
          <cell r="L1" t="str">
            <v>DEV</v>
          </cell>
          <cell r="M1" t="str">
            <v>IMPUT</v>
          </cell>
        </row>
        <row r="2">
          <cell r="E2" t="str">
            <v/>
          </cell>
          <cell r="F2">
            <v>37148</v>
          </cell>
          <cell r="G2">
            <v>37161</v>
          </cell>
          <cell r="H2" t="str">
            <v>2 Splits system salle dégustation</v>
          </cell>
          <cell r="I2" t="str">
            <v>CMC</v>
          </cell>
          <cell r="J2" t="str">
            <v>01</v>
          </cell>
          <cell r="K2">
            <v>2194600</v>
          </cell>
          <cell r="L2" t="str">
            <v>CFA</v>
          </cell>
        </row>
        <row r="3">
          <cell r="E3" t="str">
            <v>316560</v>
          </cell>
          <cell r="F3">
            <v>35419</v>
          </cell>
          <cell r="H3" t="str">
            <v>Ouvrage "Manual of good practice" Vol 2</v>
          </cell>
          <cell r="I3" t="str">
            <v>EBC</v>
          </cell>
          <cell r="J3" t="str">
            <v>01</v>
          </cell>
          <cell r="K3">
            <v>1368.32</v>
          </cell>
          <cell r="L3" t="str">
            <v>FRF</v>
          </cell>
          <cell r="M3" t="str">
            <v>2201</v>
          </cell>
        </row>
        <row r="4">
          <cell r="G4">
            <v>35655</v>
          </cell>
          <cell r="H4" t="str">
            <v>3 Appareils point de bulle</v>
          </cell>
          <cell r="I4" t="str">
            <v>TPF</v>
          </cell>
          <cell r="J4" t="str">
            <v>01</v>
          </cell>
          <cell r="K4">
            <v>9650.4</v>
          </cell>
          <cell r="L4" t="str">
            <v>FRF</v>
          </cell>
          <cell r="M4" t="str">
            <v>2100</v>
          </cell>
        </row>
        <row r="5">
          <cell r="E5" t="str">
            <v>318834</v>
          </cell>
          <cell r="F5">
            <v>35681</v>
          </cell>
          <cell r="G5">
            <v>35832</v>
          </cell>
          <cell r="H5" t="str">
            <v>Mesureur d'épaisseur de bouteilles</v>
          </cell>
          <cell r="I5" t="str">
            <v>SFN</v>
          </cell>
          <cell r="J5" t="str">
            <v>01</v>
          </cell>
          <cell r="K5">
            <v>94845</v>
          </cell>
          <cell r="L5" t="str">
            <v>FRF</v>
          </cell>
          <cell r="M5" t="str">
            <v>04SE</v>
          </cell>
        </row>
        <row r="6">
          <cell r="G6">
            <v>37895</v>
          </cell>
          <cell r="H6" t="str">
            <v>Fourniture/Pose Climatiseur Bureau M. BONA</v>
          </cell>
          <cell r="I6" t="str">
            <v>FRC</v>
          </cell>
          <cell r="J6" t="str">
            <v>01</v>
          </cell>
          <cell r="K6">
            <v>346629</v>
          </cell>
          <cell r="L6" t="str">
            <v>CFA</v>
          </cell>
          <cell r="M6" t="str">
            <v>0XT000</v>
          </cell>
        </row>
        <row r="7">
          <cell r="E7">
            <v>40884</v>
          </cell>
          <cell r="F7">
            <v>38230</v>
          </cell>
          <cell r="H7" t="str">
            <v>Circuit intégré TEA3717DP (8)</v>
          </cell>
          <cell r="I7" t="str">
            <v>CAMCI</v>
          </cell>
          <cell r="J7" t="str">
            <v>01</v>
          </cell>
          <cell r="K7">
            <v>52360</v>
          </cell>
          <cell r="L7" t="str">
            <v>CFA</v>
          </cell>
          <cell r="M7" t="str">
            <v>2000</v>
          </cell>
        </row>
        <row r="8">
          <cell r="G8">
            <v>38142</v>
          </cell>
          <cell r="H8" t="str">
            <v>Flash memories, Bombes</v>
          </cell>
          <cell r="I8" t="str">
            <v>AFR</v>
          </cell>
          <cell r="J8" t="str">
            <v>01</v>
          </cell>
          <cell r="M8" t="str">
            <v>2100</v>
          </cell>
        </row>
        <row r="9">
          <cell r="E9" t="str">
            <v>75484</v>
          </cell>
          <cell r="F9">
            <v>38537</v>
          </cell>
          <cell r="G9">
            <v>38622</v>
          </cell>
          <cell r="H9" t="str">
            <v>Débitmètre à lecture directe Gilmont</v>
          </cell>
          <cell r="I9" t="str">
            <v>BBL</v>
          </cell>
          <cell r="J9" t="str">
            <v>11</v>
          </cell>
          <cell r="K9">
            <v>3206.31</v>
          </cell>
          <cell r="L9" t="str">
            <v>EUR</v>
          </cell>
          <cell r="M9" t="str">
            <v>US011</v>
          </cell>
        </row>
        <row r="10">
          <cell r="H10" t="str">
            <v>Désinsectiseur</v>
          </cell>
          <cell r="I10" t="str">
            <v>HUM</v>
          </cell>
          <cell r="J10" t="str">
            <v>01</v>
          </cell>
          <cell r="M10" t="str">
            <v>2100</v>
          </cell>
        </row>
        <row r="11">
          <cell r="E11" t="str">
            <v>85649</v>
          </cell>
          <cell r="F11">
            <v>38899</v>
          </cell>
          <cell r="G11">
            <v>38940</v>
          </cell>
          <cell r="H11" t="str">
            <v>Eosine G, Y, B, etc.</v>
          </cell>
          <cell r="I11" t="str">
            <v>VWR</v>
          </cell>
          <cell r="J11" t="str">
            <v>01</v>
          </cell>
          <cell r="K11">
            <v>466.86</v>
          </cell>
          <cell r="L11" t="str">
            <v>EUR</v>
          </cell>
          <cell r="M11" t="str">
            <v>2100</v>
          </cell>
        </row>
        <row r="12">
          <cell r="E12" t="str">
            <v>27414</v>
          </cell>
          <cell r="F12">
            <v>39036</v>
          </cell>
          <cell r="H12" t="str">
            <v>Remise ligne téléphonique salle de dégustation 334</v>
          </cell>
          <cell r="I12" t="str">
            <v>LOC</v>
          </cell>
          <cell r="J12" t="str">
            <v>01</v>
          </cell>
          <cell r="K12">
            <v>121448</v>
          </cell>
          <cell r="L12" t="str">
            <v>CFA</v>
          </cell>
          <cell r="M12" t="str">
            <v>3300</v>
          </cell>
        </row>
        <row r="13">
          <cell r="E13" t="str">
            <v>10128</v>
          </cell>
          <cell r="F13">
            <v>39036</v>
          </cell>
          <cell r="I13" t="str">
            <v>LOC</v>
          </cell>
          <cell r="J13" t="str">
            <v>01</v>
          </cell>
          <cell r="K13">
            <v>121448</v>
          </cell>
          <cell r="L13" t="str">
            <v>CFA</v>
          </cell>
          <cell r="M13" t="str">
            <v>3300</v>
          </cell>
        </row>
        <row r="14">
          <cell r="H14" t="str">
            <v>Inolab pH ; Conductimètre Symphony ; Balance 0,01 g ; AGM</v>
          </cell>
          <cell r="I14" t="str">
            <v>VWR</v>
          </cell>
          <cell r="J14" t="str">
            <v>SEMC</v>
          </cell>
          <cell r="M14" t="str">
            <v>FVT011</v>
          </cell>
        </row>
        <row r="15">
          <cell r="H15" t="str">
            <v>Food chemicals codex (5th ed.)</v>
          </cell>
          <cell r="I15" t="str">
            <v>LAV</v>
          </cell>
          <cell r="J15" t="str">
            <v>01</v>
          </cell>
          <cell r="M15" t="str">
            <v>2201</v>
          </cell>
        </row>
        <row r="16">
          <cell r="H16" t="str">
            <v>Presoclave 75, autoclave</v>
          </cell>
          <cell r="I16" t="str">
            <v>RGS</v>
          </cell>
          <cell r="J16" t="str">
            <v>13</v>
          </cell>
          <cell r="M16" t="str">
            <v>FV055</v>
          </cell>
        </row>
        <row r="17">
          <cell r="H17" t="str">
            <v>Enregistreurs Ebro pour étuves at autoclaves</v>
          </cell>
          <cell r="I17" t="str">
            <v>EBI</v>
          </cell>
          <cell r="J17" t="str">
            <v>01</v>
          </cell>
          <cell r="M17" t="str">
            <v>FV053</v>
          </cell>
        </row>
        <row r="18">
          <cell r="H18" t="str">
            <v>FermentoStar, analyseur de bières</v>
          </cell>
          <cell r="I18" t="str">
            <v>GRB</v>
          </cell>
          <cell r="J18" t="str">
            <v>01</v>
          </cell>
          <cell r="M18" t="str">
            <v>FV041</v>
          </cell>
        </row>
        <row r="19">
          <cell r="H19" t="str">
            <v>PBA Packaged Beverage Analyser</v>
          </cell>
          <cell r="I19" t="str">
            <v>PAA</v>
          </cell>
          <cell r="J19" t="str">
            <v>01</v>
          </cell>
          <cell r="M19" t="str">
            <v>FV041</v>
          </cell>
        </row>
        <row r="20">
          <cell r="H20" t="str">
            <v>Cellule conductimétrique K # 0,85 (3)</v>
          </cell>
          <cell r="I20" t="str">
            <v>RDM</v>
          </cell>
          <cell r="J20" t="str">
            <v>01</v>
          </cell>
          <cell r="M20" t="str">
            <v>2100</v>
          </cell>
        </row>
        <row r="21">
          <cell r="E21" t="str">
            <v>98668</v>
          </cell>
          <cell r="F21">
            <v>39245</v>
          </cell>
          <cell r="H21" t="str">
            <v>Ebulliomètre Dujardin Salleron (2)</v>
          </cell>
          <cell r="I21" t="str">
            <v>DJS</v>
          </cell>
          <cell r="J21" t="str">
            <v>01</v>
          </cell>
          <cell r="K21">
            <v>2263.6799999999998</v>
          </cell>
          <cell r="L21" t="str">
            <v>EUR</v>
          </cell>
          <cell r="M21" t="str">
            <v>2000</v>
          </cell>
        </row>
        <row r="22">
          <cell r="H22" t="str">
            <v>Microbiologie pratique pour le laboratoire (1)</v>
          </cell>
          <cell r="I22" t="str">
            <v>LAV</v>
          </cell>
          <cell r="J22" t="str">
            <v>01</v>
          </cell>
          <cell r="M22" t="str">
            <v>2201</v>
          </cell>
        </row>
        <row r="23">
          <cell r="E23" t="str">
            <v>33403/O</v>
          </cell>
          <cell r="F23">
            <v>39304</v>
          </cell>
          <cell r="H23" t="str">
            <v>Burette de Claude (4)</v>
          </cell>
          <cell r="I23" t="str">
            <v>GLX</v>
          </cell>
          <cell r="J23" t="str">
            <v>01</v>
          </cell>
          <cell r="K23">
            <v>642.6</v>
          </cell>
          <cell r="L23" t="str">
            <v>EUR</v>
          </cell>
          <cell r="M23" t="str">
            <v>2000</v>
          </cell>
        </row>
        <row r="24">
          <cell r="E24" t="str">
            <v>100745</v>
          </cell>
          <cell r="F24">
            <v>39304</v>
          </cell>
          <cell r="H24" t="str">
            <v>CD-ROM Codex Alimentarius (1)</v>
          </cell>
          <cell r="I24" t="str">
            <v>PED</v>
          </cell>
          <cell r="J24" t="str">
            <v>01</v>
          </cell>
          <cell r="K24">
            <v>3524.29</v>
          </cell>
          <cell r="L24" t="str">
            <v>EUR</v>
          </cell>
          <cell r="M24" t="str">
            <v>2201</v>
          </cell>
        </row>
        <row r="25">
          <cell r="H25" t="str">
            <v>Colorimètre DR/890 ; Kits réactifs Cu ; Test AQ Cu</v>
          </cell>
          <cell r="I25" t="str">
            <v>VWR</v>
          </cell>
          <cell r="J25" t="str">
            <v>01</v>
          </cell>
          <cell r="M25" t="str">
            <v>2000</v>
          </cell>
        </row>
        <row r="26">
          <cell r="E26" t="str">
            <v>100664</v>
          </cell>
          <cell r="F26">
            <v>39302</v>
          </cell>
          <cell r="H26" t="str">
            <v>EBC-Publications</v>
          </cell>
          <cell r="I26" t="str">
            <v>FHC</v>
          </cell>
          <cell r="J26" t="str">
            <v>01</v>
          </cell>
          <cell r="K26">
            <v>4171.3500000000004</v>
          </cell>
          <cell r="L26" t="str">
            <v>EUR</v>
          </cell>
          <cell r="M26" t="str">
            <v>2201</v>
          </cell>
        </row>
        <row r="27">
          <cell r="E27" t="str">
            <v>96256</v>
          </cell>
          <cell r="F27">
            <v>39189</v>
          </cell>
          <cell r="H27" t="str">
            <v>MeOH ; Tubes DCO ; éprouvettes 100 ml ; gants antichaleur</v>
          </cell>
          <cell r="I27" t="str">
            <v>VWR</v>
          </cell>
          <cell r="J27" t="str">
            <v>01</v>
          </cell>
          <cell r="K27">
            <v>6482.34</v>
          </cell>
          <cell r="L27" t="str">
            <v>EUR</v>
          </cell>
          <cell r="M27" t="str">
            <v>2100</v>
          </cell>
        </row>
        <row r="28">
          <cell r="E28" t="str">
            <v>97208</v>
          </cell>
          <cell r="F28">
            <v>39205</v>
          </cell>
          <cell r="H28" t="str">
            <v>Réactifs manganèse ; ferrozine ; matériels de labo</v>
          </cell>
          <cell r="I28" t="str">
            <v>VWR</v>
          </cell>
          <cell r="J28" t="str">
            <v>SEMC</v>
          </cell>
          <cell r="K28">
            <v>2605</v>
          </cell>
          <cell r="L28" t="str">
            <v>EUR</v>
          </cell>
          <cell r="M28" t="str">
            <v>2100</v>
          </cell>
        </row>
        <row r="29">
          <cell r="E29" t="str">
            <v>95880</v>
          </cell>
          <cell r="F29">
            <v>39170</v>
          </cell>
          <cell r="G29">
            <v>39227</v>
          </cell>
          <cell r="H29" t="str">
            <v>Cellule DMA 38</v>
          </cell>
          <cell r="I29" t="str">
            <v>PAA</v>
          </cell>
          <cell r="J29" t="str">
            <v>01</v>
          </cell>
          <cell r="K29">
            <v>1990.53</v>
          </cell>
          <cell r="L29" t="str">
            <v>EUR</v>
          </cell>
          <cell r="M29" t="str">
            <v>2000</v>
          </cell>
        </row>
        <row r="30">
          <cell r="E30" t="str">
            <v>100578</v>
          </cell>
          <cell r="F30">
            <v>39300</v>
          </cell>
          <cell r="H30" t="str">
            <v>TTC 0,07% ; T7 0,2 % ; TTC 0,2 %</v>
          </cell>
          <cell r="I30" t="str">
            <v>DPA</v>
          </cell>
          <cell r="J30" t="str">
            <v>01</v>
          </cell>
          <cell r="K30">
            <v>6658.78</v>
          </cell>
          <cell r="L30" t="str">
            <v>EUR</v>
          </cell>
          <cell r="M30" t="str">
            <v>2100</v>
          </cell>
        </row>
        <row r="31">
          <cell r="E31" t="str">
            <v>95856</v>
          </cell>
          <cell r="F31">
            <v>39169</v>
          </cell>
          <cell r="H31" t="str">
            <v>Genbox (60)</v>
          </cell>
          <cell r="I31" t="str">
            <v>BIO</v>
          </cell>
          <cell r="J31" t="str">
            <v>01</v>
          </cell>
          <cell r="K31">
            <v>1346.67</v>
          </cell>
          <cell r="L31" t="str">
            <v>EUR</v>
          </cell>
          <cell r="M31" t="str">
            <v>2000</v>
          </cell>
        </row>
        <row r="32">
          <cell r="E32" t="str">
            <v>95874</v>
          </cell>
          <cell r="F32">
            <v>39171</v>
          </cell>
          <cell r="H32" t="str">
            <v>Rechanges Zahm</v>
          </cell>
          <cell r="I32" t="str">
            <v>CRB</v>
          </cell>
          <cell r="J32" t="str">
            <v>01</v>
          </cell>
          <cell r="K32">
            <v>81165.820000000007</v>
          </cell>
          <cell r="L32" t="str">
            <v>EUR</v>
          </cell>
          <cell r="M32" t="str">
            <v>3392</v>
          </cell>
        </row>
        <row r="33">
          <cell r="E33" t="str">
            <v>97498</v>
          </cell>
          <cell r="F33">
            <v>39211</v>
          </cell>
          <cell r="H33" t="str">
            <v>Digox 6</v>
          </cell>
          <cell r="I33" t="str">
            <v>SVT</v>
          </cell>
          <cell r="J33" t="str">
            <v>01</v>
          </cell>
          <cell r="K33">
            <v>14011.73</v>
          </cell>
          <cell r="L33" t="str">
            <v>EUR</v>
          </cell>
          <cell r="M33" t="str">
            <v>FV042</v>
          </cell>
        </row>
        <row r="34">
          <cell r="H34" t="str">
            <v>NVR-8,0 Kit</v>
          </cell>
          <cell r="I34" t="str">
            <v>ALI</v>
          </cell>
          <cell r="J34" t="str">
            <v>01</v>
          </cell>
          <cell r="M34" t="str">
            <v>FV045</v>
          </cell>
        </row>
        <row r="35">
          <cell r="E35" t="str">
            <v>96019</v>
          </cell>
          <cell r="F35">
            <v>39174</v>
          </cell>
          <cell r="G35">
            <v>39206</v>
          </cell>
          <cell r="H35" t="str">
            <v>Inolab pH ; Conductimètre Symphony ; AGM (2)</v>
          </cell>
          <cell r="I35" t="str">
            <v>VWR</v>
          </cell>
          <cell r="J35" t="str">
            <v>SEMC</v>
          </cell>
          <cell r="K35">
            <v>3432.47</v>
          </cell>
          <cell r="L35" t="str">
            <v>EUR</v>
          </cell>
          <cell r="M35" t="str">
            <v>FVT011</v>
          </cell>
        </row>
        <row r="36">
          <cell r="E36" t="str">
            <v>95753</v>
          </cell>
          <cell r="F36">
            <v>39170</v>
          </cell>
          <cell r="H36" t="str">
            <v>Flacons SVL</v>
          </cell>
          <cell r="I36" t="str">
            <v>HUM</v>
          </cell>
          <cell r="J36" t="str">
            <v>01</v>
          </cell>
          <cell r="K36">
            <v>5098.2</v>
          </cell>
          <cell r="L36" t="str">
            <v>EUR</v>
          </cell>
          <cell r="M36" t="str">
            <v>2201</v>
          </cell>
        </row>
        <row r="37">
          <cell r="E37" t="str">
            <v>95753</v>
          </cell>
          <cell r="F37">
            <v>39170</v>
          </cell>
          <cell r="H37" t="str">
            <v>Tubes DCO</v>
          </cell>
          <cell r="I37" t="str">
            <v>HUM</v>
          </cell>
          <cell r="J37" t="str">
            <v>01</v>
          </cell>
          <cell r="K37">
            <v>9475.74</v>
          </cell>
          <cell r="L37" t="str">
            <v>EUR</v>
          </cell>
          <cell r="M37" t="str">
            <v>FV055</v>
          </cell>
        </row>
        <row r="38">
          <cell r="E38" t="str">
            <v>33268/O</v>
          </cell>
          <cell r="F38">
            <v>39288</v>
          </cell>
          <cell r="H38" t="str">
            <v>Comparateur Minolta (1) CGN</v>
          </cell>
          <cell r="I38" t="str">
            <v>KMN</v>
          </cell>
          <cell r="J38" t="str">
            <v>01</v>
          </cell>
          <cell r="K38">
            <v>28622.59</v>
          </cell>
          <cell r="L38" t="str">
            <v>EUR</v>
          </cell>
          <cell r="M38" t="str">
            <v>FV059</v>
          </cell>
        </row>
        <row r="39">
          <cell r="E39" t="str">
            <v>97126</v>
          </cell>
          <cell r="F39">
            <v>39203</v>
          </cell>
          <cell r="H39" t="str">
            <v>Jauge de force 200 N</v>
          </cell>
          <cell r="I39" t="str">
            <v>BBL</v>
          </cell>
          <cell r="J39" t="str">
            <v>01</v>
          </cell>
          <cell r="K39">
            <v>696.15</v>
          </cell>
          <cell r="L39" t="str">
            <v>EUR</v>
          </cell>
          <cell r="M39" t="str">
            <v>FV041</v>
          </cell>
        </row>
        <row r="40">
          <cell r="E40" t="str">
            <v>97126</v>
          </cell>
          <cell r="F40">
            <v>39203</v>
          </cell>
          <cell r="H40" t="str">
            <v>Plateau de pesée antivibratoires en inox</v>
          </cell>
          <cell r="I40" t="str">
            <v>BBL</v>
          </cell>
          <cell r="J40" t="str">
            <v>01</v>
          </cell>
          <cell r="K40">
            <v>1968.33</v>
          </cell>
          <cell r="L40" t="str">
            <v>EUR</v>
          </cell>
          <cell r="M40" t="str">
            <v>FV041</v>
          </cell>
        </row>
        <row r="41">
          <cell r="E41" t="str">
            <v>97126</v>
          </cell>
          <cell r="F41">
            <v>39203</v>
          </cell>
          <cell r="H41" t="str">
            <v>Etuve ventilée Thermocenter 40 L ; étagère filaire</v>
          </cell>
          <cell r="I41" t="str">
            <v>BBL</v>
          </cell>
          <cell r="J41" t="str">
            <v>01</v>
          </cell>
          <cell r="K41">
            <v>2054.33</v>
          </cell>
          <cell r="L41" t="str">
            <v>EUR</v>
          </cell>
          <cell r="M41" t="str">
            <v>SEMC</v>
          </cell>
        </row>
        <row r="42">
          <cell r="E42" t="str">
            <v>96014</v>
          </cell>
          <cell r="F42">
            <v>39174</v>
          </cell>
          <cell r="G42">
            <v>39317</v>
          </cell>
          <cell r="H42" t="str">
            <v>Nibem P,T (1)</v>
          </cell>
          <cell r="I42" t="str">
            <v>SVT</v>
          </cell>
          <cell r="J42" t="str">
            <v>01</v>
          </cell>
          <cell r="K42">
            <v>13699.95</v>
          </cell>
          <cell r="L42" t="str">
            <v>EUR</v>
          </cell>
          <cell r="M42" t="str">
            <v>FV052</v>
          </cell>
        </row>
        <row r="43">
          <cell r="E43" t="str">
            <v>96011</v>
          </cell>
          <cell r="F43">
            <v>39174</v>
          </cell>
          <cell r="G43">
            <v>39227</v>
          </cell>
          <cell r="H43" t="str">
            <v>Testeur de filtres  MKII</v>
          </cell>
          <cell r="I43" t="str">
            <v>CPM</v>
          </cell>
          <cell r="J43" t="str">
            <v>01</v>
          </cell>
          <cell r="K43">
            <v>4975.6499999999996</v>
          </cell>
          <cell r="L43" t="str">
            <v>EUR</v>
          </cell>
          <cell r="M43" t="str">
            <v>2201</v>
          </cell>
        </row>
        <row r="44">
          <cell r="E44" t="str">
            <v>96021</v>
          </cell>
          <cell r="F44">
            <v>39188</v>
          </cell>
          <cell r="G44">
            <v>39295</v>
          </cell>
          <cell r="H44" t="str">
            <v>Turbidimètre IR Vos "4010"</v>
          </cell>
          <cell r="I44" t="str">
            <v>VOS</v>
          </cell>
          <cell r="J44" t="str">
            <v>01</v>
          </cell>
          <cell r="K44">
            <v>8401.4</v>
          </cell>
          <cell r="L44" t="str">
            <v>EUR</v>
          </cell>
          <cell r="M44" t="str">
            <v>FV050</v>
          </cell>
        </row>
        <row r="45">
          <cell r="E45" t="str">
            <v>96017</v>
          </cell>
          <cell r="F45">
            <v>39184</v>
          </cell>
          <cell r="H45" t="str">
            <v>Hotte à flux f(air laminaire</v>
          </cell>
          <cell r="I45" t="str">
            <v>BBL</v>
          </cell>
          <cell r="J45" t="str">
            <v>01</v>
          </cell>
          <cell r="K45">
            <v>4504.8</v>
          </cell>
          <cell r="L45" t="str">
            <v>EUR</v>
          </cell>
          <cell r="M45" t="str">
            <v>FV048</v>
          </cell>
        </row>
        <row r="46">
          <cell r="E46" t="str">
            <v>100044</v>
          </cell>
          <cell r="F46">
            <v>39288</v>
          </cell>
          <cell r="G46">
            <v>39335</v>
          </cell>
          <cell r="H46" t="str">
            <v>Hotte d'aspiration Filtair 623</v>
          </cell>
          <cell r="I46" t="str">
            <v>BBL</v>
          </cell>
          <cell r="J46" t="str">
            <v>01</v>
          </cell>
          <cell r="K46">
            <v>9088.2000000000007</v>
          </cell>
          <cell r="L46" t="str">
            <v>EUR</v>
          </cell>
          <cell r="M46" t="str">
            <v>FV049</v>
          </cell>
        </row>
        <row r="47">
          <cell r="E47" t="str">
            <v>98575</v>
          </cell>
          <cell r="F47">
            <v>39301</v>
          </cell>
          <cell r="H47" t="str">
            <v>Etuve bactériologique type INE 800 (2)</v>
          </cell>
          <cell r="I47" t="str">
            <v>HUM</v>
          </cell>
          <cell r="J47" t="str">
            <v>01</v>
          </cell>
          <cell r="K47">
            <v>897.24</v>
          </cell>
          <cell r="L47" t="str">
            <v>EUR</v>
          </cell>
          <cell r="M47" t="str">
            <v>FV047</v>
          </cell>
        </row>
        <row r="48">
          <cell r="E48" t="str">
            <v>98576</v>
          </cell>
          <cell r="F48">
            <v>39271</v>
          </cell>
          <cell r="G48">
            <v>39275</v>
          </cell>
          <cell r="H48" t="str">
            <v>Colorimètre Lovibond 3000</v>
          </cell>
          <cell r="I48" t="str">
            <v>CIF</v>
          </cell>
          <cell r="J48" t="str">
            <v>01</v>
          </cell>
          <cell r="M48" t="str">
            <v>FV044</v>
          </cell>
        </row>
        <row r="49">
          <cell r="E49" t="str">
            <v>96256</v>
          </cell>
          <cell r="F49">
            <v>39189</v>
          </cell>
          <cell r="H49" t="str">
            <v>Balance mettler Toledo 0,1 mg (1)</v>
          </cell>
          <cell r="I49" t="str">
            <v>MTL</v>
          </cell>
          <cell r="J49" t="str">
            <v>01</v>
          </cell>
          <cell r="K49">
            <v>6482.34</v>
          </cell>
          <cell r="L49" t="str">
            <v>EUR</v>
          </cell>
          <cell r="M49" t="str">
            <v>FV043</v>
          </cell>
        </row>
        <row r="50">
          <cell r="E50" t="str">
            <v>94752</v>
          </cell>
          <cell r="F50">
            <v>39143</v>
          </cell>
          <cell r="G50">
            <v>39227</v>
          </cell>
          <cell r="H50" t="str">
            <v>Réactifs manganèse ; ferrozine ; matériels de labo</v>
          </cell>
          <cell r="I50" t="str">
            <v>VWR</v>
          </cell>
          <cell r="J50" t="str">
            <v>SEMC</v>
          </cell>
          <cell r="K50">
            <v>10123.16</v>
          </cell>
          <cell r="L50" t="str">
            <v>EUR</v>
          </cell>
          <cell r="M50" t="str">
            <v>2100</v>
          </cell>
        </row>
        <row r="51">
          <cell r="E51" t="str">
            <v>94606</v>
          </cell>
          <cell r="F51">
            <v>39140</v>
          </cell>
          <cell r="G51">
            <v>39227</v>
          </cell>
          <cell r="H51" t="str">
            <v>Lampes Xénon (4), Cartes détecteur (4) pour Jenway</v>
          </cell>
          <cell r="I51" t="str">
            <v>HLS</v>
          </cell>
          <cell r="J51" t="str">
            <v>01</v>
          </cell>
          <cell r="K51">
            <v>6693.93</v>
          </cell>
          <cell r="L51" t="str">
            <v>EUR</v>
          </cell>
          <cell r="M51" t="str">
            <v>2000</v>
          </cell>
        </row>
        <row r="52">
          <cell r="E52" t="str">
            <v>95339</v>
          </cell>
          <cell r="F52">
            <v>39162</v>
          </cell>
          <cell r="G52">
            <v>39206</v>
          </cell>
          <cell r="H52" t="str">
            <v>TTC 0,07% ; T7 0,2 % ; TTC 0,2 %</v>
          </cell>
          <cell r="I52" t="str">
            <v>DPA</v>
          </cell>
          <cell r="J52" t="str">
            <v>01</v>
          </cell>
          <cell r="K52">
            <v>1399.5</v>
          </cell>
          <cell r="L52" t="str">
            <v>EUR</v>
          </cell>
          <cell r="M52" t="str">
            <v>2100</v>
          </cell>
        </row>
        <row r="53">
          <cell r="E53" t="str">
            <v>94905</v>
          </cell>
          <cell r="F53">
            <v>39150</v>
          </cell>
          <cell r="G53">
            <v>39317</v>
          </cell>
          <cell r="H53" t="str">
            <v>Résistances et joints de fermetures autoclaves</v>
          </cell>
          <cell r="I53" t="str">
            <v>LQX</v>
          </cell>
          <cell r="J53" t="str">
            <v>01</v>
          </cell>
          <cell r="K53">
            <v>3236.91</v>
          </cell>
          <cell r="L53" t="str">
            <v>EUR</v>
          </cell>
          <cell r="M53" t="str">
            <v>2000</v>
          </cell>
        </row>
        <row r="54">
          <cell r="E54" t="str">
            <v>94908</v>
          </cell>
          <cell r="F54">
            <v>39150</v>
          </cell>
          <cell r="G54">
            <v>39261</v>
          </cell>
          <cell r="H54" t="str">
            <v>Résistance et joints de fermetures autoclaves</v>
          </cell>
          <cell r="I54" t="str">
            <v>LQX</v>
          </cell>
          <cell r="J54" t="str">
            <v>SEMC</v>
          </cell>
          <cell r="K54">
            <v>1029.19</v>
          </cell>
          <cell r="L54" t="str">
            <v>EUR</v>
          </cell>
          <cell r="M54" t="str">
            <v>SEMC</v>
          </cell>
        </row>
        <row r="55">
          <cell r="E55" t="str">
            <v>94889</v>
          </cell>
          <cell r="F55">
            <v>39155</v>
          </cell>
          <cell r="G55">
            <v>39295</v>
          </cell>
          <cell r="H55" t="str">
            <v>Matériels et produits de laboratoire</v>
          </cell>
          <cell r="I55" t="str">
            <v>VWR</v>
          </cell>
          <cell r="J55" t="str">
            <v>01</v>
          </cell>
          <cell r="K55">
            <v>11303</v>
          </cell>
          <cell r="L55" t="str">
            <v>EUR</v>
          </cell>
          <cell r="M55" t="str">
            <v>2000</v>
          </cell>
        </row>
        <row r="56">
          <cell r="H56" t="str">
            <v>Rubans imprimantes 1000 series, cartouches et Godets alcolyser</v>
          </cell>
          <cell r="I56" t="str">
            <v>PAA</v>
          </cell>
          <cell r="J56" t="str">
            <v>01</v>
          </cell>
          <cell r="M56" t="str">
            <v>2000</v>
          </cell>
        </row>
        <row r="57">
          <cell r="E57" t="str">
            <v>94685</v>
          </cell>
          <cell r="F57">
            <v>39149</v>
          </cell>
          <cell r="G57">
            <v>39206</v>
          </cell>
          <cell r="H57" t="str">
            <v>Disques chlore et ozone, cuvettes 10 ml</v>
          </cell>
          <cell r="I57" t="str">
            <v>CIF</v>
          </cell>
          <cell r="J57" t="str">
            <v>01</v>
          </cell>
          <cell r="K57">
            <v>2100</v>
          </cell>
          <cell r="L57" t="str">
            <v>EUR</v>
          </cell>
          <cell r="M57" t="str">
            <v>2000</v>
          </cell>
        </row>
        <row r="58">
          <cell r="E58" t="str">
            <v>10297</v>
          </cell>
          <cell r="F58">
            <v>39114</v>
          </cell>
          <cell r="G58">
            <v>39267</v>
          </cell>
          <cell r="H58" t="str">
            <v>Membranes stériles 0,45 µm, 20 x 1000</v>
          </cell>
          <cell r="I58" t="str">
            <v>STR</v>
          </cell>
          <cell r="J58" t="str">
            <v>SEMC</v>
          </cell>
          <cell r="K58">
            <v>4124.3225000000002</v>
          </cell>
          <cell r="L58" t="str">
            <v>EUR</v>
          </cell>
          <cell r="M58" t="str">
            <v>SEMC</v>
          </cell>
        </row>
        <row r="59">
          <cell r="E59" t="str">
            <v>95753</v>
          </cell>
          <cell r="F59">
            <v>39170</v>
          </cell>
          <cell r="G59">
            <v>39267</v>
          </cell>
          <cell r="H59" t="str">
            <v>Membranes stériles 0,45 µm, 40 x 1000</v>
          </cell>
          <cell r="I59" t="str">
            <v>STR</v>
          </cell>
          <cell r="J59" t="str">
            <v>01</v>
          </cell>
          <cell r="K59">
            <v>6324.85</v>
          </cell>
          <cell r="L59" t="str">
            <v>EUR</v>
          </cell>
          <cell r="M59" t="str">
            <v>2000</v>
          </cell>
        </row>
        <row r="60">
          <cell r="E60" t="str">
            <v>30796/O</v>
          </cell>
          <cell r="F60">
            <v>39115</v>
          </cell>
          <cell r="H60" t="str">
            <v>Termamyl (4 x 250 ml) + San Super (1 x  50 ml)</v>
          </cell>
          <cell r="I60" t="str">
            <v>NVO</v>
          </cell>
          <cell r="J60" t="str">
            <v>01</v>
          </cell>
          <cell r="K60">
            <v>539.29999999999995</v>
          </cell>
          <cell r="L60" t="str">
            <v>EUR</v>
          </cell>
          <cell r="M60" t="str">
            <v>FV059</v>
          </cell>
        </row>
        <row r="61">
          <cell r="E61" t="str">
            <v>96016</v>
          </cell>
          <cell r="F61">
            <v>39183</v>
          </cell>
          <cell r="G61">
            <v>39317</v>
          </cell>
          <cell r="H61" t="str">
            <v>Computerised Mash Apparatus 220 V, 4 containers</v>
          </cell>
          <cell r="I61" t="str">
            <v>B&amp;H</v>
          </cell>
          <cell r="J61" t="str">
            <v>06</v>
          </cell>
          <cell r="K61">
            <v>13913.25</v>
          </cell>
          <cell r="L61" t="str">
            <v>EUR</v>
          </cell>
          <cell r="M61" t="str">
            <v>FV046</v>
          </cell>
        </row>
        <row r="62">
          <cell r="E62" t="str">
            <v>96018</v>
          </cell>
          <cell r="F62">
            <v>39174</v>
          </cell>
          <cell r="G62">
            <v>39244</v>
          </cell>
          <cell r="H62" t="str">
            <v>Plateau de pesée antivibratoires en inox</v>
          </cell>
          <cell r="I62" t="str">
            <v>BBL</v>
          </cell>
          <cell r="J62" t="str">
            <v>01</v>
          </cell>
          <cell r="K62">
            <v>1968.33</v>
          </cell>
          <cell r="L62" t="str">
            <v>EUR</v>
          </cell>
          <cell r="M62" t="str">
            <v>FV 056</v>
          </cell>
        </row>
        <row r="63">
          <cell r="E63" t="str">
            <v>96377</v>
          </cell>
          <cell r="F63">
            <v>39185</v>
          </cell>
          <cell r="G63">
            <v>39317</v>
          </cell>
          <cell r="H63" t="str">
            <v>Alcolyser (1)</v>
          </cell>
          <cell r="I63" t="str">
            <v>PAA</v>
          </cell>
          <cell r="J63" t="str">
            <v>11</v>
          </cell>
          <cell r="K63">
            <v>23945.95</v>
          </cell>
          <cell r="L63" t="str">
            <v>EUR</v>
          </cell>
          <cell r="M63" t="str">
            <v>FV040</v>
          </cell>
        </row>
        <row r="64">
          <cell r="E64" t="str">
            <v>93208</v>
          </cell>
          <cell r="F64">
            <v>39108</v>
          </cell>
          <cell r="G64">
            <v>39261</v>
          </cell>
          <cell r="H64" t="str">
            <v>Genbox anaer, 10/phg, 60 paquets</v>
          </cell>
          <cell r="I64" t="str">
            <v>BIO</v>
          </cell>
          <cell r="J64" t="str">
            <v>01</v>
          </cell>
          <cell r="K64">
            <v>1347.84</v>
          </cell>
          <cell r="L64" t="str">
            <v>EUR</v>
          </cell>
          <cell r="M64" t="str">
            <v>2100</v>
          </cell>
        </row>
        <row r="65">
          <cell r="E65" t="str">
            <v>95777</v>
          </cell>
          <cell r="F65">
            <v>39168</v>
          </cell>
          <cell r="G65">
            <v>39206</v>
          </cell>
          <cell r="H65" t="str">
            <v>Pipettes Pasteur</v>
          </cell>
          <cell r="I65" t="str">
            <v>DPA</v>
          </cell>
          <cell r="J65" t="str">
            <v>01</v>
          </cell>
          <cell r="K65">
            <v>314.52</v>
          </cell>
          <cell r="L65" t="str">
            <v>EUR</v>
          </cell>
          <cell r="M65" t="str">
            <v>2100</v>
          </cell>
        </row>
        <row r="66">
          <cell r="E66" t="str">
            <v>92868</v>
          </cell>
          <cell r="F66">
            <v>39108</v>
          </cell>
          <cell r="G66">
            <v>39206</v>
          </cell>
          <cell r="H66" t="str">
            <v>Milieu de Chapman</v>
          </cell>
          <cell r="I66" t="str">
            <v>DPA</v>
          </cell>
          <cell r="J66" t="str">
            <v>01</v>
          </cell>
          <cell r="K66">
            <v>530.32000000000005</v>
          </cell>
          <cell r="L66" t="str">
            <v>EUR</v>
          </cell>
          <cell r="M66" t="str">
            <v>2100</v>
          </cell>
        </row>
        <row r="67">
          <cell r="E67" t="str">
            <v>92865</v>
          </cell>
          <cell r="F67">
            <v>39184</v>
          </cell>
          <cell r="G67">
            <v>39206</v>
          </cell>
          <cell r="H67" t="str">
            <v>Extran, spectroquant silicates test, éprouvette en verre 500 ml</v>
          </cell>
          <cell r="I67" t="str">
            <v>VWR</v>
          </cell>
          <cell r="J67" t="str">
            <v>01</v>
          </cell>
          <cell r="K67">
            <v>4504.8</v>
          </cell>
          <cell r="L67" t="str">
            <v>EUR</v>
          </cell>
          <cell r="M67" t="str">
            <v>2100</v>
          </cell>
        </row>
        <row r="68">
          <cell r="E68" t="str">
            <v>92863</v>
          </cell>
          <cell r="F68">
            <v>39098</v>
          </cell>
          <cell r="G68">
            <v>39295</v>
          </cell>
          <cell r="H68" t="str">
            <v>Cartouches d'extraction 33 X 205 mm</v>
          </cell>
          <cell r="I68" t="str">
            <v>S&amp;S</v>
          </cell>
          <cell r="J68" t="str">
            <v>01</v>
          </cell>
          <cell r="K68">
            <v>1738.69</v>
          </cell>
          <cell r="L68" t="str">
            <v>EUR</v>
          </cell>
          <cell r="M68" t="str">
            <v>2100</v>
          </cell>
        </row>
        <row r="69">
          <cell r="E69" t="str">
            <v>91390</v>
          </cell>
          <cell r="F69">
            <v>39069</v>
          </cell>
          <cell r="G69">
            <v>39153</v>
          </cell>
          <cell r="H69" t="str">
            <v>Etuve bactériologique type INE 800 (2)</v>
          </cell>
          <cell r="I69" t="str">
            <v>HUM</v>
          </cell>
          <cell r="J69" t="str">
            <v>01</v>
          </cell>
          <cell r="K69">
            <v>3647.3</v>
          </cell>
          <cell r="L69" t="str">
            <v>EUR</v>
          </cell>
          <cell r="M69" t="str">
            <v>FV047</v>
          </cell>
        </row>
        <row r="70">
          <cell r="E70" t="str">
            <v>91527</v>
          </cell>
          <cell r="F70">
            <v>39066</v>
          </cell>
          <cell r="G70">
            <v>39153</v>
          </cell>
          <cell r="H70" t="str">
            <v>Colorimètre Lovibond 3000</v>
          </cell>
          <cell r="I70" t="str">
            <v>CIF</v>
          </cell>
          <cell r="J70" t="str">
            <v>01</v>
          </cell>
          <cell r="K70">
            <v>1319.88</v>
          </cell>
          <cell r="L70" t="str">
            <v>EUR</v>
          </cell>
          <cell r="M70" t="str">
            <v>FV044</v>
          </cell>
        </row>
        <row r="71">
          <cell r="E71" t="str">
            <v>93167</v>
          </cell>
          <cell r="F71">
            <v>39115</v>
          </cell>
          <cell r="H71" t="str">
            <v>Réparation pH-mètre SCHÖTT CG 837 SN 256720 256666</v>
          </cell>
          <cell r="I71" t="str">
            <v>VWR</v>
          </cell>
          <cell r="J71" t="str">
            <v>01</v>
          </cell>
          <cell r="K71">
            <v>1475.93</v>
          </cell>
          <cell r="L71" t="str">
            <v>EUR</v>
          </cell>
          <cell r="M71" t="str">
            <v>3390</v>
          </cell>
        </row>
        <row r="72">
          <cell r="E72" t="str">
            <v>94082</v>
          </cell>
          <cell r="F72">
            <v>39135</v>
          </cell>
          <cell r="G72">
            <v>39227</v>
          </cell>
          <cell r="H72" t="str">
            <v>Réparation sonde orbisphere SN 52656 53448 50923 47176</v>
          </cell>
          <cell r="I72" t="str">
            <v>ORB</v>
          </cell>
          <cell r="J72" t="str">
            <v>01</v>
          </cell>
          <cell r="K72">
            <v>14160.9</v>
          </cell>
          <cell r="L72" t="str">
            <v>EUR</v>
          </cell>
          <cell r="M72" t="str">
            <v>3390</v>
          </cell>
        </row>
        <row r="73">
          <cell r="E73" t="str">
            <v>92768</v>
          </cell>
          <cell r="F73">
            <v>39104</v>
          </cell>
          <cell r="G73">
            <v>39163</v>
          </cell>
          <cell r="H73" t="str">
            <v>Lampes Xénon (4), Cartes détecteur (4) pour Jenway</v>
          </cell>
          <cell r="I73" t="str">
            <v>HLS</v>
          </cell>
          <cell r="J73" t="str">
            <v>01</v>
          </cell>
          <cell r="K73">
            <v>6693.93</v>
          </cell>
          <cell r="L73" t="str">
            <v>EUR</v>
          </cell>
          <cell r="M73" t="str">
            <v>2000</v>
          </cell>
        </row>
        <row r="74">
          <cell r="E74" t="str">
            <v>95339</v>
          </cell>
          <cell r="F74">
            <v>39162</v>
          </cell>
          <cell r="G74">
            <v>39206</v>
          </cell>
          <cell r="H74" t="str">
            <v>Gabarits de remplissage (20)</v>
          </cell>
          <cell r="I74" t="str">
            <v>RDA</v>
          </cell>
          <cell r="J74" t="str">
            <v>01</v>
          </cell>
          <cell r="K74">
            <v>1399.5</v>
          </cell>
          <cell r="L74" t="str">
            <v>EUR</v>
          </cell>
          <cell r="M74" t="str">
            <v>2100</v>
          </cell>
        </row>
        <row r="75">
          <cell r="E75" t="str">
            <v>90976</v>
          </cell>
          <cell r="F75">
            <v>39049</v>
          </cell>
          <cell r="H75" t="str">
            <v>Balancce Mettler XS205DU (1)</v>
          </cell>
          <cell r="I75" t="str">
            <v>MTL</v>
          </cell>
          <cell r="J75" t="str">
            <v>01</v>
          </cell>
          <cell r="K75">
            <v>5328.06</v>
          </cell>
          <cell r="L75" t="str">
            <v>EUR</v>
          </cell>
          <cell r="M75" t="str">
            <v>EV048</v>
          </cell>
        </row>
        <row r="76">
          <cell r="E76" t="str">
            <v>91713</v>
          </cell>
          <cell r="F76">
            <v>39070</v>
          </cell>
          <cell r="G76">
            <v>39153</v>
          </cell>
          <cell r="H76" t="str">
            <v>Résistance et joints de fermetures autoclaves</v>
          </cell>
          <cell r="I76" t="str">
            <v>LQX</v>
          </cell>
          <cell r="J76" t="str">
            <v>SEMC</v>
          </cell>
          <cell r="K76">
            <v>1029.19</v>
          </cell>
          <cell r="L76" t="str">
            <v>EUR</v>
          </cell>
          <cell r="M76" t="str">
            <v>SEMC</v>
          </cell>
        </row>
        <row r="77">
          <cell r="E77" t="str">
            <v>91714</v>
          </cell>
          <cell r="F77">
            <v>39062</v>
          </cell>
          <cell r="H77" t="str">
            <v>Membranes filtrantes 0,45 µm, 2000</v>
          </cell>
          <cell r="I77" t="str">
            <v>STR</v>
          </cell>
          <cell r="J77" t="str">
            <v>01</v>
          </cell>
          <cell r="K77">
            <v>2096</v>
          </cell>
          <cell r="L77" t="str">
            <v>EUR</v>
          </cell>
          <cell r="M77" t="str">
            <v>SEMC</v>
          </cell>
        </row>
        <row r="78">
          <cell r="E78" t="str">
            <v>91598</v>
          </cell>
          <cell r="F78">
            <v>39062</v>
          </cell>
          <cell r="G78">
            <v>39153</v>
          </cell>
          <cell r="H78" t="str">
            <v>Rubans imprimantes 1000 series, cartouches et Godets alcolyser</v>
          </cell>
          <cell r="I78" t="str">
            <v>PAA</v>
          </cell>
          <cell r="J78" t="str">
            <v>01</v>
          </cell>
          <cell r="K78">
            <v>3616</v>
          </cell>
          <cell r="L78" t="str">
            <v>EUR</v>
          </cell>
          <cell r="M78" t="str">
            <v>2000</v>
          </cell>
        </row>
        <row r="79">
          <cell r="E79" t="str">
            <v>90845</v>
          </cell>
          <cell r="F79">
            <v>39035</v>
          </cell>
          <cell r="G79">
            <v>39077</v>
          </cell>
          <cell r="H79" t="str">
            <v>Papier filtre 125 mm Bande Noire</v>
          </cell>
          <cell r="I79" t="str">
            <v>S&amp;S</v>
          </cell>
          <cell r="J79" t="str">
            <v>01</v>
          </cell>
          <cell r="K79">
            <v>38215</v>
          </cell>
          <cell r="L79" t="str">
            <v>CFA</v>
          </cell>
          <cell r="M79" t="str">
            <v>EV048</v>
          </cell>
        </row>
        <row r="80">
          <cell r="E80" t="str">
            <v>95430</v>
          </cell>
          <cell r="F80">
            <v>39170</v>
          </cell>
          <cell r="H80" t="str">
            <v>Tubes Gastec H2O, Acétaldéhyde, H2S</v>
          </cell>
          <cell r="I80" t="str">
            <v>ALI</v>
          </cell>
          <cell r="J80" t="str">
            <v>01</v>
          </cell>
          <cell r="K80">
            <v>2814.96</v>
          </cell>
          <cell r="L80" t="str">
            <v>EUR</v>
          </cell>
          <cell r="M80" t="str">
            <v>2100</v>
          </cell>
        </row>
        <row r="81">
          <cell r="E81" t="str">
            <v>29690/O</v>
          </cell>
          <cell r="F81">
            <v>39038</v>
          </cell>
          <cell r="H81" t="str">
            <v>Matériels analyses internes CO2</v>
          </cell>
          <cell r="I81" t="str">
            <v>ALI</v>
          </cell>
          <cell r="J81" t="str">
            <v>01</v>
          </cell>
          <cell r="K81">
            <v>44658.13</v>
          </cell>
          <cell r="L81" t="str">
            <v>EUR</v>
          </cell>
          <cell r="M81" t="str">
            <v>2100</v>
          </cell>
        </row>
        <row r="82">
          <cell r="E82" t="str">
            <v>303208</v>
          </cell>
          <cell r="F82">
            <v>33736</v>
          </cell>
          <cell r="G82">
            <v>33885</v>
          </cell>
          <cell r="H82" t="str">
            <v>Termamyl (4 x 250 ml) + San Super (1 x  50 ml)</v>
          </cell>
          <cell r="I82" t="str">
            <v>NVO</v>
          </cell>
          <cell r="J82" t="str">
            <v>01</v>
          </cell>
          <cell r="K82">
            <v>539.29999999999995</v>
          </cell>
          <cell r="L82" t="str">
            <v>EUR</v>
          </cell>
          <cell r="M82" t="str">
            <v>2000</v>
          </cell>
        </row>
        <row r="83">
          <cell r="E83" t="str">
            <v>90553</v>
          </cell>
          <cell r="F83">
            <v>39044</v>
          </cell>
          <cell r="G83">
            <v>39113</v>
          </cell>
          <cell r="H83" t="str">
            <v>PR DMA 4500 (tygon hose ; silicone hose 2X4mm 3X5mm)</v>
          </cell>
          <cell r="I83" t="str">
            <v>PAA</v>
          </cell>
          <cell r="J83" t="str">
            <v>01</v>
          </cell>
          <cell r="K83">
            <v>13913.25</v>
          </cell>
          <cell r="L83" t="str">
            <v>EUR</v>
          </cell>
          <cell r="M83" t="str">
            <v>2100</v>
          </cell>
        </row>
        <row r="84">
          <cell r="E84" t="str">
            <v>90905</v>
          </cell>
          <cell r="F84">
            <v>39042</v>
          </cell>
          <cell r="G84">
            <v>39065</v>
          </cell>
          <cell r="H84" t="str">
            <v>Boîtes de membranes 2956A (12)</v>
          </cell>
          <cell r="I84" t="str">
            <v>ORB</v>
          </cell>
          <cell r="J84" t="str">
            <v>01</v>
          </cell>
          <cell r="K84">
            <v>945.47</v>
          </cell>
          <cell r="L84" t="str">
            <v>EUR</v>
          </cell>
          <cell r="M84" t="str">
            <v>2100</v>
          </cell>
        </row>
        <row r="85">
          <cell r="E85" t="str">
            <v>90454</v>
          </cell>
          <cell r="F85">
            <v>39029</v>
          </cell>
          <cell r="G85">
            <v>39163</v>
          </cell>
          <cell r="H85" t="str">
            <v>Milieux de culture chromogènes</v>
          </cell>
          <cell r="I85" t="str">
            <v>HUM</v>
          </cell>
          <cell r="J85" t="str">
            <v>01</v>
          </cell>
          <cell r="K85">
            <v>1709.06</v>
          </cell>
          <cell r="L85" t="str">
            <v>EUR</v>
          </cell>
          <cell r="M85" t="str">
            <v>2100</v>
          </cell>
        </row>
        <row r="86">
          <cell r="E86" t="str">
            <v>91645</v>
          </cell>
          <cell r="F86">
            <v>39063</v>
          </cell>
          <cell r="G86">
            <v>39153</v>
          </cell>
          <cell r="H86" t="str">
            <v>Genbox anaer, 10/phg, 60 paquets</v>
          </cell>
          <cell r="I86" t="str">
            <v>BIO</v>
          </cell>
          <cell r="J86" t="str">
            <v>01</v>
          </cell>
          <cell r="K86">
            <v>1347.84</v>
          </cell>
          <cell r="L86" t="str">
            <v>EUR</v>
          </cell>
          <cell r="M86" t="str">
            <v>2100</v>
          </cell>
        </row>
        <row r="87">
          <cell r="E87" t="str">
            <v>89088</v>
          </cell>
          <cell r="F87">
            <v>38985</v>
          </cell>
          <cell r="G87">
            <v>39206</v>
          </cell>
          <cell r="H87" t="str">
            <v>Ammonium-fer (III) citrate vert</v>
          </cell>
          <cell r="I87" t="str">
            <v>SCL</v>
          </cell>
          <cell r="J87" t="str">
            <v>01</v>
          </cell>
          <cell r="K87">
            <v>1032.3399999999992</v>
          </cell>
          <cell r="L87" t="str">
            <v>EUR</v>
          </cell>
          <cell r="M87" t="str">
            <v>2100</v>
          </cell>
        </row>
        <row r="88">
          <cell r="E88" t="str">
            <v>89088</v>
          </cell>
          <cell r="F88">
            <v>38985</v>
          </cell>
          <cell r="G88">
            <v>39206</v>
          </cell>
          <cell r="H88" t="str">
            <v>Sodium fluorure</v>
          </cell>
          <cell r="I88" t="str">
            <v>VWR</v>
          </cell>
          <cell r="J88" t="str">
            <v>01</v>
          </cell>
          <cell r="K88">
            <v>4518.0600000000004</v>
          </cell>
          <cell r="L88" t="str">
            <v>EUR</v>
          </cell>
          <cell r="M88" t="str">
            <v>2100</v>
          </cell>
        </row>
        <row r="89">
          <cell r="E89" t="str">
            <v>90762</v>
          </cell>
          <cell r="F89">
            <v>39062</v>
          </cell>
          <cell r="G89">
            <v>39206</v>
          </cell>
          <cell r="H89" t="str">
            <v>Hotte Filtair "M/BE", vapeurs ammoniaque</v>
          </cell>
          <cell r="I89" t="str">
            <v>BBL</v>
          </cell>
          <cell r="J89" t="str">
            <v>01</v>
          </cell>
          <cell r="K89">
            <v>4821.46</v>
          </cell>
          <cell r="L89" t="str">
            <v>EUR</v>
          </cell>
          <cell r="M89" t="str">
            <v>2100</v>
          </cell>
        </row>
        <row r="90">
          <cell r="E90" t="str">
            <v>89630</v>
          </cell>
          <cell r="F90">
            <v>39009</v>
          </cell>
          <cell r="G90">
            <v>39163</v>
          </cell>
          <cell r="H90" t="str">
            <v>Cartouches d'extraction 33 X 205 mm</v>
          </cell>
          <cell r="I90" t="str">
            <v>S&amp;S</v>
          </cell>
          <cell r="J90" t="str">
            <v>01</v>
          </cell>
          <cell r="K90">
            <v>1862.19</v>
          </cell>
          <cell r="L90" t="str">
            <v>EUR</v>
          </cell>
          <cell r="M90" t="str">
            <v>2100</v>
          </cell>
        </row>
        <row r="91">
          <cell r="E91" t="str">
            <v>89630</v>
          </cell>
          <cell r="F91">
            <v>39009</v>
          </cell>
          <cell r="G91">
            <v>39153</v>
          </cell>
          <cell r="H91" t="str">
            <v>Cryoplongeur compact non régulé -45/+100 °C (2)</v>
          </cell>
          <cell r="I91" t="str">
            <v>BBL</v>
          </cell>
          <cell r="J91" t="str">
            <v>01</v>
          </cell>
          <cell r="K91">
            <v>4840.3</v>
          </cell>
          <cell r="L91" t="str">
            <v>EUR</v>
          </cell>
          <cell r="M91" t="str">
            <v>EV051</v>
          </cell>
        </row>
        <row r="92">
          <cell r="E92" t="str">
            <v>29345/O</v>
          </cell>
          <cell r="F92">
            <v>39016</v>
          </cell>
          <cell r="G92">
            <v>39153</v>
          </cell>
          <cell r="H92" t="str">
            <v>Remplacement tête de sonde Peek/Inox 31120.01</v>
          </cell>
          <cell r="I92" t="str">
            <v>ORB</v>
          </cell>
          <cell r="J92" t="str">
            <v>01</v>
          </cell>
          <cell r="K92">
            <v>3136.4</v>
          </cell>
          <cell r="L92" t="str">
            <v>EUR</v>
          </cell>
          <cell r="M92" t="str">
            <v>2100</v>
          </cell>
        </row>
        <row r="93">
          <cell r="E93" t="str">
            <v>91486</v>
          </cell>
          <cell r="F93">
            <v>39069</v>
          </cell>
          <cell r="G93">
            <v>39153</v>
          </cell>
          <cell r="H93" t="str">
            <v>Réparation pH-mètre SCHÖTT CG 837 SN 256720 256666</v>
          </cell>
          <cell r="I93" t="str">
            <v>VWR</v>
          </cell>
          <cell r="J93" t="str">
            <v>01</v>
          </cell>
          <cell r="K93">
            <v>1475.93</v>
          </cell>
          <cell r="L93" t="str">
            <v>EUR</v>
          </cell>
          <cell r="M93" t="str">
            <v>3390</v>
          </cell>
        </row>
        <row r="94">
          <cell r="E94" t="str">
            <v>88420</v>
          </cell>
          <cell r="F94">
            <v>38959</v>
          </cell>
          <cell r="G94">
            <v>39015</v>
          </cell>
          <cell r="H94" t="str">
            <v>Flacons de 550 g UBA (13)</v>
          </cell>
          <cell r="I94" t="str">
            <v>BBL</v>
          </cell>
          <cell r="J94" t="str">
            <v>01</v>
          </cell>
          <cell r="K94">
            <v>2020.46</v>
          </cell>
          <cell r="L94" t="str">
            <v>EUR</v>
          </cell>
          <cell r="M94" t="str">
            <v>2100</v>
          </cell>
        </row>
        <row r="95">
          <cell r="E95" t="str">
            <v>89528</v>
          </cell>
          <cell r="F95">
            <v>38996</v>
          </cell>
          <cell r="G95">
            <v>39052</v>
          </cell>
          <cell r="H95" t="str">
            <v>Titrisol H2SO4 (30+15), entonnoirs DN 180 (10)  et KCl (7)</v>
          </cell>
          <cell r="I95" t="str">
            <v>HUM</v>
          </cell>
          <cell r="J95" t="str">
            <v>01</v>
          </cell>
          <cell r="K95">
            <v>963.06</v>
          </cell>
          <cell r="L95" t="str">
            <v>EUR</v>
          </cell>
          <cell r="M95" t="str">
            <v>2100</v>
          </cell>
        </row>
        <row r="96">
          <cell r="E96" t="str">
            <v>88908</v>
          </cell>
          <cell r="F96">
            <v>38981</v>
          </cell>
          <cell r="G96">
            <v>39015</v>
          </cell>
          <cell r="H96" t="str">
            <v>Gabarits de remplissage (20)</v>
          </cell>
          <cell r="I96" t="str">
            <v>RDA</v>
          </cell>
          <cell r="J96" t="str">
            <v>01</v>
          </cell>
          <cell r="M96" t="str">
            <v>2100</v>
          </cell>
        </row>
        <row r="97">
          <cell r="E97" t="str">
            <v>88290</v>
          </cell>
          <cell r="F97">
            <v>38960</v>
          </cell>
          <cell r="G97">
            <v>39015</v>
          </cell>
          <cell r="H97" t="str">
            <v>Balancce Mettler XS205DU (1)</v>
          </cell>
          <cell r="I97" t="str">
            <v>MTL</v>
          </cell>
          <cell r="J97" t="str">
            <v>01</v>
          </cell>
          <cell r="K97">
            <v>5328.06</v>
          </cell>
          <cell r="L97" t="str">
            <v>EUR</v>
          </cell>
          <cell r="M97" t="str">
            <v>2100</v>
          </cell>
        </row>
        <row r="98">
          <cell r="E98" t="str">
            <v>88299</v>
          </cell>
          <cell r="F98">
            <v>38961</v>
          </cell>
          <cell r="G98">
            <v>38982</v>
          </cell>
          <cell r="H98" t="str">
            <v>Génbox anaer (60)</v>
          </cell>
          <cell r="I98" t="str">
            <v>BIO</v>
          </cell>
          <cell r="J98" t="str">
            <v>01</v>
          </cell>
          <cell r="K98">
            <v>1320.96</v>
          </cell>
          <cell r="L98" t="str">
            <v>EUR</v>
          </cell>
          <cell r="M98" t="str">
            <v>2100</v>
          </cell>
        </row>
        <row r="99">
          <cell r="E99" t="str">
            <v>303907</v>
          </cell>
          <cell r="F99">
            <v>33836</v>
          </cell>
          <cell r="G99">
            <v>33990</v>
          </cell>
          <cell r="H99" t="str">
            <v>Membranes filtrantes 0,45 µm, 2000</v>
          </cell>
          <cell r="I99" t="str">
            <v>STR</v>
          </cell>
          <cell r="J99" t="str">
            <v>01</v>
          </cell>
          <cell r="K99">
            <v>2096</v>
          </cell>
          <cell r="L99" t="str">
            <v>EUR</v>
          </cell>
          <cell r="M99" t="str">
            <v>SEMC</v>
          </cell>
        </row>
        <row r="100">
          <cell r="E100" t="str">
            <v>89022</v>
          </cell>
          <cell r="F100">
            <v>38986</v>
          </cell>
          <cell r="G100">
            <v>38973</v>
          </cell>
          <cell r="H100" t="str">
            <v>Gauge adapters (3)</v>
          </cell>
          <cell r="I100" t="str">
            <v>CRB</v>
          </cell>
          <cell r="J100" t="str">
            <v>01</v>
          </cell>
          <cell r="K100">
            <v>338.46</v>
          </cell>
          <cell r="L100" t="str">
            <v>EUR</v>
          </cell>
          <cell r="M100" t="str">
            <v>2100</v>
          </cell>
        </row>
        <row r="101">
          <cell r="E101" t="str">
            <v>87497</v>
          </cell>
          <cell r="F101">
            <v>38929</v>
          </cell>
          <cell r="G101">
            <v>38973</v>
          </cell>
          <cell r="H101" t="str">
            <v>Spares Zahm Air Tester</v>
          </cell>
          <cell r="I101" t="str">
            <v>CRB</v>
          </cell>
          <cell r="J101" t="str">
            <v>01</v>
          </cell>
          <cell r="K101">
            <v>6013.03</v>
          </cell>
          <cell r="L101" t="str">
            <v>EUR</v>
          </cell>
          <cell r="M101" t="str">
            <v>2100</v>
          </cell>
        </row>
        <row r="102">
          <cell r="E102" t="str">
            <v>87567</v>
          </cell>
          <cell r="F102">
            <v>38933</v>
          </cell>
          <cell r="G102">
            <v>38982</v>
          </cell>
          <cell r="H102" t="str">
            <v>THMAM, Octanol, Spectroquant Si02, bleu de bromothymol</v>
          </cell>
          <cell r="I102" t="str">
            <v>VWR</v>
          </cell>
          <cell r="J102" t="str">
            <v>01</v>
          </cell>
          <cell r="K102">
            <v>2814.96</v>
          </cell>
          <cell r="L102" t="str">
            <v>EUR</v>
          </cell>
          <cell r="M102" t="str">
            <v>2100</v>
          </cell>
        </row>
        <row r="103">
          <cell r="E103" t="str">
            <v>29690/O</v>
          </cell>
          <cell r="F103">
            <v>39038</v>
          </cell>
          <cell r="H103" t="str">
            <v>Rechanges Digox</v>
          </cell>
          <cell r="I103" t="str">
            <v>THD</v>
          </cell>
          <cell r="J103" t="str">
            <v>01</v>
          </cell>
          <cell r="K103">
            <v>44658.13</v>
          </cell>
          <cell r="L103" t="str">
            <v>EUR</v>
          </cell>
          <cell r="M103" t="str">
            <v>2100</v>
          </cell>
        </row>
        <row r="104">
          <cell r="E104" t="str">
            <v>87515</v>
          </cell>
          <cell r="F104">
            <v>38926</v>
          </cell>
          <cell r="G104">
            <v>38982</v>
          </cell>
          <cell r="H104" t="str">
            <v>Rechanges Sampling device</v>
          </cell>
          <cell r="I104" t="str">
            <v>LGA</v>
          </cell>
          <cell r="J104" t="str">
            <v>01</v>
          </cell>
          <cell r="K104">
            <v>2395</v>
          </cell>
          <cell r="L104" t="str">
            <v>EUR</v>
          </cell>
          <cell r="M104" t="str">
            <v>2100</v>
          </cell>
        </row>
        <row r="105">
          <cell r="E105" t="str">
            <v>90553</v>
          </cell>
          <cell r="F105">
            <v>39044</v>
          </cell>
          <cell r="G105">
            <v>39113</v>
          </cell>
          <cell r="H105" t="str">
            <v>AC/DC Adapter 65 W</v>
          </cell>
          <cell r="I105" t="str">
            <v>DLL</v>
          </cell>
          <cell r="J105" t="str">
            <v>01</v>
          </cell>
          <cell r="M105" t="str">
            <v>2100</v>
          </cell>
        </row>
        <row r="106">
          <cell r="E106" t="str">
            <v>27984/O</v>
          </cell>
          <cell r="F106">
            <v>39042</v>
          </cell>
          <cell r="G106">
            <v>39065</v>
          </cell>
          <cell r="H106" t="str">
            <v>Rechanges et consommables colorimètre : disques, DPD, Nessler</v>
          </cell>
          <cell r="I106" t="str">
            <v>CIF</v>
          </cell>
          <cell r="J106" t="str">
            <v>01</v>
          </cell>
          <cell r="K106">
            <v>2105.4</v>
          </cell>
          <cell r="L106" t="str">
            <v>EUR</v>
          </cell>
          <cell r="M106" t="str">
            <v>2100</v>
          </cell>
        </row>
        <row r="107">
          <cell r="E107" t="str">
            <v>88357</v>
          </cell>
          <cell r="F107">
            <v>38965</v>
          </cell>
          <cell r="G107">
            <v>39065</v>
          </cell>
          <cell r="H107" t="str">
            <v>Turbidimètre Vos Rota 90</v>
          </cell>
          <cell r="I107" t="str">
            <v>HAF</v>
          </cell>
          <cell r="J107" t="str">
            <v>01</v>
          </cell>
          <cell r="K107">
            <v>1709.06</v>
          </cell>
          <cell r="L107" t="str">
            <v>EUR</v>
          </cell>
          <cell r="M107" t="str">
            <v>EV046</v>
          </cell>
        </row>
        <row r="108">
          <cell r="E108" t="str">
            <v>89621</v>
          </cell>
          <cell r="F108">
            <v>39007</v>
          </cell>
          <cell r="G108">
            <v>39082</v>
          </cell>
          <cell r="H108" t="str">
            <v>Indicateur numérique de pH Hanna (4) et InoLab pH 720 set (2)</v>
          </cell>
          <cell r="I108" t="str">
            <v>VWR</v>
          </cell>
          <cell r="J108" t="str">
            <v>01</v>
          </cell>
          <cell r="K108">
            <v>3794.44</v>
          </cell>
          <cell r="L108" t="str">
            <v>EUR</v>
          </cell>
          <cell r="M108" t="str">
            <v>EV055</v>
          </cell>
        </row>
        <row r="109">
          <cell r="E109" t="str">
            <v>89621</v>
          </cell>
          <cell r="F109">
            <v>39007</v>
          </cell>
          <cell r="G109">
            <v>39082</v>
          </cell>
          <cell r="H109" t="str">
            <v>Ammonium-fer (III) citrate vert</v>
          </cell>
          <cell r="I109" t="str">
            <v>SCL</v>
          </cell>
          <cell r="J109" t="str">
            <v>01</v>
          </cell>
          <cell r="K109">
            <v>1032.3399999999992</v>
          </cell>
          <cell r="L109" t="str">
            <v>EUR</v>
          </cell>
          <cell r="M109" t="str">
            <v>2100</v>
          </cell>
        </row>
        <row r="110">
          <cell r="E110" t="str">
            <v>88296</v>
          </cell>
          <cell r="F110">
            <v>38973</v>
          </cell>
          <cell r="G110">
            <v>39052</v>
          </cell>
          <cell r="H110" t="str">
            <v>Sodium fluorure</v>
          </cell>
          <cell r="I110" t="str">
            <v>VWR</v>
          </cell>
          <cell r="J110" t="str">
            <v>01</v>
          </cell>
          <cell r="K110">
            <v>4518.0600000000004</v>
          </cell>
          <cell r="L110" t="str">
            <v>EUR</v>
          </cell>
          <cell r="M110" t="str">
            <v>2100</v>
          </cell>
        </row>
        <row r="111">
          <cell r="E111" t="str">
            <v>88611</v>
          </cell>
          <cell r="F111">
            <v>38981</v>
          </cell>
          <cell r="H111" t="str">
            <v>Spectrophotomètre Odyssey DR/2800</v>
          </cell>
          <cell r="I111" t="str">
            <v>VWR</v>
          </cell>
          <cell r="J111" t="str">
            <v>SEMC</v>
          </cell>
          <cell r="K111">
            <v>7489.92</v>
          </cell>
          <cell r="L111" t="str">
            <v>EUR</v>
          </cell>
          <cell r="M111" t="str">
            <v>EVT14</v>
          </cell>
        </row>
        <row r="112">
          <cell r="E112" t="str">
            <v>27913/O</v>
          </cell>
          <cell r="F112">
            <v>38910</v>
          </cell>
          <cell r="G112">
            <v>38973</v>
          </cell>
          <cell r="H112" t="str">
            <v>Répartiteur d'échantillons 18 passages</v>
          </cell>
          <cell r="I112" t="str">
            <v>BBL</v>
          </cell>
          <cell r="J112" t="str">
            <v>01</v>
          </cell>
          <cell r="K112">
            <v>648.73</v>
          </cell>
          <cell r="L112" t="str">
            <v>EUR</v>
          </cell>
          <cell r="M112" t="str">
            <v>2100</v>
          </cell>
        </row>
        <row r="113">
          <cell r="E113" t="str">
            <v>89023</v>
          </cell>
          <cell r="F113">
            <v>38993</v>
          </cell>
          <cell r="G113">
            <v>38973</v>
          </cell>
          <cell r="H113" t="str">
            <v>Cryoplongeur compact non régulé -45/+100 °C (2)</v>
          </cell>
          <cell r="I113" t="str">
            <v>BBL</v>
          </cell>
          <cell r="J113" t="str">
            <v>01</v>
          </cell>
          <cell r="K113">
            <v>4840.3</v>
          </cell>
          <cell r="L113" t="str">
            <v>EUR</v>
          </cell>
          <cell r="M113" t="str">
            <v>EV051</v>
          </cell>
        </row>
        <row r="114">
          <cell r="E114" t="str">
            <v>86944</v>
          </cell>
          <cell r="F114">
            <v>38925</v>
          </cell>
          <cell r="H114" t="str">
            <v>Boîtes de pétri en verre (300) et barreaux d'agitateur magnétique</v>
          </cell>
          <cell r="I114" t="str">
            <v>GRS</v>
          </cell>
          <cell r="J114" t="str">
            <v>SEMC</v>
          </cell>
          <cell r="K114">
            <v>511</v>
          </cell>
          <cell r="L114" t="str">
            <v>EUR</v>
          </cell>
          <cell r="M114" t="str">
            <v>SEMC</v>
          </cell>
        </row>
        <row r="115">
          <cell r="E115" t="str">
            <v>86855</v>
          </cell>
          <cell r="F115">
            <v>38919</v>
          </cell>
          <cell r="G115">
            <v>38959</v>
          </cell>
          <cell r="H115" t="str">
            <v>Lunettes de sécurité Kavalier, Papier Whatman GF/C</v>
          </cell>
          <cell r="I115" t="str">
            <v>GRS</v>
          </cell>
          <cell r="J115" t="str">
            <v>01</v>
          </cell>
          <cell r="K115">
            <v>1418.19</v>
          </cell>
          <cell r="L115" t="str">
            <v>EUR</v>
          </cell>
          <cell r="M115" t="str">
            <v>2100</v>
          </cell>
        </row>
        <row r="116">
          <cell r="E116" t="str">
            <v>87022</v>
          </cell>
          <cell r="F116">
            <v>38916</v>
          </cell>
          <cell r="G116">
            <v>38973</v>
          </cell>
          <cell r="H116" t="str">
            <v>Conso DCO, tuyaux propagation, SO3 test, Na nitroprussiate</v>
          </cell>
          <cell r="I116" t="str">
            <v>VWR</v>
          </cell>
          <cell r="J116" t="str">
            <v>01</v>
          </cell>
          <cell r="K116">
            <v>4023.81</v>
          </cell>
          <cell r="L116" t="str">
            <v>EUR</v>
          </cell>
          <cell r="M116" t="str">
            <v>2100</v>
          </cell>
        </row>
        <row r="117">
          <cell r="E117" t="str">
            <v>89528</v>
          </cell>
          <cell r="F117">
            <v>38996</v>
          </cell>
          <cell r="G117">
            <v>39052</v>
          </cell>
          <cell r="H117" t="str">
            <v>pH-mètre CG 837 SN 256720 à réviser</v>
          </cell>
          <cell r="I117" t="str">
            <v>VWR</v>
          </cell>
          <cell r="J117" t="str">
            <v>01</v>
          </cell>
          <cell r="K117">
            <v>963.06</v>
          </cell>
          <cell r="L117" t="str">
            <v>EUR</v>
          </cell>
          <cell r="M117" t="str">
            <v>2100</v>
          </cell>
        </row>
        <row r="118">
          <cell r="E118" t="str">
            <v>88908</v>
          </cell>
          <cell r="F118">
            <v>38981</v>
          </cell>
          <cell r="G118">
            <v>39015</v>
          </cell>
          <cell r="H118" t="str">
            <v>Lampe au Xénon à réviser</v>
          </cell>
          <cell r="I118" t="str">
            <v>JEN</v>
          </cell>
          <cell r="J118" t="str">
            <v>01</v>
          </cell>
          <cell r="M118" t="str">
            <v>2100</v>
          </cell>
        </row>
        <row r="119">
          <cell r="E119" t="str">
            <v>88291</v>
          </cell>
          <cell r="F119">
            <v>38932</v>
          </cell>
          <cell r="G119">
            <v>38982</v>
          </cell>
          <cell r="H119" t="str">
            <v>Sonde 31120 SN 40973, SN 52656</v>
          </cell>
          <cell r="I119" t="str">
            <v>ORB</v>
          </cell>
          <cell r="J119" t="str">
            <v>01</v>
          </cell>
          <cell r="K119">
            <v>1750</v>
          </cell>
          <cell r="L119" t="str">
            <v>EUR</v>
          </cell>
          <cell r="M119" t="str">
            <v>2100</v>
          </cell>
        </row>
        <row r="120">
          <cell r="E120" t="str">
            <v>87041</v>
          </cell>
          <cell r="F120">
            <v>38919</v>
          </cell>
          <cell r="G120">
            <v>38982</v>
          </cell>
          <cell r="H120" t="str">
            <v>ADA, CMC</v>
          </cell>
          <cell r="I120" t="str">
            <v>SPH</v>
          </cell>
          <cell r="J120" t="str">
            <v>01</v>
          </cell>
          <cell r="K120">
            <v>928.51</v>
          </cell>
          <cell r="L120" t="str">
            <v>EUR</v>
          </cell>
          <cell r="M120" t="str">
            <v>2100</v>
          </cell>
        </row>
        <row r="121">
          <cell r="E121" t="str">
            <v>86764</v>
          </cell>
          <cell r="F121">
            <v>38903</v>
          </cell>
          <cell r="G121">
            <v>39015</v>
          </cell>
          <cell r="H121" t="str">
            <v>Sartofluor capsules, mambranes 0,45 µm</v>
          </cell>
          <cell r="I121" t="str">
            <v>STR</v>
          </cell>
          <cell r="J121" t="str">
            <v>01</v>
          </cell>
          <cell r="K121">
            <v>9959.32</v>
          </cell>
          <cell r="L121" t="str">
            <v>EUR</v>
          </cell>
          <cell r="M121" t="str">
            <v>2100</v>
          </cell>
        </row>
        <row r="122">
          <cell r="E122" t="str">
            <v>85826</v>
          </cell>
          <cell r="F122">
            <v>38881</v>
          </cell>
          <cell r="G122">
            <v>38910</v>
          </cell>
          <cell r="H122" t="str">
            <v>ETOH absolu (4), H2SO4 1 N Titrisol (50)</v>
          </cell>
          <cell r="I122" t="str">
            <v>VWR</v>
          </cell>
          <cell r="J122" t="str">
            <v>01</v>
          </cell>
          <cell r="K122">
            <v>1488.5</v>
          </cell>
          <cell r="L122" t="str">
            <v>EUR</v>
          </cell>
          <cell r="M122" t="str">
            <v>2100</v>
          </cell>
        </row>
        <row r="123">
          <cell r="E123" t="str">
            <v>86827</v>
          </cell>
          <cell r="F123">
            <v>38905</v>
          </cell>
          <cell r="G123">
            <v>38940</v>
          </cell>
          <cell r="H123" t="str">
            <v>TTC, T7, SMTZ, VF, Endo, Gélose lactosée TCC et Tè</v>
          </cell>
          <cell r="I123" t="str">
            <v>DPA</v>
          </cell>
          <cell r="J123" t="str">
            <v>01</v>
          </cell>
          <cell r="K123">
            <v>1241.82</v>
          </cell>
          <cell r="L123" t="str">
            <v>EUR</v>
          </cell>
          <cell r="M123" t="str">
            <v>2100</v>
          </cell>
        </row>
        <row r="124">
          <cell r="E124" t="str">
            <v>306193</v>
          </cell>
          <cell r="F124">
            <v>34184</v>
          </cell>
          <cell r="G124">
            <v>34292</v>
          </cell>
          <cell r="H124" t="str">
            <v>2 Densimètres DMA 48</v>
          </cell>
          <cell r="I124" t="str">
            <v>PAA</v>
          </cell>
          <cell r="J124" t="str">
            <v>01</v>
          </cell>
          <cell r="K124">
            <v>137208.99</v>
          </cell>
          <cell r="L124" t="str">
            <v>FRF</v>
          </cell>
          <cell r="M124" t="str">
            <v>2100</v>
          </cell>
        </row>
        <row r="125">
          <cell r="H125" t="str">
            <v>Gabarits de remplissage (20)</v>
          </cell>
          <cell r="I125" t="str">
            <v>RPA</v>
          </cell>
          <cell r="J125" t="str">
            <v>01</v>
          </cell>
          <cell r="M125" t="str">
            <v>2100</v>
          </cell>
        </row>
        <row r="126">
          <cell r="E126" t="str">
            <v>87515</v>
          </cell>
          <cell r="F126">
            <v>38926</v>
          </cell>
          <cell r="G126">
            <v>38982</v>
          </cell>
          <cell r="H126" t="str">
            <v>Abonnement Bière Magazine (2 ans 12 Numéros)</v>
          </cell>
          <cell r="I126" t="str">
            <v>BMG</v>
          </cell>
          <cell r="J126" t="str">
            <v>01</v>
          </cell>
          <cell r="K126">
            <v>2395</v>
          </cell>
          <cell r="L126" t="str">
            <v>EUR</v>
          </cell>
          <cell r="M126" t="str">
            <v>2201</v>
          </cell>
        </row>
        <row r="127">
          <cell r="H127" t="str">
            <v>Appareil photo numérique HP Photosmart R8185</v>
          </cell>
          <cell r="I127" t="str">
            <v>LOC</v>
          </cell>
          <cell r="J127" t="str">
            <v>01</v>
          </cell>
          <cell r="L127" t="str">
            <v>CFA</v>
          </cell>
          <cell r="M127" t="str">
            <v>2100</v>
          </cell>
        </row>
        <row r="128">
          <cell r="E128" t="str">
            <v>84696</v>
          </cell>
          <cell r="F128">
            <v>38855</v>
          </cell>
          <cell r="G128">
            <v>38880</v>
          </cell>
          <cell r="H128" t="str">
            <v>Rechanges et consommables colorimètre : disques, DPD, Nessler</v>
          </cell>
          <cell r="I128" t="str">
            <v>CIF</v>
          </cell>
          <cell r="J128" t="str">
            <v>01</v>
          </cell>
          <cell r="K128">
            <v>2105.4</v>
          </cell>
          <cell r="L128" t="str">
            <v>EUR</v>
          </cell>
          <cell r="M128" t="str">
            <v>2100</v>
          </cell>
        </row>
        <row r="129">
          <cell r="E129" t="str">
            <v>84673</v>
          </cell>
          <cell r="F129">
            <v>38855</v>
          </cell>
          <cell r="G129">
            <v>38880</v>
          </cell>
          <cell r="H129" t="str">
            <v>Xenon Flash Lamp Perkin Elmer (2)</v>
          </cell>
          <cell r="I129" t="str">
            <v>HLS</v>
          </cell>
          <cell r="J129" t="str">
            <v>01</v>
          </cell>
          <cell r="K129">
            <v>2606.14</v>
          </cell>
          <cell r="L129" t="str">
            <v>EUR</v>
          </cell>
          <cell r="M129" t="str">
            <v>EV046</v>
          </cell>
        </row>
        <row r="130">
          <cell r="E130" t="str">
            <v>89621</v>
          </cell>
          <cell r="F130">
            <v>39007</v>
          </cell>
          <cell r="G130">
            <v>39082</v>
          </cell>
          <cell r="H130" t="str">
            <v>Abonnement Bière Magazine (2 ans 12 Numéros)</v>
          </cell>
          <cell r="I130" t="str">
            <v>BMG</v>
          </cell>
          <cell r="J130" t="str">
            <v>01</v>
          </cell>
          <cell r="K130">
            <v>134.99</v>
          </cell>
          <cell r="L130" t="str">
            <v>EUR</v>
          </cell>
          <cell r="M130" t="str">
            <v>2201</v>
          </cell>
        </row>
        <row r="131">
          <cell r="E131" t="str">
            <v>84564</v>
          </cell>
          <cell r="F131">
            <v>38847</v>
          </cell>
          <cell r="G131" t="str">
            <v>30/*08/06</v>
          </cell>
          <cell r="H131" t="str">
            <v>Ballon fond plat (2), col étroit, verre Duran, 10 litres</v>
          </cell>
          <cell r="I131" t="str">
            <v>BBL</v>
          </cell>
          <cell r="J131" t="str">
            <v>01</v>
          </cell>
          <cell r="K131">
            <v>399.66</v>
          </cell>
          <cell r="L131" t="str">
            <v>EUR</v>
          </cell>
          <cell r="M131" t="str">
            <v>2100</v>
          </cell>
        </row>
        <row r="132">
          <cell r="E132" t="str">
            <v>85675</v>
          </cell>
          <cell r="F132">
            <v>38882</v>
          </cell>
          <cell r="G132">
            <v>38918</v>
          </cell>
          <cell r="H132" t="str">
            <v>Panneau frontal pour boîtier Moca</v>
          </cell>
          <cell r="I132" t="str">
            <v>ORB</v>
          </cell>
          <cell r="J132" t="str">
            <v>01</v>
          </cell>
          <cell r="K132">
            <v>5583.89</v>
          </cell>
          <cell r="L132" t="str">
            <v>EUR</v>
          </cell>
          <cell r="M132" t="str">
            <v>2100</v>
          </cell>
        </row>
        <row r="133">
          <cell r="E133" t="str">
            <v>85202</v>
          </cell>
          <cell r="F133">
            <v>38867</v>
          </cell>
          <cell r="G133">
            <v>38912</v>
          </cell>
          <cell r="H133" t="str">
            <v>Spectrophotomètre Odyssey DR/2800</v>
          </cell>
          <cell r="I133" t="str">
            <v>VWR</v>
          </cell>
          <cell r="J133" t="str">
            <v>SEMC</v>
          </cell>
          <cell r="K133">
            <v>7489.92</v>
          </cell>
          <cell r="L133" t="str">
            <v>EUR</v>
          </cell>
          <cell r="M133" t="str">
            <v>EVT14</v>
          </cell>
        </row>
        <row r="134">
          <cell r="E134" t="str">
            <v>27913/O</v>
          </cell>
          <cell r="F134">
            <v>38910</v>
          </cell>
          <cell r="G134">
            <v>39015</v>
          </cell>
          <cell r="H134" t="str">
            <v>Chargeur de batteries 12 V, 45 Ah</v>
          </cell>
          <cell r="I134" t="str">
            <v>LOC</v>
          </cell>
          <cell r="J134" t="str">
            <v>01</v>
          </cell>
          <cell r="K134">
            <v>56300</v>
          </cell>
          <cell r="L134" t="str">
            <v>CFA</v>
          </cell>
          <cell r="M134" t="str">
            <v>2100</v>
          </cell>
        </row>
        <row r="135">
          <cell r="E135" t="str">
            <v>84781</v>
          </cell>
          <cell r="F135">
            <v>38855</v>
          </cell>
          <cell r="G135">
            <v>38940</v>
          </cell>
          <cell r="H135" t="str">
            <v>Stopcok grease (6)</v>
          </cell>
          <cell r="I135" t="str">
            <v>VWR</v>
          </cell>
          <cell r="J135" t="str">
            <v>01</v>
          </cell>
          <cell r="K135">
            <v>568.12</v>
          </cell>
          <cell r="L135" t="str">
            <v>EUR</v>
          </cell>
          <cell r="M135" t="str">
            <v>2100</v>
          </cell>
        </row>
        <row r="136">
          <cell r="E136" t="str">
            <v>84774</v>
          </cell>
          <cell r="F136">
            <v>38859</v>
          </cell>
          <cell r="G136">
            <v>38959</v>
          </cell>
          <cell r="H136" t="str">
            <v>Boîtes de pétri en verre (300) et barreaux d'agitateur magnétique</v>
          </cell>
          <cell r="I136" t="str">
            <v>GRS</v>
          </cell>
          <cell r="J136" t="str">
            <v>SEMC</v>
          </cell>
          <cell r="K136">
            <v>511</v>
          </cell>
          <cell r="L136" t="str">
            <v>EUR</v>
          </cell>
          <cell r="M136" t="str">
            <v>SEMC</v>
          </cell>
        </row>
        <row r="137">
          <cell r="E137" t="str">
            <v>86855</v>
          </cell>
          <cell r="F137">
            <v>38919</v>
          </cell>
          <cell r="G137">
            <v>38841</v>
          </cell>
          <cell r="H137" t="str">
            <v>Glacière Iceberg 20 litres</v>
          </cell>
          <cell r="I137" t="str">
            <v>LOC</v>
          </cell>
          <cell r="J137" t="str">
            <v>01</v>
          </cell>
          <cell r="K137">
            <v>50316</v>
          </cell>
          <cell r="L137" t="str">
            <v>CFA</v>
          </cell>
          <cell r="M137" t="str">
            <v>2100</v>
          </cell>
        </row>
        <row r="138">
          <cell r="E138" t="str">
            <v>85201</v>
          </cell>
          <cell r="F138">
            <v>38881</v>
          </cell>
          <cell r="G138">
            <v>38918</v>
          </cell>
          <cell r="H138" t="str">
            <v>Lampes turbidimètre, réducteur moteur échantillonneur 12 Volts</v>
          </cell>
          <cell r="I138" t="str">
            <v>BBL</v>
          </cell>
          <cell r="J138" t="str">
            <v>01</v>
          </cell>
          <cell r="K138">
            <v>5197.5</v>
          </cell>
          <cell r="L138" t="str">
            <v>EUR</v>
          </cell>
          <cell r="M138" t="str">
            <v>2100</v>
          </cell>
        </row>
        <row r="139">
          <cell r="E139" t="str">
            <v>85200</v>
          </cell>
          <cell r="F139">
            <v>38884</v>
          </cell>
          <cell r="H139" t="str">
            <v>Paquet éponges DN 10 mm</v>
          </cell>
          <cell r="I139" t="str">
            <v>EBI</v>
          </cell>
          <cell r="J139" t="str">
            <v>01</v>
          </cell>
          <cell r="M139" t="str">
            <v>US 04</v>
          </cell>
        </row>
        <row r="140">
          <cell r="E140" t="str">
            <v>86361</v>
          </cell>
          <cell r="F140">
            <v>38891</v>
          </cell>
          <cell r="G140">
            <v>38940</v>
          </cell>
          <cell r="H140" t="str">
            <v>Lampe au Xénon à réviser</v>
          </cell>
          <cell r="I140" t="str">
            <v>JEN</v>
          </cell>
          <cell r="J140" t="str">
            <v>01</v>
          </cell>
          <cell r="K140">
            <v>531.88</v>
          </cell>
          <cell r="L140" t="str">
            <v>EUR</v>
          </cell>
          <cell r="M140" t="str">
            <v>2100</v>
          </cell>
        </row>
        <row r="141">
          <cell r="E141" t="str">
            <v>27691/O</v>
          </cell>
          <cell r="F141">
            <v>39255</v>
          </cell>
          <cell r="G141">
            <v>38982</v>
          </cell>
          <cell r="H141" t="str">
            <v>Tête de sonde oxymètre à réparer</v>
          </cell>
          <cell r="I141" t="str">
            <v>ORB</v>
          </cell>
          <cell r="J141" t="str">
            <v>01</v>
          </cell>
          <cell r="K141">
            <v>2930.84</v>
          </cell>
          <cell r="L141" t="str">
            <v>EUR</v>
          </cell>
          <cell r="M141" t="str">
            <v>3022</v>
          </cell>
        </row>
        <row r="142">
          <cell r="E142" t="str">
            <v>84835</v>
          </cell>
          <cell r="F142">
            <v>38841</v>
          </cell>
          <cell r="H142" t="str">
            <v>Digital CO2-Gehaltmer DGM-03 (2)</v>
          </cell>
          <cell r="I142" t="str">
            <v>HAF</v>
          </cell>
          <cell r="J142" t="str">
            <v>01</v>
          </cell>
          <cell r="K142">
            <v>12272.26</v>
          </cell>
          <cell r="L142" t="str">
            <v>EUR</v>
          </cell>
          <cell r="M142" t="str">
            <v>EV049</v>
          </cell>
        </row>
        <row r="143">
          <cell r="E143" t="str">
            <v>89300</v>
          </cell>
          <cell r="F143">
            <v>39001</v>
          </cell>
          <cell r="G143">
            <v>39065</v>
          </cell>
          <cell r="H143" t="str">
            <v>Chargeurs DGM à réparer (3)</v>
          </cell>
          <cell r="I143" t="str">
            <v>HAF</v>
          </cell>
          <cell r="J143" t="str">
            <v>01</v>
          </cell>
          <cell r="K143">
            <v>677.79</v>
          </cell>
          <cell r="L143" t="str">
            <v>EUR</v>
          </cell>
          <cell r="M143" t="str">
            <v>2100</v>
          </cell>
        </row>
        <row r="144">
          <cell r="E144" t="str">
            <v>83920</v>
          </cell>
          <cell r="F144">
            <v>38826</v>
          </cell>
          <cell r="G144">
            <v>38867</v>
          </cell>
          <cell r="H144" t="str">
            <v>Ampoule halogène 20 W 6 V (24)</v>
          </cell>
          <cell r="I144" t="str">
            <v>BBL</v>
          </cell>
          <cell r="J144" t="str">
            <v>01</v>
          </cell>
          <cell r="K144">
            <v>612.79999999999995</v>
          </cell>
          <cell r="L144" t="str">
            <v>EUR</v>
          </cell>
          <cell r="M144" t="str">
            <v>2100</v>
          </cell>
        </row>
        <row r="145">
          <cell r="E145" t="str">
            <v>86827</v>
          </cell>
          <cell r="F145">
            <v>38905</v>
          </cell>
          <cell r="G145">
            <v>38940</v>
          </cell>
          <cell r="H145" t="str">
            <v>Disque amovible 1 Go, 1 Souris Genius</v>
          </cell>
          <cell r="I145" t="str">
            <v>AFR</v>
          </cell>
          <cell r="J145" t="str">
            <v>01</v>
          </cell>
          <cell r="K145">
            <v>1241.82</v>
          </cell>
          <cell r="L145" t="str">
            <v>EUR</v>
          </cell>
          <cell r="M145" t="str">
            <v>2100</v>
          </cell>
        </row>
        <row r="146">
          <cell r="E146" t="str">
            <v>83619</v>
          </cell>
          <cell r="F146">
            <v>38855</v>
          </cell>
          <cell r="G146">
            <v>38982</v>
          </cell>
          <cell r="H146" t="str">
            <v>Adapteur lampe NaE, Burette air col, Bouteilles systèmes</v>
          </cell>
          <cell r="I146" t="str">
            <v>GBL</v>
          </cell>
          <cell r="J146" t="str">
            <v>01</v>
          </cell>
          <cell r="K146">
            <v>4235.05</v>
          </cell>
          <cell r="L146" t="str">
            <v>EUR</v>
          </cell>
          <cell r="M146" t="str">
            <v>2100</v>
          </cell>
        </row>
        <row r="147">
          <cell r="E147" t="str">
            <v>85844</v>
          </cell>
          <cell r="F147">
            <v>39248</v>
          </cell>
          <cell r="G147">
            <v>38910</v>
          </cell>
          <cell r="H147" t="str">
            <v>Gabarits de remplissage (20)</v>
          </cell>
          <cell r="I147" t="str">
            <v>RPA</v>
          </cell>
          <cell r="J147" t="str">
            <v>01</v>
          </cell>
          <cell r="K147">
            <v>264.60000000000002</v>
          </cell>
          <cell r="L147" t="str">
            <v>EUR</v>
          </cell>
          <cell r="M147" t="str">
            <v>2100</v>
          </cell>
        </row>
        <row r="148">
          <cell r="E148" t="str">
            <v>85203</v>
          </cell>
          <cell r="F148">
            <v>38869</v>
          </cell>
          <cell r="G148">
            <v>38960</v>
          </cell>
          <cell r="H148" t="str">
            <v>Abonnement Bière Magazine (2 ans 12 Numéros)</v>
          </cell>
          <cell r="I148" t="str">
            <v>BMG</v>
          </cell>
          <cell r="J148" t="str">
            <v>01</v>
          </cell>
          <cell r="K148">
            <v>520.85</v>
          </cell>
          <cell r="L148" t="str">
            <v>EUR</v>
          </cell>
          <cell r="M148" t="str">
            <v>2201</v>
          </cell>
        </row>
        <row r="149">
          <cell r="E149" t="str">
            <v>83204</v>
          </cell>
          <cell r="F149">
            <v>38800</v>
          </cell>
          <cell r="G149">
            <v>38867</v>
          </cell>
          <cell r="H149" t="str">
            <v>Appareil photo numérique HP Photosmart R8185</v>
          </cell>
          <cell r="I149" t="str">
            <v>LOC</v>
          </cell>
          <cell r="J149" t="str">
            <v>01</v>
          </cell>
          <cell r="L149" t="str">
            <v>CFA</v>
          </cell>
          <cell r="M149" t="str">
            <v>2100</v>
          </cell>
        </row>
        <row r="150">
          <cell r="E150" t="str">
            <v>83197</v>
          </cell>
          <cell r="F150">
            <v>38803</v>
          </cell>
          <cell r="G150">
            <v>38827</v>
          </cell>
          <cell r="H150" t="str">
            <v>Pinces millipore bouts plats XX62 000 06</v>
          </cell>
          <cell r="I150" t="str">
            <v>MLP</v>
          </cell>
          <cell r="J150" t="str">
            <v>01</v>
          </cell>
          <cell r="K150">
            <v>2606.14</v>
          </cell>
          <cell r="L150" t="str">
            <v>EUR</v>
          </cell>
          <cell r="M150" t="str">
            <v>2100</v>
          </cell>
        </row>
        <row r="151">
          <cell r="E151" t="str">
            <v>83339</v>
          </cell>
          <cell r="F151">
            <v>38810</v>
          </cell>
          <cell r="G151">
            <v>38832</v>
          </cell>
          <cell r="H151" t="str">
            <v>Iso-flasks, BU tubes and centrifuges tubes 100 ml</v>
          </cell>
          <cell r="I151" t="str">
            <v>HLS</v>
          </cell>
          <cell r="J151" t="str">
            <v>01</v>
          </cell>
          <cell r="K151">
            <v>608.75</v>
          </cell>
          <cell r="L151" t="str">
            <v>EUR</v>
          </cell>
          <cell r="M151" t="str">
            <v>2100</v>
          </cell>
        </row>
        <row r="152">
          <cell r="E152" t="str">
            <v>83511</v>
          </cell>
          <cell r="F152">
            <v>38811</v>
          </cell>
          <cell r="G152">
            <v>38210</v>
          </cell>
          <cell r="H152" t="str">
            <v>Abonnement Bière Magazine (2 ans 12 Numéros)</v>
          </cell>
          <cell r="I152" t="str">
            <v>BMG</v>
          </cell>
          <cell r="J152" t="str">
            <v>01</v>
          </cell>
          <cell r="K152">
            <v>134.99</v>
          </cell>
          <cell r="L152" t="str">
            <v>EUR</v>
          </cell>
          <cell r="M152" t="str">
            <v>2201</v>
          </cell>
        </row>
        <row r="153">
          <cell r="E153" t="str">
            <v>31827/P</v>
          </cell>
          <cell r="F153">
            <v>38813</v>
          </cell>
          <cell r="G153">
            <v>38903</v>
          </cell>
          <cell r="H153" t="str">
            <v/>
          </cell>
          <cell r="I153" t="str">
            <v>BBL</v>
          </cell>
          <cell r="J153" t="str">
            <v>01</v>
          </cell>
          <cell r="K153">
            <v>4529.4799999999996</v>
          </cell>
          <cell r="L153" t="str">
            <v>EUR</v>
          </cell>
          <cell r="M153" t="str">
            <v>2100</v>
          </cell>
        </row>
        <row r="154">
          <cell r="E154" t="str">
            <v>83175</v>
          </cell>
          <cell r="F154" t="str">
            <v>27/03/06</v>
          </cell>
          <cell r="G154">
            <v>38819</v>
          </cell>
          <cell r="H154" t="str">
            <v>Liquide fumigène pour testeur de filtres 250 ml</v>
          </cell>
          <cell r="I154" t="str">
            <v>CPM</v>
          </cell>
          <cell r="J154" t="str">
            <v>01</v>
          </cell>
          <cell r="K154">
            <v>5583.89</v>
          </cell>
          <cell r="L154" t="str">
            <v>EUR</v>
          </cell>
          <cell r="M154" t="str">
            <v>2100</v>
          </cell>
        </row>
        <row r="155">
          <cell r="E155" t="str">
            <v>83193</v>
          </cell>
          <cell r="F155" t="str">
            <v>05/04/06</v>
          </cell>
          <cell r="G155">
            <v>38847</v>
          </cell>
          <cell r="H155" t="str">
            <v>Appareils de Buse (3)</v>
          </cell>
          <cell r="I155" t="str">
            <v>BUS</v>
          </cell>
          <cell r="J155" t="str">
            <v>01</v>
          </cell>
          <cell r="K155">
            <v>2774.4</v>
          </cell>
          <cell r="L155" t="str">
            <v>EUR</v>
          </cell>
          <cell r="M155" t="str">
            <v>2100</v>
          </cell>
        </row>
        <row r="156">
          <cell r="E156" t="str">
            <v>83520</v>
          </cell>
          <cell r="F156">
            <v>38811</v>
          </cell>
          <cell r="G156">
            <v>39015</v>
          </cell>
          <cell r="H156" t="str">
            <v>Matériels de laboratoire</v>
          </cell>
          <cell r="I156" t="str">
            <v>VWR</v>
          </cell>
          <cell r="J156" t="str">
            <v>01</v>
          </cell>
          <cell r="K156">
            <v>13463.6</v>
          </cell>
          <cell r="L156" t="str">
            <v>EUR</v>
          </cell>
          <cell r="M156" t="str">
            <v>2100</v>
          </cell>
        </row>
        <row r="157">
          <cell r="E157" t="str">
            <v>83222</v>
          </cell>
          <cell r="F157">
            <v>38447</v>
          </cell>
          <cell r="G157">
            <v>38940</v>
          </cell>
          <cell r="H157" t="str">
            <v>HNO3, BaCl2, Fortuna, CaCl2,NaOH,NaHCO3</v>
          </cell>
          <cell r="I157" t="str">
            <v>HUM</v>
          </cell>
          <cell r="J157" t="str">
            <v>01</v>
          </cell>
          <cell r="K157">
            <v>4605.87</v>
          </cell>
          <cell r="L157" t="str">
            <v>EUR</v>
          </cell>
          <cell r="M157" t="str">
            <v>2100</v>
          </cell>
        </row>
        <row r="158">
          <cell r="E158" t="str">
            <v>83214</v>
          </cell>
          <cell r="F158">
            <v>38803</v>
          </cell>
          <cell r="G158">
            <v>38827</v>
          </cell>
          <cell r="H158" t="str">
            <v>Genbox générateurs et indicateurs d'anaérobiose</v>
          </cell>
          <cell r="I158" t="str">
            <v>BIO</v>
          </cell>
          <cell r="J158" t="str">
            <v>01</v>
          </cell>
          <cell r="K158">
            <v>8017.08</v>
          </cell>
          <cell r="L158" t="str">
            <v>EUR</v>
          </cell>
          <cell r="M158" t="str">
            <v>2100</v>
          </cell>
        </row>
        <row r="159">
          <cell r="G159">
            <v>38841</v>
          </cell>
          <cell r="H159" t="str">
            <v>Pompe Minimax</v>
          </cell>
          <cell r="I159" t="str">
            <v>ANT</v>
          </cell>
          <cell r="J159" t="str">
            <v>01</v>
          </cell>
          <cell r="K159">
            <v>50316</v>
          </cell>
          <cell r="L159" t="str">
            <v>CFA</v>
          </cell>
          <cell r="M159" t="str">
            <v>EV046</v>
          </cell>
        </row>
        <row r="160">
          <cell r="E160" t="str">
            <v>83837</v>
          </cell>
          <cell r="F160">
            <v>38819</v>
          </cell>
          <cell r="G160">
            <v>38867</v>
          </cell>
          <cell r="H160" t="str">
            <v>Sample bags for CO2 analyses CAS (12)</v>
          </cell>
          <cell r="I160" t="str">
            <v>HAF</v>
          </cell>
          <cell r="J160" t="str">
            <v>01</v>
          </cell>
          <cell r="K160">
            <v>5197.5</v>
          </cell>
          <cell r="L160" t="str">
            <v>EUR</v>
          </cell>
          <cell r="M160" t="str">
            <v>2100</v>
          </cell>
        </row>
        <row r="161">
          <cell r="E161" t="str">
            <v>85200</v>
          </cell>
          <cell r="F161">
            <v>38884</v>
          </cell>
          <cell r="H161" t="str">
            <v>Réparation d'un boîtier de pH mètre CG 837 SN 256446</v>
          </cell>
          <cell r="I161" t="str">
            <v>VWR</v>
          </cell>
          <cell r="J161" t="str">
            <v>01</v>
          </cell>
          <cell r="M161" t="str">
            <v>3022</v>
          </cell>
        </row>
        <row r="162">
          <cell r="E162" t="str">
            <v>86361</v>
          </cell>
          <cell r="F162">
            <v>38891</v>
          </cell>
          <cell r="G162">
            <v>38940</v>
          </cell>
          <cell r="H162" t="str">
            <v>Réparation sondes orbisphere SN 38777 et 38245</v>
          </cell>
          <cell r="I162" t="str">
            <v>ORB</v>
          </cell>
          <cell r="J162" t="str">
            <v>01</v>
          </cell>
          <cell r="K162">
            <v>531.88</v>
          </cell>
          <cell r="L162" t="str">
            <v>EUR</v>
          </cell>
          <cell r="M162" t="str">
            <v>3022</v>
          </cell>
        </row>
        <row r="163">
          <cell r="E163" t="str">
            <v>27691/O</v>
          </cell>
          <cell r="F163">
            <v>39255</v>
          </cell>
          <cell r="G163">
            <v>38982</v>
          </cell>
          <cell r="H163" t="str">
            <v>Réparation d'un boîtier de pH mètre CG 837 SN 257372</v>
          </cell>
          <cell r="I163" t="str">
            <v>VWR</v>
          </cell>
          <cell r="J163" t="str">
            <v>01</v>
          </cell>
          <cell r="K163">
            <v>2930.84</v>
          </cell>
          <cell r="L163" t="str">
            <v>EUR</v>
          </cell>
          <cell r="M163" t="str">
            <v>3022</v>
          </cell>
        </row>
        <row r="164">
          <cell r="E164" t="str">
            <v>82520</v>
          </cell>
          <cell r="F164">
            <v>38802</v>
          </cell>
          <cell r="G164">
            <v>38819</v>
          </cell>
          <cell r="H164" t="str">
            <v>Digital CO2-Gehaltmer DGM-03 (2)</v>
          </cell>
          <cell r="I164" t="str">
            <v>HAF</v>
          </cell>
          <cell r="J164" t="str">
            <v>01</v>
          </cell>
          <cell r="K164">
            <v>12272.26</v>
          </cell>
          <cell r="L164" t="str">
            <v>EUR</v>
          </cell>
          <cell r="M164" t="str">
            <v>EV049</v>
          </cell>
        </row>
        <row r="165">
          <cell r="E165" t="str">
            <v>82693</v>
          </cell>
          <cell r="F165">
            <v>38783</v>
          </cell>
          <cell r="G165">
            <v>38867</v>
          </cell>
          <cell r="H165" t="str">
            <v>Porte filtres 90 mm + lunettes et cartouches de sécurité</v>
          </cell>
          <cell r="I165" t="str">
            <v>GRS</v>
          </cell>
          <cell r="J165" t="str">
            <v>01</v>
          </cell>
          <cell r="K165">
            <v>8456.34</v>
          </cell>
          <cell r="L165" t="str">
            <v>EUR</v>
          </cell>
          <cell r="M165" t="str">
            <v>2100</v>
          </cell>
        </row>
        <row r="166">
          <cell r="E166" t="str">
            <v>83920</v>
          </cell>
          <cell r="F166">
            <v>38826</v>
          </cell>
          <cell r="G166">
            <v>38867</v>
          </cell>
          <cell r="H166" t="str">
            <v>Colorimètre Lovibond 3000 (1)</v>
          </cell>
          <cell r="I166" t="str">
            <v>CIF</v>
          </cell>
          <cell r="J166" t="str">
            <v>01</v>
          </cell>
          <cell r="K166">
            <v>4536.09</v>
          </cell>
          <cell r="L166" t="str">
            <v>EUR</v>
          </cell>
          <cell r="M166" t="str">
            <v>EV050</v>
          </cell>
        </row>
        <row r="167">
          <cell r="E167" t="str">
            <v>83428</v>
          </cell>
          <cell r="F167">
            <v>38806</v>
          </cell>
          <cell r="G167">
            <v>38847</v>
          </cell>
          <cell r="H167" t="str">
            <v>Disque amovible 1 Go, 1 Souris Genius</v>
          </cell>
          <cell r="I167" t="str">
            <v>AFR</v>
          </cell>
          <cell r="J167" t="str">
            <v>01</v>
          </cell>
          <cell r="K167">
            <v>4292.9799999999996</v>
          </cell>
          <cell r="L167" t="str">
            <v>EUR</v>
          </cell>
          <cell r="M167" t="str">
            <v>2100</v>
          </cell>
        </row>
        <row r="168">
          <cell r="E168" t="str">
            <v>83619</v>
          </cell>
          <cell r="F168">
            <v>38855</v>
          </cell>
          <cell r="G168">
            <v>38827</v>
          </cell>
          <cell r="H168" t="str">
            <v>Stagmomètre digital (2) + tubes</v>
          </cell>
          <cell r="I168" t="str">
            <v>SPR</v>
          </cell>
          <cell r="J168" t="str">
            <v>01</v>
          </cell>
          <cell r="K168">
            <v>2860.3</v>
          </cell>
          <cell r="L168" t="str">
            <v>EUR</v>
          </cell>
          <cell r="M168" t="str">
            <v>EV056</v>
          </cell>
        </row>
        <row r="169">
          <cell r="E169" t="str">
            <v>82862</v>
          </cell>
          <cell r="F169">
            <v>39248</v>
          </cell>
          <cell r="G169">
            <v>38930</v>
          </cell>
          <cell r="H169" t="str">
            <v>Etuve bactériologique BE 30 à 70 °C</v>
          </cell>
          <cell r="I169" t="str">
            <v>HUM</v>
          </cell>
          <cell r="J169" t="str">
            <v>01</v>
          </cell>
          <cell r="K169">
            <v>4661.37</v>
          </cell>
          <cell r="L169" t="str">
            <v>EUR</v>
          </cell>
          <cell r="M169" t="str">
            <v>EV052</v>
          </cell>
        </row>
        <row r="170">
          <cell r="E170" t="str">
            <v>82864</v>
          </cell>
          <cell r="F170">
            <v>38789</v>
          </cell>
          <cell r="G170">
            <v>38819</v>
          </cell>
          <cell r="H170" t="str">
            <v>Digital gehaltmeter DGM-03 (2)</v>
          </cell>
          <cell r="I170" t="str">
            <v>HAF</v>
          </cell>
          <cell r="J170" t="str">
            <v>01</v>
          </cell>
          <cell r="K170">
            <v>12387.56</v>
          </cell>
          <cell r="L170" t="str">
            <v>EUR</v>
          </cell>
          <cell r="M170" t="str">
            <v>EV049</v>
          </cell>
        </row>
        <row r="171">
          <cell r="E171" t="str">
            <v>83614</v>
          </cell>
          <cell r="F171">
            <v>38819</v>
          </cell>
          <cell r="G171">
            <v>38867</v>
          </cell>
          <cell r="H171" t="str">
            <v>Balance Mettler Toledo PB4002-s/fact</v>
          </cell>
          <cell r="I171" t="str">
            <v>MTL</v>
          </cell>
          <cell r="J171" t="str">
            <v>01</v>
          </cell>
          <cell r="K171">
            <v>4786.22</v>
          </cell>
          <cell r="L171" t="str">
            <v>EUR</v>
          </cell>
          <cell r="M171" t="str">
            <v>2100</v>
          </cell>
        </row>
        <row r="172">
          <cell r="E172" t="str">
            <v>83377</v>
          </cell>
          <cell r="F172">
            <v>38803</v>
          </cell>
          <cell r="G172">
            <v>38854</v>
          </cell>
          <cell r="H172" t="str">
            <v>Dew point tester DPT</v>
          </cell>
          <cell r="I172" t="str">
            <v>HAF</v>
          </cell>
          <cell r="J172" t="str">
            <v>01</v>
          </cell>
          <cell r="K172">
            <v>1191.95</v>
          </cell>
          <cell r="L172" t="str">
            <v>EUR</v>
          </cell>
          <cell r="M172" t="str">
            <v>2100</v>
          </cell>
        </row>
        <row r="173">
          <cell r="E173" t="str">
            <v>4123</v>
          </cell>
          <cell r="F173">
            <v>38840</v>
          </cell>
          <cell r="G173">
            <v>38867</v>
          </cell>
          <cell r="H173" t="str">
            <v>Moca 3600 version process (2) + rallonge 25 m</v>
          </cell>
          <cell r="I173" t="str">
            <v>ORB</v>
          </cell>
          <cell r="J173" t="str">
            <v>01</v>
          </cell>
          <cell r="K173">
            <v>29253.759999999998</v>
          </cell>
          <cell r="L173" t="str">
            <v>EUR</v>
          </cell>
          <cell r="M173" t="str">
            <v>EV045</v>
          </cell>
        </row>
        <row r="174">
          <cell r="E174" t="str">
            <v>4041</v>
          </cell>
          <cell r="F174">
            <v>38791</v>
          </cell>
          <cell r="G174">
            <v>38819</v>
          </cell>
          <cell r="H174" t="str">
            <v>Système portable Micro Logger</v>
          </cell>
          <cell r="I174" t="str">
            <v>ORB</v>
          </cell>
          <cell r="J174" t="str">
            <v>06</v>
          </cell>
          <cell r="K174">
            <v>33564.25</v>
          </cell>
          <cell r="L174" t="str">
            <v>EUR</v>
          </cell>
          <cell r="M174" t="str">
            <v>EV044</v>
          </cell>
        </row>
        <row r="175">
          <cell r="E175" t="str">
            <v>82860</v>
          </cell>
          <cell r="F175">
            <v>38790</v>
          </cell>
          <cell r="G175">
            <v>38903</v>
          </cell>
          <cell r="H175" t="str">
            <v>Ballon Carlsberg 25 litres</v>
          </cell>
          <cell r="I175" t="str">
            <v>SBR</v>
          </cell>
          <cell r="J175" t="str">
            <v>04</v>
          </cell>
          <cell r="K175">
            <v>4559.1000000000004</v>
          </cell>
          <cell r="L175" t="str">
            <v>EUR</v>
          </cell>
          <cell r="M175" t="str">
            <v>EV043</v>
          </cell>
        </row>
        <row r="176">
          <cell r="E176" t="str">
            <v>308917</v>
          </cell>
          <cell r="F176">
            <v>34642</v>
          </cell>
          <cell r="G176">
            <v>34691</v>
          </cell>
          <cell r="H176" t="str">
            <v>Connection nozzles + syringes DMA 48</v>
          </cell>
          <cell r="I176" t="str">
            <v>PAA</v>
          </cell>
          <cell r="J176" t="str">
            <v>01</v>
          </cell>
          <cell r="K176">
            <v>1620.71</v>
          </cell>
          <cell r="L176" t="str">
            <v>FRF</v>
          </cell>
          <cell r="M176" t="str">
            <v>2100</v>
          </cell>
        </row>
        <row r="177">
          <cell r="E177" t="str">
            <v>313500</v>
          </cell>
          <cell r="F177">
            <v>35128</v>
          </cell>
          <cell r="G177">
            <v>35219</v>
          </cell>
          <cell r="H177" t="str">
            <v>Rechanges DMA</v>
          </cell>
          <cell r="I177" t="str">
            <v>PAA</v>
          </cell>
          <cell r="J177" t="str">
            <v>01</v>
          </cell>
          <cell r="K177">
            <v>4301.58</v>
          </cell>
          <cell r="L177" t="str">
            <v>FRF</v>
          </cell>
          <cell r="M177" t="str">
            <v>2000</v>
          </cell>
        </row>
        <row r="178">
          <cell r="E178" t="str">
            <v>83789</v>
          </cell>
          <cell r="F178">
            <v>38820</v>
          </cell>
          <cell r="G178">
            <v>38847</v>
          </cell>
          <cell r="H178" t="str">
            <v>Matériels de laboratoire</v>
          </cell>
          <cell r="I178" t="str">
            <v>VWR</v>
          </cell>
          <cell r="J178" t="str">
            <v>01</v>
          </cell>
          <cell r="K178">
            <v>13463.6</v>
          </cell>
          <cell r="L178" t="str">
            <v>EUR</v>
          </cell>
          <cell r="M178" t="str">
            <v>2100</v>
          </cell>
        </row>
        <row r="179">
          <cell r="E179" t="str">
            <v>25987/O</v>
          </cell>
          <cell r="F179">
            <v>38799</v>
          </cell>
          <cell r="G179">
            <v>38929</v>
          </cell>
          <cell r="H179" t="str">
            <v>Réparation d'un cryoplonger Huber</v>
          </cell>
          <cell r="I179" t="str">
            <v>AVT</v>
          </cell>
          <cell r="J179" t="str">
            <v>05</v>
          </cell>
          <cell r="K179">
            <v>4605.87</v>
          </cell>
          <cell r="L179" t="str">
            <v>EUR</v>
          </cell>
          <cell r="M179" t="str">
            <v>3022</v>
          </cell>
        </row>
        <row r="180">
          <cell r="E180" t="str">
            <v>84052</v>
          </cell>
          <cell r="F180">
            <v>38828</v>
          </cell>
          <cell r="G180">
            <v>38868</v>
          </cell>
          <cell r="H180" t="str">
            <v>Réparation DGM-81324</v>
          </cell>
          <cell r="I180" t="str">
            <v>HAF</v>
          </cell>
          <cell r="J180" t="str">
            <v>01</v>
          </cell>
          <cell r="K180">
            <v>1510.38</v>
          </cell>
          <cell r="L180" t="str">
            <v>EUR</v>
          </cell>
          <cell r="M180" t="str">
            <v>2100</v>
          </cell>
        </row>
        <row r="181">
          <cell r="E181" t="str">
            <v>82046</v>
          </cell>
          <cell r="F181">
            <v>38762</v>
          </cell>
          <cell r="G181">
            <v>38799</v>
          </cell>
          <cell r="H181" t="str">
            <v>Pompe Minimax</v>
          </cell>
          <cell r="I181" t="str">
            <v>ANT</v>
          </cell>
          <cell r="J181" t="str">
            <v>01</v>
          </cell>
          <cell r="K181">
            <v>1435.88</v>
          </cell>
          <cell r="L181" t="str">
            <v>EUR</v>
          </cell>
          <cell r="M181" t="str">
            <v>EV046</v>
          </cell>
        </row>
        <row r="182">
          <cell r="E182" t="str">
            <v>81915</v>
          </cell>
          <cell r="F182">
            <v>38758</v>
          </cell>
          <cell r="G182">
            <v>38867</v>
          </cell>
          <cell r="H182" t="str">
            <v>TTC 0,05 (36), T7 0,2 (36), TTC 0,2 (36)</v>
          </cell>
          <cell r="I182" t="str">
            <v>DPA</v>
          </cell>
          <cell r="J182" t="str">
            <v>01</v>
          </cell>
          <cell r="K182">
            <v>246.35</v>
          </cell>
          <cell r="L182" t="str">
            <v>EUR</v>
          </cell>
          <cell r="M182" t="str">
            <v>2100</v>
          </cell>
        </row>
        <row r="183">
          <cell r="E183" t="str">
            <v>81887</v>
          </cell>
          <cell r="F183" t="str">
            <v>08/02/06</v>
          </cell>
          <cell r="G183">
            <v>38799</v>
          </cell>
          <cell r="H183" t="str">
            <v>Réparation d'un boîtier de pH mètre CG 837 SN 256446</v>
          </cell>
          <cell r="I183" t="str">
            <v>VWR</v>
          </cell>
          <cell r="J183" t="str">
            <v>01</v>
          </cell>
          <cell r="M183" t="str">
            <v>2100</v>
          </cell>
        </row>
        <row r="184">
          <cell r="E184" t="str">
            <v>80172</v>
          </cell>
          <cell r="F184">
            <v>38691</v>
          </cell>
          <cell r="G184">
            <v>38758</v>
          </cell>
          <cell r="H184" t="str">
            <v>Réparation sondes orbisphere SN 38777 et 38245</v>
          </cell>
          <cell r="I184" t="str">
            <v>ORB</v>
          </cell>
          <cell r="J184" t="str">
            <v>01</v>
          </cell>
          <cell r="L184" t="str">
            <v>EUR</v>
          </cell>
          <cell r="M184" t="str">
            <v>3022</v>
          </cell>
        </row>
        <row r="185">
          <cell r="E185" t="str">
            <v>81803</v>
          </cell>
          <cell r="F185">
            <v>38755</v>
          </cell>
          <cell r="G185">
            <v>38799</v>
          </cell>
          <cell r="H185" t="str">
            <v>Réparation d'un boîtier de pH mètre CG 837 SN 257372</v>
          </cell>
          <cell r="I185" t="str">
            <v>VWR</v>
          </cell>
          <cell r="J185" t="str">
            <v>01</v>
          </cell>
          <cell r="L185" t="str">
            <v>EUR</v>
          </cell>
          <cell r="M185" t="str">
            <v>3022</v>
          </cell>
        </row>
        <row r="186">
          <cell r="E186" t="str">
            <v>82520</v>
          </cell>
          <cell r="F186">
            <v>38802</v>
          </cell>
          <cell r="G186">
            <v>38672</v>
          </cell>
          <cell r="H186" t="str">
            <v>Fauteuil de bureau pour JPZ</v>
          </cell>
          <cell r="I186" t="str">
            <v>LAV</v>
          </cell>
          <cell r="J186" t="str">
            <v>01</v>
          </cell>
          <cell r="K186">
            <v>207.38</v>
          </cell>
          <cell r="L186" t="str">
            <v>EUR</v>
          </cell>
          <cell r="M186" t="str">
            <v>2201</v>
          </cell>
        </row>
        <row r="187">
          <cell r="E187" t="str">
            <v>82693</v>
          </cell>
          <cell r="F187">
            <v>38783</v>
          </cell>
          <cell r="G187">
            <v>38665</v>
          </cell>
          <cell r="H187" t="str">
            <v>Résolution de problèmes (4)</v>
          </cell>
          <cell r="I187" t="str">
            <v>LAV</v>
          </cell>
          <cell r="J187" t="str">
            <v>01</v>
          </cell>
          <cell r="K187">
            <v>8456.34</v>
          </cell>
          <cell r="L187" t="str">
            <v>EUR</v>
          </cell>
          <cell r="M187" t="str">
            <v>2201</v>
          </cell>
        </row>
        <row r="188">
          <cell r="G188">
            <v>38708</v>
          </cell>
          <cell r="H188" t="str">
            <v>Colorimètre Lovibond 3000 (1)</v>
          </cell>
          <cell r="I188" t="str">
            <v>CIF</v>
          </cell>
          <cell r="J188" t="str">
            <v>01</v>
          </cell>
          <cell r="K188">
            <v>4536.09</v>
          </cell>
          <cell r="L188" t="str">
            <v>EUR</v>
          </cell>
          <cell r="M188" t="str">
            <v>EV050</v>
          </cell>
        </row>
        <row r="189">
          <cell r="E189" t="str">
            <v>83428</v>
          </cell>
          <cell r="F189">
            <v>38806</v>
          </cell>
          <cell r="G189">
            <v>38847</v>
          </cell>
          <cell r="H189" t="str">
            <v>Réparation sondes Ebro (2) SN 10132875 et SN 10132876</v>
          </cell>
          <cell r="I189" t="str">
            <v>EBI</v>
          </cell>
          <cell r="J189" t="str">
            <v>01</v>
          </cell>
          <cell r="K189">
            <v>4292.9799999999996</v>
          </cell>
          <cell r="L189" t="str">
            <v>EUR</v>
          </cell>
          <cell r="M189" t="str">
            <v>3022</v>
          </cell>
        </row>
        <row r="190">
          <cell r="G190">
            <v>38708</v>
          </cell>
          <cell r="H190" t="str">
            <v>Les stations de pompage de l'eau</v>
          </cell>
          <cell r="I190" t="str">
            <v>LAV</v>
          </cell>
          <cell r="J190" t="str">
            <v>01</v>
          </cell>
          <cell r="K190">
            <v>150.16</v>
          </cell>
          <cell r="L190" t="str">
            <v>EUR</v>
          </cell>
          <cell r="M190" t="str">
            <v>2201</v>
          </cell>
        </row>
        <row r="191">
          <cell r="E191" t="str">
            <v>82862</v>
          </cell>
          <cell r="G191">
            <v>38673</v>
          </cell>
          <cell r="H191" t="str">
            <v>Mémento technique de l'eau</v>
          </cell>
          <cell r="I191" t="str">
            <v>LAV</v>
          </cell>
          <cell r="J191" t="str">
            <v>01</v>
          </cell>
          <cell r="K191">
            <v>354.38</v>
          </cell>
          <cell r="L191" t="str">
            <v>EUR</v>
          </cell>
          <cell r="M191" t="str">
            <v>2201</v>
          </cell>
        </row>
        <row r="192">
          <cell r="E192" t="str">
            <v>82864</v>
          </cell>
          <cell r="F192">
            <v>38789</v>
          </cell>
          <cell r="G192">
            <v>38736</v>
          </cell>
          <cell r="H192" t="str">
            <v>Rechanges débitmètre Gilmont : tubes, coupleurs, raccords</v>
          </cell>
          <cell r="I192" t="str">
            <v>BBL</v>
          </cell>
          <cell r="J192" t="str">
            <v>01</v>
          </cell>
          <cell r="K192">
            <v>12387.56</v>
          </cell>
          <cell r="L192" t="str">
            <v>EUR</v>
          </cell>
          <cell r="M192" t="str">
            <v>2100</v>
          </cell>
        </row>
        <row r="193">
          <cell r="E193" t="str">
            <v>83614</v>
          </cell>
          <cell r="F193">
            <v>38819</v>
          </cell>
          <cell r="G193">
            <v>38681</v>
          </cell>
          <cell r="H193" t="str">
            <v>Endo agar, Pipettes Pasteur</v>
          </cell>
          <cell r="I193" t="str">
            <v>DPA</v>
          </cell>
          <cell r="J193" t="str">
            <v>01</v>
          </cell>
          <cell r="K193">
            <v>4786.22</v>
          </cell>
          <cell r="L193" t="str">
            <v>EUR</v>
          </cell>
          <cell r="M193" t="str">
            <v>2100</v>
          </cell>
        </row>
        <row r="194">
          <cell r="E194" t="str">
            <v>78542</v>
          </cell>
          <cell r="F194">
            <v>38629</v>
          </cell>
          <cell r="G194">
            <v>38854</v>
          </cell>
          <cell r="H194" t="str">
            <v>Dew point tester DPT</v>
          </cell>
          <cell r="I194" t="str">
            <v>HAF</v>
          </cell>
          <cell r="J194" t="str">
            <v>01</v>
          </cell>
          <cell r="K194">
            <v>1191.95</v>
          </cell>
          <cell r="L194" t="str">
            <v>EUR</v>
          </cell>
          <cell r="M194" t="str">
            <v>EV047</v>
          </cell>
        </row>
        <row r="195">
          <cell r="E195" t="str">
            <v>4123</v>
          </cell>
          <cell r="F195">
            <v>38840</v>
          </cell>
          <cell r="G195">
            <v>38743</v>
          </cell>
          <cell r="H195" t="str">
            <v>Produits de laboratoire</v>
          </cell>
          <cell r="I195" t="str">
            <v>VWR</v>
          </cell>
          <cell r="J195" t="str">
            <v>01</v>
          </cell>
          <cell r="K195">
            <v>12307.92</v>
          </cell>
          <cell r="L195" t="str">
            <v>EUR</v>
          </cell>
          <cell r="M195" t="str">
            <v>2100</v>
          </cell>
        </row>
        <row r="196">
          <cell r="E196" t="str">
            <v>82614</v>
          </cell>
          <cell r="F196">
            <v>38783</v>
          </cell>
          <cell r="G196">
            <v>38819</v>
          </cell>
          <cell r="H196" t="str">
            <v>Matériels de labo : Papier filtre Whatman GF/C; cuvettes spectro</v>
          </cell>
          <cell r="I196" t="str">
            <v>OSI</v>
          </cell>
          <cell r="J196" t="str">
            <v>01</v>
          </cell>
          <cell r="K196">
            <v>1316.19</v>
          </cell>
          <cell r="L196" t="str">
            <v>EUR</v>
          </cell>
          <cell r="M196" t="str">
            <v>2100</v>
          </cell>
        </row>
        <row r="197">
          <cell r="E197" t="str">
            <v>82616</v>
          </cell>
          <cell r="F197">
            <v>38791</v>
          </cell>
          <cell r="H197" t="str">
            <v>Matériels de labo : Papier filtre Whatman GF/C; cuvettes spectro</v>
          </cell>
          <cell r="I197" t="str">
            <v>OSI</v>
          </cell>
          <cell r="J197" t="str">
            <v>01</v>
          </cell>
          <cell r="K197">
            <v>1255.24</v>
          </cell>
          <cell r="L197" t="str">
            <v>EUR</v>
          </cell>
          <cell r="M197" t="str">
            <v>2100</v>
          </cell>
        </row>
        <row r="198">
          <cell r="E198" t="str">
            <v>80942</v>
          </cell>
          <cell r="F198">
            <v>38726</v>
          </cell>
          <cell r="G198">
            <v>38791</v>
          </cell>
          <cell r="H198" t="str">
            <v>Membranes stériles et non stériles ; joints plats PTFE</v>
          </cell>
          <cell r="I198" t="str">
            <v>STR</v>
          </cell>
          <cell r="J198" t="str">
            <v>01</v>
          </cell>
          <cell r="K198">
            <v>5263.29</v>
          </cell>
          <cell r="L198" t="str">
            <v>EUR</v>
          </cell>
          <cell r="M198" t="str">
            <v>2100</v>
          </cell>
        </row>
        <row r="199">
          <cell r="E199" t="str">
            <v>313500</v>
          </cell>
          <cell r="F199">
            <v>35128</v>
          </cell>
          <cell r="G199">
            <v>35219</v>
          </cell>
          <cell r="H199" t="str">
            <v>Epreuve d'autoclaves 11, 13, 06, 01</v>
          </cell>
          <cell r="I199" t="str">
            <v>YDR</v>
          </cell>
          <cell r="J199" t="str">
            <v>01</v>
          </cell>
          <cell r="K199">
            <v>4301.58</v>
          </cell>
          <cell r="L199" t="str">
            <v>FRF</v>
          </cell>
          <cell r="M199" t="str">
            <v>3300</v>
          </cell>
        </row>
        <row r="200">
          <cell r="E200" t="str">
            <v>78142</v>
          </cell>
          <cell r="F200">
            <v>38611</v>
          </cell>
          <cell r="G200">
            <v>38651</v>
          </cell>
          <cell r="H200" t="str">
            <v>Bouteilles à prélèvement (500)</v>
          </cell>
          <cell r="I200" t="str">
            <v>GBL</v>
          </cell>
          <cell r="J200" t="str">
            <v>01</v>
          </cell>
          <cell r="K200">
            <v>1634.32</v>
          </cell>
          <cell r="L200" t="str">
            <v>EUR</v>
          </cell>
          <cell r="M200" t="str">
            <v>2100</v>
          </cell>
        </row>
        <row r="201">
          <cell r="E201" t="str">
            <v>79440</v>
          </cell>
          <cell r="F201">
            <v>38665</v>
          </cell>
          <cell r="G201">
            <v>38791</v>
          </cell>
          <cell r="H201" t="str">
            <v>Enregistreur 6 canaux (4)</v>
          </cell>
          <cell r="I201" t="str">
            <v>CHS</v>
          </cell>
          <cell r="J201" t="str">
            <v>01</v>
          </cell>
          <cell r="K201">
            <v>12161.52</v>
          </cell>
          <cell r="L201" t="str">
            <v>EUR</v>
          </cell>
          <cell r="M201" t="str">
            <v>3022</v>
          </cell>
        </row>
        <row r="202">
          <cell r="E202" t="str">
            <v>84052</v>
          </cell>
          <cell r="F202">
            <v>38828</v>
          </cell>
          <cell r="G202">
            <v>38868</v>
          </cell>
          <cell r="H202" t="str">
            <v>Enregistreur 6 canaux (4)</v>
          </cell>
          <cell r="I202" t="str">
            <v>BBL</v>
          </cell>
          <cell r="J202" t="str">
            <v>01</v>
          </cell>
          <cell r="K202">
            <v>14228.8</v>
          </cell>
          <cell r="L202" t="str">
            <v>EUR</v>
          </cell>
          <cell r="M202" t="str">
            <v>DV036</v>
          </cell>
        </row>
        <row r="203">
          <cell r="E203" t="str">
            <v>78526</v>
          </cell>
          <cell r="F203">
            <v>38628</v>
          </cell>
          <cell r="G203">
            <v>38708</v>
          </cell>
          <cell r="H203" t="str">
            <v>Gauge calibration device (1)</v>
          </cell>
          <cell r="I203" t="str">
            <v>HAF</v>
          </cell>
          <cell r="J203" t="str">
            <v>01</v>
          </cell>
          <cell r="K203">
            <v>1816.79</v>
          </cell>
          <cell r="L203" t="str">
            <v>EUR</v>
          </cell>
          <cell r="M203" t="str">
            <v>2100</v>
          </cell>
        </row>
        <row r="204">
          <cell r="E204" t="str">
            <v>78737</v>
          </cell>
          <cell r="F204">
            <v>38636</v>
          </cell>
          <cell r="G204">
            <v>38757</v>
          </cell>
          <cell r="H204" t="str">
            <v>TTC 0,05 (36), T7 0,2 (36), TTC 0,2 (36)</v>
          </cell>
          <cell r="I204" t="str">
            <v>DPA</v>
          </cell>
          <cell r="J204" t="str">
            <v>01</v>
          </cell>
          <cell r="K204">
            <v>246.35</v>
          </cell>
          <cell r="L204" t="str">
            <v>EUR</v>
          </cell>
          <cell r="M204" t="str">
            <v>2100</v>
          </cell>
        </row>
        <row r="205">
          <cell r="E205" t="str">
            <v>78441</v>
          </cell>
          <cell r="F205">
            <v>38628</v>
          </cell>
          <cell r="G205">
            <v>38799</v>
          </cell>
          <cell r="H205" t="str">
            <v>Rechanges DGM, GCD, SDA</v>
          </cell>
          <cell r="I205" t="str">
            <v>HAF</v>
          </cell>
          <cell r="J205" t="str">
            <v>01</v>
          </cell>
          <cell r="K205">
            <v>5846.3</v>
          </cell>
          <cell r="L205" t="str">
            <v>EUR</v>
          </cell>
          <cell r="M205" t="str">
            <v>2100</v>
          </cell>
        </row>
        <row r="206">
          <cell r="E206" t="str">
            <v>77112</v>
          </cell>
          <cell r="F206">
            <v>38594</v>
          </cell>
          <cell r="G206">
            <v>38678</v>
          </cell>
          <cell r="H206" t="str">
            <v>Pressure gauge (36), piercing needle (12), Whitey valve (12)</v>
          </cell>
          <cell r="I206" t="str">
            <v>CRB</v>
          </cell>
          <cell r="J206" t="str">
            <v>01</v>
          </cell>
          <cell r="K206">
            <v>12789</v>
          </cell>
          <cell r="L206" t="str">
            <v>EUR</v>
          </cell>
          <cell r="M206" t="str">
            <v>2100</v>
          </cell>
        </row>
        <row r="207">
          <cell r="E207" t="str">
            <v>77500</v>
          </cell>
          <cell r="F207">
            <v>38594</v>
          </cell>
          <cell r="G207">
            <v>38651</v>
          </cell>
          <cell r="H207" t="str">
            <v>Additifs Pasteur, Chapman (8), PCA (8)</v>
          </cell>
          <cell r="I207" t="str">
            <v>DPA</v>
          </cell>
          <cell r="J207" t="str">
            <v>01</v>
          </cell>
          <cell r="K207">
            <v>1331.94</v>
          </cell>
          <cell r="L207" t="str">
            <v>EUR</v>
          </cell>
          <cell r="M207" t="str">
            <v>2100</v>
          </cell>
        </row>
        <row r="208">
          <cell r="E208" t="str">
            <v>77484</v>
          </cell>
          <cell r="F208">
            <v>38593</v>
          </cell>
          <cell r="G208">
            <v>38672</v>
          </cell>
          <cell r="H208" t="str">
            <v>Fauteuil de bureau pour JPZ</v>
          </cell>
          <cell r="I208" t="str">
            <v>LAV</v>
          </cell>
          <cell r="J208" t="str">
            <v>01</v>
          </cell>
          <cell r="K208">
            <v>1664.96</v>
          </cell>
          <cell r="L208" t="str">
            <v>EUR</v>
          </cell>
          <cell r="M208" t="str">
            <v>2201</v>
          </cell>
        </row>
        <row r="209">
          <cell r="E209" t="str">
            <v>77684</v>
          </cell>
          <cell r="F209">
            <v>38593</v>
          </cell>
          <cell r="G209">
            <v>38665</v>
          </cell>
          <cell r="H209" t="str">
            <v>Résolution de problèmes (4)</v>
          </cell>
          <cell r="I209" t="str">
            <v>LAV</v>
          </cell>
          <cell r="J209" t="str">
            <v>01</v>
          </cell>
          <cell r="K209">
            <v>277.24</v>
          </cell>
          <cell r="L209" t="str">
            <v>EUR</v>
          </cell>
          <cell r="M209" t="str">
            <v>2201</v>
          </cell>
        </row>
        <row r="210">
          <cell r="E210" t="str">
            <v>33779</v>
          </cell>
          <cell r="F210">
            <v>38618</v>
          </cell>
          <cell r="G210">
            <v>38708</v>
          </cell>
          <cell r="H210" t="str">
            <v>Entrainment strap (drip catchers) (12)</v>
          </cell>
          <cell r="I210" t="str">
            <v>CRB</v>
          </cell>
          <cell r="J210" t="str">
            <v>01</v>
          </cell>
          <cell r="K210">
            <v>2599.64</v>
          </cell>
          <cell r="L210" t="str">
            <v>EUR</v>
          </cell>
          <cell r="M210" t="str">
            <v>2100</v>
          </cell>
        </row>
        <row r="211">
          <cell r="G211">
            <v>38873</v>
          </cell>
          <cell r="H211" t="str">
            <v>Réparation sondes Ebro (2) SN 10132875 et SN 10132876</v>
          </cell>
          <cell r="I211" t="str">
            <v>EBI</v>
          </cell>
          <cell r="J211" t="str">
            <v>01</v>
          </cell>
          <cell r="K211">
            <v>1830.0180668473351</v>
          </cell>
          <cell r="L211" t="str">
            <v>EUR</v>
          </cell>
          <cell r="M211" t="str">
            <v>3022</v>
          </cell>
        </row>
        <row r="212">
          <cell r="E212" t="str">
            <v>33614</v>
          </cell>
          <cell r="F212">
            <v>38573</v>
          </cell>
          <cell r="G212">
            <v>38708</v>
          </cell>
          <cell r="H212" t="str">
            <v>Les stations de pompage de l'eau</v>
          </cell>
          <cell r="I212" t="str">
            <v>LAV</v>
          </cell>
          <cell r="J212" t="str">
            <v>01</v>
          </cell>
          <cell r="K212">
            <v>150.16</v>
          </cell>
          <cell r="L212" t="str">
            <v>EUR</v>
          </cell>
          <cell r="M212" t="str">
            <v>2201</v>
          </cell>
        </row>
        <row r="213">
          <cell r="E213" t="str">
            <v>33615</v>
          </cell>
          <cell r="F213">
            <v>38567</v>
          </cell>
          <cell r="G213">
            <v>38673</v>
          </cell>
          <cell r="H213" t="str">
            <v>Mémento technique de l'eau</v>
          </cell>
          <cell r="I213" t="str">
            <v>LAV</v>
          </cell>
          <cell r="J213" t="str">
            <v>01</v>
          </cell>
          <cell r="K213">
            <v>354.38</v>
          </cell>
          <cell r="L213" t="str">
            <v>EUR</v>
          </cell>
          <cell r="M213" t="str">
            <v>2201</v>
          </cell>
        </row>
        <row r="214">
          <cell r="E214" t="str">
            <v>33638</v>
          </cell>
          <cell r="F214">
            <v>38569</v>
          </cell>
          <cell r="G214">
            <v>38736</v>
          </cell>
          <cell r="H214" t="str">
            <v>Rechanges débitmètre Gilmont : tubes, coupleurs, raccords</v>
          </cell>
          <cell r="I214" t="str">
            <v>BBL</v>
          </cell>
          <cell r="J214" t="str">
            <v>01</v>
          </cell>
          <cell r="K214">
            <v>560</v>
          </cell>
          <cell r="L214" t="str">
            <v>EUR</v>
          </cell>
          <cell r="M214" t="str">
            <v>2100</v>
          </cell>
        </row>
        <row r="215">
          <cell r="E215" t="str">
            <v>33508</v>
          </cell>
          <cell r="F215">
            <v>38538</v>
          </cell>
          <cell r="G215">
            <v>38681</v>
          </cell>
          <cell r="H215" t="str">
            <v>Endo agar, Pipettes Pasteur</v>
          </cell>
          <cell r="I215" t="str">
            <v>DPA</v>
          </cell>
          <cell r="J215" t="str">
            <v>01</v>
          </cell>
          <cell r="K215">
            <v>1014</v>
          </cell>
          <cell r="L215" t="str">
            <v>EUR</v>
          </cell>
          <cell r="M215" t="str">
            <v>2100</v>
          </cell>
        </row>
        <row r="216">
          <cell r="E216" t="str">
            <v>33414</v>
          </cell>
          <cell r="F216">
            <v>38525</v>
          </cell>
          <cell r="G216">
            <v>38672</v>
          </cell>
          <cell r="H216" t="str">
            <v>Thermomètres 0/50 °C (24), -20/+110 (24)  et -100/+30 °C (24)</v>
          </cell>
          <cell r="I216" t="str">
            <v>OSI</v>
          </cell>
          <cell r="J216" t="str">
            <v>01</v>
          </cell>
          <cell r="K216">
            <v>10284.32</v>
          </cell>
          <cell r="L216" t="str">
            <v>EUR</v>
          </cell>
          <cell r="M216" t="str">
            <v>2100</v>
          </cell>
        </row>
        <row r="217">
          <cell r="E217" t="str">
            <v>33414</v>
          </cell>
          <cell r="F217">
            <v>38525</v>
          </cell>
          <cell r="G217">
            <v>38743</v>
          </cell>
          <cell r="H217" t="str">
            <v>Produits de laboratoire</v>
          </cell>
          <cell r="I217" t="str">
            <v>VWR</v>
          </cell>
          <cell r="J217" t="str">
            <v>01</v>
          </cell>
          <cell r="K217">
            <v>12307.92</v>
          </cell>
          <cell r="L217" t="str">
            <v>EUR</v>
          </cell>
          <cell r="M217" t="str">
            <v>2100</v>
          </cell>
        </row>
        <row r="218">
          <cell r="E218" t="str">
            <v>33533</v>
          </cell>
          <cell r="F218">
            <v>38540</v>
          </cell>
          <cell r="G218">
            <v>38576</v>
          </cell>
          <cell r="H218" t="str">
            <v>Matériels de labo : Papier filtre Whatman GF/C; cuvettes spectro</v>
          </cell>
          <cell r="I218" t="str">
            <v>OSI</v>
          </cell>
          <cell r="J218" t="str">
            <v>01</v>
          </cell>
          <cell r="K218">
            <v>1316.19</v>
          </cell>
          <cell r="L218" t="str">
            <v>EUR</v>
          </cell>
          <cell r="M218" t="str">
            <v>2100</v>
          </cell>
        </row>
        <row r="219">
          <cell r="E219" t="str">
            <v>33401</v>
          </cell>
          <cell r="F219">
            <v>38524</v>
          </cell>
          <cell r="G219">
            <v>38553</v>
          </cell>
          <cell r="H219" t="str">
            <v>Matériels de labo : Papier filtre Whatman GF/C; cuvettes spectro</v>
          </cell>
          <cell r="I219" t="str">
            <v>OSI</v>
          </cell>
          <cell r="J219" t="str">
            <v>01</v>
          </cell>
          <cell r="K219">
            <v>1255.24</v>
          </cell>
          <cell r="L219" t="str">
            <v>EUR</v>
          </cell>
          <cell r="M219" t="str">
            <v>2100</v>
          </cell>
        </row>
        <row r="220">
          <cell r="E220" t="str">
            <v>33400</v>
          </cell>
          <cell r="F220">
            <v>38524</v>
          </cell>
          <cell r="G220">
            <v>38479</v>
          </cell>
          <cell r="H220" t="str">
            <v>Genbox anaerobic boxes (60) + bandelettes indicatrices (50)</v>
          </cell>
          <cell r="I220" t="str">
            <v>BIO</v>
          </cell>
          <cell r="J220" t="str">
            <v>01</v>
          </cell>
          <cell r="K220">
            <v>3260.38</v>
          </cell>
          <cell r="L220" t="str">
            <v>EUR</v>
          </cell>
          <cell r="M220" t="str">
            <v>2100</v>
          </cell>
        </row>
        <row r="221">
          <cell r="H221" t="str">
            <v>Samples boxes for samples transportation</v>
          </cell>
          <cell r="I221" t="str">
            <v>KTB</v>
          </cell>
          <cell r="J221" t="str">
            <v>01</v>
          </cell>
          <cell r="M221" t="str">
            <v>2100</v>
          </cell>
        </row>
        <row r="222">
          <cell r="E222" t="str">
            <v>33253</v>
          </cell>
          <cell r="F222">
            <v>38561</v>
          </cell>
          <cell r="G222">
            <v>38701</v>
          </cell>
          <cell r="H222" t="str">
            <v>CO2-Gehaltmeter DGM</v>
          </cell>
          <cell r="I222" t="str">
            <v>HAF</v>
          </cell>
          <cell r="J222" t="str">
            <v>01</v>
          </cell>
          <cell r="K222">
            <v>5492.2</v>
          </cell>
          <cell r="L222" t="str">
            <v>EUR</v>
          </cell>
          <cell r="M222" t="str">
            <v>DV041</v>
          </cell>
        </row>
        <row r="223">
          <cell r="E223" t="str">
            <v>33328</v>
          </cell>
          <cell r="F223">
            <v>38562</v>
          </cell>
          <cell r="G223">
            <v>38701</v>
          </cell>
          <cell r="H223" t="str">
            <v>Etuve Poupinel</v>
          </cell>
          <cell r="I223" t="str">
            <v>OSI</v>
          </cell>
          <cell r="J223" t="str">
            <v>01</v>
          </cell>
          <cell r="K223">
            <v>2573.7800000000002</v>
          </cell>
          <cell r="L223" t="str">
            <v>EUR</v>
          </cell>
          <cell r="M223" t="str">
            <v>DV037</v>
          </cell>
        </row>
        <row r="224">
          <cell r="E224" t="str">
            <v>33519</v>
          </cell>
          <cell r="F224">
            <v>38561</v>
          </cell>
          <cell r="G224">
            <v>38716</v>
          </cell>
          <cell r="H224" t="str">
            <v>Enregistreur 6 canaux (4)</v>
          </cell>
          <cell r="I224" t="str">
            <v>BBL</v>
          </cell>
          <cell r="J224" t="str">
            <v>01</v>
          </cell>
          <cell r="K224">
            <v>14228.8</v>
          </cell>
          <cell r="L224" t="str">
            <v>EUR</v>
          </cell>
          <cell r="M224" t="str">
            <v>DV036</v>
          </cell>
        </row>
        <row r="225">
          <cell r="E225" t="str">
            <v>78225</v>
          </cell>
          <cell r="F225">
            <v>38617</v>
          </cell>
          <cell r="G225">
            <v>38687</v>
          </cell>
          <cell r="H225" t="str">
            <v>Colorimètre Lovibond 3000 (2)</v>
          </cell>
          <cell r="I225" t="str">
            <v>CIF</v>
          </cell>
          <cell r="J225" t="str">
            <v>01</v>
          </cell>
          <cell r="K225">
            <v>7380.69</v>
          </cell>
          <cell r="L225" t="str">
            <v>EUR</v>
          </cell>
          <cell r="M225" t="str">
            <v>DV039</v>
          </cell>
        </row>
        <row r="226">
          <cell r="E226" t="str">
            <v>78313</v>
          </cell>
          <cell r="F226">
            <v>38622</v>
          </cell>
          <cell r="G226">
            <v>38748</v>
          </cell>
          <cell r="H226" t="str">
            <v>Pompe à vide de laboratoire</v>
          </cell>
          <cell r="I226" t="str">
            <v>STR</v>
          </cell>
          <cell r="J226" t="str">
            <v>01</v>
          </cell>
          <cell r="K226">
            <v>1102.3399999999999</v>
          </cell>
          <cell r="L226" t="str">
            <v>EUR</v>
          </cell>
          <cell r="M226" t="str">
            <v>DV042</v>
          </cell>
        </row>
        <row r="227">
          <cell r="E227" t="str">
            <v>33255</v>
          </cell>
          <cell r="F227">
            <v>38512</v>
          </cell>
          <cell r="G227">
            <v>38595</v>
          </cell>
          <cell r="H227" t="str">
            <v>Rechanges DGM, GCD, SDA</v>
          </cell>
          <cell r="I227" t="str">
            <v>HAF</v>
          </cell>
          <cell r="J227" t="str">
            <v>01</v>
          </cell>
          <cell r="K227">
            <v>5846.3</v>
          </cell>
          <cell r="L227" t="str">
            <v>EUR</v>
          </cell>
          <cell r="M227" t="str">
            <v>2100</v>
          </cell>
        </row>
        <row r="228">
          <cell r="E228" t="str">
            <v>77112</v>
          </cell>
          <cell r="F228">
            <v>38594</v>
          </cell>
          <cell r="G228">
            <v>38645</v>
          </cell>
          <cell r="H228" t="str">
            <v>Dewpoint tester (2)</v>
          </cell>
          <cell r="I228" t="str">
            <v>HAF</v>
          </cell>
          <cell r="J228" t="str">
            <v>01</v>
          </cell>
          <cell r="K228">
            <v>2240.7800000000002</v>
          </cell>
          <cell r="L228" t="str">
            <v>EUR</v>
          </cell>
          <cell r="M228" t="str">
            <v>DV043</v>
          </cell>
        </row>
        <row r="229">
          <cell r="E229" t="str">
            <v>78224</v>
          </cell>
          <cell r="F229">
            <v>38617</v>
          </cell>
          <cell r="G229">
            <v>38687</v>
          </cell>
          <cell r="H229" t="str">
            <v>Turbidimètre Vos Rota 90</v>
          </cell>
          <cell r="I229" t="str">
            <v>HAF</v>
          </cell>
          <cell r="J229" t="str">
            <v>01</v>
          </cell>
          <cell r="K229">
            <v>8884.69</v>
          </cell>
          <cell r="L229" t="str">
            <v>EUR</v>
          </cell>
          <cell r="M229" t="str">
            <v>DV040</v>
          </cell>
        </row>
        <row r="230">
          <cell r="E230" t="str">
            <v>78223</v>
          </cell>
          <cell r="F230">
            <v>38617</v>
          </cell>
          <cell r="G230">
            <v>38687</v>
          </cell>
          <cell r="H230" t="str">
            <v>Alambic à eau distillée</v>
          </cell>
          <cell r="I230" t="str">
            <v>VWR</v>
          </cell>
          <cell r="J230" t="str">
            <v>01</v>
          </cell>
          <cell r="K230">
            <v>4764.83</v>
          </cell>
          <cell r="L230" t="str">
            <v>EUR</v>
          </cell>
          <cell r="M230" t="str">
            <v>DV044</v>
          </cell>
        </row>
        <row r="231">
          <cell r="E231" t="str">
            <v>33208</v>
          </cell>
          <cell r="F231">
            <v>38475</v>
          </cell>
          <cell r="G231">
            <v>38553</v>
          </cell>
          <cell r="H231" t="str">
            <v xml:space="preserve">Acide orthophosphorique ; Dichlorométhane ; Ether de pétrole </v>
          </cell>
          <cell r="I231" t="str">
            <v>VWR</v>
          </cell>
          <cell r="J231" t="str">
            <v>01</v>
          </cell>
          <cell r="K231">
            <v>1015.18</v>
          </cell>
          <cell r="L231" t="str">
            <v>EUR</v>
          </cell>
          <cell r="M231" t="str">
            <v>2100</v>
          </cell>
        </row>
        <row r="232">
          <cell r="E232" t="str">
            <v>33779</v>
          </cell>
          <cell r="F232">
            <v>38618</v>
          </cell>
          <cell r="G232">
            <v>38716</v>
          </cell>
          <cell r="H232" t="str">
            <v>Digox 5</v>
          </cell>
          <cell r="I232" t="str">
            <v>THD</v>
          </cell>
          <cell r="J232" t="str">
            <v>01</v>
          </cell>
          <cell r="K232">
            <v>12412.08</v>
          </cell>
          <cell r="L232" t="str">
            <v>EUR</v>
          </cell>
          <cell r="M232" t="str">
            <v>DV035</v>
          </cell>
        </row>
        <row r="233">
          <cell r="E233" t="str">
            <v>33245</v>
          </cell>
          <cell r="F233">
            <v>38483</v>
          </cell>
          <cell r="G233">
            <v>38873</v>
          </cell>
          <cell r="H233" t="str">
            <v>Spectrophotomètres (3) + 1 pH mètre à réparer</v>
          </cell>
          <cell r="I233" t="str">
            <v>VWR</v>
          </cell>
          <cell r="J233" t="str">
            <v>01</v>
          </cell>
          <cell r="K233">
            <v>1830.0180668473351</v>
          </cell>
          <cell r="L233" t="str">
            <v>EUR</v>
          </cell>
          <cell r="M233" t="str">
            <v>3022</v>
          </cell>
        </row>
        <row r="234">
          <cell r="E234" t="str">
            <v>33220</v>
          </cell>
          <cell r="F234">
            <v>38471</v>
          </cell>
          <cell r="G234">
            <v>38862</v>
          </cell>
          <cell r="H234" t="str">
            <v>Milieu de Chapman, Pipettes pasteur</v>
          </cell>
          <cell r="I234" t="str">
            <v>DPA</v>
          </cell>
          <cell r="J234" t="str">
            <v>01</v>
          </cell>
          <cell r="K234">
            <v>811.35</v>
          </cell>
          <cell r="L234" t="str">
            <v>EUR</v>
          </cell>
          <cell r="M234" t="str">
            <v>2100</v>
          </cell>
        </row>
        <row r="235">
          <cell r="E235" t="str">
            <v>33221</v>
          </cell>
          <cell r="F235">
            <v>38471</v>
          </cell>
          <cell r="G235">
            <v>38525</v>
          </cell>
          <cell r="H235" t="str">
            <v>DPD N° 4 N, R, , Glycine</v>
          </cell>
          <cell r="I235" t="str">
            <v>CIF</v>
          </cell>
          <cell r="J235" t="str">
            <v>01</v>
          </cell>
          <cell r="K235">
            <v>4607</v>
          </cell>
          <cell r="L235" t="str">
            <v>EUR</v>
          </cell>
          <cell r="M235" t="str">
            <v>2100</v>
          </cell>
        </row>
        <row r="236">
          <cell r="E236" t="str">
            <v>32206</v>
          </cell>
          <cell r="F236">
            <v>38468</v>
          </cell>
          <cell r="G236">
            <v>38497</v>
          </cell>
          <cell r="H236" t="str">
            <v>Bloc électrique (2), batterie (2) + bouchon calibration (4) DGM</v>
          </cell>
          <cell r="I236" t="str">
            <v>HAF</v>
          </cell>
          <cell r="J236" t="str">
            <v>01</v>
          </cell>
          <cell r="K236">
            <v>8314.92</v>
          </cell>
          <cell r="L236" t="str">
            <v>EUR</v>
          </cell>
          <cell r="M236" t="str">
            <v>2100</v>
          </cell>
        </row>
        <row r="237">
          <cell r="E237" t="str">
            <v>33509</v>
          </cell>
          <cell r="F237">
            <v>38538</v>
          </cell>
          <cell r="G237">
            <v>38560</v>
          </cell>
          <cell r="H237" t="str">
            <v>CO2 Gehaltmeters SN 80907 et 81039 en réparation</v>
          </cell>
          <cell r="I237" t="str">
            <v>HAF</v>
          </cell>
          <cell r="J237" t="str">
            <v>01</v>
          </cell>
          <cell r="K237">
            <v>659.13</v>
          </cell>
          <cell r="L237" t="str">
            <v>EUR</v>
          </cell>
          <cell r="M237" t="str">
            <v>3390</v>
          </cell>
        </row>
        <row r="238">
          <cell r="E238" t="str">
            <v>33414</v>
          </cell>
          <cell r="F238">
            <v>38525</v>
          </cell>
          <cell r="G238">
            <v>38765</v>
          </cell>
          <cell r="H238" t="str">
            <v>Enregistreur 6 cannaux US 04 SN 5720942 en réparation</v>
          </cell>
          <cell r="I238" t="str">
            <v>AVT</v>
          </cell>
          <cell r="J238" t="str">
            <v>01</v>
          </cell>
          <cell r="K238">
            <v>10284.32</v>
          </cell>
          <cell r="L238" t="str">
            <v>EUR</v>
          </cell>
          <cell r="M238" t="str">
            <v>3390</v>
          </cell>
        </row>
        <row r="239">
          <cell r="E239" t="str">
            <v>315773</v>
          </cell>
          <cell r="F239">
            <v>35345</v>
          </cell>
          <cell r="G239">
            <v>35405</v>
          </cell>
          <cell r="H239" t="str">
            <v>Rechanges DMA (pompes,ventilo,etc.)</v>
          </cell>
          <cell r="I239" t="str">
            <v>PAA</v>
          </cell>
          <cell r="J239" t="str">
            <v>01</v>
          </cell>
          <cell r="K239">
            <v>3965.2</v>
          </cell>
          <cell r="L239" t="str">
            <v>FRF</v>
          </cell>
          <cell r="M239" t="str">
            <v>2000</v>
          </cell>
        </row>
        <row r="240">
          <cell r="E240" t="str">
            <v>33179</v>
          </cell>
          <cell r="F240">
            <v>38484</v>
          </cell>
          <cell r="G240">
            <v>38562</v>
          </cell>
          <cell r="H240" t="str">
            <v>Spectrophotomètre Boeco (2)</v>
          </cell>
          <cell r="I240" t="str">
            <v>HLS</v>
          </cell>
          <cell r="J240" t="str">
            <v>01</v>
          </cell>
          <cell r="K240">
            <v>8498.01</v>
          </cell>
          <cell r="L240" t="str">
            <v>EUR</v>
          </cell>
          <cell r="M240" t="str">
            <v>DV036</v>
          </cell>
        </row>
        <row r="241">
          <cell r="E241" t="str">
            <v>33401</v>
          </cell>
          <cell r="F241">
            <v>38524</v>
          </cell>
          <cell r="G241">
            <v>38483</v>
          </cell>
          <cell r="H241" t="str">
            <v>Joint silicone pour couvercle (2) + contacteur (2)</v>
          </cell>
          <cell r="I241" t="str">
            <v>RGS</v>
          </cell>
          <cell r="J241" t="str">
            <v>01</v>
          </cell>
          <cell r="K241">
            <v>1294.26</v>
          </cell>
          <cell r="L241" t="str">
            <v>EUR</v>
          </cell>
          <cell r="M241" t="str">
            <v>2100</v>
          </cell>
        </row>
        <row r="242">
          <cell r="E242" t="str">
            <v>33173</v>
          </cell>
          <cell r="F242">
            <v>38447</v>
          </cell>
          <cell r="G242">
            <v>38476</v>
          </cell>
          <cell r="H242" t="str">
            <v>Pompe nettoyage tube DMA (2)</v>
          </cell>
          <cell r="I242" t="str">
            <v>BBL</v>
          </cell>
          <cell r="J242" t="str">
            <v>01</v>
          </cell>
          <cell r="K242">
            <v>1211.28</v>
          </cell>
          <cell r="L242" t="str">
            <v>EUR</v>
          </cell>
          <cell r="M242" t="str">
            <v>2100</v>
          </cell>
        </row>
        <row r="243">
          <cell r="E243" t="str">
            <v>33183</v>
          </cell>
          <cell r="F243">
            <v>38449</v>
          </cell>
          <cell r="G243">
            <v>38483</v>
          </cell>
          <cell r="H243" t="str">
            <v>Samples boxes for samples transportation</v>
          </cell>
          <cell r="I243" t="str">
            <v>KTB</v>
          </cell>
          <cell r="J243" t="str">
            <v>01</v>
          </cell>
          <cell r="K243">
            <v>3676.1</v>
          </cell>
          <cell r="L243" t="str">
            <v>EUR</v>
          </cell>
          <cell r="M243" t="str">
            <v>2100</v>
          </cell>
        </row>
        <row r="244">
          <cell r="E244" t="str">
            <v>33187</v>
          </cell>
          <cell r="F244">
            <v>38455</v>
          </cell>
          <cell r="G244">
            <v>38541</v>
          </cell>
          <cell r="H244" t="str">
            <v>Eléments chauffants pour autoclaves type M0076 + joint DN 500</v>
          </cell>
          <cell r="I244" t="str">
            <v>LQX</v>
          </cell>
          <cell r="J244" t="str">
            <v>01</v>
          </cell>
          <cell r="K244">
            <v>5391.25</v>
          </cell>
          <cell r="L244" t="str">
            <v>EUR</v>
          </cell>
          <cell r="M244" t="str">
            <v>2100</v>
          </cell>
        </row>
        <row r="245">
          <cell r="E245" t="str">
            <v>33184</v>
          </cell>
          <cell r="F245">
            <v>38453</v>
          </cell>
          <cell r="G245">
            <v>38531</v>
          </cell>
          <cell r="H245" t="str">
            <v>Flacons stérilisables Schott à vis (500)</v>
          </cell>
          <cell r="I245" t="str">
            <v>HUM</v>
          </cell>
          <cell r="J245" t="str">
            <v>01</v>
          </cell>
          <cell r="K245">
            <v>3602.87</v>
          </cell>
          <cell r="L245" t="str">
            <v>EUR</v>
          </cell>
          <cell r="M245" t="str">
            <v>2100</v>
          </cell>
        </row>
        <row r="246">
          <cell r="E246" t="str">
            <v>33207</v>
          </cell>
          <cell r="F246">
            <v>38561</v>
          </cell>
          <cell r="G246">
            <v>38518</v>
          </cell>
          <cell r="H246" t="str">
            <v>Potassium hexacyanoferrate + Tuyau Tygon + résistance alambic</v>
          </cell>
          <cell r="I246" t="str">
            <v>VWR</v>
          </cell>
          <cell r="J246" t="str">
            <v>01</v>
          </cell>
          <cell r="K246">
            <v>3027.9</v>
          </cell>
          <cell r="L246" t="str">
            <v>EUR</v>
          </cell>
          <cell r="M246" t="str">
            <v>2100</v>
          </cell>
        </row>
        <row r="247">
          <cell r="E247" t="str">
            <v>33208</v>
          </cell>
          <cell r="F247">
            <v>38468</v>
          </cell>
          <cell r="G247">
            <v>38708</v>
          </cell>
          <cell r="H247" t="str">
            <v>Ether de pétrole (4 x 2,5 L)</v>
          </cell>
          <cell r="I247" t="str">
            <v>VWR</v>
          </cell>
          <cell r="J247" t="str">
            <v>01</v>
          </cell>
          <cell r="K247">
            <v>378.42</v>
          </cell>
          <cell r="L247" t="str">
            <v>EUR</v>
          </cell>
          <cell r="M247" t="str">
            <v>2100</v>
          </cell>
        </row>
        <row r="248">
          <cell r="E248" t="str">
            <v>33174</v>
          </cell>
          <cell r="F248">
            <v>38447</v>
          </cell>
          <cell r="G248">
            <v>38645</v>
          </cell>
          <cell r="H248" t="str">
            <v>Boîtes de pétri (100x10)) + Ballon col long 500 ml (4x10)</v>
          </cell>
          <cell r="I248" t="str">
            <v>OSI</v>
          </cell>
          <cell r="J248" t="str">
            <v>01</v>
          </cell>
          <cell r="K248">
            <v>1498.82</v>
          </cell>
          <cell r="L248" t="str">
            <v>EUR</v>
          </cell>
          <cell r="M248" t="str">
            <v>2100</v>
          </cell>
        </row>
        <row r="249">
          <cell r="E249" t="str">
            <v>33210</v>
          </cell>
          <cell r="F249">
            <v>39199</v>
          </cell>
          <cell r="G249">
            <v>38556</v>
          </cell>
          <cell r="H249" t="str">
            <v>CuSO4, Vert MLKIT, Spectroquant Cl, SiO2, Al, P, OCTOH</v>
          </cell>
          <cell r="I249" t="str">
            <v>VWR</v>
          </cell>
          <cell r="J249" t="str">
            <v>01</v>
          </cell>
          <cell r="K249">
            <v>16386.73</v>
          </cell>
          <cell r="L249" t="str">
            <v>EUR</v>
          </cell>
          <cell r="M249" t="str">
            <v>2100</v>
          </cell>
        </row>
        <row r="250">
          <cell r="E250" t="str">
            <v>32209</v>
          </cell>
          <cell r="F250">
            <v>39199</v>
          </cell>
          <cell r="G250">
            <v>38645</v>
          </cell>
          <cell r="H250" t="str">
            <v>Dewpoint tester (2)</v>
          </cell>
          <cell r="I250" t="str">
            <v>HAF</v>
          </cell>
          <cell r="J250" t="str">
            <v>01</v>
          </cell>
          <cell r="K250">
            <v>2240.7800000000002</v>
          </cell>
          <cell r="L250" t="str">
            <v>EUR</v>
          </cell>
          <cell r="M250" t="str">
            <v>DV043</v>
          </cell>
        </row>
        <row r="251">
          <cell r="E251" t="str">
            <v>33153</v>
          </cell>
          <cell r="F251">
            <v>38428</v>
          </cell>
          <cell r="G251">
            <v>38502</v>
          </cell>
          <cell r="H251" t="str">
            <v>Dead Weight Testers (2) + Poids étalons</v>
          </cell>
          <cell r="I251" t="str">
            <v>TRS</v>
          </cell>
          <cell r="J251" t="str">
            <v>01</v>
          </cell>
          <cell r="K251">
            <v>10435.5</v>
          </cell>
          <cell r="L251" t="str">
            <v>EUR</v>
          </cell>
          <cell r="M251" t="str">
            <v>DV033</v>
          </cell>
        </row>
        <row r="252">
          <cell r="E252" t="str">
            <v>42057</v>
          </cell>
          <cell r="F252">
            <v>38404</v>
          </cell>
          <cell r="G252">
            <v>38419</v>
          </cell>
          <cell r="H252" t="str">
            <v>Gestion des problèmes environnementaux dans les IAA</v>
          </cell>
          <cell r="I252" t="str">
            <v>LAV</v>
          </cell>
          <cell r="J252" t="str">
            <v>01</v>
          </cell>
          <cell r="K252">
            <v>166.62</v>
          </cell>
          <cell r="L252" t="str">
            <v>EUR</v>
          </cell>
          <cell r="M252" t="str">
            <v>2201</v>
          </cell>
        </row>
        <row r="253">
          <cell r="E253" t="str">
            <v>33180</v>
          </cell>
          <cell r="F253">
            <v>38448</v>
          </cell>
          <cell r="G253">
            <v>38504</v>
          </cell>
          <cell r="H253" t="str">
            <v>Boîtier Moca 3600 SN 18313 BAF à réparer</v>
          </cell>
          <cell r="I253" t="str">
            <v>ORB</v>
          </cell>
          <cell r="J253" t="str">
            <v>01</v>
          </cell>
          <cell r="K253">
            <v>1312.55</v>
          </cell>
          <cell r="L253" t="str">
            <v>EUR</v>
          </cell>
          <cell r="M253" t="str">
            <v>3390</v>
          </cell>
        </row>
        <row r="254">
          <cell r="E254" t="str">
            <v>33181</v>
          </cell>
          <cell r="F254">
            <v>38448</v>
          </cell>
          <cell r="G254">
            <v>38716</v>
          </cell>
          <cell r="H254" t="str">
            <v>Digox 5</v>
          </cell>
          <cell r="I254" t="str">
            <v>THD</v>
          </cell>
          <cell r="J254" t="str">
            <v>01</v>
          </cell>
          <cell r="K254">
            <v>12412.08</v>
          </cell>
          <cell r="L254" t="str">
            <v>EUR</v>
          </cell>
          <cell r="M254" t="str">
            <v>DV035</v>
          </cell>
        </row>
        <row r="255">
          <cell r="E255" t="str">
            <v>42059</v>
          </cell>
          <cell r="F255">
            <v>38404</v>
          </cell>
          <cell r="G255">
            <v>38434</v>
          </cell>
          <cell r="H255" t="str">
            <v>Brewing Science + tecnology of Brewing and Malting</v>
          </cell>
          <cell r="I255" t="str">
            <v>LAV</v>
          </cell>
          <cell r="J255" t="str">
            <v>01</v>
          </cell>
          <cell r="K255">
            <v>2384.1799999999998</v>
          </cell>
          <cell r="L255" t="str">
            <v>EUR</v>
          </cell>
          <cell r="M255" t="str">
            <v>2201</v>
          </cell>
        </row>
        <row r="256">
          <cell r="E256" t="str">
            <v>33096</v>
          </cell>
          <cell r="F256">
            <v>38401</v>
          </cell>
          <cell r="G256">
            <v>38586</v>
          </cell>
          <cell r="H256" t="str">
            <v>Termamyl 120 L + San Super  240 L</v>
          </cell>
          <cell r="I256" t="str">
            <v>NVO</v>
          </cell>
          <cell r="J256" t="str">
            <v>01</v>
          </cell>
          <cell r="K256">
            <v>811.35</v>
          </cell>
          <cell r="L256" t="str">
            <v>EUR</v>
          </cell>
          <cell r="M256" t="str">
            <v>2100</v>
          </cell>
        </row>
        <row r="257">
          <cell r="E257" t="str">
            <v>33101</v>
          </cell>
          <cell r="F257">
            <v>38413</v>
          </cell>
          <cell r="G257">
            <v>38450</v>
          </cell>
          <cell r="H257" t="str">
            <v>CO2 Gehalmeter DGM (2)</v>
          </cell>
          <cell r="I257" t="str">
            <v>HAF</v>
          </cell>
          <cell r="J257" t="str">
            <v>01</v>
          </cell>
          <cell r="K257">
            <v>10846.9</v>
          </cell>
          <cell r="L257" t="str">
            <v>EUR</v>
          </cell>
          <cell r="M257" t="str">
            <v>DV041</v>
          </cell>
        </row>
        <row r="258">
          <cell r="E258" t="str">
            <v>32206</v>
          </cell>
          <cell r="F258">
            <v>38468</v>
          </cell>
          <cell r="G258">
            <v>38436</v>
          </cell>
          <cell r="H258" t="str">
            <v>Atomiseurs (4), Flash Mem (4), Cart Ink 57 (5), Cart Ink 56</v>
          </cell>
          <cell r="I258" t="str">
            <v>AFR</v>
          </cell>
          <cell r="J258" t="str">
            <v>01</v>
          </cell>
          <cell r="K258">
            <v>8314.92</v>
          </cell>
          <cell r="L258" t="str">
            <v>EUR</v>
          </cell>
          <cell r="M258" t="str">
            <v>2100</v>
          </cell>
        </row>
        <row r="259">
          <cell r="E259" t="str">
            <v>33100</v>
          </cell>
          <cell r="F259">
            <v>38413</v>
          </cell>
          <cell r="G259">
            <v>38463</v>
          </cell>
          <cell r="H259" t="str">
            <v>Orbisphere version process (2) + Rallonges 15 mètres</v>
          </cell>
          <cell r="I259" t="str">
            <v>ORB</v>
          </cell>
          <cell r="J259" t="str">
            <v>01</v>
          </cell>
          <cell r="K259">
            <v>26515.1</v>
          </cell>
          <cell r="L259" t="str">
            <v>EUR</v>
          </cell>
          <cell r="M259" t="str">
            <v>DV034</v>
          </cell>
        </row>
        <row r="260">
          <cell r="E260" t="str">
            <v>318560</v>
          </cell>
          <cell r="F260">
            <v>35642</v>
          </cell>
          <cell r="G260">
            <v>38765</v>
          </cell>
          <cell r="H260" t="str">
            <v>1 DMA Density Meter</v>
          </cell>
          <cell r="I260" t="str">
            <v>PAA</v>
          </cell>
          <cell r="J260" t="str">
            <v>01</v>
          </cell>
          <cell r="K260">
            <v>107317.7</v>
          </cell>
          <cell r="L260" t="str">
            <v>FRF</v>
          </cell>
          <cell r="M260" t="str">
            <v>3390</v>
          </cell>
        </row>
        <row r="261">
          <cell r="E261" t="str">
            <v>327588</v>
          </cell>
          <cell r="F261">
            <v>36507</v>
          </cell>
          <cell r="G261">
            <v>36584</v>
          </cell>
          <cell r="H261" t="str">
            <v>Rechanges DMA 48</v>
          </cell>
          <cell r="I261" t="str">
            <v>PAA</v>
          </cell>
          <cell r="J261" t="str">
            <v>01</v>
          </cell>
          <cell r="K261">
            <v>6457.04</v>
          </cell>
          <cell r="L261" t="str">
            <v>FRF</v>
          </cell>
          <cell r="M261" t="str">
            <v>2000</v>
          </cell>
        </row>
        <row r="262">
          <cell r="E262" t="str">
            <v>33179</v>
          </cell>
          <cell r="F262">
            <v>38484</v>
          </cell>
          <cell r="G262">
            <v>38562</v>
          </cell>
          <cell r="H262" t="str">
            <v>Subscription Journal of Brewing Technology</v>
          </cell>
          <cell r="I262" t="str">
            <v>CRV</v>
          </cell>
          <cell r="J262" t="str">
            <v>01</v>
          </cell>
          <cell r="K262">
            <v>8498.01</v>
          </cell>
          <cell r="L262" t="str">
            <v>EUR</v>
          </cell>
          <cell r="M262" t="str">
            <v>2201</v>
          </cell>
        </row>
        <row r="263">
          <cell r="E263" t="str">
            <v>33090</v>
          </cell>
          <cell r="F263">
            <v>38398</v>
          </cell>
          <cell r="G263">
            <v>38483</v>
          </cell>
          <cell r="H263" t="str">
            <v>Joint silicone pour couvercle (2) + contacteur (2)</v>
          </cell>
          <cell r="I263" t="str">
            <v>RGS</v>
          </cell>
          <cell r="J263" t="str">
            <v>01</v>
          </cell>
          <cell r="K263">
            <v>3420.3</v>
          </cell>
          <cell r="M263" t="str">
            <v>2100</v>
          </cell>
        </row>
        <row r="264">
          <cell r="E264" t="str">
            <v>33173</v>
          </cell>
          <cell r="F264">
            <v>38447</v>
          </cell>
          <cell r="G264">
            <v>38450</v>
          </cell>
          <cell r="H264" t="str">
            <v>Burette de Buse (4)</v>
          </cell>
          <cell r="I264" t="str">
            <v>BUS</v>
          </cell>
          <cell r="J264" t="str">
            <v>01</v>
          </cell>
          <cell r="K264">
            <v>1211.28</v>
          </cell>
          <cell r="L264" t="str">
            <v>EUR</v>
          </cell>
          <cell r="M264" t="str">
            <v>2100</v>
          </cell>
        </row>
        <row r="265">
          <cell r="E265" t="str">
            <v>33066</v>
          </cell>
          <cell r="F265">
            <v>38377</v>
          </cell>
          <cell r="G265">
            <v>38483</v>
          </cell>
          <cell r="H265" t="str">
            <v>Eléments chauffant (1) pour alambic eau distillée</v>
          </cell>
          <cell r="I265" t="str">
            <v>VWR</v>
          </cell>
          <cell r="J265" t="str">
            <v>01</v>
          </cell>
          <cell r="K265">
            <v>1801.98</v>
          </cell>
          <cell r="L265" t="str">
            <v>EUR</v>
          </cell>
          <cell r="M265" t="str">
            <v>2100</v>
          </cell>
        </row>
        <row r="266">
          <cell r="E266" t="str">
            <v>33067</v>
          </cell>
          <cell r="F266">
            <v>38377</v>
          </cell>
          <cell r="G266">
            <v>38463</v>
          </cell>
          <cell r="H266" t="str">
            <v>Réparation sondes Ebro (2) SN 10165355 et SN 10208296</v>
          </cell>
          <cell r="I266" t="str">
            <v>EBI</v>
          </cell>
          <cell r="J266" t="str">
            <v>01</v>
          </cell>
          <cell r="K266">
            <v>5391.25</v>
          </cell>
          <cell r="L266" t="str">
            <v>EUR</v>
          </cell>
          <cell r="M266" t="str">
            <v>3390</v>
          </cell>
        </row>
        <row r="267">
          <cell r="E267" t="str">
            <v>32880</v>
          </cell>
          <cell r="F267">
            <v>38320</v>
          </cell>
          <cell r="G267">
            <v>38378</v>
          </cell>
          <cell r="H267" t="str">
            <v>Pressure gauge 0 - 60 psi (48)</v>
          </cell>
          <cell r="I267" t="str">
            <v>CRB</v>
          </cell>
          <cell r="J267" t="str">
            <v>01</v>
          </cell>
          <cell r="K267">
            <v>6271.35</v>
          </cell>
          <cell r="L267" t="str">
            <v>EUR</v>
          </cell>
          <cell r="M267" t="str">
            <v>2100</v>
          </cell>
        </row>
        <row r="268">
          <cell r="E268" t="str">
            <v>33236</v>
          </cell>
          <cell r="F268">
            <v>38476</v>
          </cell>
          <cell r="G268">
            <v>38518</v>
          </cell>
          <cell r="H268" t="str">
            <v>Supports magnétiques, trusquins et comparateurs</v>
          </cell>
          <cell r="I268" t="str">
            <v>MTT</v>
          </cell>
          <cell r="J268" t="str">
            <v>SVR</v>
          </cell>
          <cell r="K268">
            <v>6610.35</v>
          </cell>
          <cell r="L268" t="str">
            <v>EUR</v>
          </cell>
          <cell r="M268" t="str">
            <v>2100</v>
          </cell>
        </row>
        <row r="269">
          <cell r="E269" t="str">
            <v>32907</v>
          </cell>
          <cell r="F269">
            <v>38323</v>
          </cell>
          <cell r="G269">
            <v>38342</v>
          </cell>
          <cell r="H269" t="str">
            <v>Manomètre CO2 Gehalmeter 0 - 2,5 bars (24)</v>
          </cell>
          <cell r="I269" t="str">
            <v>HAF</v>
          </cell>
          <cell r="J269" t="str">
            <v>01</v>
          </cell>
          <cell r="K269">
            <v>1256.08</v>
          </cell>
          <cell r="L269" t="str">
            <v>EUR</v>
          </cell>
          <cell r="M269" t="str">
            <v>2100</v>
          </cell>
        </row>
        <row r="270">
          <cell r="E270" t="str">
            <v>32906</v>
          </cell>
          <cell r="F270">
            <v>38343</v>
          </cell>
          <cell r="G270">
            <v>38364</v>
          </cell>
          <cell r="H270" t="str">
            <v>Microscope binoculaire (2)</v>
          </cell>
          <cell r="I270" t="str">
            <v>OSI</v>
          </cell>
          <cell r="J270" t="str">
            <v>01</v>
          </cell>
          <cell r="K270">
            <v>1216.9000000000001</v>
          </cell>
          <cell r="L270" t="str">
            <v>EUR</v>
          </cell>
          <cell r="M270" t="str">
            <v>2100</v>
          </cell>
        </row>
        <row r="271">
          <cell r="E271" t="str">
            <v>32836</v>
          </cell>
          <cell r="F271">
            <v>38310</v>
          </cell>
          <cell r="G271">
            <v>38342</v>
          </cell>
          <cell r="H271" t="str">
            <v>Papier filtre 125 mm Bande Noire</v>
          </cell>
          <cell r="I271" t="str">
            <v>S&amp;S</v>
          </cell>
          <cell r="J271" t="str">
            <v>01</v>
          </cell>
          <cell r="K271">
            <v>1391.87</v>
          </cell>
          <cell r="L271" t="str">
            <v>EUR</v>
          </cell>
          <cell r="M271" t="str">
            <v>2100</v>
          </cell>
        </row>
        <row r="272">
          <cell r="E272" t="str">
            <v>32887</v>
          </cell>
          <cell r="F272">
            <v>38323</v>
          </cell>
          <cell r="G272">
            <v>38357</v>
          </cell>
          <cell r="H272" t="str">
            <v>Milieux UBA (12), PSA (12) ; Agar Agar (5x2 kg)</v>
          </cell>
          <cell r="I272" t="str">
            <v>HUM</v>
          </cell>
          <cell r="J272" t="str">
            <v>01</v>
          </cell>
          <cell r="K272">
            <v>6224.38</v>
          </cell>
          <cell r="L272" t="str">
            <v>EUR</v>
          </cell>
          <cell r="M272" t="str">
            <v>2100</v>
          </cell>
        </row>
        <row r="273">
          <cell r="E273" t="str">
            <v>32796</v>
          </cell>
          <cell r="F273">
            <v>38302</v>
          </cell>
          <cell r="G273">
            <v>38378</v>
          </cell>
          <cell r="H273" t="str">
            <v>GS, SLA et additifs Milieux de culture</v>
          </cell>
          <cell r="I273" t="str">
            <v>DPA</v>
          </cell>
          <cell r="J273" t="str">
            <v>01</v>
          </cell>
          <cell r="K273">
            <v>2255.92</v>
          </cell>
          <cell r="L273" t="str">
            <v>EUR</v>
          </cell>
          <cell r="M273" t="str">
            <v>2100</v>
          </cell>
        </row>
        <row r="274">
          <cell r="E274" t="str">
            <v>32795</v>
          </cell>
          <cell r="F274">
            <v>38302</v>
          </cell>
          <cell r="G274">
            <v>38378</v>
          </cell>
          <cell r="H274" t="str">
            <v>Milieux Racka Ray Agar (12) et Span 80 (12)</v>
          </cell>
          <cell r="I274" t="str">
            <v>BLY</v>
          </cell>
          <cell r="J274" t="str">
            <v>01</v>
          </cell>
          <cell r="K274">
            <v>2767.6</v>
          </cell>
          <cell r="L274" t="str">
            <v>EUR</v>
          </cell>
          <cell r="M274" t="str">
            <v>2100</v>
          </cell>
        </row>
        <row r="275">
          <cell r="E275" t="str">
            <v>32802</v>
          </cell>
          <cell r="F275">
            <v>38302</v>
          </cell>
          <cell r="G275">
            <v>38504</v>
          </cell>
          <cell r="H275" t="str">
            <v>Membranes filtrantes (20) + accessoires rampes de filtration</v>
          </cell>
          <cell r="I275" t="str">
            <v>STR</v>
          </cell>
          <cell r="J275" t="str">
            <v>SEMC</v>
          </cell>
          <cell r="K275">
            <v>6417.74</v>
          </cell>
          <cell r="L275" t="str">
            <v>EUR</v>
          </cell>
          <cell r="M275" t="str">
            <v>2100</v>
          </cell>
        </row>
        <row r="276">
          <cell r="E276" t="str">
            <v>32801</v>
          </cell>
          <cell r="F276">
            <v>38302</v>
          </cell>
          <cell r="G276">
            <v>38576</v>
          </cell>
          <cell r="H276" t="str">
            <v>Membranes filtrantes (80) + accessoires rampes de filtration</v>
          </cell>
          <cell r="I276" t="str">
            <v>STR</v>
          </cell>
          <cell r="J276" t="str">
            <v>01</v>
          </cell>
          <cell r="K276">
            <v>6423.17</v>
          </cell>
          <cell r="L276" t="str">
            <v>EUR</v>
          </cell>
          <cell r="M276" t="str">
            <v>2100</v>
          </cell>
        </row>
        <row r="277">
          <cell r="E277" t="str">
            <v>32879</v>
          </cell>
          <cell r="F277">
            <v>38322</v>
          </cell>
          <cell r="G277">
            <v>38434</v>
          </cell>
          <cell r="H277" t="str">
            <v>Sodium fluorure</v>
          </cell>
          <cell r="I277" t="str">
            <v>VWR</v>
          </cell>
          <cell r="J277" t="str">
            <v>01</v>
          </cell>
          <cell r="K277">
            <v>3455.5</v>
          </cell>
          <cell r="L277" t="str">
            <v>EUR</v>
          </cell>
          <cell r="M277" t="str">
            <v>2201</v>
          </cell>
        </row>
        <row r="278">
          <cell r="E278" t="str">
            <v>32874</v>
          </cell>
          <cell r="F278">
            <v>38373</v>
          </cell>
          <cell r="G278">
            <v>38586</v>
          </cell>
          <cell r="H278" t="str">
            <v>Produits de laboratoire : BaCl2,AC2,Spectroquants, etc.</v>
          </cell>
          <cell r="I278" t="str">
            <v>VWR</v>
          </cell>
          <cell r="J278" t="str">
            <v>01</v>
          </cell>
          <cell r="K278">
            <v>14129.12</v>
          </cell>
          <cell r="L278" t="str">
            <v>EUR</v>
          </cell>
          <cell r="M278" t="str">
            <v>2100</v>
          </cell>
        </row>
        <row r="279">
          <cell r="E279" t="str">
            <v>32874</v>
          </cell>
          <cell r="F279">
            <v>38324</v>
          </cell>
          <cell r="G279">
            <v>38450</v>
          </cell>
          <cell r="H279" t="str">
            <v>Produits de laboratoire</v>
          </cell>
          <cell r="I279" t="str">
            <v>VWR</v>
          </cell>
          <cell r="J279" t="str">
            <v>01</v>
          </cell>
          <cell r="K279">
            <v>30137.26</v>
          </cell>
          <cell r="L279" t="str">
            <v>EUR</v>
          </cell>
          <cell r="M279" t="str">
            <v>2100</v>
          </cell>
        </row>
        <row r="280">
          <cell r="E280" t="str">
            <v>32862</v>
          </cell>
          <cell r="F280">
            <v>38323</v>
          </cell>
          <cell r="G280">
            <v>38436</v>
          </cell>
          <cell r="H280" t="str">
            <v>Produits de laboratoire : Tirisol pH,NaCl,THMAM,Bandelettes pH</v>
          </cell>
          <cell r="I280" t="str">
            <v>VWR</v>
          </cell>
          <cell r="J280" t="str">
            <v>01</v>
          </cell>
          <cell r="K280">
            <v>9100.9699999999993</v>
          </cell>
          <cell r="L280" t="str">
            <v>EUR</v>
          </cell>
          <cell r="M280" t="str">
            <v>2100</v>
          </cell>
        </row>
        <row r="281">
          <cell r="E281" t="str">
            <v>33000</v>
          </cell>
          <cell r="F281">
            <v>38376</v>
          </cell>
          <cell r="G281">
            <v>38443</v>
          </cell>
          <cell r="H281" t="str">
            <v>Carte alimentation Spectrophotomètre Genesys 8</v>
          </cell>
          <cell r="I281" t="str">
            <v>SPT</v>
          </cell>
          <cell r="J281" t="str">
            <v>01</v>
          </cell>
          <cell r="K281">
            <v>1351.5</v>
          </cell>
          <cell r="L281" t="str">
            <v>EUR</v>
          </cell>
          <cell r="M281" t="str">
            <v>2100</v>
          </cell>
        </row>
        <row r="282">
          <cell r="E282" t="str">
            <v>32794</v>
          </cell>
          <cell r="F282">
            <v>38300</v>
          </cell>
          <cell r="G282">
            <v>38357</v>
          </cell>
          <cell r="H282" t="str">
            <v>1 DMA Density Meter</v>
          </cell>
          <cell r="I282" t="str">
            <v>PAA</v>
          </cell>
          <cell r="J282" t="str">
            <v>01</v>
          </cell>
          <cell r="K282">
            <v>107317.7</v>
          </cell>
          <cell r="L282" t="str">
            <v>FRF</v>
          </cell>
          <cell r="M282" t="str">
            <v>V006</v>
          </cell>
        </row>
        <row r="283">
          <cell r="E283" t="str">
            <v>31924</v>
          </cell>
          <cell r="F283">
            <v>38327</v>
          </cell>
          <cell r="G283">
            <v>38357</v>
          </cell>
          <cell r="H283" t="str">
            <v>CO2 Gehaltmeter digital DGM-8170 (1) à réparer</v>
          </cell>
          <cell r="I283" t="str">
            <v>HAF</v>
          </cell>
          <cell r="J283" t="str">
            <v>01</v>
          </cell>
          <cell r="K283">
            <v>2405.6</v>
          </cell>
          <cell r="L283" t="str">
            <v>EUR</v>
          </cell>
          <cell r="M283" t="str">
            <v>3390</v>
          </cell>
        </row>
        <row r="284">
          <cell r="E284" t="str">
            <v>32931</v>
          </cell>
          <cell r="F284">
            <v>38330</v>
          </cell>
          <cell r="G284">
            <v>38357</v>
          </cell>
          <cell r="H284" t="str">
            <v>Subscription Journal of Brewing Technology</v>
          </cell>
          <cell r="I284" t="str">
            <v>CRV</v>
          </cell>
          <cell r="J284" t="str">
            <v>01</v>
          </cell>
          <cell r="K284">
            <v>1224.5884146341464</v>
          </cell>
          <cell r="L284" t="str">
            <v>EUR</v>
          </cell>
          <cell r="M284" t="str">
            <v>2201</v>
          </cell>
        </row>
        <row r="285">
          <cell r="E285" t="str">
            <v>33065</v>
          </cell>
          <cell r="F285">
            <v>38376</v>
          </cell>
          <cell r="G285">
            <v>38450</v>
          </cell>
          <cell r="H285" t="str">
            <v>Spectrophotomètre AQUAMATE (1) SR AQA 2200 E</v>
          </cell>
          <cell r="I285" t="str">
            <v>VWR</v>
          </cell>
          <cell r="J285" t="str">
            <v>01</v>
          </cell>
          <cell r="K285">
            <v>2258.83</v>
          </cell>
          <cell r="L285" t="str">
            <v>EUR</v>
          </cell>
          <cell r="M285" t="str">
            <v>2100</v>
          </cell>
        </row>
        <row r="286">
          <cell r="E286" t="str">
            <v>32926</v>
          </cell>
          <cell r="F286">
            <v>38327</v>
          </cell>
          <cell r="G286">
            <v>38450</v>
          </cell>
          <cell r="H286" t="str">
            <v>Spectroquant N02, NO3, acide tanique</v>
          </cell>
          <cell r="I286" t="str">
            <v>VWR</v>
          </cell>
          <cell r="J286" t="str">
            <v>01</v>
          </cell>
          <cell r="K286">
            <v>1498.8</v>
          </cell>
          <cell r="L286" t="str">
            <v>EUR</v>
          </cell>
          <cell r="M286" t="str">
            <v>2100</v>
          </cell>
        </row>
        <row r="287">
          <cell r="E287" t="str">
            <v>32925</v>
          </cell>
          <cell r="F287">
            <v>38327</v>
          </cell>
          <cell r="H287" t="str">
            <v>Hydroquinone + Na bisulfite pour Coca-light + Spectroquant Cl (6)</v>
          </cell>
          <cell r="I287" t="str">
            <v>VWR</v>
          </cell>
          <cell r="J287" t="str">
            <v>01</v>
          </cell>
          <cell r="K287">
            <v>1185</v>
          </cell>
          <cell r="L287" t="str">
            <v>EUR</v>
          </cell>
          <cell r="M287" t="str">
            <v>2100</v>
          </cell>
        </row>
        <row r="288">
          <cell r="E288" t="str">
            <v>23561/O</v>
          </cell>
          <cell r="F288">
            <v>38651</v>
          </cell>
          <cell r="G288">
            <v>38463</v>
          </cell>
          <cell r="H288" t="str">
            <v>Microscope binoculaire Leica</v>
          </cell>
          <cell r="I288" t="str">
            <v>LTZ</v>
          </cell>
          <cell r="J288" t="str">
            <v>01</v>
          </cell>
          <cell r="K288">
            <v>1853.76</v>
          </cell>
          <cell r="L288" t="str">
            <v>EUR</v>
          </cell>
          <cell r="M288" t="str">
            <v>3390</v>
          </cell>
        </row>
        <row r="289">
          <cell r="E289" t="str">
            <v>32880</v>
          </cell>
          <cell r="F289">
            <v>38320</v>
          </cell>
          <cell r="G289">
            <v>38378</v>
          </cell>
          <cell r="H289" t="str">
            <v>Liquides &amp; Conditionnement, réabonnement</v>
          </cell>
          <cell r="I289" t="str">
            <v>PCI</v>
          </cell>
          <cell r="J289" t="str">
            <v>01</v>
          </cell>
          <cell r="K289">
            <v>6271.35</v>
          </cell>
          <cell r="L289" t="str">
            <v>EUR</v>
          </cell>
          <cell r="M289" t="str">
            <v>2201</v>
          </cell>
        </row>
        <row r="290">
          <cell r="E290" t="str">
            <v>33236</v>
          </cell>
          <cell r="F290">
            <v>38476</v>
          </cell>
          <cell r="G290">
            <v>38316</v>
          </cell>
          <cell r="H290" t="str">
            <v>Supports magnétiques, trusquins et comparateurs</v>
          </cell>
          <cell r="I290" t="str">
            <v>MTT</v>
          </cell>
          <cell r="J290" t="str">
            <v>SVR</v>
          </cell>
          <cell r="K290">
            <v>6610.35</v>
          </cell>
          <cell r="L290" t="str">
            <v>EUR</v>
          </cell>
          <cell r="M290" t="str">
            <v>2100</v>
          </cell>
        </row>
        <row r="291">
          <cell r="E291" t="str">
            <v>32758</v>
          </cell>
          <cell r="F291">
            <v>38288</v>
          </cell>
          <cell r="G291">
            <v>38378</v>
          </cell>
          <cell r="H291" t="str">
            <v>Sources Vis et UV Thermospectronic AQUAMATE</v>
          </cell>
          <cell r="I291" t="str">
            <v>VWR</v>
          </cell>
          <cell r="J291" t="str">
            <v>01</v>
          </cell>
          <cell r="K291">
            <v>1939.75</v>
          </cell>
          <cell r="L291" t="str">
            <v>EUR</v>
          </cell>
          <cell r="M291" t="str">
            <v>2000</v>
          </cell>
        </row>
        <row r="292">
          <cell r="E292" t="str">
            <v>32906</v>
          </cell>
          <cell r="F292">
            <v>38343</v>
          </cell>
          <cell r="G292">
            <v>38315</v>
          </cell>
          <cell r="H292" t="str">
            <v>Sonde SN 10035456, 300 mm, à réparer</v>
          </cell>
          <cell r="I292" t="str">
            <v>EBI</v>
          </cell>
          <cell r="J292" t="str">
            <v>01</v>
          </cell>
          <cell r="K292">
            <v>156.93</v>
          </cell>
          <cell r="L292" t="str">
            <v>EUR</v>
          </cell>
          <cell r="M292" t="str">
            <v>3390</v>
          </cell>
        </row>
        <row r="293">
          <cell r="E293" t="str">
            <v>328818</v>
          </cell>
          <cell r="F293">
            <v>36635</v>
          </cell>
          <cell r="G293">
            <v>36707</v>
          </cell>
          <cell r="H293" t="str">
            <v>2 DMA 38</v>
          </cell>
          <cell r="I293" t="str">
            <v>PAA</v>
          </cell>
          <cell r="J293" t="str">
            <v>01</v>
          </cell>
          <cell r="K293">
            <v>106973.6</v>
          </cell>
          <cell r="L293" t="str">
            <v>FRF</v>
          </cell>
          <cell r="M293" t="str">
            <v>Y013</v>
          </cell>
        </row>
        <row r="294">
          <cell r="E294" t="str">
            <v>32933</v>
          </cell>
          <cell r="F294">
            <v>38330</v>
          </cell>
          <cell r="G294">
            <v>38372</v>
          </cell>
          <cell r="H294" t="str">
            <v>pH mètre Schott CG 837 SN 256320 à réparer</v>
          </cell>
          <cell r="I294" t="str">
            <v>VWR</v>
          </cell>
          <cell r="J294" t="str">
            <v>01</v>
          </cell>
          <cell r="K294">
            <v>895.65</v>
          </cell>
          <cell r="L294" t="str">
            <v>EUR</v>
          </cell>
          <cell r="M294" t="str">
            <v>3390</v>
          </cell>
        </row>
        <row r="295">
          <cell r="E295" t="str">
            <v>32800</v>
          </cell>
          <cell r="F295">
            <v>38302</v>
          </cell>
          <cell r="G295">
            <v>38342</v>
          </cell>
          <cell r="H295" t="str">
            <v>DGM SN 80907 et 81039 à réparer</v>
          </cell>
          <cell r="I295" t="str">
            <v>HAF</v>
          </cell>
          <cell r="J295" t="str">
            <v>01</v>
          </cell>
          <cell r="K295">
            <v>4023.15</v>
          </cell>
          <cell r="L295" t="str">
            <v>EUR</v>
          </cell>
          <cell r="M295" t="str">
            <v>3390</v>
          </cell>
        </row>
        <row r="296">
          <cell r="E296" t="str">
            <v>32672</v>
          </cell>
          <cell r="F296">
            <v>38258</v>
          </cell>
          <cell r="G296">
            <v>38285</v>
          </cell>
          <cell r="H296" t="str">
            <v>10 x 500 g EBC Malt Standard EBC</v>
          </cell>
          <cell r="I296" t="str">
            <v>TUM</v>
          </cell>
          <cell r="J296" t="str">
            <v>01</v>
          </cell>
          <cell r="K296">
            <v>633.75</v>
          </cell>
          <cell r="L296" t="str">
            <v>EUR</v>
          </cell>
          <cell r="M296" t="str">
            <v>2100</v>
          </cell>
        </row>
        <row r="297">
          <cell r="E297" t="str">
            <v>32759</v>
          </cell>
          <cell r="F297">
            <v>38287</v>
          </cell>
          <cell r="H297" t="str">
            <v>Sample bags for CO2 analyses CAS (12)</v>
          </cell>
          <cell r="I297" t="str">
            <v>HAF</v>
          </cell>
          <cell r="J297" t="str">
            <v>01</v>
          </cell>
          <cell r="K297">
            <v>982.8</v>
          </cell>
          <cell r="L297" t="str">
            <v>EUR</v>
          </cell>
          <cell r="M297" t="str">
            <v>2100</v>
          </cell>
        </row>
        <row r="298">
          <cell r="E298" t="str">
            <v>32719</v>
          </cell>
          <cell r="F298">
            <v>38280</v>
          </cell>
          <cell r="G298">
            <v>38308</v>
          </cell>
          <cell r="H298" t="str">
            <v>Membranes filtrantes (80) + accessoires rampes de filtration</v>
          </cell>
          <cell r="I298" t="str">
            <v>STR</v>
          </cell>
          <cell r="J298" t="str">
            <v>01</v>
          </cell>
          <cell r="K298">
            <v>6423.17</v>
          </cell>
          <cell r="L298" t="str">
            <v>EUR</v>
          </cell>
          <cell r="M298" t="str">
            <v>2100</v>
          </cell>
        </row>
        <row r="299">
          <cell r="E299" t="str">
            <v>32712</v>
          </cell>
          <cell r="F299">
            <v>38279</v>
          </cell>
          <cell r="G299">
            <v>38315</v>
          </cell>
          <cell r="H299" t="str">
            <v>Sodium fluorure</v>
          </cell>
          <cell r="I299" t="str">
            <v>VWR</v>
          </cell>
          <cell r="J299" t="str">
            <v>01</v>
          </cell>
          <cell r="K299">
            <v>3455.5</v>
          </cell>
          <cell r="L299" t="str">
            <v>EUR</v>
          </cell>
          <cell r="M299" t="str">
            <v>2100</v>
          </cell>
        </row>
        <row r="300">
          <cell r="E300" t="str">
            <v>32665</v>
          </cell>
          <cell r="F300">
            <v>38257</v>
          </cell>
          <cell r="H300" t="str">
            <v>Rallonge 60 mètres + câbles 3 mètres (6)</v>
          </cell>
          <cell r="I300" t="str">
            <v>ORB</v>
          </cell>
          <cell r="J300" t="str">
            <v>01</v>
          </cell>
          <cell r="K300">
            <v>3478.2395480225987</v>
          </cell>
          <cell r="L300" t="str">
            <v>EUR</v>
          </cell>
          <cell r="M300" t="str">
            <v>CV040</v>
          </cell>
        </row>
        <row r="301">
          <cell r="E301" t="str">
            <v>32711</v>
          </cell>
          <cell r="F301">
            <v>38281</v>
          </cell>
          <cell r="G301">
            <v>38435</v>
          </cell>
          <cell r="H301" t="str">
            <v>Produits de laboratoire</v>
          </cell>
          <cell r="I301" t="str">
            <v>VWR</v>
          </cell>
          <cell r="J301" t="str">
            <v>01</v>
          </cell>
          <cell r="K301">
            <v>30137.26</v>
          </cell>
          <cell r="L301" t="str">
            <v>EUR</v>
          </cell>
          <cell r="M301" t="str">
            <v>2100</v>
          </cell>
        </row>
        <row r="302">
          <cell r="E302" t="str">
            <v>32862</v>
          </cell>
          <cell r="F302">
            <v>38323</v>
          </cell>
          <cell r="G302">
            <v>38282</v>
          </cell>
          <cell r="H302" t="str">
            <v>Produits de laboratoire : Tirisol pH,NaCl,THMAM,Bandelettes pH</v>
          </cell>
          <cell r="I302" t="str">
            <v>VWR</v>
          </cell>
          <cell r="J302" t="str">
            <v>01</v>
          </cell>
          <cell r="K302">
            <v>9100.9699999999993</v>
          </cell>
          <cell r="L302" t="str">
            <v>EUR</v>
          </cell>
          <cell r="M302" t="str">
            <v>2100</v>
          </cell>
        </row>
        <row r="303">
          <cell r="E303" t="str">
            <v>32764</v>
          </cell>
          <cell r="F303">
            <v>38292</v>
          </cell>
          <cell r="G303">
            <v>38316</v>
          </cell>
          <cell r="H303" t="str">
            <v>Spectrophotomètre Jenway (2) à réparer SR 2167 et SR 1757</v>
          </cell>
          <cell r="I303" t="str">
            <v>BBL</v>
          </cell>
          <cell r="J303" t="str">
            <v>01</v>
          </cell>
          <cell r="K303">
            <v>1999.15</v>
          </cell>
          <cell r="L303" t="str">
            <v>EUR</v>
          </cell>
          <cell r="M303" t="str">
            <v>3390</v>
          </cell>
        </row>
        <row r="304">
          <cell r="E304" t="str">
            <v>32676</v>
          </cell>
          <cell r="F304">
            <v>38275</v>
          </cell>
          <cell r="G304">
            <v>38289</v>
          </cell>
          <cell r="H304" t="str">
            <v>Genbox anaerobic boxes (80)</v>
          </cell>
          <cell r="I304" t="str">
            <v>BIO</v>
          </cell>
          <cell r="J304" t="str">
            <v>01</v>
          </cell>
          <cell r="K304">
            <v>2426.4</v>
          </cell>
          <cell r="L304" t="str">
            <v>EUR</v>
          </cell>
          <cell r="M304" t="str">
            <v>2100</v>
          </cell>
        </row>
        <row r="305">
          <cell r="E305" t="str">
            <v>331986</v>
          </cell>
          <cell r="F305">
            <v>36970</v>
          </cell>
          <cell r="G305">
            <v>37039</v>
          </cell>
          <cell r="H305" t="str">
            <v>Densimètre DMA 4500</v>
          </cell>
          <cell r="I305" t="str">
            <v>PAA</v>
          </cell>
          <cell r="J305" t="str">
            <v>01</v>
          </cell>
          <cell r="K305">
            <v>91086</v>
          </cell>
          <cell r="L305" t="str">
            <v>FRF</v>
          </cell>
          <cell r="M305" t="str">
            <v>Z017</v>
          </cell>
        </row>
        <row r="306">
          <cell r="E306" t="str">
            <v>41407</v>
          </cell>
          <cell r="F306">
            <v>38300</v>
          </cell>
          <cell r="G306">
            <v>38328</v>
          </cell>
          <cell r="H306" t="str">
            <v>Fil coupant (10)</v>
          </cell>
          <cell r="I306" t="str">
            <v>SDL</v>
          </cell>
          <cell r="J306" t="str">
            <v>01</v>
          </cell>
          <cell r="K306">
            <v>51.72</v>
          </cell>
          <cell r="L306" t="str">
            <v>EUR</v>
          </cell>
          <cell r="M306" t="str">
            <v>2000</v>
          </cell>
        </row>
        <row r="307">
          <cell r="E307" t="str">
            <v>32432</v>
          </cell>
          <cell r="F307">
            <v>38161</v>
          </cell>
          <cell r="G307">
            <v>38199</v>
          </cell>
          <cell r="H307" t="str">
            <v>Spectrophotomètre AQUAMATE (1) SR AQA 2200 E</v>
          </cell>
          <cell r="I307" t="str">
            <v>VWR</v>
          </cell>
          <cell r="J307" t="str">
            <v>01</v>
          </cell>
          <cell r="K307">
            <v>2258.83</v>
          </cell>
          <cell r="L307" t="str">
            <v>EUR</v>
          </cell>
          <cell r="M307" t="str">
            <v>3390</v>
          </cell>
        </row>
        <row r="308">
          <cell r="E308" t="str">
            <v>32446</v>
          </cell>
          <cell r="F308">
            <v>38190</v>
          </cell>
          <cell r="G308">
            <v>38315</v>
          </cell>
          <cell r="H308" t="str">
            <v>Spectroquant N02, NO3, acide tanique</v>
          </cell>
          <cell r="I308" t="str">
            <v>VWR</v>
          </cell>
          <cell r="J308" t="str">
            <v>01</v>
          </cell>
          <cell r="K308">
            <v>1498.8</v>
          </cell>
          <cell r="L308" t="str">
            <v>EUR</v>
          </cell>
          <cell r="M308" t="str">
            <v>2100</v>
          </cell>
        </row>
        <row r="309">
          <cell r="E309" t="str">
            <v>32925</v>
          </cell>
          <cell r="F309">
            <v>38327</v>
          </cell>
          <cell r="H309" t="str">
            <v>Malt standard EBC (10 x 500 g)</v>
          </cell>
          <cell r="I309" t="str">
            <v>LCT</v>
          </cell>
          <cell r="J309" t="str">
            <v>01</v>
          </cell>
          <cell r="K309">
            <v>1185</v>
          </cell>
          <cell r="L309" t="str">
            <v>EUR</v>
          </cell>
          <cell r="M309" t="str">
            <v>2100</v>
          </cell>
        </row>
        <row r="310">
          <cell r="E310" t="str">
            <v>23561/O</v>
          </cell>
          <cell r="F310">
            <v>38651</v>
          </cell>
          <cell r="G310">
            <v>38199</v>
          </cell>
          <cell r="H310" t="str">
            <v>Microscope binoculaire Leica</v>
          </cell>
          <cell r="I310" t="str">
            <v>LTZ</v>
          </cell>
          <cell r="J310" t="str">
            <v>01</v>
          </cell>
          <cell r="K310">
            <v>1853.76</v>
          </cell>
          <cell r="L310" t="str">
            <v>EUR</v>
          </cell>
          <cell r="M310" t="str">
            <v>2201</v>
          </cell>
        </row>
        <row r="311">
          <cell r="E311" t="str">
            <v>32407</v>
          </cell>
          <cell r="F311">
            <v>38148</v>
          </cell>
          <cell r="G311">
            <v>38222</v>
          </cell>
          <cell r="H311" t="str">
            <v>Liquides &amp; Conditionnement, réabonnement</v>
          </cell>
          <cell r="I311" t="str">
            <v>PCI</v>
          </cell>
          <cell r="J311" t="str">
            <v>01</v>
          </cell>
          <cell r="K311">
            <v>1246.98</v>
          </cell>
          <cell r="L311" t="str">
            <v>EUR</v>
          </cell>
          <cell r="M311" t="str">
            <v>2201</v>
          </cell>
        </row>
        <row r="312">
          <cell r="E312" t="str">
            <v>32421</v>
          </cell>
          <cell r="F312">
            <v>38156</v>
          </cell>
          <cell r="G312">
            <v>38316</v>
          </cell>
          <cell r="H312" t="str">
            <v>Kits produits analyses eaux usées (DBO, DCO)</v>
          </cell>
          <cell r="I312" t="str">
            <v>VWR</v>
          </cell>
          <cell r="J312" t="str">
            <v>01</v>
          </cell>
          <cell r="K312">
            <v>2612.0700000000002</v>
          </cell>
          <cell r="L312" t="str">
            <v>EUR</v>
          </cell>
          <cell r="M312" t="str">
            <v>2100</v>
          </cell>
        </row>
        <row r="313">
          <cell r="E313" t="str">
            <v>67485</v>
          </cell>
          <cell r="F313">
            <v>38173</v>
          </cell>
          <cell r="G313">
            <v>38216</v>
          </cell>
          <cell r="H313" t="str">
            <v>Marqueurs tableaux blancs et chevalet de conférence</v>
          </cell>
          <cell r="I313" t="str">
            <v>MAN</v>
          </cell>
          <cell r="J313" t="str">
            <v>01</v>
          </cell>
          <cell r="K313">
            <v>1373.71</v>
          </cell>
          <cell r="L313" t="str">
            <v>EUR</v>
          </cell>
          <cell r="M313" t="str">
            <v>2100</v>
          </cell>
        </row>
        <row r="314">
          <cell r="G314">
            <v>38200</v>
          </cell>
          <cell r="H314" t="str">
            <v>Lampes de rechange turbidimètre Lg-automatic (6)</v>
          </cell>
          <cell r="I314" t="str">
            <v>CRB</v>
          </cell>
          <cell r="J314" t="str">
            <v>01</v>
          </cell>
          <cell r="K314">
            <v>156.93</v>
          </cell>
          <cell r="L314" t="str">
            <v>EUR</v>
          </cell>
          <cell r="M314" t="str">
            <v>2000</v>
          </cell>
        </row>
        <row r="315">
          <cell r="E315" t="str">
            <v>32398</v>
          </cell>
          <cell r="F315">
            <v>38147</v>
          </cell>
          <cell r="G315">
            <v>38173</v>
          </cell>
          <cell r="H315" t="str">
            <v>Tubes en verre stalagmomètre (24)</v>
          </cell>
          <cell r="I315" t="str">
            <v>SPR</v>
          </cell>
          <cell r="J315" t="str">
            <v>01</v>
          </cell>
          <cell r="K315">
            <v>1379.25</v>
          </cell>
          <cell r="L315" t="str">
            <v>EUR</v>
          </cell>
          <cell r="M315" t="str">
            <v>2100</v>
          </cell>
        </row>
        <row r="316">
          <cell r="E316" t="str">
            <v>32396</v>
          </cell>
          <cell r="F316">
            <v>38145</v>
          </cell>
          <cell r="G316">
            <v>38159</v>
          </cell>
          <cell r="H316" t="str">
            <v>Additifs Pasteur +GS</v>
          </cell>
          <cell r="I316" t="str">
            <v>DPA</v>
          </cell>
          <cell r="J316" t="str">
            <v>01</v>
          </cell>
          <cell r="K316">
            <v>1495</v>
          </cell>
          <cell r="L316" t="str">
            <v>EUR</v>
          </cell>
          <cell r="M316" t="str">
            <v>2100</v>
          </cell>
        </row>
        <row r="317">
          <cell r="E317" t="str">
            <v>32399</v>
          </cell>
          <cell r="F317">
            <v>38148</v>
          </cell>
          <cell r="G317">
            <v>38197</v>
          </cell>
          <cell r="H317" t="str">
            <v>DPD N° 4 N, R, , Glycine</v>
          </cell>
          <cell r="I317" t="str">
            <v>CIF</v>
          </cell>
          <cell r="J317" t="str">
            <v>01</v>
          </cell>
          <cell r="K317">
            <v>3534.5</v>
          </cell>
          <cell r="L317" t="str">
            <v>EUR</v>
          </cell>
          <cell r="M317" t="str">
            <v>2100</v>
          </cell>
        </row>
        <row r="318">
          <cell r="E318" t="str">
            <v>32408</v>
          </cell>
          <cell r="F318">
            <v>38149</v>
          </cell>
          <cell r="G318">
            <v>38197</v>
          </cell>
          <cell r="H318" t="str">
            <v>Rechanges orbisphere</v>
          </cell>
          <cell r="I318" t="str">
            <v>ORB</v>
          </cell>
          <cell r="J318" t="str">
            <v>01</v>
          </cell>
          <cell r="K318">
            <v>6513.1</v>
          </cell>
          <cell r="L318" t="str">
            <v>EUR</v>
          </cell>
          <cell r="M318" t="str">
            <v>2000</v>
          </cell>
        </row>
        <row r="319">
          <cell r="E319">
            <v>41443</v>
          </cell>
          <cell r="F319">
            <v>38162</v>
          </cell>
          <cell r="G319">
            <v>38334</v>
          </cell>
          <cell r="H319" t="str">
            <v>Sample bags for CO2 analyses CAS (12)</v>
          </cell>
          <cell r="I319" t="str">
            <v>HAF</v>
          </cell>
          <cell r="J319" t="str">
            <v>01</v>
          </cell>
          <cell r="K319">
            <v>982.8</v>
          </cell>
          <cell r="L319" t="str">
            <v>EUR</v>
          </cell>
          <cell r="M319" t="str">
            <v>2100</v>
          </cell>
        </row>
        <row r="320">
          <cell r="E320">
            <v>41443</v>
          </cell>
          <cell r="F320">
            <v>38162</v>
          </cell>
          <cell r="G320">
            <v>38334</v>
          </cell>
          <cell r="H320" t="str">
            <v>Documents Qualité (NE)</v>
          </cell>
          <cell r="I320" t="str">
            <v>AFN</v>
          </cell>
          <cell r="J320" t="str">
            <v>01</v>
          </cell>
          <cell r="K320">
            <v>60.49</v>
          </cell>
          <cell r="L320" t="str">
            <v>EUR</v>
          </cell>
          <cell r="M320" t="str">
            <v>2201</v>
          </cell>
        </row>
        <row r="321">
          <cell r="E321">
            <v>40424</v>
          </cell>
          <cell r="F321">
            <v>38162</v>
          </cell>
          <cell r="G321">
            <v>38315</v>
          </cell>
          <cell r="H321" t="str">
            <v>Documents Qualité (NE)</v>
          </cell>
          <cell r="I321" t="str">
            <v>DND</v>
          </cell>
          <cell r="J321" t="str">
            <v>01</v>
          </cell>
          <cell r="K321">
            <v>2064.52</v>
          </cell>
          <cell r="L321" t="str">
            <v>EUR</v>
          </cell>
          <cell r="M321" t="str">
            <v>2201</v>
          </cell>
        </row>
        <row r="322">
          <cell r="E322" t="str">
            <v>32417</v>
          </cell>
          <cell r="F322">
            <v>38154</v>
          </cell>
          <cell r="G322">
            <v>38211</v>
          </cell>
          <cell r="H322" t="str">
            <v>Rallonge 60 mètres + câbles 3 mètres (6)</v>
          </cell>
          <cell r="I322" t="str">
            <v>ORB</v>
          </cell>
          <cell r="J322" t="str">
            <v>01</v>
          </cell>
          <cell r="K322">
            <v>3478.2395480225987</v>
          </cell>
          <cell r="L322" t="str">
            <v>EUR</v>
          </cell>
          <cell r="M322" t="str">
            <v>CV040</v>
          </cell>
        </row>
        <row r="323">
          <cell r="E323" t="str">
            <v>32454</v>
          </cell>
          <cell r="F323">
            <v>38169</v>
          </cell>
          <cell r="G323">
            <v>38229</v>
          </cell>
          <cell r="H323" t="str">
            <v>Têtes de sondes 31120 SN 38777 et SN ? À réparer</v>
          </cell>
          <cell r="I323" t="str">
            <v>ORB</v>
          </cell>
          <cell r="J323" t="str">
            <v>01</v>
          </cell>
          <cell r="K323">
            <v>5490.5</v>
          </cell>
          <cell r="L323" t="str">
            <v>EUR</v>
          </cell>
          <cell r="M323" t="str">
            <v>3022</v>
          </cell>
        </row>
        <row r="324">
          <cell r="E324" t="str">
            <v>334107</v>
          </cell>
          <cell r="F324">
            <v>37147</v>
          </cell>
          <cell r="G324">
            <v>38282</v>
          </cell>
          <cell r="H324" t="str">
            <v>1 Densimètre DMA 4500</v>
          </cell>
          <cell r="I324" t="str">
            <v>PAA</v>
          </cell>
          <cell r="J324" t="str">
            <v>01</v>
          </cell>
          <cell r="K324">
            <v>13948.48</v>
          </cell>
          <cell r="L324" t="str">
            <v>EUR</v>
          </cell>
          <cell r="M324" t="str">
            <v>Z019</v>
          </cell>
        </row>
        <row r="325">
          <cell r="E325" t="str">
            <v>32764</v>
          </cell>
          <cell r="F325">
            <v>38292</v>
          </cell>
          <cell r="G325">
            <v>38316</v>
          </cell>
          <cell r="H325" t="str">
            <v/>
          </cell>
          <cell r="I325" t="str">
            <v>BBL</v>
          </cell>
          <cell r="J325" t="str">
            <v>01</v>
          </cell>
          <cell r="K325">
            <v>1999.15</v>
          </cell>
          <cell r="L325" t="str">
            <v>EUR</v>
          </cell>
          <cell r="M325" t="str">
            <v>2000</v>
          </cell>
        </row>
        <row r="326">
          <cell r="E326" t="str">
            <v>32406</v>
          </cell>
          <cell r="F326">
            <v>38148</v>
          </cell>
          <cell r="G326">
            <v>38337</v>
          </cell>
          <cell r="H326" t="str">
            <v>Produits de laboratoire</v>
          </cell>
          <cell r="I326" t="str">
            <v>VWR</v>
          </cell>
          <cell r="J326" t="str">
            <v>01</v>
          </cell>
          <cell r="K326">
            <v>2074.69</v>
          </cell>
          <cell r="L326" t="str">
            <v>EUR</v>
          </cell>
          <cell r="M326" t="str">
            <v>2100</v>
          </cell>
        </row>
        <row r="327">
          <cell r="E327" t="str">
            <v>32405</v>
          </cell>
          <cell r="F327">
            <v>38149</v>
          </cell>
          <cell r="G327">
            <v>38337</v>
          </cell>
          <cell r="H327" t="str">
            <v>Produits de laboratoire</v>
          </cell>
          <cell r="I327" t="str">
            <v>VWR</v>
          </cell>
          <cell r="J327" t="str">
            <v>01</v>
          </cell>
          <cell r="K327">
            <v>17144.599999999999</v>
          </cell>
          <cell r="L327" t="str">
            <v>EUR</v>
          </cell>
          <cell r="M327" t="str">
            <v>2100</v>
          </cell>
        </row>
        <row r="328">
          <cell r="E328" t="str">
            <v>32419</v>
          </cell>
          <cell r="F328">
            <v>38314</v>
          </cell>
          <cell r="G328">
            <v>38308</v>
          </cell>
          <cell r="H328" t="str">
            <v>Matériels de laboratoire</v>
          </cell>
          <cell r="I328" t="str">
            <v>OSI</v>
          </cell>
          <cell r="J328" t="str">
            <v>01</v>
          </cell>
          <cell r="K328">
            <v>14534.23</v>
          </cell>
          <cell r="L328" t="str">
            <v>EUR</v>
          </cell>
          <cell r="M328" t="str">
            <v>2100</v>
          </cell>
        </row>
        <row r="329">
          <cell r="E329" t="str">
            <v>32432</v>
          </cell>
          <cell r="F329">
            <v>38161</v>
          </cell>
          <cell r="G329">
            <v>38216</v>
          </cell>
          <cell r="H329" t="str">
            <v>Boîtier Moca 3600 SN 14156 en réparation</v>
          </cell>
          <cell r="I329" t="str">
            <v>ORB</v>
          </cell>
          <cell r="J329" t="str">
            <v>01</v>
          </cell>
          <cell r="K329" t="str">
            <v>7046,08</v>
          </cell>
          <cell r="L329" t="str">
            <v>EUR</v>
          </cell>
          <cell r="M329" t="str">
            <v>3022</v>
          </cell>
        </row>
        <row r="330">
          <cell r="E330" t="str">
            <v>32455</v>
          </cell>
          <cell r="F330">
            <v>38180</v>
          </cell>
          <cell r="G330">
            <v>38199</v>
          </cell>
          <cell r="H330" t="str">
            <v>Data Logger 270 mm (2) + Interface + PC-Cable K9/25 en révision</v>
          </cell>
          <cell r="I330" t="str">
            <v>EBI</v>
          </cell>
          <cell r="J330" t="str">
            <v>01</v>
          </cell>
          <cell r="K330">
            <v>620.45000000000005</v>
          </cell>
          <cell r="L330" t="str">
            <v>EUR</v>
          </cell>
          <cell r="M330" t="str">
            <v>3022</v>
          </cell>
        </row>
        <row r="331">
          <cell r="E331" t="str">
            <v>32456</v>
          </cell>
          <cell r="F331">
            <v>38187</v>
          </cell>
          <cell r="G331">
            <v>38232</v>
          </cell>
          <cell r="H331" t="str">
            <v>Malt standard EBC (10 x 500 g)</v>
          </cell>
          <cell r="I331" t="str">
            <v>LCT</v>
          </cell>
          <cell r="J331" t="str">
            <v>01</v>
          </cell>
          <cell r="K331">
            <v>2610.1999999999998</v>
          </cell>
          <cell r="L331" t="str">
            <v>EUR</v>
          </cell>
          <cell r="M331" t="str">
            <v>2100</v>
          </cell>
        </row>
        <row r="332">
          <cell r="E332" t="str">
            <v>32460</v>
          </cell>
          <cell r="F332">
            <v>38169</v>
          </cell>
          <cell r="G332">
            <v>38199</v>
          </cell>
          <cell r="H332" t="str">
            <v>Résolution de problèmes (3)</v>
          </cell>
          <cell r="I332" t="str">
            <v>LAV</v>
          </cell>
          <cell r="J332" t="str">
            <v>01</v>
          </cell>
          <cell r="K332">
            <v>2173.9</v>
          </cell>
          <cell r="L332" t="str">
            <v>EUR</v>
          </cell>
          <cell r="M332" t="str">
            <v>2201</v>
          </cell>
        </row>
        <row r="333">
          <cell r="E333" t="str">
            <v>32407</v>
          </cell>
          <cell r="F333">
            <v>38148</v>
          </cell>
          <cell r="G333">
            <v>38216</v>
          </cell>
          <cell r="H333" t="str">
            <v>Boîtier Moca 3600 SN 22805 en réparation</v>
          </cell>
          <cell r="I333" t="str">
            <v>ORB</v>
          </cell>
          <cell r="J333" t="str">
            <v>01</v>
          </cell>
          <cell r="K333">
            <v>1246.98</v>
          </cell>
          <cell r="L333" t="str">
            <v>EUR</v>
          </cell>
          <cell r="M333" t="str">
            <v>3022</v>
          </cell>
        </row>
        <row r="334">
          <cell r="E334" t="str">
            <v>32375</v>
          </cell>
          <cell r="F334">
            <v>38125</v>
          </cell>
          <cell r="G334">
            <v>38155</v>
          </cell>
          <cell r="H334" t="str">
            <v>Bottle adater (12)</v>
          </cell>
          <cell r="I334" t="str">
            <v>EBI</v>
          </cell>
          <cell r="J334" t="str">
            <v>01</v>
          </cell>
          <cell r="K334">
            <v>1243.43</v>
          </cell>
          <cell r="L334" t="str">
            <v>EUR</v>
          </cell>
          <cell r="M334" t="str">
            <v>2000</v>
          </cell>
        </row>
        <row r="335">
          <cell r="E335" t="str">
            <v>32366</v>
          </cell>
          <cell r="F335">
            <v>38118</v>
          </cell>
          <cell r="G335">
            <v>38155</v>
          </cell>
          <cell r="H335" t="str">
            <v>Systèmes Ebro pour UP (3)</v>
          </cell>
          <cell r="I335" t="str">
            <v>EBI</v>
          </cell>
          <cell r="J335" t="str">
            <v>01</v>
          </cell>
          <cell r="K335">
            <v>5199.2</v>
          </cell>
          <cell r="L335" t="str">
            <v>EUR</v>
          </cell>
          <cell r="M335" t="str">
            <v>CV033</v>
          </cell>
        </row>
        <row r="336">
          <cell r="G336">
            <v>38200</v>
          </cell>
          <cell r="H336" t="str">
            <v>Microordinateur DELL</v>
          </cell>
          <cell r="I336" t="str">
            <v>DLL</v>
          </cell>
          <cell r="J336" t="str">
            <v>01</v>
          </cell>
          <cell r="M336" t="str">
            <v>CV039</v>
          </cell>
        </row>
        <row r="337">
          <cell r="E337" t="str">
            <v>335944</v>
          </cell>
          <cell r="F337">
            <v>37326</v>
          </cell>
          <cell r="G337">
            <v>37448</v>
          </cell>
          <cell r="H337" t="str">
            <v>Alcoolyser + Paar 4500 analyses bières</v>
          </cell>
          <cell r="I337" t="str">
            <v>PAA</v>
          </cell>
          <cell r="J337" t="str">
            <v>01</v>
          </cell>
          <cell r="K337">
            <v>40495.82</v>
          </cell>
          <cell r="L337" t="str">
            <v>EUR</v>
          </cell>
          <cell r="M337" t="str">
            <v>AO30</v>
          </cell>
        </row>
        <row r="338">
          <cell r="E338" t="str">
            <v>32369</v>
          </cell>
          <cell r="F338">
            <v>37753</v>
          </cell>
          <cell r="G338">
            <v>38162</v>
          </cell>
          <cell r="H338" t="str">
            <v>Micro Logger, système portable O2 dissous</v>
          </cell>
          <cell r="I338" t="str">
            <v>ORB</v>
          </cell>
          <cell r="J338" t="str">
            <v>01</v>
          </cell>
          <cell r="K338">
            <v>12933.8</v>
          </cell>
          <cell r="L338" t="str">
            <v>EUR</v>
          </cell>
          <cell r="M338" t="str">
            <v>CV038</v>
          </cell>
        </row>
        <row r="339">
          <cell r="E339" t="str">
            <v>32399</v>
          </cell>
          <cell r="F339">
            <v>38148</v>
          </cell>
          <cell r="G339">
            <v>38188</v>
          </cell>
          <cell r="H339" t="str">
            <v>Presoclave 75, autoclave</v>
          </cell>
          <cell r="I339" t="str">
            <v>RGS</v>
          </cell>
          <cell r="J339" t="str">
            <v>01</v>
          </cell>
          <cell r="K339">
            <v>3534.5</v>
          </cell>
          <cell r="L339" t="str">
            <v>EUR</v>
          </cell>
          <cell r="M339" t="str">
            <v>CV036</v>
          </cell>
        </row>
        <row r="340">
          <cell r="E340" t="str">
            <v>32378</v>
          </cell>
          <cell r="F340">
            <v>38132</v>
          </cell>
          <cell r="G340">
            <v>38166</v>
          </cell>
          <cell r="H340" t="str">
            <v>Centrifugeuse Eppendorf</v>
          </cell>
          <cell r="I340" t="str">
            <v>OSI</v>
          </cell>
          <cell r="J340" t="str">
            <v>01</v>
          </cell>
          <cell r="K340">
            <v>4979.9399999999996</v>
          </cell>
          <cell r="L340" t="str">
            <v>EUR</v>
          </cell>
          <cell r="M340" t="str">
            <v>CV034</v>
          </cell>
        </row>
        <row r="341">
          <cell r="E341" t="str">
            <v>32380</v>
          </cell>
          <cell r="F341">
            <v>38126</v>
          </cell>
          <cell r="G341">
            <v>38222</v>
          </cell>
          <cell r="H341" t="str">
            <v>Spectrophotomètre AQUAMATE</v>
          </cell>
          <cell r="I341" t="str">
            <v>VWR</v>
          </cell>
          <cell r="J341" t="str">
            <v>01</v>
          </cell>
          <cell r="K341">
            <v>11893.8</v>
          </cell>
          <cell r="L341" t="str">
            <v>EUR</v>
          </cell>
          <cell r="M341" t="str">
            <v>CV032</v>
          </cell>
        </row>
        <row r="342">
          <cell r="E342" t="str">
            <v>32367</v>
          </cell>
          <cell r="F342">
            <v>38118</v>
          </cell>
          <cell r="G342">
            <v>38334</v>
          </cell>
          <cell r="H342" t="str">
            <v>Zahm 9000-R Pilot Plant</v>
          </cell>
          <cell r="I342" t="str">
            <v>CRB</v>
          </cell>
          <cell r="J342" t="str">
            <v>01</v>
          </cell>
          <cell r="K342">
            <v>6540.9</v>
          </cell>
          <cell r="L342" t="str">
            <v>EUR</v>
          </cell>
          <cell r="M342" t="str">
            <v>CV031</v>
          </cell>
        </row>
        <row r="343">
          <cell r="E343" t="str">
            <v>32397</v>
          </cell>
          <cell r="F343">
            <v>38147</v>
          </cell>
          <cell r="G343">
            <v>38197</v>
          </cell>
          <cell r="H343" t="str">
            <v>Documents Qualité (NE)</v>
          </cell>
          <cell r="I343" t="str">
            <v>DND</v>
          </cell>
          <cell r="J343" t="str">
            <v>01</v>
          </cell>
          <cell r="K343">
            <v>4135.75</v>
          </cell>
          <cell r="L343" t="str">
            <v>EUR</v>
          </cell>
          <cell r="M343" t="str">
            <v>2201</v>
          </cell>
        </row>
        <row r="344">
          <cell r="E344" t="str">
            <v>32368</v>
          </cell>
          <cell r="F344">
            <v>38118</v>
          </cell>
          <cell r="G344">
            <v>38155</v>
          </cell>
          <cell r="H344" t="str">
            <v>Genbox (60) + Indicateurs d'anérobiose (10 x 50)</v>
          </cell>
          <cell r="I344" t="str">
            <v>BIO</v>
          </cell>
          <cell r="J344" t="str">
            <v>01</v>
          </cell>
          <cell r="K344">
            <v>2660.85</v>
          </cell>
          <cell r="L344" t="str">
            <v>EUR</v>
          </cell>
          <cell r="M344" t="str">
            <v>2100</v>
          </cell>
        </row>
        <row r="345">
          <cell r="E345" t="str">
            <v>39954</v>
          </cell>
          <cell r="F345">
            <v>38105</v>
          </cell>
          <cell r="G345">
            <v>38133</v>
          </cell>
          <cell r="H345" t="str">
            <v>Sonde à immesion pour thermomètre Comark Us 04</v>
          </cell>
          <cell r="I345" t="str">
            <v>VWR</v>
          </cell>
          <cell r="J345" t="str">
            <v>01</v>
          </cell>
          <cell r="K345">
            <v>279000</v>
          </cell>
          <cell r="L345" t="str">
            <v>CFA</v>
          </cell>
          <cell r="M345" t="str">
            <v>2000</v>
          </cell>
        </row>
        <row r="346">
          <cell r="E346" t="str">
            <v>32329</v>
          </cell>
          <cell r="F346">
            <v>38105</v>
          </cell>
          <cell r="G346">
            <v>38155</v>
          </cell>
          <cell r="H346" t="str">
            <v>1 Densimètre DMA 4500</v>
          </cell>
          <cell r="I346" t="str">
            <v>PAA</v>
          </cell>
          <cell r="J346" t="str">
            <v>01</v>
          </cell>
          <cell r="K346">
            <v>13948.48</v>
          </cell>
          <cell r="L346" t="str">
            <v>EUR</v>
          </cell>
          <cell r="M346" t="str">
            <v>Z019</v>
          </cell>
        </row>
        <row r="347">
          <cell r="E347" t="str">
            <v>32370</v>
          </cell>
          <cell r="F347">
            <v>38127</v>
          </cell>
          <cell r="G347">
            <v>38167</v>
          </cell>
          <cell r="H347" t="str">
            <v/>
          </cell>
          <cell r="I347" t="str">
            <v>BBL</v>
          </cell>
          <cell r="J347" t="str">
            <v>01</v>
          </cell>
          <cell r="K347">
            <v>742.61</v>
          </cell>
          <cell r="L347" t="str">
            <v>EUR</v>
          </cell>
          <cell r="M347" t="str">
            <v>2000</v>
          </cell>
        </row>
        <row r="348">
          <cell r="E348" t="str">
            <v>39812</v>
          </cell>
          <cell r="F348">
            <v>38090</v>
          </cell>
          <cell r="G348">
            <v>38337</v>
          </cell>
          <cell r="H348" t="str">
            <v>Fraises scie alésage métrique (2)</v>
          </cell>
          <cell r="I348" t="str">
            <v>EPX</v>
          </cell>
          <cell r="J348" t="str">
            <v>01</v>
          </cell>
          <cell r="K348">
            <v>105196</v>
          </cell>
          <cell r="L348" t="str">
            <v>CFA</v>
          </cell>
          <cell r="M348" t="str">
            <v>2100</v>
          </cell>
        </row>
        <row r="349">
          <cell r="E349" t="str">
            <v>32198</v>
          </cell>
          <cell r="F349">
            <v>38072</v>
          </cell>
          <cell r="G349">
            <v>38337</v>
          </cell>
          <cell r="H349" t="str">
            <v>2 Chaudières amovibles ébulliomètre</v>
          </cell>
          <cell r="I349" t="str">
            <v>DJS</v>
          </cell>
          <cell r="J349" t="str">
            <v>01</v>
          </cell>
          <cell r="K349">
            <v>562.45000000000005</v>
          </cell>
          <cell r="L349" t="str">
            <v>EUR</v>
          </cell>
          <cell r="M349" t="str">
            <v>2000</v>
          </cell>
        </row>
        <row r="350">
          <cell r="E350" t="str">
            <v>32419</v>
          </cell>
          <cell r="F350">
            <v>38314</v>
          </cell>
          <cell r="G350">
            <v>38057</v>
          </cell>
          <cell r="H350" t="str">
            <v>Documentation</v>
          </cell>
          <cell r="I350" t="str">
            <v>LAV</v>
          </cell>
          <cell r="J350" t="str">
            <v>01</v>
          </cell>
          <cell r="K350">
            <v>351220</v>
          </cell>
          <cell r="L350" t="str">
            <v>CFA</v>
          </cell>
          <cell r="M350" t="str">
            <v>2201</v>
          </cell>
        </row>
        <row r="351">
          <cell r="E351" t="str">
            <v>64403</v>
          </cell>
          <cell r="F351">
            <v>38036</v>
          </cell>
          <cell r="G351">
            <v>38216</v>
          </cell>
          <cell r="H351" t="str">
            <v>Boîtier Moca 3600 SN 14156 en réparation</v>
          </cell>
          <cell r="I351" t="str">
            <v>ORB</v>
          </cell>
          <cell r="J351" t="str">
            <v>01</v>
          </cell>
          <cell r="K351">
            <v>1310.4000000000001</v>
          </cell>
          <cell r="L351" t="str">
            <v>EUR</v>
          </cell>
          <cell r="M351" t="str">
            <v>3022</v>
          </cell>
        </row>
        <row r="352">
          <cell r="E352" t="str">
            <v>32188</v>
          </cell>
          <cell r="F352">
            <v>38036</v>
          </cell>
          <cell r="G352">
            <v>38084</v>
          </cell>
          <cell r="H352" t="str">
            <v>Electrodes CG (20) + HI 1131 B (12)</v>
          </cell>
          <cell r="I352" t="str">
            <v>VWR</v>
          </cell>
          <cell r="J352" t="str">
            <v>01</v>
          </cell>
          <cell r="K352">
            <v>5289.34</v>
          </cell>
          <cell r="L352" t="str">
            <v>EUR</v>
          </cell>
          <cell r="M352" t="str">
            <v>2000</v>
          </cell>
        </row>
        <row r="353">
          <cell r="E353" t="str">
            <v>32131</v>
          </cell>
          <cell r="F353">
            <v>37661</v>
          </cell>
          <cell r="G353">
            <v>38049</v>
          </cell>
          <cell r="H353" t="str">
            <v>Additifs Pasteur + Chapman</v>
          </cell>
          <cell r="I353" t="str">
            <v>DPA</v>
          </cell>
          <cell r="J353" t="str">
            <v>01</v>
          </cell>
          <cell r="K353">
            <v>785.72</v>
          </cell>
          <cell r="L353" t="str">
            <v>EUR</v>
          </cell>
          <cell r="M353" t="str">
            <v>2100</v>
          </cell>
        </row>
        <row r="354">
          <cell r="E354" t="str">
            <v>32177</v>
          </cell>
          <cell r="F354">
            <v>37664</v>
          </cell>
          <cell r="G354">
            <v>38155</v>
          </cell>
          <cell r="H354" t="str">
            <v>Matériels de laboratoire</v>
          </cell>
          <cell r="I354" t="str">
            <v>VWR</v>
          </cell>
          <cell r="J354" t="str">
            <v>01</v>
          </cell>
          <cell r="K354">
            <v>5621.04</v>
          </cell>
          <cell r="L354" t="str">
            <v>EUR</v>
          </cell>
          <cell r="M354" t="str">
            <v>2100</v>
          </cell>
        </row>
        <row r="355">
          <cell r="E355" t="str">
            <v>32130</v>
          </cell>
          <cell r="F355">
            <v>38026</v>
          </cell>
          <cell r="G355">
            <v>38216</v>
          </cell>
          <cell r="H355" t="str">
            <v>Boîtier Moca 3600 SN 22805 en réparation</v>
          </cell>
          <cell r="I355" t="str">
            <v>ORB</v>
          </cell>
          <cell r="J355" t="str">
            <v>01</v>
          </cell>
          <cell r="K355">
            <v>9075.34</v>
          </cell>
          <cell r="L355" t="str">
            <v>EUR</v>
          </cell>
          <cell r="M355" t="str">
            <v>3022</v>
          </cell>
        </row>
        <row r="356">
          <cell r="E356" t="str">
            <v>32160</v>
          </cell>
          <cell r="F356">
            <v>38029</v>
          </cell>
          <cell r="G356">
            <v>38070</v>
          </cell>
          <cell r="H356" t="str">
            <v>Tamp pH 4 &amp; 7, ADPP, Aqmck Fe</v>
          </cell>
          <cell r="I356" t="str">
            <v>VWR</v>
          </cell>
          <cell r="J356" t="str">
            <v>01</v>
          </cell>
          <cell r="K356">
            <v>2818.86</v>
          </cell>
          <cell r="L356" t="str">
            <v>EUR</v>
          </cell>
          <cell r="M356" t="str">
            <v>2100</v>
          </cell>
        </row>
        <row r="357">
          <cell r="E357" t="str">
            <v>32162</v>
          </cell>
          <cell r="F357">
            <v>38029</v>
          </cell>
          <cell r="G357">
            <v>37730</v>
          </cell>
          <cell r="H357" t="str">
            <v>Produits de laboratoire</v>
          </cell>
          <cell r="I357" t="str">
            <v>VWR</v>
          </cell>
          <cell r="J357" t="str">
            <v>01</v>
          </cell>
          <cell r="K357">
            <v>2885.63</v>
          </cell>
          <cell r="L357" t="str">
            <v>EUR</v>
          </cell>
          <cell r="M357" t="str">
            <v>2100</v>
          </cell>
        </row>
        <row r="358">
          <cell r="E358" t="str">
            <v>32156</v>
          </cell>
          <cell r="F358">
            <v>38028</v>
          </cell>
          <cell r="H358" t="str">
            <v>Balance Mettler Toledo AG204</v>
          </cell>
          <cell r="I358" t="str">
            <v>MTL</v>
          </cell>
          <cell r="J358" t="str">
            <v>06</v>
          </cell>
          <cell r="K358">
            <v>3284.34</v>
          </cell>
          <cell r="L358" t="str">
            <v>EUR</v>
          </cell>
          <cell r="M358" t="str">
            <v>CV039</v>
          </cell>
        </row>
        <row r="359">
          <cell r="E359" t="str">
            <v>32394</v>
          </cell>
          <cell r="F359">
            <v>38131</v>
          </cell>
          <cell r="G359">
            <v>37448</v>
          </cell>
          <cell r="H359" t="str">
            <v>Beverage Filling Pack., Brewing Science, Yeast &amp; Fermentation</v>
          </cell>
          <cell r="I359" t="str">
            <v>BRG</v>
          </cell>
          <cell r="J359" t="str">
            <v>01</v>
          </cell>
          <cell r="K359">
            <v>901.52</v>
          </cell>
          <cell r="L359" t="str">
            <v>EUR</v>
          </cell>
          <cell r="M359" t="str">
            <v>2201</v>
          </cell>
        </row>
        <row r="360">
          <cell r="E360" t="str">
            <v>32139</v>
          </cell>
          <cell r="F360" t="str">
            <v>09/02/04</v>
          </cell>
          <cell r="G360">
            <v>38199</v>
          </cell>
          <cell r="H360" t="str">
            <v>Loupe binoculaire + NH4 persulfate + Ballons 1000 ml (48)</v>
          </cell>
          <cell r="I360" t="str">
            <v>OSI</v>
          </cell>
          <cell r="J360" t="str">
            <v>01</v>
          </cell>
          <cell r="K360">
            <v>808</v>
          </cell>
          <cell r="L360" t="str">
            <v>EUR</v>
          </cell>
          <cell r="M360" t="str">
            <v>2100</v>
          </cell>
        </row>
        <row r="361">
          <cell r="G361">
            <v>38155</v>
          </cell>
          <cell r="H361" t="str">
            <v>NH4 persulfate (5 X 5 kg)</v>
          </cell>
          <cell r="I361" t="str">
            <v>OSI</v>
          </cell>
          <cell r="J361" t="str">
            <v>01</v>
          </cell>
          <cell r="K361">
            <v>129.83288166214996</v>
          </cell>
          <cell r="L361" t="str">
            <v>EUR</v>
          </cell>
          <cell r="M361" t="str">
            <v>CV036</v>
          </cell>
        </row>
        <row r="362">
          <cell r="E362" t="str">
            <v>32189</v>
          </cell>
          <cell r="F362">
            <v>37661</v>
          </cell>
          <cell r="G362">
            <v>38084</v>
          </cell>
          <cell r="H362" t="str">
            <v>Orbisphere in  line (2) + Micro Logger 1)</v>
          </cell>
          <cell r="I362" t="str">
            <v>ORB</v>
          </cell>
          <cell r="J362" t="str">
            <v>01</v>
          </cell>
          <cell r="K362">
            <v>36774.339999999997</v>
          </cell>
          <cell r="L362" t="str">
            <v>EUR</v>
          </cell>
          <cell r="M362" t="str">
            <v>CV038</v>
          </cell>
        </row>
        <row r="363">
          <cell r="E363" t="str">
            <v>32140</v>
          </cell>
          <cell r="F363">
            <v>38117</v>
          </cell>
          <cell r="G363">
            <v>38211</v>
          </cell>
          <cell r="H363" t="str">
            <v>Mashing apparatus, 8 containers</v>
          </cell>
          <cell r="I363" t="str">
            <v>LGA</v>
          </cell>
          <cell r="J363" t="str">
            <v>01</v>
          </cell>
          <cell r="K363">
            <v>11893.8</v>
          </cell>
          <cell r="L363" t="str">
            <v>EUR</v>
          </cell>
          <cell r="M363" t="str">
            <v>CV037</v>
          </cell>
        </row>
        <row r="364">
          <cell r="E364" t="str">
            <v>32167</v>
          </cell>
          <cell r="F364">
            <v>38029</v>
          </cell>
          <cell r="H364" t="str">
            <v>Mashing apparatus, 12 containers</v>
          </cell>
          <cell r="I364" t="str">
            <v>B&amp;H</v>
          </cell>
          <cell r="J364" t="str">
            <v>01</v>
          </cell>
          <cell r="K364">
            <v>15356</v>
          </cell>
          <cell r="L364" t="str">
            <v>EUR</v>
          </cell>
          <cell r="M364" t="str">
            <v>CV037</v>
          </cell>
        </row>
        <row r="365">
          <cell r="E365" t="str">
            <v>31100</v>
          </cell>
          <cell r="F365">
            <v>37593</v>
          </cell>
          <cell r="G365">
            <v>37657</v>
          </cell>
          <cell r="H365" t="str">
            <v>Révision complète d'un densimètre</v>
          </cell>
          <cell r="I365" t="str">
            <v>PAA</v>
          </cell>
          <cell r="J365" t="str">
            <v>01</v>
          </cell>
          <cell r="K365">
            <v>200.93</v>
          </cell>
          <cell r="L365" t="str">
            <v>EUR</v>
          </cell>
          <cell r="M365" t="str">
            <v>3022</v>
          </cell>
        </row>
        <row r="366">
          <cell r="E366" t="str">
            <v>31165</v>
          </cell>
          <cell r="F366">
            <v>37623</v>
          </cell>
          <cell r="G366">
            <v>37811</v>
          </cell>
          <cell r="H366" t="str">
            <v>Rechanges Alcolyser</v>
          </cell>
          <cell r="I366" t="str">
            <v>PAA</v>
          </cell>
          <cell r="J366" t="str">
            <v>01</v>
          </cell>
          <cell r="K366">
            <v>1705.7</v>
          </cell>
          <cell r="L366" t="str">
            <v>EUR</v>
          </cell>
          <cell r="M366" t="str">
            <v>2000</v>
          </cell>
        </row>
        <row r="367">
          <cell r="E367" t="str">
            <v>39954</v>
          </cell>
          <cell r="F367">
            <v>38105</v>
          </cell>
          <cell r="G367">
            <v>38057</v>
          </cell>
          <cell r="H367" t="str">
            <v>A Handbook of Brewing Calculations (MBAA)</v>
          </cell>
          <cell r="I367" t="str">
            <v>LAV</v>
          </cell>
          <cell r="J367" t="str">
            <v>01</v>
          </cell>
          <cell r="K367">
            <v>279000</v>
          </cell>
          <cell r="L367" t="str">
            <v>CFA</v>
          </cell>
          <cell r="M367" t="str">
            <v>2201</v>
          </cell>
        </row>
        <row r="368">
          <cell r="E368" t="str">
            <v>31982</v>
          </cell>
          <cell r="F368">
            <v>38071</v>
          </cell>
          <cell r="G368">
            <v>38133</v>
          </cell>
          <cell r="H368" t="str">
            <v>Electrodes CG (8) + Hanna (6)</v>
          </cell>
          <cell r="I368" t="str">
            <v>OSI</v>
          </cell>
          <cell r="J368" t="str">
            <v>01</v>
          </cell>
          <cell r="K368">
            <v>1890</v>
          </cell>
          <cell r="L368" t="str">
            <v>EUR</v>
          </cell>
          <cell r="M368" t="str">
            <v>2000</v>
          </cell>
        </row>
        <row r="369">
          <cell r="E369" t="str">
            <v>31983</v>
          </cell>
          <cell r="F369">
            <v>38071</v>
          </cell>
          <cell r="G369">
            <v>38133</v>
          </cell>
          <cell r="H369" t="str">
            <v>Tubes Tygon + Accus + Chargeurs Universels '2)</v>
          </cell>
          <cell r="I369" t="str">
            <v>BBL</v>
          </cell>
          <cell r="J369" t="str">
            <v>01</v>
          </cell>
          <cell r="K369">
            <v>2794.05</v>
          </cell>
          <cell r="L369" t="str">
            <v>EUR</v>
          </cell>
          <cell r="M369" t="str">
            <v>2000</v>
          </cell>
        </row>
        <row r="370">
          <cell r="E370" t="str">
            <v>31981</v>
          </cell>
          <cell r="F370">
            <v>37960</v>
          </cell>
          <cell r="G370">
            <v>37986</v>
          </cell>
          <cell r="H370" t="str">
            <v>Fraises scie alésage métrique (2)</v>
          </cell>
          <cell r="I370" t="str">
            <v>EPX</v>
          </cell>
          <cell r="J370" t="str">
            <v>01</v>
          </cell>
          <cell r="K370">
            <v>105196</v>
          </cell>
          <cell r="L370" t="str">
            <v>CFA</v>
          </cell>
          <cell r="M370" t="str">
            <v>2100</v>
          </cell>
        </row>
        <row r="371">
          <cell r="E371" t="str">
            <v>32198</v>
          </cell>
          <cell r="F371">
            <v>38072</v>
          </cell>
          <cell r="H371" t="str">
            <v>Documentation Brewer's Gardian</v>
          </cell>
          <cell r="I371" t="str">
            <v>BRG</v>
          </cell>
          <cell r="J371" t="str">
            <v>01</v>
          </cell>
          <cell r="K371">
            <v>562.45000000000005</v>
          </cell>
          <cell r="L371" t="str">
            <v>EUR</v>
          </cell>
          <cell r="M371" t="str">
            <v>2100</v>
          </cell>
        </row>
        <row r="372">
          <cell r="E372" t="str">
            <v>32005</v>
          </cell>
          <cell r="F372">
            <v>37965</v>
          </cell>
          <cell r="G372">
            <v>38057</v>
          </cell>
          <cell r="H372" t="str">
            <v>Documentation</v>
          </cell>
          <cell r="I372" t="str">
            <v>LAV</v>
          </cell>
          <cell r="J372" t="str">
            <v>01</v>
          </cell>
          <cell r="K372">
            <v>351220</v>
          </cell>
          <cell r="L372" t="str">
            <v>CFA</v>
          </cell>
          <cell r="M372" t="str">
            <v>2201</v>
          </cell>
        </row>
        <row r="373">
          <cell r="E373" t="str">
            <v>31974</v>
          </cell>
          <cell r="F373">
            <v>37959</v>
          </cell>
          <cell r="G373">
            <v>37986</v>
          </cell>
          <cell r="H373" t="str">
            <v>Mannitol salt agar + tergitol 7</v>
          </cell>
          <cell r="I373" t="str">
            <v>DPA</v>
          </cell>
          <cell r="J373" t="str">
            <v>01</v>
          </cell>
          <cell r="K373">
            <v>790.14</v>
          </cell>
          <cell r="L373" t="str">
            <v>EUR</v>
          </cell>
          <cell r="M373" t="str">
            <v>2100</v>
          </cell>
        </row>
        <row r="374">
          <cell r="E374" t="str">
            <v>62899</v>
          </cell>
          <cell r="F374">
            <v>37977</v>
          </cell>
          <cell r="G374">
            <v>38049</v>
          </cell>
          <cell r="H374" t="str">
            <v>Perfolieuse</v>
          </cell>
          <cell r="I374" t="str">
            <v>MAN</v>
          </cell>
          <cell r="J374" t="str">
            <v>01</v>
          </cell>
          <cell r="K374">
            <v>3811.96</v>
          </cell>
          <cell r="L374" t="str">
            <v>EUR</v>
          </cell>
          <cell r="M374" t="str">
            <v>2100</v>
          </cell>
        </row>
        <row r="375">
          <cell r="E375" t="str">
            <v>32008</v>
          </cell>
          <cell r="F375">
            <v>37970</v>
          </cell>
          <cell r="G375">
            <v>38007</v>
          </cell>
          <cell r="H375" t="str">
            <v>Sartofluor capsules</v>
          </cell>
          <cell r="I375" t="str">
            <v>STR</v>
          </cell>
          <cell r="J375" t="str">
            <v>01</v>
          </cell>
          <cell r="K375">
            <v>5699.14</v>
          </cell>
          <cell r="L375" t="str">
            <v>EUR</v>
          </cell>
          <cell r="M375" t="str">
            <v>2100</v>
          </cell>
        </row>
        <row r="376">
          <cell r="E376" t="str">
            <v>32029</v>
          </cell>
          <cell r="F376">
            <v>37970</v>
          </cell>
          <cell r="G376">
            <v>38070</v>
          </cell>
          <cell r="H376" t="str">
            <v>Produits de laboratoire (Actidione)</v>
          </cell>
          <cell r="I376" t="str">
            <v>RDH</v>
          </cell>
          <cell r="J376" t="str">
            <v>01</v>
          </cell>
          <cell r="K376">
            <v>4466.5</v>
          </cell>
          <cell r="L376" t="str">
            <v>EUR</v>
          </cell>
          <cell r="M376" t="str">
            <v>2100</v>
          </cell>
        </row>
        <row r="377">
          <cell r="E377" t="str">
            <v>32001</v>
          </cell>
          <cell r="F377">
            <v>37965</v>
          </cell>
          <cell r="G377">
            <v>38084</v>
          </cell>
          <cell r="H377" t="str">
            <v>Produits de laboratoire (ADA ; pararosaniline HCl)</v>
          </cell>
          <cell r="I377" t="str">
            <v>RDH</v>
          </cell>
          <cell r="J377" t="str">
            <v>01</v>
          </cell>
          <cell r="K377">
            <v>1806.26</v>
          </cell>
          <cell r="L377" t="str">
            <v>EUR</v>
          </cell>
          <cell r="M377" t="str">
            <v>2100</v>
          </cell>
        </row>
        <row r="378">
          <cell r="E378" t="str">
            <v>31982</v>
          </cell>
          <cell r="F378">
            <v>38071</v>
          </cell>
          <cell r="G378">
            <v>38070</v>
          </cell>
          <cell r="H378" t="str">
            <v>Produits de laboratoire (CMC/EDTA ; Bacto peptone ; Tween 80)</v>
          </cell>
          <cell r="I378" t="str">
            <v>OSI</v>
          </cell>
          <cell r="J378" t="str">
            <v>01</v>
          </cell>
          <cell r="K378">
            <v>1743</v>
          </cell>
          <cell r="L378" t="str">
            <v>EUR</v>
          </cell>
          <cell r="M378" t="str">
            <v>2100</v>
          </cell>
        </row>
        <row r="379">
          <cell r="E379" t="str">
            <v>31969</v>
          </cell>
          <cell r="F379">
            <v>37959</v>
          </cell>
          <cell r="G379">
            <v>38040</v>
          </cell>
          <cell r="H379" t="str">
            <v>Produits de laboratoire (Filtres EM-60/3T + fumigène)</v>
          </cell>
          <cell r="I379" t="str">
            <v>CPM</v>
          </cell>
          <cell r="J379" t="str">
            <v>01</v>
          </cell>
          <cell r="K379">
            <v>3415.15</v>
          </cell>
          <cell r="L379" t="str">
            <v>EUR</v>
          </cell>
          <cell r="M379" t="str">
            <v>2100</v>
          </cell>
        </row>
        <row r="380">
          <cell r="E380" t="str">
            <v>32084</v>
          </cell>
          <cell r="F380">
            <v>38005</v>
          </cell>
          <cell r="H380" t="str">
            <v>Produits de laboratoire Avion (Kits Spectroquant)</v>
          </cell>
          <cell r="I380" t="str">
            <v>VWR</v>
          </cell>
          <cell r="J380" t="str">
            <v>01</v>
          </cell>
          <cell r="K380">
            <v>8795.44</v>
          </cell>
          <cell r="L380" t="str">
            <v>EUR</v>
          </cell>
          <cell r="M380" t="str">
            <v>2100</v>
          </cell>
        </row>
        <row r="381">
          <cell r="E381" t="str">
            <v>32083</v>
          </cell>
          <cell r="F381">
            <v>38005</v>
          </cell>
          <cell r="H381" t="str">
            <v>Produits de laboratoire Avion (Kits Spectroquant)</v>
          </cell>
          <cell r="I381" t="str">
            <v>VWR</v>
          </cell>
          <cell r="J381" t="str">
            <v>01</v>
          </cell>
          <cell r="K381">
            <v>6507.04</v>
          </cell>
          <cell r="L381" t="str">
            <v>EUR</v>
          </cell>
          <cell r="M381" t="str">
            <v>2100</v>
          </cell>
        </row>
        <row r="382">
          <cell r="E382" t="str">
            <v>32139</v>
          </cell>
          <cell r="F382" t="str">
            <v>09/02/04</v>
          </cell>
          <cell r="G382">
            <v>38199</v>
          </cell>
          <cell r="H382" t="str">
            <v>Acide chlorhydrique fumant 37% (15 x 2,5 litres)</v>
          </cell>
          <cell r="I382" t="str">
            <v>VWR</v>
          </cell>
          <cell r="J382" t="str">
            <v>01</v>
          </cell>
          <cell r="K382">
            <v>808</v>
          </cell>
          <cell r="L382" t="str">
            <v>EUR</v>
          </cell>
          <cell r="M382" t="str">
            <v>2100</v>
          </cell>
        </row>
        <row r="383">
          <cell r="E383" t="str">
            <v>32079</v>
          </cell>
          <cell r="F383">
            <v>38002</v>
          </cell>
          <cell r="G383">
            <v>38155</v>
          </cell>
          <cell r="H383" t="str">
            <v>Produits de laboratoire Bateau</v>
          </cell>
          <cell r="I383" t="str">
            <v>VWR</v>
          </cell>
          <cell r="J383" t="str">
            <v>01</v>
          </cell>
          <cell r="K383">
            <v>2410.4699999999998</v>
          </cell>
          <cell r="L383" t="str">
            <v>EUR</v>
          </cell>
          <cell r="M383" t="str">
            <v>2100</v>
          </cell>
        </row>
        <row r="384">
          <cell r="E384" t="str">
            <v>32080</v>
          </cell>
          <cell r="F384">
            <v>38002</v>
          </cell>
          <cell r="G384">
            <v>38084</v>
          </cell>
          <cell r="H384" t="str">
            <v>Produits de laboratoire Bateau</v>
          </cell>
          <cell r="I384" t="str">
            <v>VWR</v>
          </cell>
          <cell r="J384" t="str">
            <v>01</v>
          </cell>
          <cell r="K384">
            <v>1356.34</v>
          </cell>
          <cell r="L384" t="str">
            <v>EUR</v>
          </cell>
          <cell r="M384" t="str">
            <v>2100</v>
          </cell>
        </row>
        <row r="385">
          <cell r="E385" t="str">
            <v>32081</v>
          </cell>
          <cell r="F385">
            <v>38023</v>
          </cell>
          <cell r="G385">
            <v>38211</v>
          </cell>
          <cell r="H385" t="str">
            <v>CuSO4,H3PO4,EtOH 95,NaOH,KOH</v>
          </cell>
          <cell r="I385" t="str">
            <v>VWR</v>
          </cell>
          <cell r="J385" t="str">
            <v>01</v>
          </cell>
          <cell r="K385">
            <v>2192.16</v>
          </cell>
          <cell r="L385" t="str">
            <v>EUR</v>
          </cell>
          <cell r="M385" t="str">
            <v>CV037</v>
          </cell>
        </row>
        <row r="386">
          <cell r="E386" t="str">
            <v>32081</v>
          </cell>
          <cell r="F386">
            <v>38002</v>
          </cell>
          <cell r="G386">
            <v>38063</v>
          </cell>
          <cell r="H386" t="str">
            <v>Mashing apparatus, 12 containers</v>
          </cell>
          <cell r="I386" t="str">
            <v>B&amp;H</v>
          </cell>
          <cell r="J386" t="str">
            <v>01</v>
          </cell>
          <cell r="K386">
            <v>15356</v>
          </cell>
          <cell r="L386" t="str">
            <v>EUR</v>
          </cell>
          <cell r="M386" t="str">
            <v>CV037</v>
          </cell>
        </row>
        <row r="387">
          <cell r="E387" t="str">
            <v>339987</v>
          </cell>
          <cell r="F387">
            <v>37643</v>
          </cell>
          <cell r="G387">
            <v>37657</v>
          </cell>
          <cell r="H387" t="str">
            <v>Abonnement Bière Magazine (2 ans 12 Numéros)</v>
          </cell>
          <cell r="I387" t="str">
            <v>BMG</v>
          </cell>
          <cell r="J387" t="str">
            <v>01</v>
          </cell>
          <cell r="K387">
            <v>134.99</v>
          </cell>
          <cell r="L387" t="str">
            <v>EUR</v>
          </cell>
          <cell r="M387" t="str">
            <v>2201</v>
          </cell>
        </row>
        <row r="388">
          <cell r="E388" t="str">
            <v>31895</v>
          </cell>
          <cell r="F388">
            <v>37939</v>
          </cell>
          <cell r="G388">
            <v>37967</v>
          </cell>
          <cell r="H388" t="str">
            <v>4 Slidex Staph Plus</v>
          </cell>
          <cell r="I388" t="str">
            <v>BIO</v>
          </cell>
          <cell r="J388" t="str">
            <v>01</v>
          </cell>
          <cell r="K388">
            <v>700.1</v>
          </cell>
          <cell r="L388" t="str">
            <v>EUR</v>
          </cell>
          <cell r="M388" t="str">
            <v>2100</v>
          </cell>
        </row>
        <row r="389">
          <cell r="G389">
            <v>37925</v>
          </cell>
          <cell r="H389" t="str">
            <v>CD-ROM + Flash Memories</v>
          </cell>
          <cell r="I389" t="str">
            <v>AFR</v>
          </cell>
          <cell r="J389" t="str">
            <v>01</v>
          </cell>
          <cell r="K389">
            <v>1200000</v>
          </cell>
          <cell r="M389" t="str">
            <v>2100</v>
          </cell>
        </row>
        <row r="390">
          <cell r="E390" t="str">
            <v>31982</v>
          </cell>
          <cell r="F390">
            <v>38071</v>
          </cell>
          <cell r="G390">
            <v>38133</v>
          </cell>
          <cell r="H390" t="str">
            <v>Abonnement Brewing and Beverage International</v>
          </cell>
          <cell r="I390" t="str">
            <v>VWS</v>
          </cell>
          <cell r="J390" t="str">
            <v>01</v>
          </cell>
          <cell r="K390">
            <v>1200000</v>
          </cell>
          <cell r="L390" t="str">
            <v>CFA</v>
          </cell>
          <cell r="M390" t="str">
            <v>2201</v>
          </cell>
        </row>
        <row r="391">
          <cell r="E391" t="str">
            <v>31601</v>
          </cell>
          <cell r="F391">
            <v>37846</v>
          </cell>
          <cell r="G391">
            <v>37888</v>
          </cell>
          <cell r="H391" t="str">
            <v>Passeur d'échantillon</v>
          </cell>
          <cell r="I391" t="str">
            <v>PAA</v>
          </cell>
          <cell r="J391" t="str">
            <v>01</v>
          </cell>
          <cell r="K391" t="str">
            <v>8702.5</v>
          </cell>
          <cell r="L391" t="str">
            <v>EUR</v>
          </cell>
          <cell r="M391" t="str">
            <v>BV047</v>
          </cell>
        </row>
        <row r="392">
          <cell r="E392" t="str">
            <v>31827</v>
          </cell>
          <cell r="F392">
            <v>37925</v>
          </cell>
          <cell r="G392">
            <v>37636</v>
          </cell>
          <cell r="H392" t="str">
            <v>Spectrophotomètre Jenway 6305 (3)</v>
          </cell>
          <cell r="I392" t="str">
            <v>VWR</v>
          </cell>
          <cell r="J392" t="str">
            <v>01</v>
          </cell>
          <cell r="K392">
            <v>33186.5</v>
          </cell>
          <cell r="L392" t="str">
            <v>EUR</v>
          </cell>
          <cell r="M392" t="str">
            <v>2100</v>
          </cell>
        </row>
        <row r="393">
          <cell r="H393" t="str">
            <v>Réparation Spectrophotomètre 21 DUV SN 3F 17352006</v>
          </cell>
          <cell r="I393" t="str">
            <v>SPT</v>
          </cell>
          <cell r="J393" t="str">
            <v>01</v>
          </cell>
          <cell r="K393">
            <v>12606.36</v>
          </cell>
          <cell r="L393" t="str">
            <v>EUR</v>
          </cell>
          <cell r="M393" t="str">
            <v>2100</v>
          </cell>
        </row>
        <row r="394">
          <cell r="E394" t="str">
            <v>31875</v>
          </cell>
          <cell r="F394">
            <v>37930</v>
          </cell>
          <cell r="G394">
            <v>37986</v>
          </cell>
          <cell r="H394" t="str">
            <v>Sondes Ebro 270 mm (12)</v>
          </cell>
          <cell r="I394" t="str">
            <v>EBI</v>
          </cell>
          <cell r="J394" t="str">
            <v>01</v>
          </cell>
          <cell r="K394">
            <v>12606.36</v>
          </cell>
          <cell r="L394" t="str">
            <v>EUR</v>
          </cell>
          <cell r="M394" t="str">
            <v>2000</v>
          </cell>
        </row>
        <row r="395">
          <cell r="E395" t="str">
            <v>31974</v>
          </cell>
          <cell r="F395">
            <v>37959</v>
          </cell>
          <cell r="G395">
            <v>37986</v>
          </cell>
          <cell r="H395" t="str">
            <v>Sonde 270 mm à réparer</v>
          </cell>
          <cell r="I395" t="str">
            <v>EBI</v>
          </cell>
          <cell r="J395" t="str">
            <v>01</v>
          </cell>
          <cell r="K395">
            <v>1200000</v>
          </cell>
          <cell r="L395" t="str">
            <v>EUR</v>
          </cell>
          <cell r="M395" t="str">
            <v>3022</v>
          </cell>
        </row>
        <row r="396">
          <cell r="E396" t="str">
            <v>38189</v>
          </cell>
          <cell r="F396">
            <v>37889</v>
          </cell>
          <cell r="G396">
            <v>37935</v>
          </cell>
          <cell r="H396" t="str">
            <v>Laboratory Methods for Craft Brewers</v>
          </cell>
          <cell r="I396" t="str">
            <v>ASBC</v>
          </cell>
          <cell r="J396" t="str">
            <v>01</v>
          </cell>
          <cell r="K396">
            <v>99710</v>
          </cell>
          <cell r="L396" t="str">
            <v>CFA</v>
          </cell>
          <cell r="M396" t="str">
            <v>2201</v>
          </cell>
        </row>
        <row r="397">
          <cell r="E397" t="str">
            <v>32008</v>
          </cell>
          <cell r="F397">
            <v>37970</v>
          </cell>
          <cell r="G397">
            <v>37895</v>
          </cell>
          <cell r="H397" t="str">
            <v>24 Chaises Trosca, Noire</v>
          </cell>
          <cell r="I397" t="str">
            <v>HDC</v>
          </cell>
          <cell r="J397" t="str">
            <v>01</v>
          </cell>
          <cell r="K397">
            <v>1200000</v>
          </cell>
          <cell r="L397" t="str">
            <v>CFA</v>
          </cell>
          <cell r="M397" t="str">
            <v>BV046</v>
          </cell>
        </row>
        <row r="398">
          <cell r="E398" t="str">
            <v>32029</v>
          </cell>
          <cell r="F398">
            <v>37970</v>
          </cell>
          <cell r="G398">
            <v>38070</v>
          </cell>
          <cell r="H398" t="str">
            <v>Joint totique 180 x 197 mm</v>
          </cell>
          <cell r="I398" t="str">
            <v>SBR</v>
          </cell>
          <cell r="J398" t="str">
            <v>01</v>
          </cell>
          <cell r="K398">
            <v>4466.5</v>
          </cell>
          <cell r="L398" t="str">
            <v>EUR</v>
          </cell>
          <cell r="M398" t="str">
            <v>2000</v>
          </cell>
        </row>
        <row r="399">
          <cell r="E399" t="str">
            <v>32773</v>
          </cell>
          <cell r="F399">
            <v>38294</v>
          </cell>
          <cell r="G399">
            <v>38380</v>
          </cell>
          <cell r="H399" t="str">
            <v>Produits de laboratoire (ADA ; pararosaniline HCl)</v>
          </cell>
          <cell r="I399" t="str">
            <v>RDH</v>
          </cell>
          <cell r="J399" t="str">
            <v>01</v>
          </cell>
          <cell r="K399">
            <v>1806.26</v>
          </cell>
          <cell r="L399" t="str">
            <v>EUR</v>
          </cell>
          <cell r="M399" t="str">
            <v>2100</v>
          </cell>
        </row>
        <row r="400">
          <cell r="E400" t="str">
            <v>31774</v>
          </cell>
          <cell r="F400">
            <v>37889</v>
          </cell>
          <cell r="G400">
            <v>37909</v>
          </cell>
          <cell r="H400" t="str">
            <v>Produits de laboratoire (CMC/EDTA ; Bacto peptone ; Tween 80)</v>
          </cell>
          <cell r="I400" t="str">
            <v>OSI</v>
          </cell>
          <cell r="J400" t="str">
            <v>01</v>
          </cell>
          <cell r="K400">
            <v>1743</v>
          </cell>
          <cell r="L400" t="str">
            <v>EUR</v>
          </cell>
          <cell r="M400" t="str">
            <v>2100</v>
          </cell>
        </row>
        <row r="401">
          <cell r="E401" t="str">
            <v>31761</v>
          </cell>
          <cell r="F401">
            <v>37883</v>
          </cell>
          <cell r="G401">
            <v>37914</v>
          </cell>
          <cell r="H401" t="str">
            <v>12 Racka Ray + Sorbitan monooleate</v>
          </cell>
          <cell r="I401" t="str">
            <v>UNP</v>
          </cell>
          <cell r="J401" t="str">
            <v>01</v>
          </cell>
          <cell r="K401">
            <v>2440.56</v>
          </cell>
          <cell r="L401" t="str">
            <v>EUR</v>
          </cell>
          <cell r="M401" t="str">
            <v>2100</v>
          </cell>
        </row>
        <row r="402">
          <cell r="E402" t="str">
            <v>31770</v>
          </cell>
          <cell r="F402">
            <v>37883</v>
          </cell>
          <cell r="G402">
            <v>37908</v>
          </cell>
          <cell r="H402" t="str">
            <v>Produits de laboratoire Avion (Kits Spectroquant)</v>
          </cell>
          <cell r="I402" t="str">
            <v>VWR</v>
          </cell>
          <cell r="J402" t="str">
            <v>01</v>
          </cell>
          <cell r="K402">
            <v>8795.44</v>
          </cell>
          <cell r="L402" t="str">
            <v>EUR</v>
          </cell>
          <cell r="M402" t="str">
            <v>2100</v>
          </cell>
        </row>
        <row r="403">
          <cell r="E403" t="str">
            <v>31766</v>
          </cell>
          <cell r="F403">
            <v>37883</v>
          </cell>
          <cell r="G403">
            <v>37967</v>
          </cell>
          <cell r="H403" t="str">
            <v>Produits de laboratoire Avion (Kits Spectroquant)</v>
          </cell>
          <cell r="I403" t="str">
            <v>VWR</v>
          </cell>
          <cell r="J403" t="str">
            <v>01</v>
          </cell>
          <cell r="K403">
            <v>6507.04</v>
          </cell>
          <cell r="L403" t="str">
            <v>EUR</v>
          </cell>
          <cell r="M403" t="str">
            <v>2100</v>
          </cell>
        </row>
        <row r="404">
          <cell r="E404" t="str">
            <v>31760</v>
          </cell>
          <cell r="F404">
            <v>37153</v>
          </cell>
          <cell r="G404">
            <v>37897</v>
          </cell>
          <cell r="H404" t="str">
            <v>Acide chlorhydrique fumant 37% (15 x 2,5 litres)</v>
          </cell>
          <cell r="I404" t="str">
            <v>VWR</v>
          </cell>
          <cell r="J404" t="str">
            <v>01</v>
          </cell>
          <cell r="K404">
            <v>701.38</v>
          </cell>
          <cell r="L404" t="str">
            <v>EUR</v>
          </cell>
          <cell r="M404" t="str">
            <v>2100</v>
          </cell>
        </row>
        <row r="405">
          <cell r="E405" t="str">
            <v>32079</v>
          </cell>
          <cell r="F405">
            <v>38002</v>
          </cell>
          <cell r="G405">
            <v>38077</v>
          </cell>
          <cell r="H405" t="str">
            <v>Produits de laboratoire Bateau</v>
          </cell>
          <cell r="I405" t="str">
            <v>VWR</v>
          </cell>
          <cell r="J405" t="str">
            <v>01</v>
          </cell>
          <cell r="K405">
            <v>2410.4699999999998</v>
          </cell>
          <cell r="L405" t="str">
            <v>EUR</v>
          </cell>
          <cell r="M405" t="str">
            <v>2100</v>
          </cell>
        </row>
        <row r="406">
          <cell r="E406" t="str">
            <v>31624</v>
          </cell>
          <cell r="F406">
            <v>37851</v>
          </cell>
          <cell r="G406">
            <v>37930</v>
          </cell>
          <cell r="H406" t="str">
            <v>Produits de laboratoire Bateau</v>
          </cell>
          <cell r="I406" t="str">
            <v>VWR</v>
          </cell>
          <cell r="J406" t="str">
            <v>01</v>
          </cell>
          <cell r="K406">
            <v>1356.34</v>
          </cell>
          <cell r="L406" t="str">
            <v>EUR</v>
          </cell>
          <cell r="M406" t="str">
            <v>2100</v>
          </cell>
        </row>
        <row r="407">
          <cell r="E407" t="str">
            <v>32081</v>
          </cell>
          <cell r="F407">
            <v>38023</v>
          </cell>
          <cell r="H407" t="str">
            <v>Silicone antimousse DC 1510</v>
          </cell>
          <cell r="I407" t="str">
            <v>SCL</v>
          </cell>
          <cell r="J407" t="str">
            <v>01</v>
          </cell>
          <cell r="K407">
            <v>2192.16</v>
          </cell>
          <cell r="L407" t="str">
            <v>EUR</v>
          </cell>
          <cell r="M407" t="str">
            <v>2100</v>
          </cell>
        </row>
        <row r="408">
          <cell r="E408" t="str">
            <v>31631</v>
          </cell>
          <cell r="F408">
            <v>37854</v>
          </cell>
          <cell r="G408">
            <v>38063</v>
          </cell>
          <cell r="H408" t="str">
            <v>Membranes filtrantes 0,45 µm, 20 K</v>
          </cell>
          <cell r="I408" t="str">
            <v>STR</v>
          </cell>
          <cell r="J408" t="str">
            <v>SEMCM</v>
          </cell>
          <cell r="K408">
            <v>4738.6499999999996</v>
          </cell>
          <cell r="L408" t="str">
            <v>EUR</v>
          </cell>
          <cell r="M408" t="str">
            <v>SEM</v>
          </cell>
        </row>
        <row r="409">
          <cell r="E409" t="str">
            <v>31631</v>
          </cell>
          <cell r="F409">
            <v>37854</v>
          </cell>
          <cell r="G409">
            <v>37931</v>
          </cell>
          <cell r="H409" t="str">
            <v>Abonnement Bière Magazine (2 ans 12 Numéros)</v>
          </cell>
          <cell r="I409" t="str">
            <v>BMG</v>
          </cell>
          <cell r="J409" t="str">
            <v>01</v>
          </cell>
          <cell r="K409">
            <v>134.99</v>
          </cell>
          <cell r="L409" t="str">
            <v>EUR</v>
          </cell>
          <cell r="M409" t="str">
            <v>2201</v>
          </cell>
        </row>
        <row r="410">
          <cell r="E410" t="str">
            <v>31723</v>
          </cell>
          <cell r="F410">
            <v>38072</v>
          </cell>
          <cell r="G410">
            <v>38133</v>
          </cell>
          <cell r="H410" t="str">
            <v>Tubes 30 ml</v>
          </cell>
          <cell r="I410" t="str">
            <v>ERP</v>
          </cell>
          <cell r="J410" t="str">
            <v>01</v>
          </cell>
          <cell r="K410">
            <v>152.5</v>
          </cell>
          <cell r="L410" t="str">
            <v>EUR</v>
          </cell>
          <cell r="M410" t="str">
            <v>2100</v>
          </cell>
        </row>
        <row r="411">
          <cell r="E411" t="str">
            <v>31681</v>
          </cell>
          <cell r="F411">
            <v>37886</v>
          </cell>
          <cell r="G411">
            <v>37925</v>
          </cell>
          <cell r="H411" t="str">
            <v>CD-ROM + Flash Memories</v>
          </cell>
          <cell r="I411" t="str">
            <v>AFR</v>
          </cell>
          <cell r="J411" t="str">
            <v>01</v>
          </cell>
          <cell r="K411">
            <v>1200000</v>
          </cell>
          <cell r="L411" t="str">
            <v>EUR</v>
          </cell>
          <cell r="M411" t="str">
            <v>2100</v>
          </cell>
        </row>
        <row r="412">
          <cell r="E412" t="str">
            <v>31703</v>
          </cell>
          <cell r="F412">
            <v>37867</v>
          </cell>
          <cell r="G412">
            <v>37897</v>
          </cell>
          <cell r="H412" t="str">
            <v>Abonnement Brewing and Beverage International</v>
          </cell>
          <cell r="I412" t="str">
            <v>VWS</v>
          </cell>
          <cell r="J412" t="str">
            <v>01</v>
          </cell>
          <cell r="K412">
            <v>1200000</v>
          </cell>
          <cell r="L412" t="str">
            <v>CFA</v>
          </cell>
          <cell r="M412" t="str">
            <v>2201</v>
          </cell>
        </row>
        <row r="413">
          <cell r="E413" t="str">
            <v>31680</v>
          </cell>
          <cell r="F413">
            <v>37862</v>
          </cell>
          <cell r="G413">
            <v>37931</v>
          </cell>
          <cell r="H413" t="str">
            <v>Produits de laboratoire</v>
          </cell>
          <cell r="I413" t="str">
            <v>HUM</v>
          </cell>
          <cell r="J413" t="str">
            <v>01</v>
          </cell>
          <cell r="K413">
            <v>2019.26</v>
          </cell>
          <cell r="L413" t="str">
            <v>EUR</v>
          </cell>
          <cell r="M413" t="str">
            <v>2100</v>
          </cell>
        </row>
        <row r="414">
          <cell r="E414" t="str">
            <v>31827</v>
          </cell>
          <cell r="F414">
            <v>37925</v>
          </cell>
          <cell r="G414">
            <v>37860</v>
          </cell>
          <cell r="H414" t="str">
            <v>Imprimante portable</v>
          </cell>
          <cell r="I414" t="str">
            <v>DSI</v>
          </cell>
          <cell r="J414" t="str">
            <v>01</v>
          </cell>
          <cell r="K414">
            <v>33186.5</v>
          </cell>
          <cell r="L414" t="str">
            <v>EUR</v>
          </cell>
          <cell r="M414" t="str">
            <v>BV031</v>
          </cell>
        </row>
        <row r="415">
          <cell r="G415">
            <v>37843</v>
          </cell>
          <cell r="H415" t="str">
            <v>Réparation Spectrophotomètre 21 DUV SN 3F 17352006</v>
          </cell>
          <cell r="I415" t="str">
            <v>SPT</v>
          </cell>
          <cell r="J415" t="str">
            <v>01</v>
          </cell>
          <cell r="K415">
            <v>12606.36</v>
          </cell>
          <cell r="L415" t="str">
            <v>EUR</v>
          </cell>
          <cell r="M415" t="str">
            <v>BV031</v>
          </cell>
        </row>
        <row r="416">
          <cell r="E416" t="str">
            <v>31608</v>
          </cell>
          <cell r="F416">
            <v>37888</v>
          </cell>
          <cell r="G416">
            <v>37959</v>
          </cell>
          <cell r="H416" t="str">
            <v>Ebulliomètre complet</v>
          </cell>
          <cell r="I416" t="str">
            <v>DJS</v>
          </cell>
          <cell r="J416" t="str">
            <v>11</v>
          </cell>
          <cell r="K416">
            <v>1118.52</v>
          </cell>
          <cell r="L416" t="str">
            <v>EUR</v>
          </cell>
          <cell r="M416" t="str">
            <v>BV036</v>
          </cell>
        </row>
        <row r="417">
          <cell r="E417" t="str">
            <v>31610</v>
          </cell>
          <cell r="F417">
            <v>37848</v>
          </cell>
          <cell r="G417">
            <v>37897</v>
          </cell>
          <cell r="H417" t="str">
            <v>Sonde 270 mm à réparer</v>
          </cell>
          <cell r="I417" t="str">
            <v>EBI</v>
          </cell>
          <cell r="J417" t="str">
            <v>01</v>
          </cell>
          <cell r="K417">
            <v>1200000</v>
          </cell>
          <cell r="L417" t="str">
            <v>EUR</v>
          </cell>
          <cell r="M417" t="str">
            <v>3022</v>
          </cell>
        </row>
        <row r="418">
          <cell r="E418" t="str">
            <v>31611</v>
          </cell>
          <cell r="F418">
            <v>37879</v>
          </cell>
          <cell r="G418">
            <v>37914</v>
          </cell>
          <cell r="H418" t="str">
            <v>Unités de nettoyage de sondes polarographiques</v>
          </cell>
          <cell r="I418" t="str">
            <v>ORB</v>
          </cell>
          <cell r="J418" t="str">
            <v>01</v>
          </cell>
          <cell r="K418">
            <v>3622.3</v>
          </cell>
          <cell r="L418" t="str">
            <v>EUR</v>
          </cell>
          <cell r="M418" t="str">
            <v>BV043</v>
          </cell>
        </row>
        <row r="419">
          <cell r="E419" t="str">
            <v>31609</v>
          </cell>
          <cell r="F419">
            <v>37846</v>
          </cell>
          <cell r="G419">
            <v>37895</v>
          </cell>
          <cell r="H419" t="str">
            <v>24 Chaises Trosca, Noire</v>
          </cell>
          <cell r="I419" t="str">
            <v>HDC</v>
          </cell>
          <cell r="J419" t="str">
            <v>01</v>
          </cell>
          <cell r="K419">
            <v>1200000</v>
          </cell>
          <cell r="L419" t="str">
            <v>CFA</v>
          </cell>
          <cell r="M419" t="str">
            <v>BV046</v>
          </cell>
        </row>
        <row r="420">
          <cell r="E420" t="str">
            <v>31826</v>
          </cell>
          <cell r="F420">
            <v>37909</v>
          </cell>
          <cell r="G420">
            <v>37943</v>
          </cell>
          <cell r="H420" t="str">
            <v>Joint totique 180 x 197 mm</v>
          </cell>
          <cell r="I420" t="str">
            <v>SBR</v>
          </cell>
          <cell r="J420" t="str">
            <v>01</v>
          </cell>
          <cell r="K420">
            <v>1323.5</v>
          </cell>
          <cell r="L420" t="str">
            <v>EUR</v>
          </cell>
          <cell r="M420" t="str">
            <v>2000</v>
          </cell>
        </row>
        <row r="421">
          <cell r="E421" t="str">
            <v>31616</v>
          </cell>
          <cell r="F421">
            <v>37847</v>
          </cell>
          <cell r="G421">
            <v>37888</v>
          </cell>
          <cell r="H421" t="str">
            <v>Spare parts Redpost + Gehaltmeter</v>
          </cell>
          <cell r="I421" t="str">
            <v>HAF</v>
          </cell>
          <cell r="J421" t="str">
            <v>01</v>
          </cell>
          <cell r="K421">
            <v>6692.78</v>
          </cell>
          <cell r="L421" t="str">
            <v>EUR</v>
          </cell>
          <cell r="M421" t="str">
            <v>2000</v>
          </cell>
        </row>
        <row r="422">
          <cell r="E422" t="str">
            <v>31614</v>
          </cell>
          <cell r="F422">
            <v>37852</v>
          </cell>
          <cell r="G422">
            <v>37922</v>
          </cell>
          <cell r="H422" t="str">
            <v>Kits Photomètre PC 5000 + DPD</v>
          </cell>
          <cell r="I422" t="str">
            <v>CIF</v>
          </cell>
          <cell r="J422" t="str">
            <v>01</v>
          </cell>
          <cell r="K422">
            <v>3591.95</v>
          </cell>
          <cell r="L422" t="str">
            <v>EUR</v>
          </cell>
          <cell r="M422" t="str">
            <v>2100</v>
          </cell>
        </row>
        <row r="423">
          <cell r="E423" t="str">
            <v>31761</v>
          </cell>
          <cell r="F423">
            <v>37883</v>
          </cell>
          <cell r="G423">
            <v>37914</v>
          </cell>
          <cell r="H423" t="str">
            <v>Carte réseau; disque dur</v>
          </cell>
          <cell r="I423" t="str">
            <v>AFR</v>
          </cell>
          <cell r="J423" t="str">
            <v>01</v>
          </cell>
          <cell r="K423">
            <v>2440.56</v>
          </cell>
          <cell r="L423" t="str">
            <v>EUR</v>
          </cell>
          <cell r="M423" t="str">
            <v>2100</v>
          </cell>
        </row>
        <row r="424">
          <cell r="E424" t="str">
            <v>21/08/03</v>
          </cell>
          <cell r="F424">
            <v>37883</v>
          </cell>
          <cell r="G424">
            <v>37924</v>
          </cell>
          <cell r="H424" t="str">
            <v>Blles syst, Lamp NaE, saccharimètres</v>
          </cell>
          <cell r="I424" t="str">
            <v>GBL</v>
          </cell>
          <cell r="J424" t="str">
            <v>01</v>
          </cell>
          <cell r="K424">
            <v>3773</v>
          </cell>
          <cell r="L424" t="str">
            <v>EUR</v>
          </cell>
          <cell r="M424" t="str">
            <v>2100</v>
          </cell>
        </row>
        <row r="425">
          <cell r="E425" t="str">
            <v>31766</v>
          </cell>
          <cell r="F425">
            <v>37883</v>
          </cell>
          <cell r="G425">
            <v>37931</v>
          </cell>
          <cell r="H425" t="str">
            <v>Saccharimètres</v>
          </cell>
          <cell r="I425" t="str">
            <v>GBL</v>
          </cell>
          <cell r="J425" t="str">
            <v>01</v>
          </cell>
          <cell r="K425">
            <v>1943</v>
          </cell>
          <cell r="L425" t="str">
            <v>EUR</v>
          </cell>
          <cell r="M425" t="str">
            <v>2100</v>
          </cell>
        </row>
        <row r="426">
          <cell r="E426" t="str">
            <v>31615</v>
          </cell>
          <cell r="F426">
            <v>37852</v>
          </cell>
          <cell r="G426">
            <v>37897</v>
          </cell>
          <cell r="H426" t="str">
            <v>TDS-mètres Ecoscan  (5)</v>
          </cell>
          <cell r="I426" t="str">
            <v>OSI</v>
          </cell>
          <cell r="J426" t="str">
            <v>01</v>
          </cell>
          <cell r="K426">
            <v>2471.85</v>
          </cell>
          <cell r="L426" t="str">
            <v>EUR</v>
          </cell>
          <cell r="M426" t="str">
            <v>2100</v>
          </cell>
        </row>
        <row r="427">
          <cell r="E427" t="str">
            <v>31894</v>
          </cell>
          <cell r="F427">
            <v>37939</v>
          </cell>
          <cell r="G427">
            <v>38077</v>
          </cell>
          <cell r="H427" t="str">
            <v>1 ASBC Methods of Analysis 8th Edition</v>
          </cell>
          <cell r="I427" t="str">
            <v>ASBC</v>
          </cell>
          <cell r="J427" t="str">
            <v>01</v>
          </cell>
          <cell r="K427">
            <v>654720</v>
          </cell>
          <cell r="L427" t="str">
            <v>CFA</v>
          </cell>
          <cell r="M427" t="str">
            <v>3022</v>
          </cell>
        </row>
        <row r="428">
          <cell r="E428" t="str">
            <v>31629</v>
          </cell>
          <cell r="F428">
            <v>37886</v>
          </cell>
          <cell r="G428">
            <v>37903</v>
          </cell>
          <cell r="H428" t="str">
            <v>Sonde en réparation</v>
          </cell>
          <cell r="I428" t="str">
            <v>ORB</v>
          </cell>
          <cell r="J428" t="str">
            <v>01</v>
          </cell>
          <cell r="K428">
            <v>2197.36</v>
          </cell>
          <cell r="L428" t="str">
            <v>EUR</v>
          </cell>
          <cell r="M428" t="str">
            <v>3022</v>
          </cell>
        </row>
        <row r="429">
          <cell r="E429" t="str">
            <v>60071</v>
          </cell>
          <cell r="F429">
            <v>37841</v>
          </cell>
          <cell r="G429">
            <v>37874</v>
          </cell>
          <cell r="H429" t="str">
            <v>Silicone antimousse DC 1510</v>
          </cell>
          <cell r="I429" t="str">
            <v>SCL</v>
          </cell>
          <cell r="J429" t="str">
            <v>01</v>
          </cell>
          <cell r="K429">
            <v>711.2</v>
          </cell>
          <cell r="L429" t="str">
            <v>EUR</v>
          </cell>
          <cell r="M429" t="str">
            <v>2100</v>
          </cell>
        </row>
        <row r="430">
          <cell r="E430" t="str">
            <v>31538</v>
          </cell>
          <cell r="F430">
            <v>37813</v>
          </cell>
          <cell r="G430">
            <v>37848</v>
          </cell>
          <cell r="H430" t="str">
            <v>Membranes filtrantes 0,45 µm, 20 K</v>
          </cell>
          <cell r="I430" t="str">
            <v>STR</v>
          </cell>
          <cell r="J430" t="str">
            <v>SEMCM</v>
          </cell>
          <cell r="K430">
            <v>4738.6499999999996</v>
          </cell>
          <cell r="L430" t="str">
            <v>EUR</v>
          </cell>
          <cell r="M430" t="str">
            <v>SEM</v>
          </cell>
        </row>
        <row r="431">
          <cell r="E431" t="str">
            <v>31776</v>
          </cell>
          <cell r="F431">
            <v>37889</v>
          </cell>
          <cell r="G431">
            <v>37931</v>
          </cell>
          <cell r="H431" t="str">
            <v>Conductimètre CD 810 en réparation</v>
          </cell>
          <cell r="I431" t="str">
            <v>RDM</v>
          </cell>
          <cell r="J431" t="str">
            <v>01</v>
          </cell>
          <cell r="K431">
            <v>810</v>
          </cell>
          <cell r="L431" t="str">
            <v>EUR</v>
          </cell>
          <cell r="M431" t="str">
            <v>3022</v>
          </cell>
        </row>
        <row r="432">
          <cell r="E432" t="str">
            <v>31625</v>
          </cell>
          <cell r="F432">
            <v>37887</v>
          </cell>
          <cell r="G432">
            <v>37938</v>
          </cell>
          <cell r="H432" t="str">
            <v>Spectrophotomètre Secomam en réparation</v>
          </cell>
          <cell r="I432" t="str">
            <v>AVN</v>
          </cell>
          <cell r="J432" t="str">
            <v>01</v>
          </cell>
          <cell r="K432">
            <v>822.03</v>
          </cell>
          <cell r="L432" t="str">
            <v>EUR</v>
          </cell>
          <cell r="M432" t="str">
            <v>3022</v>
          </cell>
        </row>
        <row r="433">
          <cell r="E433" t="str">
            <v>31300</v>
          </cell>
          <cell r="F433">
            <v>37701</v>
          </cell>
          <cell r="G433">
            <v>37825</v>
          </cell>
          <cell r="H433" t="str">
            <v>BODTrak (Bafoussam)</v>
          </cell>
          <cell r="I433" t="str">
            <v>VWR</v>
          </cell>
          <cell r="J433" t="str">
            <v>01</v>
          </cell>
          <cell r="K433">
            <v>5317.33</v>
          </cell>
          <cell r="L433" t="str">
            <v>EUR</v>
          </cell>
          <cell r="M433" t="str">
            <v>BVE14</v>
          </cell>
        </row>
        <row r="434">
          <cell r="E434" t="str">
            <v>31303</v>
          </cell>
          <cell r="F434">
            <v>37700</v>
          </cell>
          <cell r="G434">
            <v>37797</v>
          </cell>
          <cell r="H434" t="str">
            <v>Moteurs(5) échantillonneur Masterflex</v>
          </cell>
          <cell r="I434" t="str">
            <v>BBL</v>
          </cell>
          <cell r="J434" t="str">
            <v>01</v>
          </cell>
          <cell r="K434">
            <v>7562.5</v>
          </cell>
          <cell r="L434" t="str">
            <v>EUR</v>
          </cell>
          <cell r="M434" t="str">
            <v>BVE14</v>
          </cell>
        </row>
        <row r="435">
          <cell r="E435" t="str">
            <v>36697/10297</v>
          </cell>
          <cell r="F435">
            <v>37671</v>
          </cell>
          <cell r="G435">
            <v>37692</v>
          </cell>
          <cell r="H435" t="str">
            <v>QAS;Méthodes instrumentales;Sécurité</v>
          </cell>
          <cell r="I435" t="str">
            <v>LAV</v>
          </cell>
          <cell r="J435" t="str">
            <v>01</v>
          </cell>
          <cell r="K435">
            <v>275.63233965672987</v>
          </cell>
          <cell r="L435" t="str">
            <v>EUR</v>
          </cell>
          <cell r="M435" t="str">
            <v>2201</v>
          </cell>
        </row>
        <row r="436">
          <cell r="E436" t="str">
            <v>31297</v>
          </cell>
          <cell r="G436">
            <v>37797</v>
          </cell>
          <cell r="H436" t="str">
            <v>Centrifugeuse Eppendorf (3)</v>
          </cell>
          <cell r="I436" t="str">
            <v>VWR</v>
          </cell>
          <cell r="J436" t="str">
            <v>01</v>
          </cell>
          <cell r="K436">
            <v>6755.51</v>
          </cell>
          <cell r="L436" t="str">
            <v>EUR</v>
          </cell>
          <cell r="M436" t="str">
            <v>BV031</v>
          </cell>
        </row>
        <row r="437">
          <cell r="G437">
            <v>37843</v>
          </cell>
          <cell r="H437" t="str">
            <v>2 PC Portables + 3 Imprimantes</v>
          </cell>
          <cell r="I437" t="str">
            <v>DSI</v>
          </cell>
          <cell r="J437" t="str">
            <v>01</v>
          </cell>
          <cell r="K437">
            <v>0</v>
          </cell>
          <cell r="M437" t="str">
            <v>BV031</v>
          </cell>
        </row>
        <row r="438">
          <cell r="E438" t="str">
            <v>37639</v>
          </cell>
          <cell r="F438">
            <v>37803</v>
          </cell>
          <cell r="G438">
            <v>37959</v>
          </cell>
          <cell r="H438" t="str">
            <v>Imprimante Deskjet 5550</v>
          </cell>
          <cell r="I438" t="str">
            <v>EMC</v>
          </cell>
          <cell r="J438" t="str">
            <v>01</v>
          </cell>
          <cell r="K438">
            <v>0.25</v>
          </cell>
          <cell r="L438" t="str">
            <v>MF</v>
          </cell>
          <cell r="M438" t="str">
            <v>BV031</v>
          </cell>
        </row>
        <row r="439">
          <cell r="E439" t="str">
            <v>31610</v>
          </cell>
          <cell r="F439">
            <v>37848</v>
          </cell>
          <cell r="G439">
            <v>37802</v>
          </cell>
          <cell r="H439" t="str">
            <v>Imprimante HP 5550</v>
          </cell>
          <cell r="I439" t="str">
            <v>LOC</v>
          </cell>
          <cell r="J439" t="str">
            <v>01</v>
          </cell>
          <cell r="K439">
            <v>250000</v>
          </cell>
          <cell r="L439" t="str">
            <v>CFA</v>
          </cell>
          <cell r="M439" t="str">
            <v>BV036</v>
          </cell>
        </row>
        <row r="440">
          <cell r="E440">
            <v>31299</v>
          </cell>
          <cell r="F440">
            <v>37726</v>
          </cell>
          <cell r="G440">
            <v>37783</v>
          </cell>
          <cell r="H440" t="str">
            <v>Photomètre de flamme</v>
          </cell>
          <cell r="I440" t="str">
            <v>VWR</v>
          </cell>
          <cell r="J440" t="str">
            <v>01</v>
          </cell>
          <cell r="K440">
            <v>4309.1000000000004</v>
          </cell>
          <cell r="L440" t="str">
            <v>EUR</v>
          </cell>
          <cell r="M440" t="str">
            <v>BV040</v>
          </cell>
        </row>
        <row r="441">
          <cell r="E441" t="str">
            <v>31609</v>
          </cell>
          <cell r="F441">
            <v>37846</v>
          </cell>
          <cell r="G441">
            <v>37728</v>
          </cell>
          <cell r="H441" t="str">
            <v>C02 Gehalmeter digital (2)</v>
          </cell>
          <cell r="I441" t="str">
            <v>HAF</v>
          </cell>
          <cell r="J441" t="str">
            <v>01</v>
          </cell>
          <cell r="K441">
            <v>0</v>
          </cell>
          <cell r="L441" t="str">
            <v>EUR</v>
          </cell>
          <cell r="M441" t="str">
            <v>BV038</v>
          </cell>
        </row>
        <row r="442">
          <cell r="E442" t="str">
            <v>31314</v>
          </cell>
          <cell r="F442">
            <v>37700</v>
          </cell>
          <cell r="G442">
            <v>37943</v>
          </cell>
          <cell r="H442" t="str">
            <v>Polystat 23 analogique 100 °C</v>
          </cell>
          <cell r="I442" t="str">
            <v>BBL</v>
          </cell>
          <cell r="J442" t="str">
            <v>01</v>
          </cell>
          <cell r="K442">
            <v>0</v>
          </cell>
          <cell r="L442" t="str">
            <v>EUR</v>
          </cell>
          <cell r="M442" t="str">
            <v>BV043</v>
          </cell>
        </row>
        <row r="443">
          <cell r="E443" t="str">
            <v>31616</v>
          </cell>
          <cell r="F443">
            <v>37847</v>
          </cell>
          <cell r="G443">
            <v>37774</v>
          </cell>
          <cell r="H443" t="str">
            <v>pH mètres SG 837 (5)</v>
          </cell>
          <cell r="I443" t="str">
            <v>VWR</v>
          </cell>
          <cell r="J443" t="str">
            <v>01</v>
          </cell>
          <cell r="K443">
            <v>0</v>
          </cell>
          <cell r="L443" t="str">
            <v>EUR</v>
          </cell>
          <cell r="M443" t="str">
            <v>BV035</v>
          </cell>
        </row>
        <row r="444">
          <cell r="E444" t="str">
            <v>36685/12560</v>
          </cell>
          <cell r="F444">
            <v>37671</v>
          </cell>
          <cell r="G444">
            <v>37704</v>
          </cell>
          <cell r="H444" t="str">
            <v>1 Cahier N°11 Contr s/lgn embouteillage</v>
          </cell>
          <cell r="I444" t="str">
            <v>CTI</v>
          </cell>
          <cell r="J444" t="str">
            <v>01</v>
          </cell>
          <cell r="K444">
            <v>95000</v>
          </cell>
          <cell r="L444" t="str">
            <v>CFA</v>
          </cell>
          <cell r="M444" t="str">
            <v>2201</v>
          </cell>
        </row>
        <row r="445">
          <cell r="E445" t="str">
            <v>36665</v>
          </cell>
          <cell r="F445">
            <v>37669</v>
          </cell>
          <cell r="G445">
            <v>37678</v>
          </cell>
          <cell r="H445" t="str">
            <v>Carte réseau; disque dur</v>
          </cell>
          <cell r="I445" t="str">
            <v>AFR</v>
          </cell>
          <cell r="J445" t="str">
            <v>01</v>
          </cell>
          <cell r="K445">
            <v>149.05000000000001</v>
          </cell>
          <cell r="L445" t="str">
            <v>EUR</v>
          </cell>
          <cell r="M445" t="str">
            <v>2100</v>
          </cell>
        </row>
        <row r="446">
          <cell r="E446" t="str">
            <v>31298</v>
          </cell>
          <cell r="F446">
            <v>37643</v>
          </cell>
          <cell r="G446">
            <v>37924</v>
          </cell>
          <cell r="H446" t="str">
            <v>Blles syst, Lamp NaE, saccharimètres</v>
          </cell>
          <cell r="I446" t="str">
            <v>GBL</v>
          </cell>
          <cell r="J446" t="str">
            <v>01</v>
          </cell>
          <cell r="K446">
            <v>3773</v>
          </cell>
          <cell r="L446" t="str">
            <v>EUR</v>
          </cell>
          <cell r="M446" t="str">
            <v>2100</v>
          </cell>
        </row>
        <row r="447">
          <cell r="G447">
            <v>37931</v>
          </cell>
          <cell r="H447" t="str">
            <v>Traçabilité, guide pratique pour l'IAA</v>
          </cell>
          <cell r="I447" t="str">
            <v>LAV</v>
          </cell>
          <cell r="J447" t="str">
            <v>01</v>
          </cell>
          <cell r="K447">
            <v>0</v>
          </cell>
          <cell r="M447" t="str">
            <v>2201</v>
          </cell>
        </row>
        <row r="448">
          <cell r="E448" t="str">
            <v>31615</v>
          </cell>
          <cell r="F448">
            <v>37852</v>
          </cell>
          <cell r="G448">
            <v>37897</v>
          </cell>
          <cell r="H448" t="str">
            <v>Formation ; Traçabilité ; HACCP</v>
          </cell>
          <cell r="I448" t="str">
            <v>LAV</v>
          </cell>
          <cell r="J448" t="str">
            <v>01</v>
          </cell>
          <cell r="K448">
            <v>0</v>
          </cell>
          <cell r="L448" t="str">
            <v>EUR</v>
          </cell>
          <cell r="M448" t="str">
            <v>2201</v>
          </cell>
        </row>
        <row r="449">
          <cell r="E449" t="str">
            <v>31894</v>
          </cell>
          <cell r="F449">
            <v>37939</v>
          </cell>
          <cell r="G449">
            <v>37698</v>
          </cell>
          <cell r="H449" t="str">
            <v>Consommables BOD - TRAK</v>
          </cell>
          <cell r="I449" t="str">
            <v>VWR</v>
          </cell>
          <cell r="J449" t="str">
            <v>01</v>
          </cell>
          <cell r="K449">
            <v>0</v>
          </cell>
          <cell r="M449" t="str">
            <v>2100</v>
          </cell>
        </row>
        <row r="450">
          <cell r="E450" t="str">
            <v>31629</v>
          </cell>
          <cell r="F450">
            <v>37886</v>
          </cell>
          <cell r="G450">
            <v>37903</v>
          </cell>
          <cell r="H450" t="str">
            <v>1 Manual of good practice wort boiling</v>
          </cell>
          <cell r="I450" t="str">
            <v>FHC</v>
          </cell>
          <cell r="J450" t="str">
            <v>01</v>
          </cell>
          <cell r="K450">
            <v>0</v>
          </cell>
          <cell r="L450" t="str">
            <v>EUR</v>
          </cell>
          <cell r="M450" t="str">
            <v>2201</v>
          </cell>
        </row>
        <row r="451">
          <cell r="E451" t="str">
            <v>55603</v>
          </cell>
          <cell r="F451">
            <v>37743</v>
          </cell>
          <cell r="G451">
            <v>37797</v>
          </cell>
          <cell r="H451" t="str">
            <v>Réparation spectrophotomètre Genesys 8</v>
          </cell>
          <cell r="I451" t="str">
            <v>SPT</v>
          </cell>
          <cell r="J451" t="str">
            <v>01</v>
          </cell>
          <cell r="K451">
            <v>1500</v>
          </cell>
          <cell r="L451" t="str">
            <v>EUR</v>
          </cell>
          <cell r="M451" t="str">
            <v>3022</v>
          </cell>
        </row>
        <row r="452">
          <cell r="E452" t="str">
            <v>10033</v>
          </cell>
          <cell r="F452">
            <v>37826</v>
          </cell>
          <cell r="G452">
            <v>37831</v>
          </cell>
          <cell r="H452" t="str">
            <v>2 Splits systems pour LC</v>
          </cell>
          <cell r="I452" t="str">
            <v>CMC</v>
          </cell>
          <cell r="J452" t="str">
            <v>01</v>
          </cell>
          <cell r="K452">
            <v>3250</v>
          </cell>
          <cell r="L452" t="str">
            <v>EUR</v>
          </cell>
          <cell r="M452" t="str">
            <v>BV046</v>
          </cell>
        </row>
        <row r="453">
          <cell r="E453" t="str">
            <v>88252</v>
          </cell>
          <cell r="F453">
            <v>37503</v>
          </cell>
          <cell r="G453">
            <v>37503</v>
          </cell>
          <cell r="H453" t="str">
            <v>Centrifugeuse de paillasse</v>
          </cell>
          <cell r="I453" t="str">
            <v>BST</v>
          </cell>
          <cell r="J453" t="str">
            <v>01</v>
          </cell>
          <cell r="K453">
            <v>762</v>
          </cell>
          <cell r="L453" t="str">
            <v>EUR</v>
          </cell>
          <cell r="M453" t="str">
            <v>2100</v>
          </cell>
        </row>
        <row r="454">
          <cell r="E454">
            <v>31251</v>
          </cell>
          <cell r="F454">
            <v>37887</v>
          </cell>
          <cell r="G454">
            <v>37721</v>
          </cell>
          <cell r="H454" t="str">
            <v>Système In-line</v>
          </cell>
          <cell r="I454" t="str">
            <v>ORB</v>
          </cell>
          <cell r="J454" t="str">
            <v>01</v>
          </cell>
          <cell r="K454">
            <v>0</v>
          </cell>
          <cell r="L454" t="str">
            <v>EUR</v>
          </cell>
          <cell r="M454" t="str">
            <v>BV033</v>
          </cell>
        </row>
        <row r="455">
          <cell r="E455" t="str">
            <v>31300</v>
          </cell>
          <cell r="F455">
            <v>37701</v>
          </cell>
          <cell r="G455">
            <v>37714</v>
          </cell>
          <cell r="H455" t="str">
            <v>Shaker UA</v>
          </cell>
          <cell r="I455" t="str">
            <v>LGA</v>
          </cell>
          <cell r="J455" t="str">
            <v>01</v>
          </cell>
          <cell r="K455">
            <v>0</v>
          </cell>
          <cell r="L455" t="str">
            <v>EUR</v>
          </cell>
          <cell r="M455" t="str">
            <v>BV041</v>
          </cell>
        </row>
        <row r="456">
          <cell r="E456" t="str">
            <v>31263</v>
          </cell>
          <cell r="F456">
            <v>37700</v>
          </cell>
          <cell r="G456">
            <v>37774</v>
          </cell>
          <cell r="H456" t="str">
            <v>Testeur de filtres MK II</v>
          </cell>
          <cell r="I456" t="str">
            <v>CPM</v>
          </cell>
          <cell r="J456" t="str">
            <v>01</v>
          </cell>
          <cell r="K456">
            <v>0</v>
          </cell>
          <cell r="L456" t="str">
            <v>EUR</v>
          </cell>
          <cell r="M456" t="str">
            <v>BV045</v>
          </cell>
        </row>
        <row r="457">
          <cell r="E457" t="str">
            <v>36697/10297</v>
          </cell>
          <cell r="F457">
            <v>37671</v>
          </cell>
          <cell r="G457">
            <v>37743</v>
          </cell>
          <cell r="H457" t="str">
            <v>Balances PM 4000 (2)</v>
          </cell>
          <cell r="I457" t="str">
            <v>MTL</v>
          </cell>
          <cell r="J457" t="str">
            <v>01</v>
          </cell>
          <cell r="K457">
            <v>0</v>
          </cell>
          <cell r="L457" t="str">
            <v>EUR</v>
          </cell>
          <cell r="M457" t="str">
            <v>BV037</v>
          </cell>
        </row>
        <row r="458">
          <cell r="E458" t="str">
            <v>31297</v>
          </cell>
          <cell r="G458">
            <v>37713</v>
          </cell>
          <cell r="H458" t="str">
            <v>Etuve Chopin + Nacelles</v>
          </cell>
          <cell r="I458" t="str">
            <v>TPR</v>
          </cell>
          <cell r="J458" t="str">
            <v>01</v>
          </cell>
          <cell r="K458">
            <v>0</v>
          </cell>
          <cell r="L458" t="str">
            <v>EUR</v>
          </cell>
          <cell r="M458" t="str">
            <v>BV032</v>
          </cell>
        </row>
        <row r="459">
          <cell r="G459">
            <v>37720</v>
          </cell>
          <cell r="H459" t="str">
            <v>2 PC Portables + 3 Imprimantes</v>
          </cell>
          <cell r="I459" t="str">
            <v>DSI</v>
          </cell>
          <cell r="J459" t="str">
            <v>01</v>
          </cell>
          <cell r="K459">
            <v>0</v>
          </cell>
          <cell r="M459" t="str">
            <v>BV039</v>
          </cell>
        </row>
        <row r="460">
          <cell r="E460" t="str">
            <v>37639</v>
          </cell>
          <cell r="F460">
            <v>37803</v>
          </cell>
          <cell r="G460">
            <v>37721</v>
          </cell>
          <cell r="H460" t="str">
            <v>Imprimante Deskjet 5550</v>
          </cell>
          <cell r="I460" t="str">
            <v>EMC</v>
          </cell>
          <cell r="J460" t="str">
            <v>01</v>
          </cell>
          <cell r="K460">
            <v>0.25</v>
          </cell>
          <cell r="L460" t="str">
            <v>MF</v>
          </cell>
          <cell r="M460" t="str">
            <v>BV031</v>
          </cell>
        </row>
        <row r="461">
          <cell r="E461" t="str">
            <v>31196</v>
          </cell>
          <cell r="F461">
            <v>37637</v>
          </cell>
          <cell r="G461">
            <v>37802</v>
          </cell>
          <cell r="H461" t="str">
            <v>Imprimante HP 5550</v>
          </cell>
          <cell r="I461" t="str">
            <v>LOC</v>
          </cell>
          <cell r="J461" t="str">
            <v>01</v>
          </cell>
          <cell r="K461">
            <v>250000</v>
          </cell>
          <cell r="L461" t="str">
            <v>CFA</v>
          </cell>
          <cell r="M461" t="str">
            <v>BV042</v>
          </cell>
        </row>
        <row r="462">
          <cell r="E462" t="str">
            <v>36456</v>
          </cell>
          <cell r="F462">
            <v>37631</v>
          </cell>
          <cell r="G462">
            <v>37671</v>
          </cell>
          <cell r="H462" t="str">
            <v>Qualitel guides ISO 9000 : 2000</v>
          </cell>
          <cell r="I462" t="str">
            <v>SGI</v>
          </cell>
          <cell r="J462" t="str">
            <v>01</v>
          </cell>
          <cell r="K462">
            <v>337.68</v>
          </cell>
          <cell r="L462" t="str">
            <v>EUR</v>
          </cell>
          <cell r="M462" t="str">
            <v>2201</v>
          </cell>
        </row>
        <row r="463">
          <cell r="E463" t="str">
            <v>36423</v>
          </cell>
          <cell r="F463">
            <v>37627</v>
          </cell>
          <cell r="G463">
            <v>37728</v>
          </cell>
          <cell r="H463" t="str">
            <v>Flash memories</v>
          </cell>
          <cell r="I463" t="str">
            <v>WSC</v>
          </cell>
          <cell r="J463" t="str">
            <v>01</v>
          </cell>
          <cell r="K463">
            <v>245.03</v>
          </cell>
          <cell r="L463" t="str">
            <v>EUR</v>
          </cell>
          <cell r="M463" t="str">
            <v>BV038</v>
          </cell>
        </row>
        <row r="464">
          <cell r="E464" t="str">
            <v>31179</v>
          </cell>
          <cell r="F464">
            <v>37634</v>
          </cell>
          <cell r="G464">
            <v>37692</v>
          </cell>
          <cell r="H464" t="str">
            <v>Polystat 23 analogique 100 °C</v>
          </cell>
          <cell r="I464" t="str">
            <v>BBL</v>
          </cell>
          <cell r="J464" t="str">
            <v>01</v>
          </cell>
          <cell r="K464">
            <v>0</v>
          </cell>
          <cell r="L464" t="str">
            <v>EUR</v>
          </cell>
          <cell r="M464" t="str">
            <v>BV043</v>
          </cell>
        </row>
        <row r="465">
          <cell r="E465" t="str">
            <v>31191</v>
          </cell>
          <cell r="F465">
            <v>37641</v>
          </cell>
          <cell r="G465">
            <v>37774</v>
          </cell>
          <cell r="H465" t="str">
            <v>pH mètres SG 837 (5)</v>
          </cell>
          <cell r="I465" t="str">
            <v>VWR</v>
          </cell>
          <cell r="J465" t="str">
            <v>01</v>
          </cell>
          <cell r="K465">
            <v>0</v>
          </cell>
          <cell r="L465" t="str">
            <v>EUR</v>
          </cell>
          <cell r="M465" t="str">
            <v>BV035</v>
          </cell>
        </row>
        <row r="466">
          <cell r="E466" t="str">
            <v>31496</v>
          </cell>
          <cell r="F466">
            <v>37795</v>
          </cell>
          <cell r="G466">
            <v>37874</v>
          </cell>
          <cell r="H466" t="str">
            <v>Malt standard EBC</v>
          </cell>
          <cell r="I466" t="str">
            <v>LCT</v>
          </cell>
          <cell r="J466" t="str">
            <v>01</v>
          </cell>
          <cell r="K466" t="str">
            <v>565.5</v>
          </cell>
          <cell r="L466" t="str">
            <v>EUR</v>
          </cell>
          <cell r="M466" t="str">
            <v>2100</v>
          </cell>
        </row>
        <row r="467">
          <cell r="E467" t="str">
            <v>36400</v>
          </cell>
          <cell r="F467">
            <v>37621</v>
          </cell>
          <cell r="G467">
            <v>37667</v>
          </cell>
          <cell r="H467" t="str">
            <v>Documentation: µbio;Maths;spectro IR</v>
          </cell>
          <cell r="I467" t="str">
            <v>LAV</v>
          </cell>
          <cell r="J467" t="str">
            <v>01</v>
          </cell>
          <cell r="K467">
            <v>654.01</v>
          </cell>
          <cell r="L467" t="str">
            <v>EUR</v>
          </cell>
          <cell r="M467" t="str">
            <v>2201</v>
          </cell>
        </row>
        <row r="468">
          <cell r="E468" t="str">
            <v>31192</v>
          </cell>
          <cell r="F468">
            <v>37641</v>
          </cell>
          <cell r="G468">
            <v>37664</v>
          </cell>
          <cell r="H468" t="str">
            <v>Accumulateurs rechargeables</v>
          </cell>
          <cell r="I468" t="str">
            <v>BBL</v>
          </cell>
          <cell r="J468" t="str">
            <v>01</v>
          </cell>
          <cell r="K468">
            <v>415.14</v>
          </cell>
          <cell r="L468" t="str">
            <v>FRF</v>
          </cell>
          <cell r="M468" t="str">
            <v>2000</v>
          </cell>
        </row>
        <row r="469">
          <cell r="E469" t="str">
            <v>31152</v>
          </cell>
          <cell r="F469">
            <v>37606</v>
          </cell>
          <cell r="G469">
            <v>37706</v>
          </cell>
          <cell r="H469" t="str">
            <v>Traçabilité, guide pratique pour l'IAA</v>
          </cell>
          <cell r="I469" t="str">
            <v>LAV</v>
          </cell>
          <cell r="J469" t="str">
            <v>01</v>
          </cell>
          <cell r="K469">
            <v>0</v>
          </cell>
          <cell r="L469" t="str">
            <v>EUR</v>
          </cell>
          <cell r="M469" t="str">
            <v>2201</v>
          </cell>
        </row>
        <row r="470">
          <cell r="E470" t="str">
            <v>31167</v>
          </cell>
          <cell r="F470">
            <v>37623</v>
          </cell>
          <cell r="G470">
            <v>37678</v>
          </cell>
          <cell r="H470" t="str">
            <v>Formation ; Traçabilité ; HACCP</v>
          </cell>
          <cell r="I470" t="str">
            <v>LAV</v>
          </cell>
          <cell r="J470" t="str">
            <v>01</v>
          </cell>
          <cell r="K470">
            <v>0</v>
          </cell>
          <cell r="L470" t="str">
            <v>EUR</v>
          </cell>
          <cell r="M470" t="str">
            <v>2201</v>
          </cell>
        </row>
        <row r="471">
          <cell r="E471" t="str">
            <v>31153</v>
          </cell>
          <cell r="F471">
            <v>37641</v>
          </cell>
          <cell r="G471">
            <v>37698</v>
          </cell>
          <cell r="H471" t="str">
            <v>Consommables BOD - TRAK</v>
          </cell>
          <cell r="I471" t="str">
            <v>VWR</v>
          </cell>
          <cell r="J471" t="str">
            <v>01</v>
          </cell>
          <cell r="K471">
            <v>0</v>
          </cell>
          <cell r="L471" t="str">
            <v>EUR</v>
          </cell>
          <cell r="M471" t="str">
            <v>2100</v>
          </cell>
        </row>
        <row r="472">
          <cell r="E472" t="str">
            <v>31151</v>
          </cell>
          <cell r="F472">
            <v>37606</v>
          </cell>
          <cell r="H472" t="str">
            <v>Additifs Pasteur</v>
          </cell>
          <cell r="I472" t="str">
            <v>DPA</v>
          </cell>
          <cell r="J472" t="str">
            <v>01</v>
          </cell>
          <cell r="K472">
            <v>1082.2</v>
          </cell>
          <cell r="L472" t="str">
            <v>EUR</v>
          </cell>
          <cell r="M472" t="str">
            <v>2201</v>
          </cell>
        </row>
        <row r="473">
          <cell r="E473" t="str">
            <v>31168</v>
          </cell>
          <cell r="F473">
            <v>37629</v>
          </cell>
          <cell r="G473">
            <v>37797</v>
          </cell>
          <cell r="H473" t="str">
            <v>Abonnement à Cerevisia</v>
          </cell>
          <cell r="I473" t="str">
            <v>CRV</v>
          </cell>
          <cell r="J473" t="str">
            <v>01</v>
          </cell>
          <cell r="K473">
            <v>111.94</v>
          </cell>
          <cell r="L473" t="str">
            <v>EUR</v>
          </cell>
          <cell r="M473" t="str">
            <v>2201</v>
          </cell>
        </row>
        <row r="474">
          <cell r="E474" t="str">
            <v>31168</v>
          </cell>
          <cell r="F474">
            <v>37749</v>
          </cell>
          <cell r="G474">
            <v>37831</v>
          </cell>
          <cell r="H474" t="str">
            <v>Abonnement à Cerevisia</v>
          </cell>
          <cell r="I474" t="str">
            <v>CRV</v>
          </cell>
          <cell r="J474" t="str">
            <v>01</v>
          </cell>
          <cell r="K474">
            <v>111.94</v>
          </cell>
          <cell r="L474" t="str">
            <v>EUR</v>
          </cell>
          <cell r="M474" t="str">
            <v>2201</v>
          </cell>
        </row>
        <row r="475">
          <cell r="E475" t="str">
            <v>88252</v>
          </cell>
          <cell r="F475">
            <v>37503</v>
          </cell>
          <cell r="G475">
            <v>37636</v>
          </cell>
          <cell r="H475" t="str">
            <v>1 Graveur Externe s/port USB + 20 CD</v>
          </cell>
          <cell r="I475" t="str">
            <v>AFR</v>
          </cell>
          <cell r="J475" t="str">
            <v>01</v>
          </cell>
          <cell r="K475">
            <v>0</v>
          </cell>
          <cell r="L475" t="str">
            <v>EUR</v>
          </cell>
          <cell r="M475" t="str">
            <v>2100</v>
          </cell>
        </row>
        <row r="476">
          <cell r="E476">
            <v>31251</v>
          </cell>
          <cell r="G476">
            <v>37624</v>
          </cell>
          <cell r="H476" t="str">
            <v>1 Norme ISO 17025</v>
          </cell>
          <cell r="I476" t="str">
            <v>LAV</v>
          </cell>
          <cell r="J476" t="str">
            <v>01</v>
          </cell>
          <cell r="K476">
            <v>225.23</v>
          </cell>
          <cell r="L476" t="str">
            <v>EUR</v>
          </cell>
          <cell r="M476" t="str">
            <v>BV033</v>
          </cell>
        </row>
        <row r="477">
          <cell r="E477" t="str">
            <v>12560</v>
          </cell>
          <cell r="F477">
            <v>37827</v>
          </cell>
          <cell r="G477">
            <v>37714</v>
          </cell>
          <cell r="H477" t="str">
            <v>Shaker UA</v>
          </cell>
          <cell r="I477" t="str">
            <v>LGA</v>
          </cell>
          <cell r="J477" t="str">
            <v>01</v>
          </cell>
          <cell r="K477">
            <v>0</v>
          </cell>
          <cell r="L477" t="str">
            <v>EUR</v>
          </cell>
          <cell r="M477" t="str">
            <v>BV041</v>
          </cell>
        </row>
        <row r="478">
          <cell r="E478" t="str">
            <v>10886</v>
          </cell>
          <cell r="F478">
            <v>37619</v>
          </cell>
          <cell r="G478">
            <v>37774</v>
          </cell>
          <cell r="H478" t="str">
            <v>Testeur de filtres MK II</v>
          </cell>
          <cell r="I478" t="str">
            <v>CPM</v>
          </cell>
          <cell r="J478" t="str">
            <v>01</v>
          </cell>
          <cell r="K478">
            <v>0</v>
          </cell>
          <cell r="L478" t="str">
            <v>EUR</v>
          </cell>
          <cell r="M478" t="str">
            <v>BV045</v>
          </cell>
        </row>
        <row r="479">
          <cell r="G479">
            <v>37743</v>
          </cell>
          <cell r="H479" t="str">
            <v>Réseaux assainissements, calculs; épurat</v>
          </cell>
          <cell r="I479" t="str">
            <v>MSP</v>
          </cell>
          <cell r="J479" t="str">
            <v>01</v>
          </cell>
          <cell r="K479">
            <v>0</v>
          </cell>
          <cell r="M479" t="str">
            <v>2201</v>
          </cell>
        </row>
        <row r="480">
          <cell r="E480" t="str">
            <v>32158</v>
          </cell>
          <cell r="F480">
            <v>38028</v>
          </cell>
          <cell r="G480">
            <v>37713</v>
          </cell>
          <cell r="H480" t="str">
            <v>Etuve Chopin + Nacelles</v>
          </cell>
          <cell r="I480" t="str">
            <v>TPR</v>
          </cell>
          <cell r="J480" t="str">
            <v>01</v>
          </cell>
          <cell r="K480">
            <v>0</v>
          </cell>
          <cell r="L480" t="str">
            <v>EUR</v>
          </cell>
          <cell r="M480" t="str">
            <v>BV032</v>
          </cell>
        </row>
        <row r="481">
          <cell r="E481" t="str">
            <v>55368</v>
          </cell>
          <cell r="F481">
            <v>37645</v>
          </cell>
          <cell r="G481">
            <v>37720</v>
          </cell>
          <cell r="H481" t="str">
            <v>DMA 4500</v>
          </cell>
          <cell r="I481" t="str">
            <v>TPR</v>
          </cell>
          <cell r="J481" t="str">
            <v>01</v>
          </cell>
          <cell r="K481">
            <v>0</v>
          </cell>
          <cell r="L481" t="str">
            <v>EUR</v>
          </cell>
          <cell r="M481" t="str">
            <v>BV039</v>
          </cell>
        </row>
        <row r="482">
          <cell r="E482" t="str">
            <v>31140</v>
          </cell>
          <cell r="F482">
            <v>37606</v>
          </cell>
          <cell r="G482">
            <v>37721</v>
          </cell>
          <cell r="H482" t="str">
            <v>Systèmes Micro Logger</v>
          </cell>
          <cell r="I482" t="str">
            <v>ORB</v>
          </cell>
          <cell r="J482" t="str">
            <v>01</v>
          </cell>
          <cell r="K482">
            <v>22740.033860045147</v>
          </cell>
          <cell r="L482" t="str">
            <v>EUR</v>
          </cell>
          <cell r="M482" t="str">
            <v>BV034</v>
          </cell>
        </row>
        <row r="483">
          <cell r="E483" t="str">
            <v>31142</v>
          </cell>
          <cell r="F483">
            <v>37606</v>
          </cell>
          <cell r="G483">
            <v>37720</v>
          </cell>
          <cell r="H483" t="str">
            <v>Préleveurs automatiques  "Alpha"</v>
          </cell>
          <cell r="I483" t="str">
            <v>TPR</v>
          </cell>
          <cell r="J483" t="str">
            <v>01</v>
          </cell>
          <cell r="K483">
            <v>4536.96</v>
          </cell>
          <cell r="L483" t="str">
            <v>EUR</v>
          </cell>
          <cell r="M483" t="str">
            <v>INV</v>
          </cell>
        </row>
        <row r="484">
          <cell r="E484" t="str">
            <v>55145</v>
          </cell>
          <cell r="F484">
            <v>37617</v>
          </cell>
          <cell r="G484">
            <v>37671</v>
          </cell>
          <cell r="H484" t="str">
            <v>Résistances autoclaves 3, 4.5, 6 kw 220V</v>
          </cell>
          <cell r="I484" t="str">
            <v>LQX</v>
          </cell>
          <cell r="J484" t="str">
            <v>01</v>
          </cell>
          <cell r="K484">
            <v>3752.8</v>
          </cell>
          <cell r="L484" t="str">
            <v>EUR</v>
          </cell>
          <cell r="M484" t="str">
            <v>2000</v>
          </cell>
        </row>
        <row r="485">
          <cell r="E485" t="str">
            <v>36423</v>
          </cell>
          <cell r="F485">
            <v>37627</v>
          </cell>
          <cell r="G485">
            <v>37788</v>
          </cell>
          <cell r="H485" t="str">
            <v>Flash memories</v>
          </cell>
          <cell r="I485" t="str">
            <v>WSC</v>
          </cell>
          <cell r="J485" t="str">
            <v>01</v>
          </cell>
          <cell r="K485">
            <v>245.03</v>
          </cell>
          <cell r="L485" t="str">
            <v>EUR</v>
          </cell>
          <cell r="M485" t="str">
            <v>2100</v>
          </cell>
        </row>
        <row r="486">
          <cell r="E486" t="str">
            <v>32376</v>
          </cell>
          <cell r="F486">
            <v>38135</v>
          </cell>
          <cell r="G486">
            <v>38173</v>
          </cell>
          <cell r="H486" t="str">
            <v xml:space="preserve">Densimètres électroniques DMA 35 (4) </v>
          </cell>
          <cell r="I486" t="str">
            <v>PAA</v>
          </cell>
          <cell r="J486" t="str">
            <v>01</v>
          </cell>
          <cell r="K486">
            <v>8270.5</v>
          </cell>
          <cell r="L486" t="str">
            <v>EUR</v>
          </cell>
          <cell r="M486" t="str">
            <v>CV040</v>
          </cell>
        </row>
        <row r="487">
          <cell r="E487" t="str">
            <v>30872</v>
          </cell>
          <cell r="F487">
            <v>37546</v>
          </cell>
          <cell r="G487">
            <v>37590</v>
          </cell>
          <cell r="H487" t="str">
            <v>Bossage à souder en ligne (6)</v>
          </cell>
          <cell r="I487" t="str">
            <v>ORB</v>
          </cell>
          <cell r="J487" t="str">
            <v>01</v>
          </cell>
          <cell r="K487">
            <v>2636.5</v>
          </cell>
          <cell r="L487" t="str">
            <v>EUR</v>
          </cell>
          <cell r="M487" t="str">
            <v>2100</v>
          </cell>
        </row>
        <row r="488">
          <cell r="E488" t="str">
            <v>31496</v>
          </cell>
          <cell r="F488">
            <v>37795</v>
          </cell>
          <cell r="G488">
            <v>37608</v>
          </cell>
          <cell r="H488" t="str">
            <v>Documentation QC/SPC</v>
          </cell>
          <cell r="I488" t="str">
            <v>LAV</v>
          </cell>
          <cell r="J488" t="str">
            <v>01</v>
          </cell>
          <cell r="K488">
            <v>0</v>
          </cell>
          <cell r="L488" t="str">
            <v>EUR</v>
          </cell>
          <cell r="M488" t="str">
            <v>2201</v>
          </cell>
        </row>
        <row r="489">
          <cell r="E489" t="str">
            <v>36400</v>
          </cell>
          <cell r="F489">
            <v>37621</v>
          </cell>
          <cell r="G489">
            <v>37572</v>
          </cell>
          <cell r="H489" t="str">
            <v>AGNO3 et H2SO4</v>
          </cell>
          <cell r="I489" t="str">
            <v>MCK</v>
          </cell>
          <cell r="J489" t="str">
            <v>01</v>
          </cell>
          <cell r="K489">
            <v>0</v>
          </cell>
          <cell r="L489" t="str">
            <v>EUR</v>
          </cell>
          <cell r="M489" t="str">
            <v>2100</v>
          </cell>
        </row>
        <row r="490">
          <cell r="E490" t="str">
            <v>334622</v>
          </cell>
          <cell r="F490">
            <v>37207</v>
          </cell>
          <cell r="G490">
            <v>37664</v>
          </cell>
          <cell r="H490" t="str">
            <v>Refroidisseur à banc de glace (2)</v>
          </cell>
          <cell r="I490" t="str">
            <v>CBF</v>
          </cell>
          <cell r="J490" t="str">
            <v>01</v>
          </cell>
          <cell r="K490">
            <v>2064.83</v>
          </cell>
          <cell r="L490" t="str">
            <v>FRF</v>
          </cell>
          <cell r="M490" t="str">
            <v>Z018</v>
          </cell>
        </row>
        <row r="491">
          <cell r="E491" t="str">
            <v>30844</v>
          </cell>
          <cell r="F491">
            <v>37533</v>
          </cell>
          <cell r="G491">
            <v>37575</v>
          </cell>
          <cell r="H491" t="str">
            <v>Milieux et additifs Pasteur</v>
          </cell>
          <cell r="I491" t="str">
            <v>DPA</v>
          </cell>
          <cell r="J491" t="str">
            <v>01</v>
          </cell>
          <cell r="K491">
            <v>1119.2</v>
          </cell>
          <cell r="L491" t="str">
            <v>EUR</v>
          </cell>
          <cell r="M491" t="str">
            <v>2100</v>
          </cell>
        </row>
        <row r="492">
          <cell r="E492" t="str">
            <v>31167</v>
          </cell>
          <cell r="F492">
            <v>37623</v>
          </cell>
          <cell r="G492">
            <v>37531</v>
          </cell>
          <cell r="H492" t="str">
            <v>La traçabilité en agro-industrie</v>
          </cell>
          <cell r="I492" t="str">
            <v>LAV</v>
          </cell>
          <cell r="J492" t="str">
            <v>01</v>
          </cell>
          <cell r="K492">
            <v>78.22</v>
          </cell>
          <cell r="L492" t="str">
            <v>EUR</v>
          </cell>
          <cell r="M492" t="str">
            <v>2201</v>
          </cell>
        </row>
        <row r="493">
          <cell r="E493" t="str">
            <v>30786</v>
          </cell>
          <cell r="F493">
            <v>37515</v>
          </cell>
          <cell r="G493">
            <v>37715</v>
          </cell>
          <cell r="H493" t="str">
            <v>Enregistreur 6 canaux, couleur sr 5000</v>
          </cell>
          <cell r="I493" t="str">
            <v>BBL</v>
          </cell>
          <cell r="J493" t="str">
            <v>01</v>
          </cell>
          <cell r="K493">
            <v>3999</v>
          </cell>
          <cell r="L493" t="str">
            <v>EUR</v>
          </cell>
          <cell r="M493" t="str">
            <v>A040</v>
          </cell>
        </row>
        <row r="494">
          <cell r="E494" t="str">
            <v>5974</v>
          </cell>
          <cell r="F494">
            <v>37529</v>
          </cell>
          <cell r="G494">
            <v>37623</v>
          </cell>
          <cell r="H494" t="str">
            <v>Additifs Pasteur</v>
          </cell>
          <cell r="I494" t="str">
            <v>DPA</v>
          </cell>
          <cell r="J494" t="str">
            <v>01</v>
          </cell>
          <cell r="K494">
            <v>1082.2</v>
          </cell>
          <cell r="L494" t="str">
            <v>EUR</v>
          </cell>
          <cell r="M494" t="str">
            <v>2100</v>
          </cell>
        </row>
        <row r="495">
          <cell r="E495" t="str">
            <v>30801</v>
          </cell>
          <cell r="F495">
            <v>37593</v>
          </cell>
          <cell r="G495">
            <v>37624</v>
          </cell>
          <cell r="H495" t="str">
            <v>Abonnement à Cerevisia</v>
          </cell>
          <cell r="I495" t="str">
            <v>CRV</v>
          </cell>
          <cell r="J495" t="str">
            <v>01</v>
          </cell>
          <cell r="K495">
            <v>111.94</v>
          </cell>
          <cell r="L495" t="str">
            <v>EUR</v>
          </cell>
          <cell r="M495" t="str">
            <v>2201</v>
          </cell>
        </row>
        <row r="496">
          <cell r="E496" t="str">
            <v>30802</v>
          </cell>
          <cell r="F496">
            <v>37533</v>
          </cell>
          <cell r="G496">
            <v>37600</v>
          </cell>
          <cell r="H496" t="str">
            <v>Abonnement à Cerevisia</v>
          </cell>
          <cell r="I496" t="str">
            <v>CRV</v>
          </cell>
          <cell r="J496" t="str">
            <v>01</v>
          </cell>
          <cell r="K496">
            <v>111.94</v>
          </cell>
          <cell r="L496" t="str">
            <v>EUR</v>
          </cell>
          <cell r="M496" t="str">
            <v>2201</v>
          </cell>
        </row>
        <row r="497">
          <cell r="E497" t="str">
            <v>30782</v>
          </cell>
          <cell r="F497">
            <v>37614</v>
          </cell>
          <cell r="G497">
            <v>37636</v>
          </cell>
          <cell r="H497" t="str">
            <v>1 Graveur Externe s/port USB + 20 CD</v>
          </cell>
          <cell r="I497" t="str">
            <v>AFR</v>
          </cell>
          <cell r="J497" t="str">
            <v>01</v>
          </cell>
          <cell r="K497">
            <v>0</v>
          </cell>
          <cell r="L497" t="str">
            <v>EUR</v>
          </cell>
          <cell r="M497" t="str">
            <v>2100</v>
          </cell>
        </row>
        <row r="498">
          <cell r="E498" t="str">
            <v>31183</v>
          </cell>
          <cell r="F498">
            <v>37629</v>
          </cell>
          <cell r="G498">
            <v>37624</v>
          </cell>
          <cell r="H498" t="str">
            <v>Accessoires Nibem</v>
          </cell>
          <cell r="I498" t="str">
            <v>HAF</v>
          </cell>
          <cell r="J498" t="str">
            <v>01</v>
          </cell>
          <cell r="K498">
            <v>704.9</v>
          </cell>
          <cell r="L498" t="str">
            <v>EUR</v>
          </cell>
          <cell r="M498" t="str">
            <v>A031</v>
          </cell>
        </row>
        <row r="499">
          <cell r="E499" t="str">
            <v>30800</v>
          </cell>
          <cell r="F499">
            <v>37536</v>
          </cell>
          <cell r="G499">
            <v>37624</v>
          </cell>
          <cell r="H499" t="str">
            <v>Sets of sample bags CAS</v>
          </cell>
          <cell r="I499" t="str">
            <v>HAF</v>
          </cell>
          <cell r="J499" t="str">
            <v>01</v>
          </cell>
          <cell r="K499">
            <v>998.5</v>
          </cell>
          <cell r="L499" t="str">
            <v>EUR</v>
          </cell>
          <cell r="M499" t="str">
            <v>2100</v>
          </cell>
        </row>
        <row r="500">
          <cell r="E500" t="str">
            <v>30800</v>
          </cell>
          <cell r="F500">
            <v>37749</v>
          </cell>
          <cell r="G500">
            <v>37763</v>
          </cell>
          <cell r="H500" t="str">
            <v>CAS résultats analyses</v>
          </cell>
          <cell r="I500" t="str">
            <v>HAF</v>
          </cell>
          <cell r="J500" t="str">
            <v>01</v>
          </cell>
          <cell r="K500">
            <v>1058.1199999999999</v>
          </cell>
          <cell r="L500" t="str">
            <v>EUR</v>
          </cell>
          <cell r="M500" t="str">
            <v>2100</v>
          </cell>
        </row>
        <row r="501">
          <cell r="H501" t="str">
            <v>Normes Iso</v>
          </cell>
          <cell r="I501" t="str">
            <v>LAV</v>
          </cell>
          <cell r="J501" t="str">
            <v>01</v>
          </cell>
          <cell r="K501">
            <v>0</v>
          </cell>
          <cell r="M501" t="str">
            <v>2201</v>
          </cell>
        </row>
        <row r="502">
          <cell r="E502" t="str">
            <v>32158</v>
          </cell>
          <cell r="F502">
            <v>38028</v>
          </cell>
          <cell r="G502">
            <v>38070</v>
          </cell>
          <cell r="H502" t="str">
            <v>Encyclopédie de la bière</v>
          </cell>
          <cell r="I502" t="str">
            <v>LAV</v>
          </cell>
          <cell r="J502" t="str">
            <v>01</v>
          </cell>
          <cell r="K502">
            <v>0</v>
          </cell>
          <cell r="L502" t="str">
            <v>EUR</v>
          </cell>
          <cell r="M502" t="str">
            <v>2201</v>
          </cell>
        </row>
        <row r="503">
          <cell r="E503" t="str">
            <v>55368</v>
          </cell>
          <cell r="F503">
            <v>37645</v>
          </cell>
          <cell r="G503">
            <v>37699</v>
          </cell>
          <cell r="H503" t="str">
            <v>Révision complète appareil Nibem</v>
          </cell>
          <cell r="I503" t="str">
            <v>HAF</v>
          </cell>
          <cell r="J503" t="str">
            <v>01</v>
          </cell>
          <cell r="K503">
            <v>0</v>
          </cell>
          <cell r="L503" t="str">
            <v>EUR</v>
          </cell>
          <cell r="M503" t="str">
            <v>3022</v>
          </cell>
        </row>
        <row r="504">
          <cell r="E504" t="str">
            <v>30798</v>
          </cell>
          <cell r="F504">
            <v>37519</v>
          </cell>
          <cell r="G504">
            <v>37692</v>
          </cell>
          <cell r="H504" t="str">
            <v>Afficheurs stalagmomètre digital</v>
          </cell>
          <cell r="I504" t="str">
            <v>SPR</v>
          </cell>
          <cell r="J504" t="str">
            <v>01</v>
          </cell>
          <cell r="K504">
            <v>584.22</v>
          </cell>
          <cell r="L504" t="str">
            <v>EUR</v>
          </cell>
          <cell r="M504" t="str">
            <v>2000</v>
          </cell>
        </row>
        <row r="505">
          <cell r="E505" t="str">
            <v>30875</v>
          </cell>
          <cell r="F505">
            <v>37515</v>
          </cell>
          <cell r="G505">
            <v>37575</v>
          </cell>
          <cell r="H505" t="str">
            <v>Préleveurs automatiques  "Alpha"</v>
          </cell>
          <cell r="I505" t="str">
            <v>TPR</v>
          </cell>
          <cell r="J505" t="str">
            <v>01</v>
          </cell>
          <cell r="K505">
            <v>4536.96</v>
          </cell>
          <cell r="L505" t="str">
            <v>EUR</v>
          </cell>
          <cell r="M505" t="str">
            <v>INV</v>
          </cell>
        </row>
        <row r="506">
          <cell r="E506" t="str">
            <v>55145</v>
          </cell>
          <cell r="F506">
            <v>37617</v>
          </cell>
          <cell r="G506">
            <v>37671</v>
          </cell>
          <cell r="H506" t="str">
            <v>Documentation</v>
          </cell>
          <cell r="I506" t="str">
            <v>LAV</v>
          </cell>
          <cell r="J506" t="str">
            <v>01</v>
          </cell>
          <cell r="K506">
            <v>0</v>
          </cell>
          <cell r="L506" t="str">
            <v>EUR</v>
          </cell>
          <cell r="M506" t="str">
            <v>2201</v>
          </cell>
        </row>
        <row r="507">
          <cell r="G507">
            <v>37788</v>
          </cell>
          <cell r="H507" t="str">
            <v>Documentation Afnor</v>
          </cell>
          <cell r="I507" t="str">
            <v>LAV</v>
          </cell>
          <cell r="J507" t="str">
            <v>01</v>
          </cell>
          <cell r="K507">
            <v>0</v>
          </cell>
          <cell r="M507" t="str">
            <v>2201</v>
          </cell>
        </row>
        <row r="508">
          <cell r="E508" t="str">
            <v>337407</v>
          </cell>
          <cell r="F508">
            <v>37490</v>
          </cell>
          <cell r="G508">
            <v>38173</v>
          </cell>
          <cell r="H508" t="str">
            <v>Lg Automatic novel foam tester</v>
          </cell>
          <cell r="I508" t="str">
            <v>LGA</v>
          </cell>
          <cell r="J508" t="str">
            <v>01</v>
          </cell>
          <cell r="K508">
            <v>8692.02</v>
          </cell>
          <cell r="L508" t="str">
            <v>EUR</v>
          </cell>
          <cell r="M508" t="str">
            <v>INV</v>
          </cell>
        </row>
        <row r="509">
          <cell r="E509" t="str">
            <v>337474</v>
          </cell>
          <cell r="F509">
            <v>37522</v>
          </cell>
          <cell r="G509">
            <v>37531</v>
          </cell>
          <cell r="H509" t="str">
            <v>Manuals of good practice</v>
          </cell>
          <cell r="I509" t="str">
            <v>FHC</v>
          </cell>
          <cell r="J509" t="str">
            <v>01</v>
          </cell>
          <cell r="K509">
            <v>656.11</v>
          </cell>
          <cell r="L509" t="str">
            <v>EUR</v>
          </cell>
          <cell r="M509" t="str">
            <v>2201</v>
          </cell>
        </row>
        <row r="510">
          <cell r="G510">
            <v>37608</v>
          </cell>
          <cell r="H510" t="str">
            <v>Réabonnement Liquides et Conditionnement</v>
          </cell>
          <cell r="I510" t="str">
            <v>PCI</v>
          </cell>
          <cell r="J510" t="str">
            <v>01</v>
          </cell>
          <cell r="K510">
            <v>0</v>
          </cell>
          <cell r="M510" t="str">
            <v>2201</v>
          </cell>
        </row>
        <row r="511">
          <cell r="G511">
            <v>37518</v>
          </cell>
          <cell r="H511" t="str">
            <v>Piles rechargeables</v>
          </cell>
          <cell r="I511" t="str">
            <v>BBL</v>
          </cell>
          <cell r="J511" t="str">
            <v>01</v>
          </cell>
          <cell r="K511">
            <v>0</v>
          </cell>
          <cell r="M511" t="str">
            <v>2000</v>
          </cell>
        </row>
        <row r="512">
          <cell r="E512" t="str">
            <v>334622</v>
          </cell>
          <cell r="F512">
            <v>37207</v>
          </cell>
          <cell r="G512">
            <v>37524</v>
          </cell>
          <cell r="H512" t="str">
            <v>Refroidisseur à banc de glace (2)</v>
          </cell>
          <cell r="I512" t="str">
            <v>CBF</v>
          </cell>
          <cell r="J512" t="str">
            <v>01</v>
          </cell>
          <cell r="K512">
            <v>2064.83</v>
          </cell>
          <cell r="L512" t="str">
            <v>FRF</v>
          </cell>
          <cell r="M512" t="str">
            <v>2000</v>
          </cell>
        </row>
        <row r="513">
          <cell r="E513" t="str">
            <v>30844</v>
          </cell>
          <cell r="F513">
            <v>37533</v>
          </cell>
          <cell r="G513">
            <v>37524</v>
          </cell>
          <cell r="H513" t="str">
            <v>Aimants, batteries et manomètres 2,5 bar</v>
          </cell>
          <cell r="I513" t="str">
            <v>HAF</v>
          </cell>
          <cell r="J513" t="str">
            <v>01</v>
          </cell>
          <cell r="K513">
            <v>0</v>
          </cell>
          <cell r="L513" t="str">
            <v>EUR</v>
          </cell>
          <cell r="M513" t="str">
            <v>2000</v>
          </cell>
        </row>
        <row r="514">
          <cell r="G514">
            <v>37572</v>
          </cell>
          <cell r="H514" t="str">
            <v>Cuvettes et filtres bleu colorimètre</v>
          </cell>
          <cell r="I514" t="str">
            <v>HEL</v>
          </cell>
          <cell r="J514" t="str">
            <v>01</v>
          </cell>
          <cell r="K514">
            <v>4952.49</v>
          </cell>
          <cell r="L514" t="str">
            <v>EUR</v>
          </cell>
          <cell r="M514" t="str">
            <v>2000</v>
          </cell>
        </row>
        <row r="515">
          <cell r="E515" t="str">
            <v>337336</v>
          </cell>
          <cell r="F515">
            <v>37840</v>
          </cell>
          <cell r="G515">
            <v>37657</v>
          </cell>
          <cell r="H515" t="str">
            <v>Enregistreur 6 canaux, couleur sr 5000</v>
          </cell>
          <cell r="I515" t="str">
            <v>BBL</v>
          </cell>
          <cell r="J515" t="str">
            <v>01</v>
          </cell>
          <cell r="K515">
            <v>3999</v>
          </cell>
          <cell r="L515" t="str">
            <v>EUR</v>
          </cell>
          <cell r="M515" t="str">
            <v>A040</v>
          </cell>
        </row>
        <row r="516">
          <cell r="E516" t="str">
            <v>5974</v>
          </cell>
          <cell r="F516">
            <v>37529</v>
          </cell>
          <cell r="G516">
            <v>37755</v>
          </cell>
          <cell r="H516" t="str">
            <v>Boîtes de pétri 6 x 144</v>
          </cell>
          <cell r="I516" t="str">
            <v>VWR</v>
          </cell>
          <cell r="J516" t="str">
            <v>01</v>
          </cell>
          <cell r="K516">
            <v>0</v>
          </cell>
          <cell r="L516" t="str">
            <v>EUR</v>
          </cell>
          <cell r="M516" t="str">
            <v>2100</v>
          </cell>
        </row>
        <row r="517">
          <cell r="E517" t="str">
            <v>30801</v>
          </cell>
          <cell r="F517">
            <v>37593</v>
          </cell>
          <cell r="G517">
            <v>37750</v>
          </cell>
          <cell r="H517" t="str">
            <v>6 Paquet de 144 boîtes de pétri</v>
          </cell>
          <cell r="I517" t="str">
            <v>STR</v>
          </cell>
          <cell r="J517" t="str">
            <v>01</v>
          </cell>
          <cell r="K517">
            <v>1133.26</v>
          </cell>
          <cell r="L517" t="str">
            <v>EUR</v>
          </cell>
          <cell r="M517" t="str">
            <v>2100</v>
          </cell>
        </row>
        <row r="518">
          <cell r="E518" t="str">
            <v>30802</v>
          </cell>
          <cell r="F518">
            <v>37533</v>
          </cell>
          <cell r="G518">
            <v>37600</v>
          </cell>
          <cell r="H518" t="str">
            <v>Electrodes Hanna et thermomètres ASTM</v>
          </cell>
          <cell r="I518" t="str">
            <v>NRL</v>
          </cell>
          <cell r="J518" t="str">
            <v>01</v>
          </cell>
          <cell r="K518">
            <v>0</v>
          </cell>
          <cell r="L518" t="str">
            <v>EUR</v>
          </cell>
          <cell r="M518" t="str">
            <v>2000</v>
          </cell>
        </row>
        <row r="519">
          <cell r="E519" t="str">
            <v>30782</v>
          </cell>
          <cell r="F519">
            <v>37614</v>
          </cell>
          <cell r="G519">
            <v>30326</v>
          </cell>
          <cell r="H519" t="str">
            <v>Membranes 2956 et 2952</v>
          </cell>
          <cell r="I519" t="str">
            <v>ORB</v>
          </cell>
          <cell r="J519" t="str">
            <v>01</v>
          </cell>
          <cell r="K519">
            <v>0</v>
          </cell>
          <cell r="L519" t="str">
            <v>EUR</v>
          </cell>
          <cell r="M519" t="str">
            <v>2000</v>
          </cell>
        </row>
        <row r="520">
          <cell r="E520" t="str">
            <v>31183</v>
          </cell>
          <cell r="F520">
            <v>37629</v>
          </cell>
          <cell r="G520">
            <v>37547</v>
          </cell>
          <cell r="H520" t="str">
            <v>Accessoires Nibem</v>
          </cell>
          <cell r="I520" t="str">
            <v>HAF</v>
          </cell>
          <cell r="J520" t="str">
            <v>01</v>
          </cell>
          <cell r="K520">
            <v>704.9</v>
          </cell>
          <cell r="L520" t="str">
            <v>EUR</v>
          </cell>
          <cell r="M520" t="str">
            <v>A031</v>
          </cell>
        </row>
        <row r="521">
          <cell r="E521" t="str">
            <v>30800</v>
          </cell>
          <cell r="F521">
            <v>37536</v>
          </cell>
          <cell r="G521">
            <v>37624</v>
          </cell>
          <cell r="H521" t="str">
            <v>Matériels de laboratoire</v>
          </cell>
          <cell r="I521" t="str">
            <v>PRO</v>
          </cell>
          <cell r="J521" t="str">
            <v>01</v>
          </cell>
          <cell r="K521">
            <v>0</v>
          </cell>
          <cell r="L521" t="str">
            <v>EUR</v>
          </cell>
          <cell r="M521" t="str">
            <v>2100</v>
          </cell>
        </row>
        <row r="522">
          <cell r="E522" t="str">
            <v>30800</v>
          </cell>
          <cell r="F522">
            <v>37749</v>
          </cell>
          <cell r="G522">
            <v>37531</v>
          </cell>
          <cell r="H522" t="str">
            <v>4 burettes de buse</v>
          </cell>
          <cell r="I522" t="str">
            <v>BUS</v>
          </cell>
          <cell r="J522" t="str">
            <v>01</v>
          </cell>
          <cell r="K522">
            <v>6023.72</v>
          </cell>
          <cell r="L522" t="str">
            <v>EUR</v>
          </cell>
          <cell r="M522" t="str">
            <v>2100</v>
          </cell>
        </row>
        <row r="523">
          <cell r="E523" t="str">
            <v>337234</v>
          </cell>
          <cell r="G523">
            <v>37624</v>
          </cell>
          <cell r="H523" t="str">
            <v>Normes Iso</v>
          </cell>
          <cell r="I523" t="str">
            <v>LAV</v>
          </cell>
          <cell r="J523" t="str">
            <v>01</v>
          </cell>
          <cell r="K523">
            <v>0</v>
          </cell>
          <cell r="M523" t="str">
            <v>2100</v>
          </cell>
        </row>
        <row r="524">
          <cell r="E524" t="str">
            <v>à</v>
          </cell>
          <cell r="G524">
            <v>37499</v>
          </cell>
          <cell r="H524" t="str">
            <v>Encyclopédie de la bière</v>
          </cell>
          <cell r="I524" t="str">
            <v>LAV</v>
          </cell>
          <cell r="J524" t="str">
            <v>01</v>
          </cell>
          <cell r="K524">
            <v>0</v>
          </cell>
          <cell r="L524" t="str">
            <v>EUR</v>
          </cell>
          <cell r="M524" t="str">
            <v>2201</v>
          </cell>
        </row>
        <row r="525">
          <cell r="H525" t="str">
            <v>20000 Membranes 0,45 µm</v>
          </cell>
          <cell r="I525" t="str">
            <v>STR</v>
          </cell>
          <cell r="J525" t="str">
            <v>SEMC</v>
          </cell>
          <cell r="K525">
            <v>0</v>
          </cell>
          <cell r="M525" t="str">
            <v>2100</v>
          </cell>
        </row>
        <row r="526">
          <cell r="E526" t="str">
            <v>30798</v>
          </cell>
          <cell r="F526">
            <v>37519</v>
          </cell>
          <cell r="G526">
            <v>37547</v>
          </cell>
          <cell r="H526" t="str">
            <v>Afficheurs stalagmomètre digital</v>
          </cell>
          <cell r="I526" t="str">
            <v>SPR</v>
          </cell>
          <cell r="J526" t="str">
            <v>01</v>
          </cell>
          <cell r="K526">
            <v>584.22</v>
          </cell>
          <cell r="L526" t="str">
            <v>EUR</v>
          </cell>
          <cell r="M526" t="str">
            <v>2000</v>
          </cell>
        </row>
        <row r="527">
          <cell r="E527" t="str">
            <v>30875</v>
          </cell>
          <cell r="F527">
            <v>37515</v>
          </cell>
          <cell r="G527">
            <v>37526</v>
          </cell>
          <cell r="H527" t="str">
            <v>5 flacons huile à immersion spéciale</v>
          </cell>
          <cell r="I527" t="str">
            <v>STR</v>
          </cell>
          <cell r="J527" t="str">
            <v>01</v>
          </cell>
          <cell r="K527">
            <v>189.06</v>
          </cell>
          <cell r="L527" t="str">
            <v>EUR</v>
          </cell>
          <cell r="M527" t="str">
            <v>2100</v>
          </cell>
        </row>
        <row r="528">
          <cell r="G528">
            <v>37524</v>
          </cell>
          <cell r="H528" t="str">
            <v>Documentation</v>
          </cell>
          <cell r="I528" t="str">
            <v>LAV</v>
          </cell>
          <cell r="J528" t="str">
            <v>01</v>
          </cell>
          <cell r="K528">
            <v>0</v>
          </cell>
          <cell r="M528" t="str">
            <v>2100</v>
          </cell>
        </row>
        <row r="529">
          <cell r="G529">
            <v>37522</v>
          </cell>
          <cell r="H529" t="str">
            <v>Documentation Afnor</v>
          </cell>
          <cell r="I529" t="str">
            <v>LAV</v>
          </cell>
          <cell r="J529" t="str">
            <v>01</v>
          </cell>
          <cell r="K529">
            <v>0</v>
          </cell>
          <cell r="L529" t="str">
            <v>EUR</v>
          </cell>
          <cell r="M529" t="str">
            <v>2201</v>
          </cell>
        </row>
        <row r="530">
          <cell r="E530" t="str">
            <v>337334</v>
          </cell>
          <cell r="F530">
            <v>37503</v>
          </cell>
          <cell r="G530">
            <v>37524</v>
          </cell>
          <cell r="H530" t="str">
            <v>Lg Automatic novel foam tester</v>
          </cell>
          <cell r="I530" t="str">
            <v>LGA</v>
          </cell>
          <cell r="J530" t="str">
            <v>01</v>
          </cell>
          <cell r="K530">
            <v>8692.02</v>
          </cell>
          <cell r="L530" t="str">
            <v>EUR</v>
          </cell>
          <cell r="M530" t="str">
            <v>INV</v>
          </cell>
        </row>
        <row r="531">
          <cell r="E531" t="str">
            <v>336979</v>
          </cell>
          <cell r="F531">
            <v>37440</v>
          </cell>
          <cell r="G531">
            <v>37531</v>
          </cell>
          <cell r="H531" t="str">
            <v>Enregistreur potentiométrique</v>
          </cell>
          <cell r="I531" t="str">
            <v>CHS</v>
          </cell>
          <cell r="J531" t="str">
            <v>01</v>
          </cell>
          <cell r="K531">
            <v>0</v>
          </cell>
          <cell r="L531">
            <v>0</v>
          </cell>
          <cell r="M531" t="str">
            <v>A034</v>
          </cell>
        </row>
        <row r="532">
          <cell r="E532" t="str">
            <v>336967</v>
          </cell>
          <cell r="F532">
            <v>37434</v>
          </cell>
          <cell r="H532" t="str">
            <v>Redpost RPT 243 Pasteurising Monitor</v>
          </cell>
          <cell r="I532" t="str">
            <v>HAF</v>
          </cell>
          <cell r="J532" t="str">
            <v>01</v>
          </cell>
          <cell r="K532">
            <v>13994.6</v>
          </cell>
          <cell r="L532" t="str">
            <v>EUR</v>
          </cell>
          <cell r="M532" t="str">
            <v>2201</v>
          </cell>
        </row>
        <row r="533">
          <cell r="E533" t="str">
            <v>336939</v>
          </cell>
          <cell r="G533">
            <v>37504</v>
          </cell>
          <cell r="H533" t="str">
            <v>CO2 Gehaltmeter digital</v>
          </cell>
          <cell r="I533" t="str">
            <v>HAF</v>
          </cell>
          <cell r="J533" t="str">
            <v>02</v>
          </cell>
          <cell r="K533">
            <v>5487.85</v>
          </cell>
          <cell r="L533" t="str">
            <v>EUR</v>
          </cell>
          <cell r="M533" t="str">
            <v>2000</v>
          </cell>
        </row>
        <row r="534">
          <cell r="E534" t="str">
            <v>336555</v>
          </cell>
          <cell r="F534">
            <v>37382</v>
          </cell>
          <cell r="G534">
            <v>37524</v>
          </cell>
          <cell r="H534" t="str">
            <v>Accessoires colorimètre</v>
          </cell>
          <cell r="I534" t="str">
            <v>CIF</v>
          </cell>
          <cell r="J534" t="str">
            <v>01</v>
          </cell>
          <cell r="K534">
            <v>0</v>
          </cell>
          <cell r="L534" t="str">
            <v>EUR</v>
          </cell>
          <cell r="M534" t="str">
            <v>2000</v>
          </cell>
        </row>
        <row r="535">
          <cell r="E535" t="str">
            <v>336554</v>
          </cell>
          <cell r="F535">
            <v>37382</v>
          </cell>
          <cell r="G535">
            <v>37524</v>
          </cell>
          <cell r="H535" t="str">
            <v>Aimants, batteries et manomètres 2,5 bar</v>
          </cell>
          <cell r="I535" t="str">
            <v>HAF</v>
          </cell>
          <cell r="J535" t="str">
            <v>01</v>
          </cell>
          <cell r="K535">
            <v>0</v>
          </cell>
          <cell r="L535" t="str">
            <v>EUR</v>
          </cell>
          <cell r="M535" t="str">
            <v>2000</v>
          </cell>
        </row>
        <row r="536">
          <cell r="E536" t="str">
            <v>336553</v>
          </cell>
          <cell r="F536">
            <v>37383</v>
          </cell>
          <cell r="G536">
            <v>37572</v>
          </cell>
          <cell r="H536" t="str">
            <v>Produits de laboratoire</v>
          </cell>
          <cell r="I536" t="str">
            <v>MCK</v>
          </cell>
          <cell r="J536" t="str">
            <v>01</v>
          </cell>
          <cell r="K536">
            <v>11222.02</v>
          </cell>
          <cell r="L536" t="str">
            <v>EUR</v>
          </cell>
          <cell r="M536" t="str">
            <v>2100</v>
          </cell>
        </row>
        <row r="537">
          <cell r="E537" t="str">
            <v>336904</v>
          </cell>
          <cell r="F537">
            <v>37425</v>
          </cell>
          <cell r="G537">
            <v>37448</v>
          </cell>
          <cell r="H537" t="str">
            <v>Milieu Chapman + additifs</v>
          </cell>
          <cell r="I537" t="str">
            <v>DPA</v>
          </cell>
          <cell r="J537" t="str">
            <v>01</v>
          </cell>
          <cell r="K537">
            <v>1516.16</v>
          </cell>
          <cell r="L537" t="str">
            <v>EUR</v>
          </cell>
          <cell r="M537" t="str">
            <v>2100</v>
          </cell>
        </row>
        <row r="538">
          <cell r="E538" t="str">
            <v>336550</v>
          </cell>
          <cell r="F538">
            <v>37382</v>
          </cell>
          <cell r="G538">
            <v>37755</v>
          </cell>
          <cell r="H538" t="str">
            <v>Boîtes de pétri 6 x 144</v>
          </cell>
          <cell r="I538" t="str">
            <v>VWR</v>
          </cell>
          <cell r="J538" t="str">
            <v>01</v>
          </cell>
          <cell r="K538">
            <v>0</v>
          </cell>
          <cell r="L538" t="str">
            <v>EUR</v>
          </cell>
          <cell r="M538" t="str">
            <v>2100</v>
          </cell>
        </row>
        <row r="539">
          <cell r="E539" t="str">
            <v>336551</v>
          </cell>
          <cell r="F539">
            <v>37382</v>
          </cell>
          <cell r="G539">
            <v>37750</v>
          </cell>
          <cell r="H539" t="str">
            <v>10000 DPD N°4N ; 10000 DPD Glycine</v>
          </cell>
          <cell r="I539" t="str">
            <v>CIF</v>
          </cell>
          <cell r="J539" t="str">
            <v>01</v>
          </cell>
          <cell r="K539">
            <v>2305.5</v>
          </cell>
          <cell r="L539" t="str">
            <v>EUR</v>
          </cell>
          <cell r="M539" t="str">
            <v>2100</v>
          </cell>
        </row>
        <row r="540">
          <cell r="H540" t="str">
            <v>Hotte de laboratoire</v>
          </cell>
          <cell r="I540" t="str">
            <v>BBL</v>
          </cell>
          <cell r="J540" t="str">
            <v>SV</v>
          </cell>
          <cell r="K540">
            <v>0</v>
          </cell>
          <cell r="M540" t="str">
            <v>SVR</v>
          </cell>
        </row>
        <row r="541">
          <cell r="E541" t="str">
            <v>336786</v>
          </cell>
          <cell r="F541">
            <v>37490</v>
          </cell>
          <cell r="G541">
            <v>37561</v>
          </cell>
          <cell r="H541" t="str">
            <v>Membranes 2956 et 2952</v>
          </cell>
          <cell r="I541" t="str">
            <v>ORB</v>
          </cell>
          <cell r="J541" t="str">
            <v>01</v>
          </cell>
          <cell r="K541">
            <v>0</v>
          </cell>
          <cell r="L541" t="str">
            <v>EUR</v>
          </cell>
          <cell r="M541" t="str">
            <v>2000</v>
          </cell>
        </row>
        <row r="542">
          <cell r="E542" t="str">
            <v>336776</v>
          </cell>
          <cell r="F542">
            <v>37425</v>
          </cell>
          <cell r="G542">
            <v>37547</v>
          </cell>
          <cell r="H542" t="str">
            <v>Rechanges spectrophotomètre</v>
          </cell>
          <cell r="I542" t="str">
            <v>SPT</v>
          </cell>
          <cell r="J542" t="str">
            <v>01</v>
          </cell>
          <cell r="K542">
            <v>2803</v>
          </cell>
          <cell r="L542" t="str">
            <v>EUR</v>
          </cell>
          <cell r="M542" t="str">
            <v>2000</v>
          </cell>
        </row>
        <row r="543">
          <cell r="E543" t="str">
            <v>336556</v>
          </cell>
          <cell r="F543">
            <v>37382</v>
          </cell>
          <cell r="H543" t="str">
            <v>Matériels de laboratoire</v>
          </cell>
          <cell r="I543" t="str">
            <v>BBL</v>
          </cell>
          <cell r="J543" t="str">
            <v>01</v>
          </cell>
          <cell r="K543">
            <v>925.02</v>
          </cell>
          <cell r="L543" t="str">
            <v>EUR</v>
          </cell>
          <cell r="M543" t="str">
            <v>2100</v>
          </cell>
        </row>
        <row r="544">
          <cell r="G544">
            <v>37531</v>
          </cell>
          <cell r="H544" t="str">
            <v>Régulateur de débit massique</v>
          </cell>
          <cell r="I544" t="str">
            <v>BBL</v>
          </cell>
          <cell r="J544" t="str">
            <v>01</v>
          </cell>
          <cell r="K544">
            <v>0</v>
          </cell>
          <cell r="L544" t="str">
            <v>EUR</v>
          </cell>
          <cell r="M544" t="str">
            <v>2100</v>
          </cell>
        </row>
        <row r="545">
          <cell r="E545" t="str">
            <v>336666</v>
          </cell>
          <cell r="F545">
            <v>37393</v>
          </cell>
          <cell r="G545">
            <v>37624</v>
          </cell>
          <cell r="H545" t="str">
            <v>6 burettes de Claude en plexiglas</v>
          </cell>
          <cell r="I545" t="str">
            <v>GLX</v>
          </cell>
          <cell r="J545" t="str">
            <v>01</v>
          </cell>
          <cell r="K545">
            <v>0</v>
          </cell>
          <cell r="L545" t="str">
            <v>EUR</v>
          </cell>
          <cell r="M545" t="str">
            <v>2100</v>
          </cell>
        </row>
        <row r="546">
          <cell r="E546" t="str">
            <v>34694</v>
          </cell>
          <cell r="F546">
            <v>37354</v>
          </cell>
          <cell r="G546">
            <v>37499</v>
          </cell>
          <cell r="H546" t="str">
            <v>60 Paquets de Genbox anaer</v>
          </cell>
          <cell r="I546" t="str">
            <v>BIO</v>
          </cell>
          <cell r="J546" t="str">
            <v>01</v>
          </cell>
          <cell r="K546">
            <v>1782</v>
          </cell>
          <cell r="L546" t="str">
            <v>EUR</v>
          </cell>
          <cell r="M546" t="str">
            <v>2100</v>
          </cell>
        </row>
        <row r="547">
          <cell r="E547" t="str">
            <v>336557</v>
          </cell>
          <cell r="F547">
            <v>37392</v>
          </cell>
          <cell r="G547">
            <v>37459</v>
          </cell>
          <cell r="H547" t="str">
            <v>20000 Membranes 0,45 µm</v>
          </cell>
          <cell r="I547" t="str">
            <v>STR</v>
          </cell>
          <cell r="J547" t="str">
            <v>SEMC</v>
          </cell>
          <cell r="K547">
            <v>0</v>
          </cell>
          <cell r="L547" t="str">
            <v>EUR</v>
          </cell>
          <cell r="M547" t="str">
            <v>2100</v>
          </cell>
        </row>
        <row r="548">
          <cell r="E548" t="str">
            <v>336182</v>
          </cell>
          <cell r="F548">
            <v>37354</v>
          </cell>
          <cell r="G548">
            <v>37547</v>
          </cell>
          <cell r="H548" t="str">
            <v>60000 Membranes 0,45 µm</v>
          </cell>
          <cell r="I548" t="str">
            <v>STR</v>
          </cell>
          <cell r="J548" t="str">
            <v>01</v>
          </cell>
          <cell r="K548">
            <v>13322.5</v>
          </cell>
          <cell r="L548" t="str">
            <v>EUR</v>
          </cell>
          <cell r="M548" t="str">
            <v>2100</v>
          </cell>
        </row>
        <row r="549">
          <cell r="E549" t="str">
            <v>336179</v>
          </cell>
          <cell r="F549">
            <v>37344</v>
          </cell>
          <cell r="G549">
            <v>37526</v>
          </cell>
          <cell r="H549" t="str">
            <v>5 flacons huile à immersion spéciale</v>
          </cell>
          <cell r="I549" t="str">
            <v>STR</v>
          </cell>
          <cell r="J549" t="str">
            <v>01</v>
          </cell>
          <cell r="K549">
            <v>189.06</v>
          </cell>
          <cell r="L549" t="str">
            <v>FRF</v>
          </cell>
          <cell r="M549" t="str">
            <v>2100</v>
          </cell>
        </row>
        <row r="550">
          <cell r="G550">
            <v>37524</v>
          </cell>
          <cell r="H550" t="str">
            <v>SensAlyser-Alpha portable</v>
          </cell>
          <cell r="I550" t="str">
            <v>SAL</v>
          </cell>
          <cell r="J550" t="str">
            <v>01</v>
          </cell>
          <cell r="K550">
            <v>0</v>
          </cell>
          <cell r="M550" t="str">
            <v>A030</v>
          </cell>
        </row>
        <row r="551">
          <cell r="E551" t="str">
            <v>336181</v>
          </cell>
          <cell r="F551">
            <v>37354</v>
          </cell>
          <cell r="G551">
            <v>37522</v>
          </cell>
          <cell r="H551" t="str">
            <v>Réparation pour pH mètre SG 837</v>
          </cell>
          <cell r="I551" t="str">
            <v>VWR</v>
          </cell>
          <cell r="J551" t="str">
            <v>01</v>
          </cell>
          <cell r="K551">
            <v>175.73</v>
          </cell>
          <cell r="L551" t="str">
            <v>EUR</v>
          </cell>
          <cell r="M551" t="str">
            <v>3022</v>
          </cell>
        </row>
        <row r="552">
          <cell r="E552" t="str">
            <v>50484</v>
          </cell>
          <cell r="F552">
            <v>37355</v>
          </cell>
          <cell r="G552">
            <v>37524</v>
          </cell>
          <cell r="H552" t="str">
            <v>Sondes 270 mm (8)</v>
          </cell>
          <cell r="I552" t="str">
            <v>EBI</v>
          </cell>
          <cell r="J552" t="str">
            <v>01</v>
          </cell>
          <cell r="K552">
            <v>7986.25</v>
          </cell>
          <cell r="L552" t="str">
            <v>EUR</v>
          </cell>
          <cell r="M552" t="str">
            <v>A038</v>
          </cell>
        </row>
        <row r="553">
          <cell r="E553" t="str">
            <v>335945</v>
          </cell>
          <cell r="F553">
            <v>37326</v>
          </cell>
          <cell r="G553">
            <v>37433</v>
          </cell>
          <cell r="H553" t="str">
            <v>Enregistreur potentiométrique</v>
          </cell>
          <cell r="I553" t="str">
            <v>CHS</v>
          </cell>
          <cell r="J553" t="str">
            <v>01</v>
          </cell>
          <cell r="K553">
            <v>0</v>
          </cell>
          <cell r="L553">
            <v>0</v>
          </cell>
          <cell r="M553" t="str">
            <v>A034</v>
          </cell>
        </row>
        <row r="554">
          <cell r="E554" t="str">
            <v>32462</v>
          </cell>
          <cell r="F554">
            <v>38170</v>
          </cell>
          <cell r="G554">
            <v>38211</v>
          </cell>
          <cell r="H554" t="str">
            <v>Redpost RPT 243 Pasteurising Monitor</v>
          </cell>
          <cell r="I554" t="str">
            <v>HAF</v>
          </cell>
          <cell r="J554" t="str">
            <v>01</v>
          </cell>
          <cell r="K554">
            <v>13994.6</v>
          </cell>
          <cell r="L554" t="str">
            <v>EUR</v>
          </cell>
          <cell r="M554" t="str">
            <v>A037</v>
          </cell>
        </row>
        <row r="555">
          <cell r="E555" t="str">
            <v>336552</v>
          </cell>
          <cell r="F555">
            <v>37382</v>
          </cell>
          <cell r="G555">
            <v>37504</v>
          </cell>
          <cell r="H555" t="str">
            <v>CO2 Gehaltmeter digital</v>
          </cell>
          <cell r="I555" t="str">
            <v>HAF</v>
          </cell>
          <cell r="J555" t="str">
            <v>02</v>
          </cell>
          <cell r="K555">
            <v>5487.85</v>
          </cell>
          <cell r="L555" t="str">
            <v>EUR</v>
          </cell>
          <cell r="M555" t="str">
            <v>A036</v>
          </cell>
        </row>
        <row r="556">
          <cell r="E556" t="str">
            <v>336555</v>
          </cell>
          <cell r="F556">
            <v>37382</v>
          </cell>
          <cell r="G556">
            <v>37448</v>
          </cell>
          <cell r="H556" t="str">
            <v>Documentation Karl Fisher</v>
          </cell>
          <cell r="I556" t="str">
            <v>MTR</v>
          </cell>
          <cell r="J556" t="str">
            <v>01</v>
          </cell>
          <cell r="K556">
            <v>0</v>
          </cell>
          <cell r="L556" t="str">
            <v>EUR</v>
          </cell>
          <cell r="M556" t="str">
            <v>2201</v>
          </cell>
        </row>
        <row r="557">
          <cell r="E557" t="str">
            <v>336554</v>
          </cell>
          <cell r="F557">
            <v>37382</v>
          </cell>
          <cell r="G557">
            <v>37517</v>
          </cell>
          <cell r="H557" t="str">
            <v>BPH boissons rafr + codex 1997 + HACCP</v>
          </cell>
          <cell r="I557" t="str">
            <v>LAV</v>
          </cell>
          <cell r="J557" t="str">
            <v>01</v>
          </cell>
          <cell r="K557">
            <v>43640</v>
          </cell>
          <cell r="L557" t="str">
            <v>CFA</v>
          </cell>
          <cell r="M557" t="str">
            <v>2201</v>
          </cell>
        </row>
        <row r="558">
          <cell r="E558" t="str">
            <v>336553</v>
          </cell>
          <cell r="F558">
            <v>37383</v>
          </cell>
          <cell r="G558">
            <v>37435</v>
          </cell>
          <cell r="H558" t="str">
            <v>Produits de laboratoire</v>
          </cell>
          <cell r="I558" t="str">
            <v>MCK</v>
          </cell>
          <cell r="J558" t="str">
            <v>01</v>
          </cell>
          <cell r="K558">
            <v>11222.02</v>
          </cell>
          <cell r="L558" t="str">
            <v>EUR</v>
          </cell>
          <cell r="M558" t="str">
            <v>2100</v>
          </cell>
        </row>
        <row r="559">
          <cell r="E559" t="str">
            <v>336904</v>
          </cell>
          <cell r="F559">
            <v>37425</v>
          </cell>
          <cell r="G559">
            <v>37755</v>
          </cell>
          <cell r="H559" t="str">
            <v>Lampe + batterie PC + Housse projecteur</v>
          </cell>
          <cell r="I559" t="str">
            <v>WCP</v>
          </cell>
          <cell r="J559" t="str">
            <v>01</v>
          </cell>
          <cell r="K559">
            <v>0</v>
          </cell>
          <cell r="L559" t="str">
            <v>EUR</v>
          </cell>
          <cell r="M559" t="str">
            <v>2000</v>
          </cell>
        </row>
        <row r="560">
          <cell r="E560" t="str">
            <v>336550</v>
          </cell>
          <cell r="F560">
            <v>37382</v>
          </cell>
          <cell r="G560">
            <v>37437</v>
          </cell>
          <cell r="H560" t="str">
            <v>20 000 Feuilles A4, Gris Lion</v>
          </cell>
          <cell r="I560" t="str">
            <v>DAC</v>
          </cell>
          <cell r="J560" t="str">
            <v>01</v>
          </cell>
          <cell r="K560">
            <v>0</v>
          </cell>
          <cell r="L560" t="str">
            <v>EUR</v>
          </cell>
          <cell r="M560" t="str">
            <v>2100</v>
          </cell>
        </row>
        <row r="561">
          <cell r="E561" t="str">
            <v>335301</v>
          </cell>
          <cell r="F561">
            <v>36937</v>
          </cell>
          <cell r="H561" t="str">
            <v>10000 DPD N°4 N + 10000 DPD Glycine</v>
          </cell>
          <cell r="I561" t="str">
            <v>CIF</v>
          </cell>
          <cell r="J561" t="str">
            <v>01</v>
          </cell>
          <cell r="K561">
            <v>302.06</v>
          </cell>
          <cell r="L561" t="str">
            <v>EUR</v>
          </cell>
          <cell r="M561" t="str">
            <v>2100</v>
          </cell>
        </row>
        <row r="562">
          <cell r="E562" t="str">
            <v>335832</v>
          </cell>
          <cell r="F562">
            <v>37319</v>
          </cell>
          <cell r="H562" t="str">
            <v>2 x 100 ml Silicon Antifoam BDH</v>
          </cell>
          <cell r="I562" t="str">
            <v>BDH</v>
          </cell>
          <cell r="J562" t="str">
            <v>01</v>
          </cell>
          <cell r="K562">
            <v>415.5</v>
          </cell>
          <cell r="L562" t="str">
            <v>EUR</v>
          </cell>
          <cell r="M562" t="str">
            <v>SVR</v>
          </cell>
        </row>
        <row r="563">
          <cell r="E563" t="str">
            <v>336786</v>
          </cell>
          <cell r="F563">
            <v>37490</v>
          </cell>
          <cell r="G563">
            <v>37561</v>
          </cell>
          <cell r="H563" t="str">
            <v>Thermomètre Comark + Sonde immersion</v>
          </cell>
          <cell r="I563" t="str">
            <v>PRO</v>
          </cell>
          <cell r="J563" t="str">
            <v>SEMC</v>
          </cell>
          <cell r="K563">
            <v>0</v>
          </cell>
          <cell r="L563" t="str">
            <v>EUR</v>
          </cell>
          <cell r="M563" t="str">
            <v>SEMC</v>
          </cell>
        </row>
        <row r="564">
          <cell r="E564" t="str">
            <v>49654</v>
          </cell>
          <cell r="F564">
            <v>37334</v>
          </cell>
          <cell r="G564">
            <v>37356</v>
          </cell>
          <cell r="H564" t="str">
            <v>Réparation sonde Ebro</v>
          </cell>
          <cell r="I564" t="str">
            <v>EBI</v>
          </cell>
          <cell r="J564" t="str">
            <v>01</v>
          </cell>
          <cell r="K564">
            <v>280.55</v>
          </cell>
          <cell r="L564" t="str">
            <v>EUR</v>
          </cell>
          <cell r="M564" t="str">
            <v>3022</v>
          </cell>
        </row>
        <row r="565">
          <cell r="E565" t="str">
            <v>335600</v>
          </cell>
          <cell r="F565">
            <v>37301</v>
          </cell>
          <cell r="H565" t="str">
            <v>Thermom num,chauf-Ball+Cuves spect+NaCl</v>
          </cell>
          <cell r="I565" t="str">
            <v>PRO</v>
          </cell>
          <cell r="J565" t="str">
            <v>01</v>
          </cell>
          <cell r="K565">
            <v>3268.12</v>
          </cell>
          <cell r="L565" t="str">
            <v>EUR</v>
          </cell>
          <cell r="M565" t="str">
            <v>2100</v>
          </cell>
        </row>
        <row r="566">
          <cell r="E566" t="str">
            <v>335602</v>
          </cell>
          <cell r="F566">
            <v>37302</v>
          </cell>
          <cell r="G566">
            <v>37356</v>
          </cell>
          <cell r="H566" t="str">
            <v>Régulateur de débit massique</v>
          </cell>
          <cell r="I566" t="str">
            <v>BBL</v>
          </cell>
          <cell r="J566" t="str">
            <v>01</v>
          </cell>
          <cell r="K566">
            <v>0</v>
          </cell>
          <cell r="L566" t="str">
            <v>EUR</v>
          </cell>
          <cell r="M566" t="str">
            <v>2100</v>
          </cell>
        </row>
        <row r="567">
          <cell r="E567" t="str">
            <v>336666</v>
          </cell>
          <cell r="F567">
            <v>37393</v>
          </cell>
          <cell r="G567">
            <v>37435</v>
          </cell>
          <cell r="H567" t="str">
            <v>Documentation BMB</v>
          </cell>
          <cell r="I567" t="str">
            <v>AFN</v>
          </cell>
          <cell r="J567" t="str">
            <v>01</v>
          </cell>
          <cell r="K567">
            <v>114240</v>
          </cell>
          <cell r="L567" t="str">
            <v>CFA</v>
          </cell>
          <cell r="M567" t="str">
            <v>2201</v>
          </cell>
        </row>
        <row r="568">
          <cell r="E568" t="str">
            <v>10302</v>
          </cell>
          <cell r="F568">
            <v>37258</v>
          </cell>
          <cell r="G568">
            <v>37259</v>
          </cell>
          <cell r="H568" t="str">
            <v>10 x 100 ml</v>
          </cell>
          <cell r="I568" t="str">
            <v>NVO</v>
          </cell>
          <cell r="J568" t="str">
            <v>01</v>
          </cell>
          <cell r="K568">
            <v>367.55</v>
          </cell>
          <cell r="L568" t="str">
            <v>EUR</v>
          </cell>
          <cell r="M568" t="str">
            <v>2100</v>
          </cell>
        </row>
        <row r="569">
          <cell r="E569" t="str">
            <v>335246</v>
          </cell>
          <cell r="F569">
            <v>37270</v>
          </cell>
          <cell r="G569">
            <v>37330</v>
          </cell>
          <cell r="H569" t="str">
            <v>10 X 100 ml Termamyl 120 L</v>
          </cell>
          <cell r="I569" t="str">
            <v>NVO</v>
          </cell>
          <cell r="J569" t="str">
            <v>01</v>
          </cell>
          <cell r="K569">
            <v>1193.5</v>
          </cell>
          <cell r="L569" t="str">
            <v>EUR</v>
          </cell>
          <cell r="M569" t="str">
            <v>2100</v>
          </cell>
        </row>
        <row r="570">
          <cell r="E570" t="str">
            <v>336182</v>
          </cell>
          <cell r="F570">
            <v>37354</v>
          </cell>
          <cell r="G570">
            <v>37448</v>
          </cell>
          <cell r="H570" t="str">
            <v>Lampes loupe (3)</v>
          </cell>
          <cell r="I570" t="str">
            <v>BBL</v>
          </cell>
          <cell r="J570" t="str">
            <v>01</v>
          </cell>
          <cell r="K570">
            <v>0</v>
          </cell>
          <cell r="L570" t="str">
            <v>EUR</v>
          </cell>
          <cell r="M570" t="str">
            <v>2100</v>
          </cell>
        </row>
        <row r="571">
          <cell r="E571" t="str">
            <v>335066</v>
          </cell>
          <cell r="F571">
            <v>37238</v>
          </cell>
          <cell r="G571">
            <v>37496</v>
          </cell>
          <cell r="H571" t="str">
            <v>Lampes loupes (3) + tubes 22 W</v>
          </cell>
          <cell r="I571" t="str">
            <v>BBL</v>
          </cell>
          <cell r="J571" t="str">
            <v>01</v>
          </cell>
          <cell r="K571">
            <v>2221.8000000000002</v>
          </cell>
          <cell r="L571" t="str">
            <v>EUR</v>
          </cell>
          <cell r="M571" t="str">
            <v>2100</v>
          </cell>
        </row>
        <row r="572">
          <cell r="E572" t="str">
            <v>335136</v>
          </cell>
          <cell r="F572">
            <v>37245</v>
          </cell>
          <cell r="G572">
            <v>37300</v>
          </cell>
          <cell r="H572" t="str">
            <v>SensAlyser-Alpha portable</v>
          </cell>
          <cell r="I572" t="str">
            <v>SAL</v>
          </cell>
          <cell r="J572" t="str">
            <v>01</v>
          </cell>
          <cell r="K572">
            <v>0</v>
          </cell>
          <cell r="L572" t="str">
            <v>EUR</v>
          </cell>
          <cell r="M572" t="str">
            <v>A030</v>
          </cell>
        </row>
        <row r="573">
          <cell r="E573" t="str">
            <v>335135</v>
          </cell>
          <cell r="F573">
            <v>37251</v>
          </cell>
          <cell r="G573">
            <v>37448</v>
          </cell>
          <cell r="H573" t="str">
            <v>Sartofluor capsules</v>
          </cell>
          <cell r="I573" t="str">
            <v>STR</v>
          </cell>
          <cell r="J573" t="str">
            <v>01</v>
          </cell>
          <cell r="K573">
            <v>4238.82</v>
          </cell>
          <cell r="L573" t="str">
            <v>EUR</v>
          </cell>
          <cell r="M573" t="str">
            <v>2100</v>
          </cell>
        </row>
        <row r="574">
          <cell r="E574" t="str">
            <v>50484</v>
          </cell>
          <cell r="F574">
            <v>37355</v>
          </cell>
          <cell r="H574" t="str">
            <v>Sartofluor capsules</v>
          </cell>
          <cell r="I574" t="str">
            <v>STR</v>
          </cell>
          <cell r="J574" t="str">
            <v>01</v>
          </cell>
          <cell r="K574">
            <v>0</v>
          </cell>
          <cell r="L574" t="str">
            <v>EUR</v>
          </cell>
          <cell r="M574" t="str">
            <v>2100</v>
          </cell>
        </row>
        <row r="575">
          <cell r="E575" t="str">
            <v>335138</v>
          </cell>
          <cell r="F575">
            <v>37251</v>
          </cell>
          <cell r="G575">
            <v>37300</v>
          </cell>
          <cell r="H575" t="str">
            <v>Résistances alambic+cuvettes spectro pvc</v>
          </cell>
          <cell r="I575" t="str">
            <v>PRO</v>
          </cell>
          <cell r="J575" t="str">
            <v>01</v>
          </cell>
          <cell r="K575">
            <v>1241.6500000000001</v>
          </cell>
          <cell r="L575" t="str">
            <v>EUR</v>
          </cell>
          <cell r="M575" t="str">
            <v>2100</v>
          </cell>
        </row>
        <row r="576">
          <cell r="E576" t="str">
            <v>335139</v>
          </cell>
          <cell r="F576">
            <v>37252</v>
          </cell>
          <cell r="G576">
            <v>38211</v>
          </cell>
          <cell r="H576" t="str">
            <v>Matériels de laboratoire</v>
          </cell>
          <cell r="I576" t="str">
            <v>PRO</v>
          </cell>
          <cell r="J576" t="str">
            <v>01</v>
          </cell>
          <cell r="K576">
            <v>1356</v>
          </cell>
          <cell r="L576" t="str">
            <v>EUR</v>
          </cell>
          <cell r="M576" t="str">
            <v>2100</v>
          </cell>
        </row>
        <row r="577">
          <cell r="E577" t="str">
            <v>335127</v>
          </cell>
          <cell r="F577">
            <v>37244</v>
          </cell>
          <cell r="G577">
            <v>37333</v>
          </cell>
          <cell r="H577" t="str">
            <v>Produits de laboratoire</v>
          </cell>
          <cell r="I577" t="str">
            <v>MCK</v>
          </cell>
          <cell r="J577" t="str">
            <v>01</v>
          </cell>
          <cell r="K577">
            <v>4261.3599999999997</v>
          </cell>
          <cell r="L577" t="str">
            <v>EUR</v>
          </cell>
          <cell r="M577" t="str">
            <v>2100</v>
          </cell>
        </row>
        <row r="578">
          <cell r="E578" t="str">
            <v>335134</v>
          </cell>
          <cell r="F578">
            <v>37244</v>
          </cell>
          <cell r="H578" t="str">
            <v>Indicateurs stérilisation+graisse s/vide</v>
          </cell>
          <cell r="I578" t="str">
            <v>OSI</v>
          </cell>
          <cell r="J578" t="str">
            <v>01</v>
          </cell>
          <cell r="K578">
            <v>4820.3</v>
          </cell>
          <cell r="L578" t="str">
            <v>EUR</v>
          </cell>
          <cell r="M578" t="str">
            <v>2201</v>
          </cell>
        </row>
        <row r="579">
          <cell r="H579" t="str">
            <v>Indicateur stérilisation + graisse vide</v>
          </cell>
          <cell r="I579" t="str">
            <v>OSI</v>
          </cell>
          <cell r="J579" t="str">
            <v>01</v>
          </cell>
          <cell r="K579">
            <v>0</v>
          </cell>
          <cell r="L579" t="str">
            <v>CFA</v>
          </cell>
          <cell r="M579" t="str">
            <v>2100</v>
          </cell>
        </row>
        <row r="580">
          <cell r="E580" t="str">
            <v>335137</v>
          </cell>
          <cell r="F580">
            <v>37245</v>
          </cell>
          <cell r="G580">
            <v>37435</v>
          </cell>
          <cell r="H580" t="str">
            <v>24 tubes à essais 30 cl</v>
          </cell>
          <cell r="I580" t="str">
            <v>BRD</v>
          </cell>
          <cell r="J580" t="str">
            <v>01</v>
          </cell>
          <cell r="K580">
            <v>285.48</v>
          </cell>
          <cell r="L580" t="str">
            <v>EUR</v>
          </cell>
          <cell r="M580" t="str">
            <v>2100</v>
          </cell>
        </row>
        <row r="581">
          <cell r="E581" t="str">
            <v>335137</v>
          </cell>
          <cell r="G581">
            <v>36941</v>
          </cell>
          <cell r="H581" t="str">
            <v>Tubes à essais 30 cl</v>
          </cell>
          <cell r="I581" t="str">
            <v>BRD</v>
          </cell>
          <cell r="J581" t="str">
            <v>01</v>
          </cell>
          <cell r="K581">
            <v>0</v>
          </cell>
          <cell r="M581" t="str">
            <v>2100</v>
          </cell>
        </row>
        <row r="582">
          <cell r="E582" t="str">
            <v>335017</v>
          </cell>
          <cell r="F582">
            <v>37235</v>
          </cell>
          <cell r="G582">
            <v>37272</v>
          </cell>
          <cell r="H582" t="str">
            <v>20 000 Feuilles A4, Gris Lion</v>
          </cell>
          <cell r="I582" t="str">
            <v>DAC</v>
          </cell>
          <cell r="J582" t="str">
            <v>01</v>
          </cell>
          <cell r="K582">
            <v>0</v>
          </cell>
          <cell r="L582" t="str">
            <v>EUR</v>
          </cell>
          <cell r="M582" t="str">
            <v>2100</v>
          </cell>
        </row>
        <row r="583">
          <cell r="E583" t="str">
            <v>335063</v>
          </cell>
          <cell r="F583">
            <v>37238</v>
          </cell>
          <cell r="G583">
            <v>37284</v>
          </cell>
          <cell r="H583" t="str">
            <v>10000 DPD N°4 N + 10000 DPD Glycine</v>
          </cell>
          <cell r="I583" t="str">
            <v>CIF</v>
          </cell>
          <cell r="J583" t="str">
            <v>01</v>
          </cell>
          <cell r="K583">
            <v>302.06</v>
          </cell>
          <cell r="L583" t="str">
            <v>EUR</v>
          </cell>
          <cell r="M583" t="str">
            <v>2100</v>
          </cell>
        </row>
        <row r="584">
          <cell r="E584" t="str">
            <v>335832</v>
          </cell>
          <cell r="F584">
            <v>37319</v>
          </cell>
          <cell r="H584" t="str">
            <v>60 Genbox anaer + 1 Slidex Staph-kit</v>
          </cell>
          <cell r="I584" t="str">
            <v>BIO</v>
          </cell>
          <cell r="J584" t="str">
            <v>01</v>
          </cell>
          <cell r="K584">
            <v>0</v>
          </cell>
          <cell r="L584" t="str">
            <v>EUR</v>
          </cell>
          <cell r="M584" t="str">
            <v>2100</v>
          </cell>
        </row>
        <row r="585">
          <cell r="E585" t="str">
            <v>33872</v>
          </cell>
          <cell r="F585">
            <v>37201</v>
          </cell>
          <cell r="H585" t="str">
            <v>Assurance Qualité dans les laboratoires</v>
          </cell>
          <cell r="I585" t="str">
            <v>LAV</v>
          </cell>
          <cell r="J585" t="str">
            <v>01</v>
          </cell>
          <cell r="K585">
            <v>1813.33</v>
          </cell>
          <cell r="L585" t="str">
            <v>FRF</v>
          </cell>
          <cell r="M585" t="str">
            <v>SEMC</v>
          </cell>
        </row>
        <row r="586">
          <cell r="E586" t="str">
            <v>34688</v>
          </cell>
          <cell r="F586">
            <v>37209</v>
          </cell>
          <cell r="G586">
            <v>37284</v>
          </cell>
          <cell r="H586" t="str">
            <v>Flavour standard kit, 1</v>
          </cell>
          <cell r="I586" t="str">
            <v>FAL</v>
          </cell>
          <cell r="J586" t="str">
            <v>01</v>
          </cell>
          <cell r="K586">
            <v>6364.01</v>
          </cell>
          <cell r="L586" t="str">
            <v>EUR</v>
          </cell>
          <cell r="M586" t="str">
            <v>2100</v>
          </cell>
        </row>
        <row r="587">
          <cell r="E587" t="str">
            <v>335600</v>
          </cell>
          <cell r="F587">
            <v>37301</v>
          </cell>
          <cell r="H587" t="str">
            <v>Abonnement à Liquides et Conditionnement</v>
          </cell>
          <cell r="I587" t="str">
            <v>PCI</v>
          </cell>
          <cell r="J587" t="str">
            <v>01</v>
          </cell>
          <cell r="K587">
            <v>0</v>
          </cell>
          <cell r="L587" t="str">
            <v>EUR</v>
          </cell>
          <cell r="M587" t="str">
            <v>2201</v>
          </cell>
        </row>
        <row r="588">
          <cell r="E588" t="str">
            <v>334875</v>
          </cell>
          <cell r="F588">
            <v>37231</v>
          </cell>
          <cell r="G588">
            <v>37222</v>
          </cell>
          <cell r="H588" t="str">
            <v>Réparation de têtes de sondes</v>
          </cell>
          <cell r="I588" t="str">
            <v>ORB</v>
          </cell>
          <cell r="J588" t="str">
            <v>01</v>
          </cell>
          <cell r="K588">
            <v>6542.21</v>
          </cell>
          <cell r="L588" t="str">
            <v>EUR</v>
          </cell>
          <cell r="M588" t="str">
            <v>3022</v>
          </cell>
        </row>
        <row r="589">
          <cell r="G589">
            <v>37435</v>
          </cell>
          <cell r="H589" t="str">
            <v>2 Ordinateurs Compaq Despro</v>
          </cell>
          <cell r="I589" t="str">
            <v>SIS</v>
          </cell>
          <cell r="J589" t="str">
            <v>01</v>
          </cell>
          <cell r="K589">
            <v>0</v>
          </cell>
          <cell r="L589" t="str">
            <v>CFA</v>
          </cell>
          <cell r="M589" t="str">
            <v>Z020</v>
          </cell>
        </row>
        <row r="590">
          <cell r="E590" t="str">
            <v>10302</v>
          </cell>
          <cell r="F590">
            <v>37258</v>
          </cell>
          <cell r="G590">
            <v>37259</v>
          </cell>
          <cell r="H590" t="str">
            <v>2 Bureaux complets</v>
          </cell>
          <cell r="I590" t="str">
            <v>DAC</v>
          </cell>
          <cell r="J590" t="str">
            <v>01</v>
          </cell>
          <cell r="K590">
            <v>0</v>
          </cell>
          <cell r="L590" t="str">
            <v>EUR</v>
          </cell>
          <cell r="M590" t="str">
            <v>2100</v>
          </cell>
        </row>
        <row r="591">
          <cell r="E591" t="str">
            <v>334051</v>
          </cell>
          <cell r="F591">
            <v>37145</v>
          </cell>
          <cell r="G591">
            <v>37330</v>
          </cell>
          <cell r="H591" t="str">
            <v>1 Micrordinateur Compaq Presario</v>
          </cell>
          <cell r="I591" t="str">
            <v>CPQ</v>
          </cell>
          <cell r="J591" t="str">
            <v>01</v>
          </cell>
          <cell r="K591">
            <v>18557</v>
          </cell>
          <cell r="L591" t="str">
            <v>FRF</v>
          </cell>
          <cell r="M591" t="str">
            <v>Z022</v>
          </cell>
        </row>
        <row r="592">
          <cell r="E592" t="str">
            <v>5432</v>
          </cell>
          <cell r="F592">
            <v>37151</v>
          </cell>
          <cell r="G592">
            <v>37154</v>
          </cell>
          <cell r="H592" t="str">
            <v>Lampes loupe (3)</v>
          </cell>
          <cell r="I592" t="str">
            <v>BBL</v>
          </cell>
          <cell r="J592" t="str">
            <v>01</v>
          </cell>
          <cell r="K592">
            <v>0</v>
          </cell>
          <cell r="L592" t="str">
            <v>CFA</v>
          </cell>
          <cell r="M592" t="str">
            <v>2100</v>
          </cell>
        </row>
        <row r="593">
          <cell r="E593" t="str">
            <v>334111</v>
          </cell>
          <cell r="F593">
            <v>37147</v>
          </cell>
          <cell r="G593">
            <v>37222</v>
          </cell>
          <cell r="H593" t="str">
            <v>1 Système Orbisphere Process</v>
          </cell>
          <cell r="I593" t="str">
            <v>ORB</v>
          </cell>
          <cell r="J593" t="str">
            <v>01</v>
          </cell>
          <cell r="K593">
            <v>76491.8</v>
          </cell>
          <cell r="L593" t="str">
            <v>FRF</v>
          </cell>
          <cell r="M593" t="str">
            <v>Z013</v>
          </cell>
        </row>
        <row r="594">
          <cell r="E594" t="str">
            <v>33513</v>
          </cell>
          <cell r="F594">
            <v>38538</v>
          </cell>
          <cell r="G594">
            <v>38560</v>
          </cell>
          <cell r="H594" t="str">
            <v>Ribbon cartidge (12) + Rolls of paper (12)</v>
          </cell>
          <cell r="I594" t="str">
            <v>PAA</v>
          </cell>
          <cell r="J594" t="str">
            <v>01</v>
          </cell>
          <cell r="K594">
            <v>291.72000000000003</v>
          </cell>
          <cell r="L594" t="str">
            <v>EUR</v>
          </cell>
          <cell r="M594" t="str">
            <v>2000</v>
          </cell>
        </row>
        <row r="595">
          <cell r="E595" t="str">
            <v>335135</v>
          </cell>
          <cell r="F595">
            <v>37251</v>
          </cell>
          <cell r="H595" t="str">
            <v>Machine à laver la vaisselle</v>
          </cell>
          <cell r="I595" t="str">
            <v>LOC</v>
          </cell>
          <cell r="J595" t="str">
            <v>01</v>
          </cell>
          <cell r="K595">
            <v>643000</v>
          </cell>
          <cell r="L595" t="str">
            <v>CFA</v>
          </cell>
          <cell r="M595" t="str">
            <v>Z008</v>
          </cell>
        </row>
        <row r="596">
          <cell r="E596" t="str">
            <v>5467</v>
          </cell>
          <cell r="F596">
            <v>37163</v>
          </cell>
          <cell r="G596">
            <v>37187</v>
          </cell>
          <cell r="H596" t="str">
            <v>Sartofluor capsules</v>
          </cell>
          <cell r="I596" t="str">
            <v>STR</v>
          </cell>
          <cell r="J596" t="str">
            <v>01</v>
          </cell>
          <cell r="K596">
            <v>0</v>
          </cell>
          <cell r="L596" t="str">
            <v>FRF</v>
          </cell>
          <cell r="M596" t="str">
            <v>2100</v>
          </cell>
        </row>
        <row r="597">
          <cell r="E597" t="str">
            <v>334379</v>
          </cell>
          <cell r="F597">
            <v>37181</v>
          </cell>
          <cell r="G597">
            <v>37272</v>
          </cell>
          <cell r="H597" t="str">
            <v>Manomètres + accessoires Zahm</v>
          </cell>
          <cell r="I597" t="str">
            <v>CRB</v>
          </cell>
          <cell r="J597" t="str">
            <v>01</v>
          </cell>
          <cell r="K597">
            <v>58886.6</v>
          </cell>
          <cell r="L597" t="str">
            <v>FRF</v>
          </cell>
          <cell r="M597" t="str">
            <v>2000</v>
          </cell>
        </row>
        <row r="598">
          <cell r="E598" t="str">
            <v>334119</v>
          </cell>
          <cell r="F598">
            <v>37148</v>
          </cell>
          <cell r="G598">
            <v>37218</v>
          </cell>
          <cell r="H598" t="str">
            <v>Matériels de laboratoire</v>
          </cell>
          <cell r="I598" t="str">
            <v>PRO</v>
          </cell>
          <cell r="J598" t="str">
            <v>01</v>
          </cell>
          <cell r="K598">
            <v>1356</v>
          </cell>
          <cell r="L598" t="str">
            <v>EUR</v>
          </cell>
          <cell r="M598" t="str">
            <v>2100</v>
          </cell>
        </row>
        <row r="599">
          <cell r="E599" t="str">
            <v>333989</v>
          </cell>
          <cell r="F599">
            <v>37165</v>
          </cell>
          <cell r="G599">
            <v>37222</v>
          </cell>
          <cell r="H599" t="str">
            <v>Disques coloration bière</v>
          </cell>
          <cell r="I599" t="str">
            <v>HEL</v>
          </cell>
          <cell r="J599" t="str">
            <v>01</v>
          </cell>
          <cell r="K599">
            <v>29464.799999999999</v>
          </cell>
          <cell r="L599" t="str">
            <v>FRF</v>
          </cell>
          <cell r="M599" t="str">
            <v>2100</v>
          </cell>
        </row>
        <row r="600">
          <cell r="E600" t="str">
            <v>334025</v>
          </cell>
          <cell r="F600">
            <v>37138</v>
          </cell>
          <cell r="H600" t="str">
            <v>Pompe à vide</v>
          </cell>
          <cell r="I600" t="str">
            <v>STR</v>
          </cell>
          <cell r="J600" t="str">
            <v>SEMC</v>
          </cell>
          <cell r="K600">
            <v>7508.52</v>
          </cell>
          <cell r="L600" t="str">
            <v>FRF</v>
          </cell>
          <cell r="M600" t="str">
            <v>INV</v>
          </cell>
        </row>
        <row r="601">
          <cell r="E601" t="str">
            <v>334055</v>
          </cell>
          <cell r="F601">
            <v>37144</v>
          </cell>
          <cell r="G601">
            <v>37222</v>
          </cell>
          <cell r="H601" t="str">
            <v>Indicateur stérilisation + graisse vide</v>
          </cell>
          <cell r="I601" t="str">
            <v>OSI</v>
          </cell>
          <cell r="J601" t="str">
            <v>01</v>
          </cell>
          <cell r="K601">
            <v>0</v>
          </cell>
          <cell r="L601" t="str">
            <v>FRF</v>
          </cell>
          <cell r="M601" t="str">
            <v>2100</v>
          </cell>
        </row>
        <row r="602">
          <cell r="E602" t="str">
            <v>334229</v>
          </cell>
          <cell r="F602">
            <v>37179</v>
          </cell>
          <cell r="G602">
            <v>37236</v>
          </cell>
          <cell r="H602" t="str">
            <v>24 tubes à essais 30 cl</v>
          </cell>
          <cell r="I602" t="str">
            <v>BRD</v>
          </cell>
          <cell r="J602" t="str">
            <v>01</v>
          </cell>
          <cell r="K602">
            <v>285.48</v>
          </cell>
          <cell r="L602" t="str">
            <v>EUR</v>
          </cell>
          <cell r="M602" t="str">
            <v>2100</v>
          </cell>
        </row>
        <row r="603">
          <cell r="E603" t="str">
            <v>334192</v>
          </cell>
          <cell r="F603">
            <v>37155</v>
          </cell>
          <cell r="G603">
            <v>36941</v>
          </cell>
          <cell r="H603" t="str">
            <v>Tubes à essais 30 cl</v>
          </cell>
          <cell r="I603" t="str">
            <v>BRD</v>
          </cell>
          <cell r="J603" t="str">
            <v>01</v>
          </cell>
          <cell r="K603">
            <v>0</v>
          </cell>
          <cell r="L603" t="str">
            <v>FRF</v>
          </cell>
          <cell r="M603" t="str">
            <v>2100</v>
          </cell>
        </row>
        <row r="604">
          <cell r="E604" t="str">
            <v>334110</v>
          </cell>
          <cell r="F604">
            <v>37147</v>
          </cell>
          <cell r="G604">
            <v>37216</v>
          </cell>
          <cell r="H604" t="str">
            <v>Produits de laboratoire</v>
          </cell>
          <cell r="I604" t="str">
            <v>PRO</v>
          </cell>
          <cell r="J604" t="str">
            <v>01</v>
          </cell>
          <cell r="K604">
            <v>5807.68</v>
          </cell>
          <cell r="L604" t="str">
            <v>FRF</v>
          </cell>
          <cell r="M604" t="str">
            <v>2100</v>
          </cell>
        </row>
        <row r="605">
          <cell r="E605" t="str">
            <v>334708</v>
          </cell>
          <cell r="F605">
            <v>37222</v>
          </cell>
          <cell r="G605">
            <v>37284</v>
          </cell>
          <cell r="H605" t="str">
            <v>Produits de laboratoire</v>
          </cell>
          <cell r="I605" t="str">
            <v>CBL</v>
          </cell>
          <cell r="J605" t="str">
            <v>01</v>
          </cell>
          <cell r="K605">
            <v>1537.49</v>
          </cell>
          <cell r="L605" t="str">
            <v>EUR</v>
          </cell>
          <cell r="M605" t="str">
            <v>2100</v>
          </cell>
        </row>
        <row r="606">
          <cell r="E606" t="str">
            <v>334112</v>
          </cell>
          <cell r="F606">
            <v>37148</v>
          </cell>
          <cell r="G606">
            <v>37173</v>
          </cell>
          <cell r="H606" t="str">
            <v>60 Genbox anaer + 1 Slidex Staph-kit</v>
          </cell>
          <cell r="I606" t="str">
            <v>BIO</v>
          </cell>
          <cell r="J606" t="str">
            <v>01</v>
          </cell>
          <cell r="K606">
            <v>0</v>
          </cell>
          <cell r="L606" t="str">
            <v>FRF</v>
          </cell>
          <cell r="M606" t="str">
            <v>2100</v>
          </cell>
        </row>
        <row r="607">
          <cell r="E607" t="str">
            <v>334073</v>
          </cell>
          <cell r="F607">
            <v>37146</v>
          </cell>
          <cell r="H607" t="str">
            <v>DPD N°1, N°3, N°4R</v>
          </cell>
          <cell r="I607" t="str">
            <v>CIF</v>
          </cell>
          <cell r="J607" t="str">
            <v>01</v>
          </cell>
          <cell r="K607">
            <v>20300</v>
          </cell>
          <cell r="L607" t="str">
            <v>FRF</v>
          </cell>
          <cell r="M607" t="str">
            <v>2100</v>
          </cell>
        </row>
        <row r="608">
          <cell r="E608" t="str">
            <v>334072</v>
          </cell>
          <cell r="F608">
            <v>37145</v>
          </cell>
          <cell r="G608">
            <v>37284</v>
          </cell>
          <cell r="H608" t="str">
            <v>24 Boîtes de 50 bandelettes anaer+Staph</v>
          </cell>
          <cell r="I608" t="str">
            <v>LAV</v>
          </cell>
          <cell r="J608" t="str">
            <v>01</v>
          </cell>
          <cell r="K608">
            <v>9949.4</v>
          </cell>
          <cell r="L608" t="str">
            <v>FRF</v>
          </cell>
          <cell r="M608" t="str">
            <v>2100</v>
          </cell>
        </row>
        <row r="609">
          <cell r="G609">
            <v>37174</v>
          </cell>
          <cell r="H609" t="str">
            <v>Abonnement à Liquides et Conditionnement</v>
          </cell>
          <cell r="I609" t="str">
            <v>PCI</v>
          </cell>
          <cell r="J609" t="str">
            <v>01</v>
          </cell>
          <cell r="K609">
            <v>0</v>
          </cell>
          <cell r="L609" t="str">
            <v>FRF</v>
          </cell>
          <cell r="M609" t="str">
            <v>2201</v>
          </cell>
        </row>
        <row r="610">
          <cell r="E610" t="str">
            <v>334875</v>
          </cell>
          <cell r="F610">
            <v>37231</v>
          </cell>
          <cell r="G610">
            <v>37222</v>
          </cell>
          <cell r="H610" t="str">
            <v>Bandelettes anaer + Staph-kits</v>
          </cell>
          <cell r="I610" t="str">
            <v>BIO</v>
          </cell>
          <cell r="J610" t="str">
            <v>01</v>
          </cell>
          <cell r="K610">
            <v>0</v>
          </cell>
          <cell r="L610" t="str">
            <v>EUR</v>
          </cell>
          <cell r="M610" t="str">
            <v>2100</v>
          </cell>
        </row>
        <row r="611">
          <cell r="E611" t="str">
            <v>334380</v>
          </cell>
          <cell r="F611">
            <v>37183</v>
          </cell>
          <cell r="H611" t="str">
            <v>Produits de laboratoire</v>
          </cell>
          <cell r="I611" t="str">
            <v>MCK</v>
          </cell>
          <cell r="J611" t="str">
            <v>01</v>
          </cell>
          <cell r="K611">
            <v>104796.5</v>
          </cell>
          <cell r="L611" t="str">
            <v>FRF</v>
          </cell>
          <cell r="M611" t="str">
            <v>Z020</v>
          </cell>
        </row>
        <row r="612">
          <cell r="H612" t="str">
            <v>Visite annuelle Maintenance Scaba</v>
          </cell>
          <cell r="I612" t="str">
            <v>FOS</v>
          </cell>
          <cell r="J612" t="str">
            <v>01</v>
          </cell>
          <cell r="K612">
            <v>0</v>
          </cell>
          <cell r="M612" t="str">
            <v>3391</v>
          </cell>
        </row>
        <row r="613">
          <cell r="E613" t="str">
            <v>334051</v>
          </cell>
          <cell r="F613">
            <v>37145</v>
          </cell>
          <cell r="H613" t="str">
            <v>Gabarits d'habillage support bois</v>
          </cell>
          <cell r="I613" t="str">
            <v>RPA</v>
          </cell>
          <cell r="J613" t="str">
            <v>01</v>
          </cell>
          <cell r="K613">
            <v>0</v>
          </cell>
          <cell r="L613" t="str">
            <v>FRF</v>
          </cell>
          <cell r="M613" t="str">
            <v>2100</v>
          </cell>
        </row>
        <row r="614">
          <cell r="E614" t="str">
            <v>5432</v>
          </cell>
          <cell r="F614">
            <v>37151</v>
          </cell>
          <cell r="G614">
            <v>37154</v>
          </cell>
          <cell r="H614" t="str">
            <v>Gabarits d'habillage Altuglas</v>
          </cell>
          <cell r="I614" t="str">
            <v>LDJ</v>
          </cell>
          <cell r="J614" t="str">
            <v>01</v>
          </cell>
          <cell r="K614">
            <v>0</v>
          </cell>
          <cell r="L614" t="str">
            <v>CFA</v>
          </cell>
          <cell r="M614" t="str">
            <v>2100</v>
          </cell>
        </row>
        <row r="615">
          <cell r="E615" t="str">
            <v>334225</v>
          </cell>
          <cell r="F615">
            <v>37179</v>
          </cell>
          <cell r="G615">
            <v>37236</v>
          </cell>
          <cell r="H615" t="str">
            <v>Rechanges stalagmomètre digital</v>
          </cell>
          <cell r="I615" t="str">
            <v>SPR</v>
          </cell>
          <cell r="J615" t="str">
            <v>01</v>
          </cell>
          <cell r="K615">
            <v>9693.9599999999991</v>
          </cell>
          <cell r="L615" t="str">
            <v>FRF</v>
          </cell>
          <cell r="M615" t="str">
            <v>2000</v>
          </cell>
        </row>
        <row r="616">
          <cell r="E616" t="str">
            <v>33513</v>
          </cell>
          <cell r="F616">
            <v>38538</v>
          </cell>
          <cell r="G616">
            <v>38560</v>
          </cell>
          <cell r="H616" t="str">
            <v>Matériels contrôle eaux usées</v>
          </cell>
          <cell r="I616" t="str">
            <v>BBL</v>
          </cell>
          <cell r="J616" t="str">
            <v>01</v>
          </cell>
          <cell r="K616">
            <v>0</v>
          </cell>
          <cell r="L616" t="str">
            <v>EUR</v>
          </cell>
          <cell r="M616" t="str">
            <v>Z008</v>
          </cell>
        </row>
        <row r="617">
          <cell r="E617" t="str">
            <v>337203</v>
          </cell>
          <cell r="H617" t="str">
            <v>Matériels contrôle DCO</v>
          </cell>
          <cell r="I617" t="str">
            <v>BBL</v>
          </cell>
          <cell r="J617" t="str">
            <v>01</v>
          </cell>
          <cell r="K617">
            <v>0</v>
          </cell>
          <cell r="L617" t="str">
            <v>CFA</v>
          </cell>
          <cell r="M617" t="str">
            <v>A041</v>
          </cell>
        </row>
        <row r="618">
          <cell r="E618" t="str">
            <v>334142</v>
          </cell>
          <cell r="F618">
            <v>37153</v>
          </cell>
          <cell r="G618">
            <v>37314</v>
          </cell>
          <cell r="H618" t="str">
            <v>Matériels contrôle eaux usées</v>
          </cell>
          <cell r="I618" t="str">
            <v>PRO</v>
          </cell>
          <cell r="J618" t="str">
            <v>01</v>
          </cell>
          <cell r="K618">
            <v>49544.59</v>
          </cell>
          <cell r="L618" t="str">
            <v>FRF</v>
          </cell>
          <cell r="M618" t="str">
            <v>Z008</v>
          </cell>
        </row>
        <row r="619">
          <cell r="E619" t="str">
            <v>334457</v>
          </cell>
          <cell r="F619">
            <v>37181</v>
          </cell>
          <cell r="G619">
            <v>37314</v>
          </cell>
          <cell r="H619" t="str">
            <v>Cassette Vidéo + kit Titrinorm</v>
          </cell>
          <cell r="I619" t="str">
            <v>PRO</v>
          </cell>
          <cell r="J619" t="str">
            <v>01</v>
          </cell>
          <cell r="K619">
            <v>1515</v>
          </cell>
          <cell r="L619" t="str">
            <v>FRF</v>
          </cell>
          <cell r="M619" t="str">
            <v>Z008</v>
          </cell>
        </row>
        <row r="620">
          <cell r="E620" t="str">
            <v>337460</v>
          </cell>
          <cell r="F620">
            <v>37496</v>
          </cell>
          <cell r="G620">
            <v>37218</v>
          </cell>
          <cell r="H620" t="str">
            <v>Matériels pour contrôle des eaux usées</v>
          </cell>
          <cell r="I620" t="str">
            <v>PRO</v>
          </cell>
          <cell r="J620" t="str">
            <v>01</v>
          </cell>
          <cell r="K620">
            <v>16303.1</v>
          </cell>
          <cell r="L620" t="str">
            <v>EUR</v>
          </cell>
          <cell r="M620" t="str">
            <v>INV</v>
          </cell>
        </row>
        <row r="621">
          <cell r="E621" t="str">
            <v>334300</v>
          </cell>
          <cell r="F621">
            <v>37186</v>
          </cell>
          <cell r="G621">
            <v>37222</v>
          </cell>
          <cell r="H621" t="str">
            <v>Rechanges spectrophotomètre</v>
          </cell>
          <cell r="I621" t="str">
            <v>SPT</v>
          </cell>
          <cell r="J621" t="str">
            <v>01</v>
          </cell>
          <cell r="K621">
            <v>8465.2000000000007</v>
          </cell>
          <cell r="L621" t="str">
            <v>FRF</v>
          </cell>
          <cell r="M621" t="str">
            <v>2000</v>
          </cell>
        </row>
        <row r="622">
          <cell r="E622" t="str">
            <v>10007</v>
          </cell>
          <cell r="F622">
            <v>37099</v>
          </cell>
          <cell r="G622">
            <v>37174</v>
          </cell>
          <cell r="H622" t="str">
            <v>Pompe à vide</v>
          </cell>
          <cell r="I622" t="str">
            <v>STR</v>
          </cell>
          <cell r="J622" t="str">
            <v>SEMC</v>
          </cell>
          <cell r="K622">
            <v>7508.52</v>
          </cell>
          <cell r="L622" t="str">
            <v>FRF</v>
          </cell>
          <cell r="M622" t="str">
            <v>INV</v>
          </cell>
        </row>
        <row r="623">
          <cell r="E623" t="str">
            <v>334055</v>
          </cell>
          <cell r="F623">
            <v>37144</v>
          </cell>
          <cell r="G623">
            <v>37216</v>
          </cell>
          <cell r="H623" t="str">
            <v>pH mètre CG 837 + 4 étectrodes combinées</v>
          </cell>
          <cell r="I623" t="str">
            <v>PRO</v>
          </cell>
          <cell r="J623" t="str">
            <v>01</v>
          </cell>
          <cell r="K623">
            <v>0</v>
          </cell>
          <cell r="L623" t="str">
            <v>FRF</v>
          </cell>
          <cell r="M623" t="str">
            <v>Z012</v>
          </cell>
        </row>
        <row r="624">
          <cell r="E624" t="str">
            <v>334229</v>
          </cell>
          <cell r="F624">
            <v>37179</v>
          </cell>
          <cell r="G624">
            <v>37220</v>
          </cell>
          <cell r="H624" t="str">
            <v>Roulements à billes pour bain thermost</v>
          </cell>
          <cell r="I624" t="str">
            <v>SKF</v>
          </cell>
          <cell r="J624" t="str">
            <v>01</v>
          </cell>
          <cell r="K624">
            <v>0</v>
          </cell>
          <cell r="L624" t="str">
            <v>FRF</v>
          </cell>
          <cell r="M624" t="str">
            <v>2000</v>
          </cell>
        </row>
        <row r="625">
          <cell r="E625" t="str">
            <v>333819</v>
          </cell>
          <cell r="F625">
            <v>37166</v>
          </cell>
          <cell r="G625">
            <v>37236</v>
          </cell>
          <cell r="H625" t="str">
            <v>Sondes de mesure O2 série "31"</v>
          </cell>
          <cell r="I625" t="str">
            <v>ORB</v>
          </cell>
          <cell r="J625" t="str">
            <v>01</v>
          </cell>
          <cell r="K625">
            <v>46410</v>
          </cell>
          <cell r="L625" t="str">
            <v>FRF</v>
          </cell>
          <cell r="M625" t="str">
            <v>Z011</v>
          </cell>
        </row>
        <row r="626">
          <cell r="E626" t="str">
            <v>334006</v>
          </cell>
          <cell r="F626">
            <v>37138</v>
          </cell>
          <cell r="G626">
            <v>37216</v>
          </cell>
          <cell r="H626" t="str">
            <v>Unité nettoyage sondes polarographiques</v>
          </cell>
          <cell r="I626" t="str">
            <v>ORB</v>
          </cell>
          <cell r="J626" t="str">
            <v>01</v>
          </cell>
          <cell r="K626">
            <v>11990.5</v>
          </cell>
          <cell r="L626" t="str">
            <v>FRF</v>
          </cell>
          <cell r="M626" t="str">
            <v>Z010</v>
          </cell>
        </row>
        <row r="627">
          <cell r="E627" t="str">
            <v>333044</v>
          </cell>
          <cell r="F627">
            <v>37043</v>
          </cell>
          <cell r="G627">
            <v>37082</v>
          </cell>
          <cell r="H627" t="str">
            <v>Produits de laboratoire</v>
          </cell>
          <cell r="I627" t="str">
            <v>CBL</v>
          </cell>
          <cell r="J627" t="str">
            <v>01</v>
          </cell>
          <cell r="K627">
            <v>1537.49</v>
          </cell>
          <cell r="L627" t="str">
            <v>EUR</v>
          </cell>
          <cell r="M627" t="str">
            <v>2100</v>
          </cell>
        </row>
        <row r="628">
          <cell r="E628" t="str">
            <v>5437</v>
          </cell>
          <cell r="F628">
            <v>37153</v>
          </cell>
          <cell r="G628">
            <v>37164</v>
          </cell>
          <cell r="H628" t="str">
            <v>2 Splits pour salle de dégustations</v>
          </cell>
          <cell r="I628" t="str">
            <v>DAC</v>
          </cell>
          <cell r="J628" t="str">
            <v>01</v>
          </cell>
          <cell r="K628">
            <v>2194600</v>
          </cell>
          <cell r="L628" t="str">
            <v>FRF</v>
          </cell>
          <cell r="M628" t="str">
            <v>Z021</v>
          </cell>
        </row>
        <row r="629">
          <cell r="E629" t="str">
            <v>5322</v>
          </cell>
          <cell r="F629">
            <v>37074</v>
          </cell>
          <cell r="G629">
            <v>37098</v>
          </cell>
          <cell r="H629" t="str">
            <v>DPD N°1, N°3, N°4R</v>
          </cell>
          <cell r="I629" t="str">
            <v>CIF</v>
          </cell>
          <cell r="J629" t="str">
            <v>01</v>
          </cell>
          <cell r="K629">
            <v>20300</v>
          </cell>
          <cell r="L629" t="str">
            <v>FRF</v>
          </cell>
          <cell r="M629" t="str">
            <v>2100</v>
          </cell>
        </row>
        <row r="630">
          <cell r="E630" t="str">
            <v>334072</v>
          </cell>
          <cell r="F630">
            <v>37145</v>
          </cell>
          <cell r="G630">
            <v>37040</v>
          </cell>
          <cell r="H630" t="str">
            <v>24 Boîtes de 50 bandelettes anaer+Staph</v>
          </cell>
          <cell r="I630" t="str">
            <v>LAV</v>
          </cell>
          <cell r="J630" t="str">
            <v>01</v>
          </cell>
          <cell r="K630">
            <v>9949.4</v>
          </cell>
          <cell r="L630" t="str">
            <v>FRF</v>
          </cell>
          <cell r="M630" t="str">
            <v>2100</v>
          </cell>
        </row>
        <row r="631">
          <cell r="E631" t="str">
            <v>332913</v>
          </cell>
          <cell r="F631">
            <v>37029</v>
          </cell>
          <cell r="G631">
            <v>37174</v>
          </cell>
          <cell r="H631" t="str">
            <v>1 Ouvrage Assurance Qualité dans labos</v>
          </cell>
          <cell r="I631" t="str">
            <v>LAV</v>
          </cell>
          <cell r="J631" t="str">
            <v>01</v>
          </cell>
          <cell r="K631">
            <v>458.67</v>
          </cell>
          <cell r="L631" t="str">
            <v>FRF</v>
          </cell>
          <cell r="M631" t="str">
            <v>2201</v>
          </cell>
        </row>
        <row r="632">
          <cell r="E632" t="str">
            <v>333324</v>
          </cell>
          <cell r="F632">
            <v>37071</v>
          </cell>
          <cell r="G632">
            <v>37104</v>
          </cell>
          <cell r="H632" t="str">
            <v>Bandelettes anaer + Staph-kits</v>
          </cell>
          <cell r="I632" t="str">
            <v>BIO</v>
          </cell>
          <cell r="J632" t="str">
            <v>01</v>
          </cell>
          <cell r="K632">
            <v>0</v>
          </cell>
          <cell r="L632" t="str">
            <v>FRF</v>
          </cell>
          <cell r="M632" t="str">
            <v>2100</v>
          </cell>
        </row>
        <row r="633">
          <cell r="E633" t="str">
            <v>333023</v>
          </cell>
          <cell r="F633">
            <v>37039</v>
          </cell>
          <cell r="G633">
            <v>37104</v>
          </cell>
          <cell r="H633" t="str">
            <v>Produits de laboratoire</v>
          </cell>
          <cell r="I633" t="str">
            <v>MCK</v>
          </cell>
          <cell r="J633" t="str">
            <v>01</v>
          </cell>
          <cell r="K633">
            <v>104796.5</v>
          </cell>
          <cell r="L633" t="str">
            <v>FRF</v>
          </cell>
          <cell r="M633" t="str">
            <v>2100</v>
          </cell>
        </row>
        <row r="634">
          <cell r="G634">
            <v>37042</v>
          </cell>
          <cell r="H634" t="str">
            <v>Visite annuelle Maintenance Scaba</v>
          </cell>
          <cell r="I634" t="str">
            <v>FOS</v>
          </cell>
          <cell r="J634" t="str">
            <v>01</v>
          </cell>
          <cell r="K634">
            <v>0</v>
          </cell>
          <cell r="M634" t="str">
            <v>Z021</v>
          </cell>
        </row>
        <row r="635">
          <cell r="E635" t="str">
            <v>9955</v>
          </cell>
          <cell r="F635">
            <v>37064</v>
          </cell>
          <cell r="G635">
            <v>37039</v>
          </cell>
          <cell r="H635" t="str">
            <v>Gabarits d'habillage support bois</v>
          </cell>
          <cell r="I635" t="str">
            <v>RPA</v>
          </cell>
          <cell r="J635" t="str">
            <v>01</v>
          </cell>
          <cell r="K635">
            <v>0</v>
          </cell>
          <cell r="L635" t="str">
            <v>FRF</v>
          </cell>
          <cell r="M635" t="str">
            <v>2100</v>
          </cell>
        </row>
        <row r="636">
          <cell r="E636" t="str">
            <v>332877</v>
          </cell>
          <cell r="F636">
            <v>37047</v>
          </cell>
          <cell r="G636">
            <v>37827</v>
          </cell>
          <cell r="H636" t="str">
            <v>Gabarits d'habillage Altuglas</v>
          </cell>
          <cell r="I636" t="str">
            <v>LDJ</v>
          </cell>
          <cell r="J636" t="str">
            <v>01</v>
          </cell>
          <cell r="K636">
            <v>0</v>
          </cell>
          <cell r="L636" t="str">
            <v>FRF</v>
          </cell>
          <cell r="M636" t="str">
            <v>2100</v>
          </cell>
        </row>
        <row r="637">
          <cell r="E637" t="str">
            <v>332633</v>
          </cell>
          <cell r="F637">
            <v>37021</v>
          </cell>
          <cell r="G637">
            <v>37075</v>
          </cell>
          <cell r="H637" t="str">
            <v>Consommables oxymètres</v>
          </cell>
          <cell r="I637" t="str">
            <v>ORB</v>
          </cell>
          <cell r="J637" t="str">
            <v>01</v>
          </cell>
          <cell r="K637">
            <v>33613.599999999999</v>
          </cell>
          <cell r="L637" t="str">
            <v>FRF</v>
          </cell>
          <cell r="M637" t="str">
            <v>2000</v>
          </cell>
        </row>
        <row r="638">
          <cell r="E638" t="str">
            <v>445670</v>
          </cell>
          <cell r="F638">
            <v>36985</v>
          </cell>
          <cell r="G638">
            <v>37075</v>
          </cell>
          <cell r="H638" t="str">
            <v>Matériels contrôle eaux usées</v>
          </cell>
          <cell r="I638" t="str">
            <v>BBL</v>
          </cell>
          <cell r="J638" t="str">
            <v>01</v>
          </cell>
          <cell r="K638">
            <v>0</v>
          </cell>
          <cell r="L638" t="str">
            <v>FRF</v>
          </cell>
          <cell r="M638" t="str">
            <v>Z008</v>
          </cell>
        </row>
        <row r="639">
          <cell r="E639" t="str">
            <v>333203</v>
          </cell>
          <cell r="F639">
            <v>37069</v>
          </cell>
          <cell r="G639">
            <v>37112</v>
          </cell>
          <cell r="H639" t="str">
            <v>Matériels contrôle DCO</v>
          </cell>
          <cell r="I639" t="str">
            <v>BBL</v>
          </cell>
          <cell r="J639" t="str">
            <v>01</v>
          </cell>
          <cell r="K639">
            <v>0</v>
          </cell>
          <cell r="L639" t="str">
            <v>FRF</v>
          </cell>
          <cell r="M639" t="str">
            <v>A041</v>
          </cell>
        </row>
        <row r="640">
          <cell r="E640" t="str">
            <v>334142</v>
          </cell>
          <cell r="F640">
            <v>37153</v>
          </cell>
          <cell r="G640">
            <v>37005</v>
          </cell>
          <cell r="H640" t="str">
            <v>Installations frigorifiques</v>
          </cell>
          <cell r="I640" t="str">
            <v>PYC</v>
          </cell>
          <cell r="J640" t="str">
            <v>01</v>
          </cell>
          <cell r="K640">
            <v>4231.1099999999997</v>
          </cell>
          <cell r="L640" t="str">
            <v>FRF</v>
          </cell>
          <cell r="M640" t="str">
            <v>2201</v>
          </cell>
        </row>
        <row r="641">
          <cell r="E641" t="str">
            <v>334457</v>
          </cell>
          <cell r="F641">
            <v>37181</v>
          </cell>
          <cell r="G641">
            <v>37055</v>
          </cell>
          <cell r="H641" t="str">
            <v>1 Ordinateur Compaq portable Presario</v>
          </cell>
          <cell r="I641" t="str">
            <v>SIS</v>
          </cell>
          <cell r="J641" t="str">
            <v>01</v>
          </cell>
          <cell r="K641">
            <v>0</v>
          </cell>
          <cell r="L641" t="str">
            <v>FRF</v>
          </cell>
          <cell r="M641" t="str">
            <v>INV</v>
          </cell>
        </row>
        <row r="642">
          <cell r="E642" t="str">
            <v>332745</v>
          </cell>
          <cell r="F642">
            <v>37041</v>
          </cell>
          <cell r="G642">
            <v>37055</v>
          </cell>
          <cell r="H642" t="str">
            <v>Matériels pour contrôle des eaux usées</v>
          </cell>
          <cell r="I642" t="str">
            <v>PRO</v>
          </cell>
          <cell r="J642" t="str">
            <v>01</v>
          </cell>
          <cell r="K642">
            <v>3650.06</v>
          </cell>
          <cell r="L642" t="str">
            <v>FRF</v>
          </cell>
          <cell r="M642" t="str">
            <v>2201</v>
          </cell>
        </row>
        <row r="643">
          <cell r="E643" t="str">
            <v>332194</v>
          </cell>
          <cell r="F643">
            <v>36952</v>
          </cell>
          <cell r="G643">
            <v>37000</v>
          </cell>
          <cell r="H643" t="str">
            <v>Thermomètres 0/50 °C et -100/+30 °C</v>
          </cell>
          <cell r="I643" t="str">
            <v>OSI</v>
          </cell>
          <cell r="J643" t="str">
            <v>01</v>
          </cell>
          <cell r="K643">
            <v>8155.4</v>
          </cell>
          <cell r="L643" t="str">
            <v>FRF</v>
          </cell>
          <cell r="M643" t="str">
            <v>2100</v>
          </cell>
        </row>
        <row r="644">
          <cell r="E644" t="str">
            <v>332191</v>
          </cell>
          <cell r="F644">
            <v>36952</v>
          </cell>
          <cell r="G644">
            <v>36973</v>
          </cell>
          <cell r="H644" t="str">
            <v>Thermoplongeur polystat 23</v>
          </cell>
          <cell r="I644" t="str">
            <v>BBL</v>
          </cell>
          <cell r="J644" t="str">
            <v>01</v>
          </cell>
          <cell r="K644">
            <v>18849.2</v>
          </cell>
          <cell r="L644" t="str">
            <v>FRF</v>
          </cell>
          <cell r="M644" t="str">
            <v>Z015</v>
          </cell>
        </row>
        <row r="645">
          <cell r="E645" t="str">
            <v>332198</v>
          </cell>
          <cell r="F645">
            <v>36952</v>
          </cell>
          <cell r="G645">
            <v>37216</v>
          </cell>
          <cell r="H645" t="str">
            <v>pH mètre CG 837 + 4 étectrodes combinées</v>
          </cell>
          <cell r="I645" t="str">
            <v>PRO</v>
          </cell>
          <cell r="J645" t="str">
            <v>01</v>
          </cell>
          <cell r="K645">
            <v>0</v>
          </cell>
          <cell r="L645" t="str">
            <v>FRF</v>
          </cell>
          <cell r="M645" t="str">
            <v>Z012</v>
          </cell>
        </row>
        <row r="646">
          <cell r="E646" t="str">
            <v>332490</v>
          </cell>
          <cell r="F646">
            <v>37018</v>
          </cell>
          <cell r="G646">
            <v>37220</v>
          </cell>
          <cell r="H646" t="str">
            <v>Roulements à billes pour bain thermost</v>
          </cell>
          <cell r="I646" t="str">
            <v>SKF</v>
          </cell>
          <cell r="J646" t="str">
            <v>01</v>
          </cell>
          <cell r="K646">
            <v>0</v>
          </cell>
          <cell r="L646" t="str">
            <v>FRF</v>
          </cell>
          <cell r="M646" t="str">
            <v>2000</v>
          </cell>
        </row>
        <row r="647">
          <cell r="E647" t="str">
            <v>332196</v>
          </cell>
          <cell r="F647">
            <v>36955</v>
          </cell>
          <cell r="G647">
            <v>37021</v>
          </cell>
          <cell r="H647" t="str">
            <v>Blles syst,burettes ac,NaE 10,godets</v>
          </cell>
          <cell r="I647" t="str">
            <v>GBL</v>
          </cell>
          <cell r="J647" t="str">
            <v>01</v>
          </cell>
          <cell r="K647">
            <v>35448.01</v>
          </cell>
          <cell r="L647" t="str">
            <v>FRF</v>
          </cell>
          <cell r="M647" t="str">
            <v>2100</v>
          </cell>
        </row>
        <row r="648">
          <cell r="E648" t="str">
            <v>332211</v>
          </cell>
          <cell r="F648">
            <v>36955</v>
          </cell>
          <cell r="G648">
            <v>36985</v>
          </cell>
          <cell r="H648" t="str">
            <v>Pseudomonas Isolation Agar</v>
          </cell>
          <cell r="I648" t="str">
            <v>FSS</v>
          </cell>
          <cell r="J648" t="str">
            <v>01</v>
          </cell>
          <cell r="K648">
            <v>2628.4</v>
          </cell>
          <cell r="L648" t="str">
            <v>FRF</v>
          </cell>
          <cell r="M648" t="str">
            <v>2100</v>
          </cell>
        </row>
        <row r="649">
          <cell r="E649" t="str">
            <v>332195</v>
          </cell>
          <cell r="F649">
            <v>36952</v>
          </cell>
          <cell r="G649">
            <v>37097</v>
          </cell>
          <cell r="H649" t="str">
            <v>Chauffe-ballons,Cuves spectro,NaCl</v>
          </cell>
          <cell r="I649" t="str">
            <v>PRO</v>
          </cell>
          <cell r="J649" t="str">
            <v>01</v>
          </cell>
          <cell r="K649">
            <v>19709.72</v>
          </cell>
          <cell r="L649" t="str">
            <v>FRF</v>
          </cell>
          <cell r="M649" t="str">
            <v>2100</v>
          </cell>
        </row>
        <row r="650">
          <cell r="E650" t="str">
            <v>332278</v>
          </cell>
          <cell r="F650">
            <v>36959</v>
          </cell>
          <cell r="G650">
            <v>37125</v>
          </cell>
          <cell r="H650" t="str">
            <v>Produits de laboratoire</v>
          </cell>
          <cell r="I650" t="str">
            <v>MCK</v>
          </cell>
          <cell r="J650" t="str">
            <v>01</v>
          </cell>
          <cell r="K650">
            <v>73974.06</v>
          </cell>
          <cell r="L650" t="str">
            <v>FRF</v>
          </cell>
          <cell r="M650" t="str">
            <v>2100</v>
          </cell>
        </row>
        <row r="651">
          <cell r="E651" t="str">
            <v>332066</v>
          </cell>
          <cell r="F651">
            <v>36952</v>
          </cell>
          <cell r="G651">
            <v>36980</v>
          </cell>
          <cell r="H651" t="str">
            <v>Disques chlore et cuvettes Lovibond</v>
          </cell>
          <cell r="I651" t="str">
            <v>CIF</v>
          </cell>
          <cell r="J651" t="str">
            <v>01</v>
          </cell>
          <cell r="K651">
            <v>8672.4699999999993</v>
          </cell>
          <cell r="L651" t="str">
            <v>FRF</v>
          </cell>
          <cell r="M651" t="str">
            <v>2100</v>
          </cell>
        </row>
        <row r="652">
          <cell r="E652" t="str">
            <v>332068</v>
          </cell>
          <cell r="F652">
            <v>36952</v>
          </cell>
          <cell r="G652">
            <v>37040</v>
          </cell>
          <cell r="H652" t="str">
            <v>Câble raccordement sonde conductimètre</v>
          </cell>
          <cell r="I652" t="str">
            <v>TAC</v>
          </cell>
          <cell r="J652" t="str">
            <v>01</v>
          </cell>
          <cell r="K652">
            <v>537.78</v>
          </cell>
          <cell r="L652" t="str">
            <v>FRF</v>
          </cell>
          <cell r="M652" t="str">
            <v>2000</v>
          </cell>
        </row>
        <row r="653">
          <cell r="E653" t="str">
            <v>332067</v>
          </cell>
          <cell r="F653">
            <v>36952</v>
          </cell>
          <cell r="G653">
            <v>36985</v>
          </cell>
          <cell r="H653" t="str">
            <v>12x500g Racka Ray Agar</v>
          </cell>
          <cell r="I653" t="str">
            <v>UNP</v>
          </cell>
          <cell r="J653" t="str">
            <v>01</v>
          </cell>
          <cell r="K653">
            <v>15113</v>
          </cell>
          <cell r="L653" t="str">
            <v>FRF</v>
          </cell>
          <cell r="M653" t="str">
            <v>2100</v>
          </cell>
        </row>
        <row r="654">
          <cell r="E654" t="str">
            <v>332197</v>
          </cell>
          <cell r="F654">
            <v>36952</v>
          </cell>
          <cell r="G654">
            <v>36985</v>
          </cell>
          <cell r="H654" t="str">
            <v>60 Genbox anaer + 2 staphyslide</v>
          </cell>
          <cell r="I654" t="str">
            <v>BIO</v>
          </cell>
          <cell r="J654" t="str">
            <v>01</v>
          </cell>
          <cell r="K654">
            <v>7106.6</v>
          </cell>
          <cell r="L654" t="str">
            <v>FRF</v>
          </cell>
          <cell r="M654" t="str">
            <v>2100</v>
          </cell>
        </row>
        <row r="655">
          <cell r="E655" t="str">
            <v>332321</v>
          </cell>
          <cell r="F655">
            <v>36963</v>
          </cell>
          <cell r="G655">
            <v>36985</v>
          </cell>
          <cell r="H655" t="str">
            <v>TTC 0,05% et T7 à 0,2%</v>
          </cell>
          <cell r="I655" t="str">
            <v>DPA</v>
          </cell>
          <cell r="J655" t="str">
            <v>01</v>
          </cell>
          <cell r="K655">
            <v>4419.16</v>
          </cell>
          <cell r="L655" t="str">
            <v>FRF</v>
          </cell>
          <cell r="M655" t="str">
            <v>2100</v>
          </cell>
        </row>
        <row r="656">
          <cell r="G656">
            <v>36996</v>
          </cell>
          <cell r="H656" t="str">
            <v>15000 Feuilles Gris du lion</v>
          </cell>
          <cell r="I656" t="str">
            <v>DAc</v>
          </cell>
          <cell r="J656" t="str">
            <v>01</v>
          </cell>
          <cell r="K656">
            <v>0</v>
          </cell>
          <cell r="M656" t="str">
            <v>Z021</v>
          </cell>
        </row>
        <row r="657">
          <cell r="E657" t="str">
            <v>332192</v>
          </cell>
          <cell r="F657">
            <v>36952</v>
          </cell>
          <cell r="G657">
            <v>36987</v>
          </cell>
          <cell r="H657" t="str">
            <v>Termamyl 120 L</v>
          </cell>
          <cell r="I657" t="str">
            <v>NVO</v>
          </cell>
          <cell r="J657" t="str">
            <v>01</v>
          </cell>
          <cell r="K657">
            <v>1697</v>
          </cell>
          <cell r="L657" t="str">
            <v>FRF</v>
          </cell>
          <cell r="M657" t="str">
            <v>2100</v>
          </cell>
        </row>
        <row r="658">
          <cell r="E658" t="str">
            <v>331839</v>
          </cell>
          <cell r="F658">
            <v>36929</v>
          </cell>
          <cell r="G658">
            <v>36970</v>
          </cell>
          <cell r="H658" t="str">
            <v>12 Boîtes de UBA Medium</v>
          </cell>
          <cell r="I658" t="str">
            <v>FSS</v>
          </cell>
          <cell r="J658" t="str">
            <v>01</v>
          </cell>
          <cell r="K658">
            <v>8490</v>
          </cell>
          <cell r="L658" t="str">
            <v>FRF</v>
          </cell>
          <cell r="M658" t="str">
            <v>2100</v>
          </cell>
        </row>
        <row r="659">
          <cell r="E659" t="str">
            <v>331795</v>
          </cell>
          <cell r="F659">
            <v>36916</v>
          </cell>
          <cell r="G659">
            <v>36950</v>
          </cell>
          <cell r="H659" t="str">
            <v>2 Zahm SS 60</v>
          </cell>
          <cell r="I659" t="str">
            <v>CRB</v>
          </cell>
          <cell r="J659" t="str">
            <v>01</v>
          </cell>
          <cell r="K659">
            <v>34301</v>
          </cell>
          <cell r="L659" t="str">
            <v>FRF</v>
          </cell>
          <cell r="M659" t="str">
            <v>Z016</v>
          </cell>
        </row>
        <row r="660">
          <cell r="E660" t="str">
            <v>331794</v>
          </cell>
          <cell r="F660">
            <v>36934</v>
          </cell>
          <cell r="G660">
            <v>37033</v>
          </cell>
          <cell r="H660" t="str">
            <v>2 Systèmes moca version process</v>
          </cell>
          <cell r="I660" t="str">
            <v>ORB</v>
          </cell>
          <cell r="J660" t="str">
            <v>01</v>
          </cell>
          <cell r="K660">
            <v>165288.76</v>
          </cell>
          <cell r="L660" t="str">
            <v>FRF</v>
          </cell>
          <cell r="M660" t="str">
            <v>Z009</v>
          </cell>
        </row>
        <row r="661">
          <cell r="E661" t="str">
            <v>335603</v>
          </cell>
          <cell r="F661">
            <v>37302</v>
          </cell>
          <cell r="G661">
            <v>37496</v>
          </cell>
          <cell r="H661" t="str">
            <v>Rallonges systèmes orbisphere in line</v>
          </cell>
          <cell r="I661" t="str">
            <v>ORB</v>
          </cell>
          <cell r="J661" t="str">
            <v>01</v>
          </cell>
          <cell r="K661">
            <v>1635.07</v>
          </cell>
          <cell r="L661" t="str">
            <v>EUR</v>
          </cell>
          <cell r="M661" t="str">
            <v>2100</v>
          </cell>
        </row>
        <row r="662">
          <cell r="E662" t="str">
            <v>32816</v>
          </cell>
          <cell r="F662">
            <v>38306</v>
          </cell>
          <cell r="G662">
            <v>37005</v>
          </cell>
          <cell r="H662" t="str">
            <v>DMA 35 N à Réparer</v>
          </cell>
          <cell r="I662" t="str">
            <v>PAA</v>
          </cell>
          <cell r="J662" t="str">
            <v>01</v>
          </cell>
          <cell r="K662">
            <v>2193.6999999999998</v>
          </cell>
          <cell r="L662" t="str">
            <v>EUR</v>
          </cell>
          <cell r="M662" t="str">
            <v>3390</v>
          </cell>
        </row>
        <row r="663">
          <cell r="E663" t="str">
            <v>331898</v>
          </cell>
          <cell r="F663">
            <v>37047</v>
          </cell>
          <cell r="G663">
            <v>37055</v>
          </cell>
          <cell r="H663" t="str">
            <v>1 Ordinateur Compaq portable Presario</v>
          </cell>
          <cell r="I663" t="str">
            <v>SIS</v>
          </cell>
          <cell r="J663" t="str">
            <v>01</v>
          </cell>
          <cell r="K663">
            <v>0</v>
          </cell>
          <cell r="L663" t="str">
            <v>FRF</v>
          </cell>
          <cell r="M663" t="str">
            <v>INV</v>
          </cell>
        </row>
        <row r="664">
          <cell r="E664" t="str">
            <v>331277</v>
          </cell>
          <cell r="F664">
            <v>36861</v>
          </cell>
          <cell r="G664">
            <v>36920</v>
          </cell>
          <cell r="H664" t="str">
            <v>16 Flacons de 2.5 litres isooctane</v>
          </cell>
          <cell r="I664" t="str">
            <v>MCK</v>
          </cell>
          <cell r="J664" t="str">
            <v>01</v>
          </cell>
          <cell r="K664">
            <v>3650.06</v>
          </cell>
          <cell r="L664" t="str">
            <v>FRF</v>
          </cell>
          <cell r="M664" t="str">
            <v>2201</v>
          </cell>
        </row>
        <row r="665">
          <cell r="E665" t="str">
            <v>332194</v>
          </cell>
          <cell r="F665">
            <v>36952</v>
          </cell>
          <cell r="G665">
            <v>36903</v>
          </cell>
          <cell r="H665" t="str">
            <v>Installations frigorifiques</v>
          </cell>
          <cell r="I665" t="str">
            <v>PYC</v>
          </cell>
          <cell r="J665" t="str">
            <v>01</v>
          </cell>
          <cell r="K665">
            <v>579</v>
          </cell>
          <cell r="L665" t="str">
            <v>FRF</v>
          </cell>
          <cell r="M665" t="str">
            <v>2201</v>
          </cell>
        </row>
        <row r="666">
          <cell r="E666" t="str">
            <v>332191</v>
          </cell>
          <cell r="F666">
            <v>36952</v>
          </cell>
          <cell r="G666">
            <v>36903</v>
          </cell>
          <cell r="H666" t="str">
            <v>1 Ouvrage Démarche Qualité</v>
          </cell>
          <cell r="I666" t="str">
            <v>AFN</v>
          </cell>
          <cell r="J666" t="str">
            <v>01</v>
          </cell>
          <cell r="K666">
            <v>283</v>
          </cell>
          <cell r="L666" t="str">
            <v>FRF</v>
          </cell>
          <cell r="M666" t="str">
            <v>2201</v>
          </cell>
        </row>
        <row r="667">
          <cell r="E667" t="str">
            <v>330762</v>
          </cell>
          <cell r="F667">
            <v>36815</v>
          </cell>
          <cell r="G667">
            <v>36965</v>
          </cell>
          <cell r="H667" t="str">
            <v>1 Pompe scaba</v>
          </cell>
          <cell r="I667" t="str">
            <v>FOS</v>
          </cell>
          <cell r="J667" t="str">
            <v>01</v>
          </cell>
          <cell r="K667">
            <v>34425.17</v>
          </cell>
          <cell r="L667" t="str">
            <v>FRF</v>
          </cell>
          <cell r="M667" t="str">
            <v>Y015</v>
          </cell>
        </row>
        <row r="668">
          <cell r="E668" t="str">
            <v>330761</v>
          </cell>
          <cell r="F668">
            <v>36815</v>
          </cell>
          <cell r="G668">
            <v>36871</v>
          </cell>
          <cell r="H668" t="str">
            <v>1 Simulateur O2</v>
          </cell>
          <cell r="I668" t="str">
            <v>ORB</v>
          </cell>
          <cell r="J668" t="str">
            <v>01</v>
          </cell>
          <cell r="K668">
            <v>7219</v>
          </cell>
          <cell r="L668" t="str">
            <v>FRF</v>
          </cell>
          <cell r="M668" t="str">
            <v>Y015</v>
          </cell>
        </row>
        <row r="669">
          <cell r="E669" t="str">
            <v>335123</v>
          </cell>
          <cell r="F669">
            <v>37244</v>
          </cell>
          <cell r="G669">
            <v>37271</v>
          </cell>
          <cell r="H669" t="str">
            <v>Analyses composants C02</v>
          </cell>
          <cell r="I669" t="str">
            <v>HAF</v>
          </cell>
          <cell r="J669" t="str">
            <v>01</v>
          </cell>
          <cell r="K669">
            <v>1794</v>
          </cell>
          <cell r="L669" t="str">
            <v>EUR</v>
          </cell>
          <cell r="M669" t="str">
            <v>2100</v>
          </cell>
        </row>
        <row r="670">
          <cell r="E670" t="str">
            <v>335603</v>
          </cell>
          <cell r="F670">
            <v>36937</v>
          </cell>
          <cell r="G670">
            <v>36985</v>
          </cell>
          <cell r="H670" t="str">
            <v>3 rallonges 15 mètres</v>
          </cell>
          <cell r="I670" t="str">
            <v>ORB</v>
          </cell>
          <cell r="J670" t="str">
            <v>01</v>
          </cell>
          <cell r="K670">
            <v>1635</v>
          </cell>
          <cell r="L670" t="str">
            <v>EUR</v>
          </cell>
          <cell r="M670" t="str">
            <v>2100</v>
          </cell>
        </row>
        <row r="671">
          <cell r="E671" t="str">
            <v>19816</v>
          </cell>
          <cell r="F671">
            <v>37924</v>
          </cell>
          <cell r="G671">
            <v>37097</v>
          </cell>
          <cell r="H671" t="str">
            <v>Pararosaniline hydrochloride 25 g</v>
          </cell>
          <cell r="I671" t="str">
            <v>SGM</v>
          </cell>
          <cell r="J671" t="str">
            <v>01</v>
          </cell>
          <cell r="K671">
            <v>249.31</v>
          </cell>
          <cell r="L671" t="str">
            <v>EUR</v>
          </cell>
          <cell r="M671" t="str">
            <v>2100</v>
          </cell>
        </row>
        <row r="672">
          <cell r="E672" t="str">
            <v>332278</v>
          </cell>
          <cell r="F672">
            <v>36959</v>
          </cell>
          <cell r="G672">
            <v>37125</v>
          </cell>
          <cell r="H672" t="str">
            <v>Slidex Staph Plus</v>
          </cell>
          <cell r="I672" t="str">
            <v>BIO</v>
          </cell>
          <cell r="J672" t="str">
            <v>01</v>
          </cell>
          <cell r="K672">
            <v>73974.06</v>
          </cell>
          <cell r="L672" t="str">
            <v>FRF</v>
          </cell>
          <cell r="M672" t="str">
            <v>2100</v>
          </cell>
        </row>
        <row r="673">
          <cell r="E673" t="str">
            <v>330779</v>
          </cell>
          <cell r="F673">
            <v>36815</v>
          </cell>
          <cell r="G673">
            <v>36893</v>
          </cell>
          <cell r="H673" t="str">
            <v>2 Systèmes orbisphere en ligne</v>
          </cell>
          <cell r="I673" t="str">
            <v>ORB</v>
          </cell>
          <cell r="J673" t="str">
            <v>01</v>
          </cell>
          <cell r="K673">
            <v>154277</v>
          </cell>
          <cell r="L673" t="str">
            <v>FRF</v>
          </cell>
          <cell r="M673" t="str">
            <v>Y016</v>
          </cell>
        </row>
        <row r="674">
          <cell r="E674" t="str">
            <v>31747</v>
          </cell>
          <cell r="F674">
            <v>36795</v>
          </cell>
          <cell r="G674">
            <v>36814</v>
          </cell>
          <cell r="H674" t="str">
            <v>1 Imprimante laser</v>
          </cell>
          <cell r="I674" t="str">
            <v>AFR</v>
          </cell>
          <cell r="J674" t="str">
            <v>01</v>
          </cell>
          <cell r="K674">
            <v>2740.74</v>
          </cell>
          <cell r="L674" t="str">
            <v>FRF</v>
          </cell>
          <cell r="M674" t="str">
            <v>Y020</v>
          </cell>
        </row>
        <row r="675">
          <cell r="E675" t="str">
            <v>330650</v>
          </cell>
          <cell r="F675">
            <v>36804</v>
          </cell>
          <cell r="G675">
            <v>36871</v>
          </cell>
          <cell r="H675" t="str">
            <v>Rechanges orbisphere</v>
          </cell>
          <cell r="I675" t="str">
            <v>ORB</v>
          </cell>
          <cell r="J675" t="str">
            <v>01</v>
          </cell>
          <cell r="K675">
            <v>24560</v>
          </cell>
          <cell r="L675" t="str">
            <v>FRF</v>
          </cell>
          <cell r="M675" t="str">
            <v>2000</v>
          </cell>
        </row>
        <row r="676">
          <cell r="E676" t="str">
            <v>332197</v>
          </cell>
          <cell r="F676">
            <v>36952</v>
          </cell>
          <cell r="G676">
            <v>38482</v>
          </cell>
          <cell r="H676" t="str">
            <v>DMA 4500 (1)</v>
          </cell>
          <cell r="I676" t="str">
            <v>PAA</v>
          </cell>
          <cell r="J676" t="str">
            <v>01</v>
          </cell>
          <cell r="K676">
            <v>13810</v>
          </cell>
          <cell r="L676" t="str">
            <v>EUR</v>
          </cell>
          <cell r="M676" t="str">
            <v>DV031</v>
          </cell>
        </row>
        <row r="677">
          <cell r="E677" t="str">
            <v>330764</v>
          </cell>
          <cell r="F677">
            <v>36815</v>
          </cell>
          <cell r="G677">
            <v>36922</v>
          </cell>
          <cell r="H677" t="str">
            <v>Rechanges scaba</v>
          </cell>
          <cell r="I677" t="str">
            <v>FOS</v>
          </cell>
          <cell r="J677" t="str">
            <v>01</v>
          </cell>
          <cell r="K677">
            <v>80787.520000000004</v>
          </cell>
          <cell r="L677" t="str">
            <v>FRF</v>
          </cell>
          <cell r="M677" t="str">
            <v>2000</v>
          </cell>
        </row>
        <row r="678">
          <cell r="E678" t="str">
            <v>330600</v>
          </cell>
          <cell r="F678">
            <v>36801</v>
          </cell>
          <cell r="G678">
            <v>36996</v>
          </cell>
          <cell r="H678" t="str">
            <v>15000 Feuilles Gris du lion</v>
          </cell>
          <cell r="I678" t="str">
            <v>DAc</v>
          </cell>
          <cell r="J678" t="str">
            <v>01</v>
          </cell>
          <cell r="K678">
            <v>0</v>
          </cell>
          <cell r="L678" t="str">
            <v>FRF</v>
          </cell>
          <cell r="M678" t="str">
            <v>2000</v>
          </cell>
        </row>
        <row r="679">
          <cell r="E679" t="str">
            <v>330652</v>
          </cell>
          <cell r="F679">
            <v>36812</v>
          </cell>
          <cell r="G679">
            <v>36857</v>
          </cell>
          <cell r="H679" t="str">
            <v>12 électrodes pH mètre Hanna</v>
          </cell>
          <cell r="I679" t="str">
            <v>NRM</v>
          </cell>
          <cell r="J679" t="str">
            <v>01</v>
          </cell>
          <cell r="K679">
            <v>9238.7999999999993</v>
          </cell>
          <cell r="L679" t="str">
            <v>FRF</v>
          </cell>
          <cell r="M679" t="str">
            <v>2000</v>
          </cell>
        </row>
        <row r="680">
          <cell r="E680" t="str">
            <v>330602</v>
          </cell>
          <cell r="F680">
            <v>36808</v>
          </cell>
          <cell r="G680">
            <v>36970</v>
          </cell>
          <cell r="H680" t="str">
            <v>6 électrodes Metrohm</v>
          </cell>
          <cell r="I680" t="str">
            <v>ROU</v>
          </cell>
          <cell r="J680" t="str">
            <v>01</v>
          </cell>
          <cell r="K680">
            <v>8035</v>
          </cell>
          <cell r="L680" t="str">
            <v>FRF</v>
          </cell>
          <cell r="M680" t="str">
            <v>2000</v>
          </cell>
        </row>
        <row r="681">
          <cell r="E681" t="str">
            <v>330605</v>
          </cell>
          <cell r="F681">
            <v>36801</v>
          </cell>
          <cell r="G681">
            <v>36819</v>
          </cell>
          <cell r="H681" t="str">
            <v>Milieux de Chapman + additifs</v>
          </cell>
          <cell r="I681" t="str">
            <v>DPA</v>
          </cell>
          <cell r="J681" t="str">
            <v>01</v>
          </cell>
          <cell r="K681">
            <v>6420.56</v>
          </cell>
          <cell r="L681" t="str">
            <v>FRF</v>
          </cell>
          <cell r="M681" t="str">
            <v>2100</v>
          </cell>
        </row>
        <row r="682">
          <cell r="E682" t="str">
            <v>330624</v>
          </cell>
          <cell r="F682">
            <v>36801</v>
          </cell>
          <cell r="G682">
            <v>36830</v>
          </cell>
          <cell r="H682" t="str">
            <v>Electrode combinée CG 837</v>
          </cell>
          <cell r="I682" t="str">
            <v>PRO</v>
          </cell>
          <cell r="J682" t="str">
            <v>01</v>
          </cell>
          <cell r="K682">
            <v>12422</v>
          </cell>
          <cell r="L682" t="str">
            <v>FRF</v>
          </cell>
          <cell r="M682" t="str">
            <v>2000</v>
          </cell>
        </row>
        <row r="683">
          <cell r="E683" t="str">
            <v>330622</v>
          </cell>
          <cell r="F683">
            <v>36801</v>
          </cell>
          <cell r="G683">
            <v>36893</v>
          </cell>
          <cell r="H683" t="str">
            <v>Sodium fluorure</v>
          </cell>
          <cell r="I683" t="str">
            <v>PRO</v>
          </cell>
          <cell r="J683" t="str">
            <v>01</v>
          </cell>
          <cell r="K683">
            <v>10382.120000000001</v>
          </cell>
          <cell r="L683" t="str">
            <v>FRF</v>
          </cell>
          <cell r="M683" t="str">
            <v>2100</v>
          </cell>
        </row>
        <row r="684">
          <cell r="E684" t="str">
            <v>331285</v>
          </cell>
          <cell r="F684">
            <v>36861</v>
          </cell>
          <cell r="G684">
            <v>36922</v>
          </cell>
          <cell r="H684" t="str">
            <v>DMA 35 N à Réparer</v>
          </cell>
          <cell r="I684" t="str">
            <v>PAA</v>
          </cell>
          <cell r="J684" t="str">
            <v>01</v>
          </cell>
          <cell r="K684">
            <v>2193.6999999999998</v>
          </cell>
          <cell r="L684" t="str">
            <v>EUR</v>
          </cell>
          <cell r="M684" t="str">
            <v>3390</v>
          </cell>
        </row>
        <row r="685">
          <cell r="E685" t="str">
            <v>330599</v>
          </cell>
          <cell r="F685">
            <v>36805</v>
          </cell>
          <cell r="G685">
            <v>36902</v>
          </cell>
          <cell r="H685" t="str">
            <v>Produits de laboratoire</v>
          </cell>
          <cell r="I685" t="str">
            <v>MCK</v>
          </cell>
          <cell r="J685" t="str">
            <v>01</v>
          </cell>
          <cell r="K685">
            <v>113156.31</v>
          </cell>
          <cell r="L685" t="str">
            <v>FRF</v>
          </cell>
          <cell r="M685" t="str">
            <v>2100</v>
          </cell>
        </row>
        <row r="686">
          <cell r="E686" t="str">
            <v>330604</v>
          </cell>
          <cell r="F686">
            <v>36801</v>
          </cell>
          <cell r="G686">
            <v>36843</v>
          </cell>
          <cell r="H686" t="str">
            <v>Rechanges Haffmans</v>
          </cell>
          <cell r="I686" t="str">
            <v>HAF</v>
          </cell>
          <cell r="J686" t="str">
            <v>01</v>
          </cell>
          <cell r="K686">
            <v>20618.419999999998</v>
          </cell>
          <cell r="L686" t="str">
            <v>FRF</v>
          </cell>
          <cell r="M686" t="str">
            <v>2000</v>
          </cell>
        </row>
        <row r="687">
          <cell r="E687" t="str">
            <v>330765</v>
          </cell>
          <cell r="F687">
            <v>36844</v>
          </cell>
          <cell r="G687">
            <v>36903</v>
          </cell>
          <cell r="H687" t="str">
            <v>Installations frigorifiques</v>
          </cell>
          <cell r="I687" t="str">
            <v>PYC</v>
          </cell>
          <cell r="J687" t="str">
            <v>01</v>
          </cell>
          <cell r="K687">
            <v>579</v>
          </cell>
          <cell r="L687" t="str">
            <v>FRF</v>
          </cell>
          <cell r="M687" t="str">
            <v>2201</v>
          </cell>
        </row>
        <row r="688">
          <cell r="E688" t="str">
            <v>330520</v>
          </cell>
          <cell r="F688">
            <v>36794</v>
          </cell>
          <cell r="G688">
            <v>36903</v>
          </cell>
          <cell r="H688" t="str">
            <v>1 Ouvrage Démarche Qualité</v>
          </cell>
          <cell r="I688" t="str">
            <v>AFN</v>
          </cell>
          <cell r="J688" t="str">
            <v>01</v>
          </cell>
          <cell r="K688">
            <v>283</v>
          </cell>
          <cell r="L688" t="str">
            <v>FRF</v>
          </cell>
          <cell r="M688" t="str">
            <v>2201</v>
          </cell>
        </row>
        <row r="689">
          <cell r="E689" t="str">
            <v>330606</v>
          </cell>
          <cell r="F689">
            <v>36796</v>
          </cell>
          <cell r="G689">
            <v>36857</v>
          </cell>
          <cell r="H689" t="str">
            <v>Goupillon nylon à main</v>
          </cell>
          <cell r="I689" t="str">
            <v>MAR</v>
          </cell>
          <cell r="J689" t="str">
            <v>01</v>
          </cell>
          <cell r="K689">
            <v>5962</v>
          </cell>
          <cell r="L689" t="str">
            <v>FRF</v>
          </cell>
          <cell r="M689" t="str">
            <v>2100</v>
          </cell>
        </row>
        <row r="690">
          <cell r="E690" t="str">
            <v>330601</v>
          </cell>
          <cell r="F690">
            <v>36801</v>
          </cell>
          <cell r="G690">
            <v>36840</v>
          </cell>
          <cell r="H690" t="str">
            <v>Spectrophotomètre Genesys</v>
          </cell>
          <cell r="I690" t="str">
            <v>SPT</v>
          </cell>
          <cell r="J690" t="str">
            <v>01</v>
          </cell>
          <cell r="K690">
            <v>56793.3</v>
          </cell>
          <cell r="L690" t="str">
            <v>FRF</v>
          </cell>
          <cell r="M690" t="str">
            <v>Y017</v>
          </cell>
        </row>
        <row r="691">
          <cell r="E691" t="str">
            <v>330521</v>
          </cell>
          <cell r="F691">
            <v>36794</v>
          </cell>
          <cell r="G691">
            <v>36893</v>
          </cell>
          <cell r="H691" t="str">
            <v>Cable détachable 120 m</v>
          </cell>
          <cell r="I691" t="str">
            <v>ORB</v>
          </cell>
          <cell r="J691" t="str">
            <v>04</v>
          </cell>
          <cell r="K691">
            <v>15139</v>
          </cell>
          <cell r="L691" t="str">
            <v>FRF</v>
          </cell>
          <cell r="M691" t="str">
            <v>Y014</v>
          </cell>
        </row>
        <row r="692">
          <cell r="E692" t="str">
            <v>335603</v>
          </cell>
          <cell r="F692">
            <v>36937</v>
          </cell>
          <cell r="H692" t="str">
            <v>1 Abonnement à BIOS (6 numéros)</v>
          </cell>
          <cell r="I692" t="str">
            <v>PCI</v>
          </cell>
          <cell r="J692" t="str">
            <v>01</v>
          </cell>
          <cell r="K692">
            <v>0</v>
          </cell>
          <cell r="L692" t="str">
            <v>EUR</v>
          </cell>
          <cell r="M692" t="str">
            <v>2201</v>
          </cell>
        </row>
        <row r="693">
          <cell r="E693" t="str">
            <v>330160</v>
          </cell>
          <cell r="F693">
            <v>36760</v>
          </cell>
          <cell r="G693">
            <v>36748</v>
          </cell>
          <cell r="H693" t="str">
            <v>Pararosaniline hydrochloride 25 g</v>
          </cell>
          <cell r="I693" t="str">
            <v>SGM</v>
          </cell>
          <cell r="J693" t="str">
            <v>01</v>
          </cell>
          <cell r="K693">
            <v>249.31</v>
          </cell>
          <cell r="L693" t="str">
            <v>EUR</v>
          </cell>
          <cell r="M693" t="str">
            <v>2100</v>
          </cell>
        </row>
        <row r="694">
          <cell r="E694" t="str">
            <v>330044</v>
          </cell>
          <cell r="F694">
            <v>36725</v>
          </cell>
          <cell r="G694">
            <v>36775</v>
          </cell>
          <cell r="H694" t="str">
            <v>Slidex Staph Plus</v>
          </cell>
          <cell r="I694" t="str">
            <v>BIO</v>
          </cell>
          <cell r="J694" t="str">
            <v>01</v>
          </cell>
          <cell r="K694">
            <v>6972.22</v>
          </cell>
          <cell r="L694" t="str">
            <v>FRF</v>
          </cell>
          <cell r="M694" t="str">
            <v>2100</v>
          </cell>
        </row>
        <row r="695">
          <cell r="E695" t="str">
            <v>330050</v>
          </cell>
          <cell r="F695">
            <v>36726</v>
          </cell>
          <cell r="G695">
            <v>36766</v>
          </cell>
          <cell r="H695" t="str">
            <v>6 Sondes 310 mm</v>
          </cell>
          <cell r="I695" t="str">
            <v>HAF</v>
          </cell>
          <cell r="J695" t="str">
            <v>01</v>
          </cell>
          <cell r="K695">
            <v>11568.3</v>
          </cell>
          <cell r="L695" t="str">
            <v>FRF</v>
          </cell>
          <cell r="M695" t="str">
            <v>2000</v>
          </cell>
        </row>
        <row r="696">
          <cell r="E696" t="str">
            <v>31747</v>
          </cell>
          <cell r="F696">
            <v>36795</v>
          </cell>
          <cell r="G696">
            <v>36775</v>
          </cell>
          <cell r="H696" t="str">
            <v>1 Ouvrage Food Chemical Codex</v>
          </cell>
          <cell r="I696" t="str">
            <v>LAV</v>
          </cell>
          <cell r="J696" t="str">
            <v>01</v>
          </cell>
          <cell r="K696">
            <v>0</v>
          </cell>
          <cell r="L696" t="str">
            <v>FRF</v>
          </cell>
          <cell r="M696" t="str">
            <v>2201</v>
          </cell>
        </row>
        <row r="697">
          <cell r="E697" t="str">
            <v>329816</v>
          </cell>
          <cell r="F697">
            <v>36705</v>
          </cell>
          <cell r="G697">
            <v>36741</v>
          </cell>
          <cell r="H697" t="str">
            <v>Batteries for Moca</v>
          </cell>
          <cell r="I697" t="str">
            <v>ORB</v>
          </cell>
          <cell r="J697" t="str">
            <v>01</v>
          </cell>
          <cell r="K697">
            <v>3875</v>
          </cell>
          <cell r="L697" t="str">
            <v>FRF</v>
          </cell>
          <cell r="M697" t="str">
            <v>2000</v>
          </cell>
        </row>
        <row r="698">
          <cell r="E698" t="str">
            <v>329914</v>
          </cell>
          <cell r="F698">
            <v>36713</v>
          </cell>
          <cell r="G698">
            <v>38482</v>
          </cell>
          <cell r="H698" t="str">
            <v>Microquant PO4 et SiO2</v>
          </cell>
          <cell r="I698" t="str">
            <v>MCK</v>
          </cell>
          <cell r="J698" t="str">
            <v>01</v>
          </cell>
          <cell r="K698">
            <v>44638.3</v>
          </cell>
          <cell r="L698" t="str">
            <v>FRF</v>
          </cell>
          <cell r="M698" t="str">
            <v>2100</v>
          </cell>
        </row>
        <row r="699">
          <cell r="E699" t="str">
            <v>330764</v>
          </cell>
          <cell r="F699">
            <v>36815</v>
          </cell>
          <cell r="G699">
            <v>36822</v>
          </cell>
          <cell r="H699" t="str">
            <v>Normes iso 9100/2000 &amp; 9200/2000</v>
          </cell>
          <cell r="I699" t="str">
            <v>ISO</v>
          </cell>
          <cell r="J699" t="str">
            <v>01</v>
          </cell>
          <cell r="K699">
            <v>6058.4</v>
          </cell>
          <cell r="L699" t="str">
            <v>FRF</v>
          </cell>
          <cell r="M699" t="str">
            <v>2201</v>
          </cell>
        </row>
        <row r="700">
          <cell r="E700" t="str">
            <v>329880</v>
          </cell>
          <cell r="F700">
            <v>36710</v>
          </cell>
          <cell r="G700">
            <v>36893</v>
          </cell>
          <cell r="H700" t="str">
            <v>Additifs Pasteur</v>
          </cell>
          <cell r="I700" t="str">
            <v>DPA</v>
          </cell>
          <cell r="J700" t="str">
            <v>01</v>
          </cell>
          <cell r="K700">
            <v>2126.4</v>
          </cell>
          <cell r="L700" t="str">
            <v>FRF</v>
          </cell>
          <cell r="M700" t="str">
            <v>2100</v>
          </cell>
        </row>
        <row r="701">
          <cell r="E701" t="str">
            <v>328474</v>
          </cell>
          <cell r="F701">
            <v>36579</v>
          </cell>
          <cell r="G701">
            <v>36857</v>
          </cell>
          <cell r="H701" t="str">
            <v>Usine Nouvelle, Numéro hors série</v>
          </cell>
          <cell r="I701" t="str">
            <v>SNB</v>
          </cell>
          <cell r="J701" t="str">
            <v>01</v>
          </cell>
          <cell r="K701">
            <v>543.88</v>
          </cell>
          <cell r="L701" t="str">
            <v>FRF</v>
          </cell>
          <cell r="M701" t="str">
            <v>2201</v>
          </cell>
        </row>
        <row r="702">
          <cell r="E702" t="str">
            <v>330602</v>
          </cell>
          <cell r="F702">
            <v>36808</v>
          </cell>
          <cell r="H702" t="str">
            <v>Matériels de laboratoire (thermomètres)</v>
          </cell>
          <cell r="I702" t="str">
            <v>FSS</v>
          </cell>
          <cell r="J702" t="str">
            <v>01</v>
          </cell>
          <cell r="K702">
            <v>0</v>
          </cell>
          <cell r="L702" t="str">
            <v>FRF</v>
          </cell>
          <cell r="M702" t="str">
            <v>2100</v>
          </cell>
        </row>
        <row r="703">
          <cell r="E703" t="str">
            <v>329226</v>
          </cell>
          <cell r="F703">
            <v>36668</v>
          </cell>
          <cell r="G703">
            <v>36707</v>
          </cell>
          <cell r="H703" t="str">
            <v>3 Thermomètre submersible</v>
          </cell>
          <cell r="I703" t="str">
            <v>MAN</v>
          </cell>
          <cell r="J703" t="str">
            <v>01</v>
          </cell>
          <cell r="K703">
            <v>6460</v>
          </cell>
          <cell r="L703" t="str">
            <v>FRF</v>
          </cell>
          <cell r="M703" t="str">
            <v>Y018</v>
          </cell>
        </row>
        <row r="704">
          <cell r="E704" t="str">
            <v>330624</v>
          </cell>
          <cell r="F704">
            <v>36801</v>
          </cell>
          <cell r="G704">
            <v>36830</v>
          </cell>
          <cell r="H704" t="str">
            <v>Ordinateur personnel</v>
          </cell>
          <cell r="I704" t="str">
            <v>DSI</v>
          </cell>
          <cell r="J704" t="str">
            <v>01</v>
          </cell>
          <cell r="K704">
            <v>0</v>
          </cell>
          <cell r="L704" t="str">
            <v>FRF</v>
          </cell>
          <cell r="M704" t="str">
            <v>Y020</v>
          </cell>
        </row>
        <row r="705">
          <cell r="E705" t="str">
            <v>330622</v>
          </cell>
          <cell r="F705">
            <v>36801</v>
          </cell>
          <cell r="G705">
            <v>36893</v>
          </cell>
          <cell r="H705" t="str">
            <v>1 Visite d'inspection systématique</v>
          </cell>
          <cell r="I705" t="str">
            <v>FOS</v>
          </cell>
          <cell r="J705" t="str">
            <v>01</v>
          </cell>
          <cell r="K705">
            <v>0</v>
          </cell>
          <cell r="L705" t="str">
            <v>FRF</v>
          </cell>
          <cell r="M705" t="str">
            <v>3391</v>
          </cell>
        </row>
        <row r="706">
          <cell r="E706" t="str">
            <v>329458</v>
          </cell>
          <cell r="F706">
            <v>36712</v>
          </cell>
          <cell r="G706">
            <v>36922</v>
          </cell>
          <cell r="H706" t="str">
            <v>Monographies EBC</v>
          </cell>
          <cell r="I706" t="str">
            <v>FHC</v>
          </cell>
          <cell r="J706" t="str">
            <v>01</v>
          </cell>
          <cell r="K706">
            <v>846.84</v>
          </cell>
          <cell r="L706" t="str">
            <v>FRF</v>
          </cell>
          <cell r="M706" t="str">
            <v>2201</v>
          </cell>
        </row>
        <row r="707">
          <cell r="E707" t="str">
            <v>329079</v>
          </cell>
          <cell r="F707">
            <v>36641</v>
          </cell>
          <cell r="G707">
            <v>36902</v>
          </cell>
          <cell r="H707" t="str">
            <v>12 Boîtes memb 2956 + 12 boîtes mem 2958</v>
          </cell>
          <cell r="I707" t="str">
            <v>ORB</v>
          </cell>
          <cell r="J707" t="str">
            <v>01</v>
          </cell>
          <cell r="K707">
            <v>11822</v>
          </cell>
          <cell r="L707" t="str">
            <v>FRF</v>
          </cell>
          <cell r="M707" t="str">
            <v>2100</v>
          </cell>
        </row>
        <row r="708">
          <cell r="E708" t="str">
            <v>330604</v>
          </cell>
          <cell r="F708">
            <v>36801</v>
          </cell>
          <cell r="G708">
            <v>36843</v>
          </cell>
          <cell r="H708" t="str">
            <v>Statut légal des jus de fruits et BAF</v>
          </cell>
          <cell r="I708" t="str">
            <v>DJF</v>
          </cell>
          <cell r="J708" t="str">
            <v>01</v>
          </cell>
          <cell r="K708">
            <v>600</v>
          </cell>
          <cell r="L708" t="str">
            <v>FRF</v>
          </cell>
          <cell r="M708" t="str">
            <v>2201</v>
          </cell>
        </row>
        <row r="709">
          <cell r="E709" t="str">
            <v>330765</v>
          </cell>
          <cell r="F709">
            <v>36844</v>
          </cell>
          <cell r="G709">
            <v>37123</v>
          </cell>
          <cell r="H709" t="str">
            <v>1 ouvrage Hygiène alimentaire</v>
          </cell>
          <cell r="I709" t="str">
            <v>DJO</v>
          </cell>
          <cell r="J709" t="str">
            <v>01</v>
          </cell>
          <cell r="K709">
            <v>0</v>
          </cell>
          <cell r="L709" t="str">
            <v>FRF</v>
          </cell>
          <cell r="M709" t="str">
            <v>2201</v>
          </cell>
        </row>
        <row r="710">
          <cell r="E710" t="str">
            <v>332545</v>
          </cell>
          <cell r="F710">
            <v>36983</v>
          </cell>
          <cell r="G710">
            <v>36662</v>
          </cell>
          <cell r="H710" t="str">
            <v>1 ouvrage Lamy Dehove Vol 3</v>
          </cell>
          <cell r="I710" t="str">
            <v>LMY</v>
          </cell>
          <cell r="J710" t="str">
            <v>01</v>
          </cell>
          <cell r="K710">
            <v>7004.04</v>
          </cell>
          <cell r="L710" t="str">
            <v>FRF</v>
          </cell>
          <cell r="M710" t="str">
            <v>2201</v>
          </cell>
        </row>
        <row r="711">
          <cell r="E711" t="str">
            <v>338257</v>
          </cell>
          <cell r="F711">
            <v>37775</v>
          </cell>
          <cell r="G711">
            <v>36857</v>
          </cell>
          <cell r="H711" t="str">
            <v>1 ouvrage Lamy Dehove, mise à jour 2003</v>
          </cell>
          <cell r="I711" t="str">
            <v>LMY</v>
          </cell>
          <cell r="J711" t="str">
            <v>01</v>
          </cell>
          <cell r="K711">
            <v>523.91999999999996</v>
          </cell>
          <cell r="L711" t="str">
            <v>EUR</v>
          </cell>
          <cell r="M711" t="str">
            <v>2201</v>
          </cell>
        </row>
        <row r="712">
          <cell r="E712" t="str">
            <v>330601</v>
          </cell>
          <cell r="F712">
            <v>36631</v>
          </cell>
          <cell r="G712">
            <v>36775</v>
          </cell>
          <cell r="H712" t="str">
            <v>1 CD, le codex alimentarus</v>
          </cell>
          <cell r="I712" t="str">
            <v>FAO</v>
          </cell>
          <cell r="J712" t="str">
            <v>01</v>
          </cell>
          <cell r="K712">
            <v>4849.9399999999996</v>
          </cell>
          <cell r="L712" t="str">
            <v>FRF</v>
          </cell>
          <cell r="M712" t="str">
            <v>2201</v>
          </cell>
        </row>
        <row r="713">
          <cell r="E713" t="str">
            <v>326953</v>
          </cell>
          <cell r="F713">
            <v>36430</v>
          </cell>
          <cell r="G713">
            <v>36482</v>
          </cell>
          <cell r="H713" t="str">
            <v>4 Adaptateurs pour bouteilles 80-90 mm</v>
          </cell>
          <cell r="I713" t="str">
            <v>HAF</v>
          </cell>
          <cell r="J713" t="str">
            <v>01</v>
          </cell>
          <cell r="K713">
            <v>3534</v>
          </cell>
          <cell r="L713" t="str">
            <v>FRF</v>
          </cell>
          <cell r="M713" t="str">
            <v>W004</v>
          </cell>
        </row>
        <row r="714">
          <cell r="F714">
            <v>36425</v>
          </cell>
          <cell r="G714">
            <v>36466</v>
          </cell>
          <cell r="H714" t="str">
            <v>1 Abonnement à BIOS (6 numéros)</v>
          </cell>
          <cell r="I714" t="str">
            <v>PCI</v>
          </cell>
          <cell r="J714" t="str">
            <v>01</v>
          </cell>
          <cell r="K714">
            <v>0</v>
          </cell>
          <cell r="L714" t="str">
            <v>FRF</v>
          </cell>
          <cell r="M714" t="str">
            <v>2201</v>
          </cell>
        </row>
        <row r="715">
          <cell r="E715" t="str">
            <v>330160</v>
          </cell>
          <cell r="F715">
            <v>36622</v>
          </cell>
          <cell r="G715">
            <v>36662</v>
          </cell>
          <cell r="H715" t="str">
            <v>1 Moteur Airpax Agitateur</v>
          </cell>
          <cell r="I715" t="str">
            <v>PRO</v>
          </cell>
          <cell r="J715" t="str">
            <v>01</v>
          </cell>
          <cell r="K715">
            <v>2082.7800000000002</v>
          </cell>
          <cell r="L715" t="str">
            <v>FRF</v>
          </cell>
          <cell r="M715" t="str">
            <v>2000</v>
          </cell>
        </row>
        <row r="716">
          <cell r="E716" t="str">
            <v>328809</v>
          </cell>
          <cell r="F716">
            <v>36626</v>
          </cell>
          <cell r="G716">
            <v>36661</v>
          </cell>
          <cell r="H716" t="str">
            <v>Dynamomètres</v>
          </cell>
          <cell r="I716" t="str">
            <v>MAN</v>
          </cell>
          <cell r="J716" t="str">
            <v>01</v>
          </cell>
          <cell r="K716">
            <v>1698.04</v>
          </cell>
          <cell r="L716" t="str">
            <v>FRF</v>
          </cell>
          <cell r="M716" t="str">
            <v>2100</v>
          </cell>
        </row>
        <row r="717">
          <cell r="E717" t="str">
            <v>328822</v>
          </cell>
          <cell r="F717">
            <v>36613</v>
          </cell>
          <cell r="G717">
            <v>36707</v>
          </cell>
          <cell r="H717" t="str">
            <v>2 Moca 3600 encastrable</v>
          </cell>
          <cell r="I717" t="str">
            <v>ORB</v>
          </cell>
          <cell r="J717" t="str">
            <v>01</v>
          </cell>
          <cell r="K717">
            <v>142055</v>
          </cell>
          <cell r="L717" t="str">
            <v>FRF</v>
          </cell>
          <cell r="M717" t="str">
            <v>Y014</v>
          </cell>
        </row>
        <row r="718">
          <cell r="E718" t="str">
            <v>329007</v>
          </cell>
          <cell r="F718">
            <v>36623</v>
          </cell>
          <cell r="G718">
            <v>36775</v>
          </cell>
          <cell r="H718" t="str">
            <v>1 Foam Testing Apparatus</v>
          </cell>
          <cell r="I718" t="str">
            <v>DBR</v>
          </cell>
          <cell r="J718" t="str">
            <v>01</v>
          </cell>
          <cell r="K718">
            <v>56103.4</v>
          </cell>
          <cell r="L718" t="str">
            <v>FRF</v>
          </cell>
          <cell r="M718" t="str">
            <v>2201</v>
          </cell>
        </row>
        <row r="719">
          <cell r="E719" t="str">
            <v>33099</v>
          </cell>
          <cell r="F719">
            <v>38413</v>
          </cell>
          <cell r="G719">
            <v>36741</v>
          </cell>
          <cell r="H719" t="str">
            <v>Alcolyser version bière (2)</v>
          </cell>
          <cell r="I719" t="str">
            <v>PAA</v>
          </cell>
          <cell r="J719" t="str">
            <v>01</v>
          </cell>
          <cell r="K719">
            <v>34448.5</v>
          </cell>
          <cell r="L719" t="str">
            <v>EUR</v>
          </cell>
          <cell r="M719" t="str">
            <v>DV032</v>
          </cell>
        </row>
        <row r="720">
          <cell r="E720" t="str">
            <v>329914</v>
          </cell>
          <cell r="F720">
            <v>36713</v>
          </cell>
          <cell r="G720">
            <v>36605</v>
          </cell>
          <cell r="H720" t="str">
            <v>Microquant PO4 et SiO2</v>
          </cell>
          <cell r="I720" t="str">
            <v>MCK</v>
          </cell>
          <cell r="J720" t="str">
            <v>01</v>
          </cell>
          <cell r="K720">
            <v>44638.3</v>
          </cell>
          <cell r="L720" t="str">
            <v>FRF</v>
          </cell>
          <cell r="M720" t="str">
            <v>Y020</v>
          </cell>
        </row>
        <row r="721">
          <cell r="E721" t="str">
            <v>328821</v>
          </cell>
          <cell r="F721">
            <v>36615</v>
          </cell>
          <cell r="G721">
            <v>36822</v>
          </cell>
          <cell r="H721" t="str">
            <v>Normes iso 9100/2000 &amp; 9200/2000</v>
          </cell>
          <cell r="I721" t="str">
            <v>ISO</v>
          </cell>
          <cell r="J721" t="str">
            <v>01</v>
          </cell>
          <cell r="K721">
            <v>6058.4</v>
          </cell>
          <cell r="L721" t="str">
            <v>FRF</v>
          </cell>
          <cell r="M721" t="str">
            <v>2201</v>
          </cell>
        </row>
        <row r="722">
          <cell r="E722" t="str">
            <v>328769</v>
          </cell>
          <cell r="F722">
            <v>36614</v>
          </cell>
          <cell r="H722" t="str">
            <v>Panneau frontal oxymètre moca 3600</v>
          </cell>
          <cell r="I722" t="str">
            <v>ORB</v>
          </cell>
          <cell r="J722" t="str">
            <v>01</v>
          </cell>
          <cell r="K722">
            <v>7916.15</v>
          </cell>
          <cell r="L722" t="str">
            <v>FRF</v>
          </cell>
          <cell r="M722" t="str">
            <v>2000</v>
          </cell>
        </row>
        <row r="723">
          <cell r="E723" t="str">
            <v>328474</v>
          </cell>
          <cell r="F723">
            <v>36579</v>
          </cell>
          <cell r="G723">
            <v>36587</v>
          </cell>
          <cell r="H723" t="str">
            <v>Usine Nouvelle, Numéro hors série</v>
          </cell>
          <cell r="I723" t="str">
            <v>SNB</v>
          </cell>
          <cell r="J723" t="str">
            <v>01</v>
          </cell>
          <cell r="K723">
            <v>543.88</v>
          </cell>
          <cell r="L723" t="str">
            <v>FRF</v>
          </cell>
          <cell r="M723" t="str">
            <v>2000</v>
          </cell>
        </row>
        <row r="724">
          <cell r="E724" t="str">
            <v>328678</v>
          </cell>
          <cell r="F724">
            <v>36598</v>
          </cell>
          <cell r="H724" t="str">
            <v>Malt standard, 6 x 500 g</v>
          </cell>
          <cell r="I724" t="str">
            <v>LCT</v>
          </cell>
          <cell r="J724" t="str">
            <v>01</v>
          </cell>
          <cell r="K724">
            <v>1556.12</v>
          </cell>
          <cell r="L724" t="str">
            <v>FRF</v>
          </cell>
          <cell r="M724" t="str">
            <v>2100</v>
          </cell>
        </row>
        <row r="725">
          <cell r="E725" t="str">
            <v>328272</v>
          </cell>
          <cell r="F725">
            <v>36572</v>
          </cell>
          <cell r="G725">
            <v>36608</v>
          </cell>
          <cell r="H725" t="str">
            <v>Câble rallonge orbisphere 60 mètres</v>
          </cell>
          <cell r="I725" t="str">
            <v>ORB</v>
          </cell>
          <cell r="J725" t="str">
            <v>01</v>
          </cell>
          <cell r="K725">
            <v>8613</v>
          </cell>
          <cell r="L725" t="str">
            <v>FRF</v>
          </cell>
          <cell r="M725" t="str">
            <v>2100</v>
          </cell>
        </row>
        <row r="726">
          <cell r="E726" t="str">
            <v>328054</v>
          </cell>
          <cell r="F726">
            <v>36550</v>
          </cell>
          <cell r="H726" t="str">
            <v>Produits de laboratoire</v>
          </cell>
          <cell r="I726" t="str">
            <v>PRO</v>
          </cell>
          <cell r="J726" t="str">
            <v>01</v>
          </cell>
          <cell r="K726">
            <v>24921.63</v>
          </cell>
          <cell r="L726" t="str">
            <v>FRF</v>
          </cell>
          <cell r="M726" t="str">
            <v>Y020</v>
          </cell>
        </row>
        <row r="727">
          <cell r="H727" t="str">
            <v>Bacl2 + NaF</v>
          </cell>
          <cell r="I727" t="str">
            <v>FSS</v>
          </cell>
          <cell r="J727" t="str">
            <v>01</v>
          </cell>
          <cell r="K727">
            <v>0</v>
          </cell>
          <cell r="M727" t="str">
            <v>2100</v>
          </cell>
        </row>
        <row r="728">
          <cell r="E728" t="str">
            <v>328619</v>
          </cell>
          <cell r="F728">
            <v>36593</v>
          </cell>
          <cell r="H728" t="str">
            <v>Membranes 0,45 µm</v>
          </cell>
          <cell r="I728" t="str">
            <v>STR</v>
          </cell>
          <cell r="J728" t="str">
            <v>SEMC</v>
          </cell>
          <cell r="K728">
            <v>29010</v>
          </cell>
          <cell r="L728" t="str">
            <v>FRF</v>
          </cell>
          <cell r="M728" t="str">
            <v>SEMC</v>
          </cell>
        </row>
        <row r="729">
          <cell r="E729" t="str">
            <v>328218</v>
          </cell>
          <cell r="F729">
            <v>36570</v>
          </cell>
          <cell r="H729" t="str">
            <v>Produits de laboratoire</v>
          </cell>
          <cell r="I729" t="str">
            <v>MCK</v>
          </cell>
          <cell r="J729" t="str">
            <v>01</v>
          </cell>
          <cell r="K729">
            <v>132076.1</v>
          </cell>
          <cell r="L729" t="str">
            <v>FRF</v>
          </cell>
          <cell r="M729" t="str">
            <v>2100</v>
          </cell>
        </row>
        <row r="730">
          <cell r="E730" t="str">
            <v>336549</v>
          </cell>
          <cell r="G730">
            <v>37488</v>
          </cell>
          <cell r="H730" t="str">
            <v>Statut légal des jus de fruits et BAF</v>
          </cell>
          <cell r="I730" t="str">
            <v>DJF</v>
          </cell>
          <cell r="J730" t="str">
            <v>01</v>
          </cell>
          <cell r="K730">
            <v>600</v>
          </cell>
          <cell r="L730" t="str">
            <v>FRF</v>
          </cell>
          <cell r="M730" t="str">
            <v>A042</v>
          </cell>
        </row>
        <row r="731">
          <cell r="E731" t="str">
            <v>328068</v>
          </cell>
          <cell r="F731">
            <v>36553</v>
          </cell>
          <cell r="G731">
            <v>36593</v>
          </cell>
          <cell r="H731" t="str">
            <v>1 ouvrage Hygiène alimentaire</v>
          </cell>
          <cell r="I731" t="str">
            <v>DJO</v>
          </cell>
          <cell r="J731" t="str">
            <v>01</v>
          </cell>
          <cell r="K731">
            <v>0</v>
          </cell>
          <cell r="L731" t="str">
            <v>FRF</v>
          </cell>
          <cell r="M731" t="str">
            <v>2201</v>
          </cell>
        </row>
        <row r="732">
          <cell r="E732" t="str">
            <v>328077</v>
          </cell>
          <cell r="F732">
            <v>36556</v>
          </cell>
          <cell r="G732">
            <v>36662</v>
          </cell>
          <cell r="H732" t="str">
            <v>Alizarine red S + VDK + DMS</v>
          </cell>
          <cell r="I732" t="str">
            <v>FLK</v>
          </cell>
          <cell r="J732" t="str">
            <v>01</v>
          </cell>
          <cell r="K732">
            <v>2311.1999999999998</v>
          </cell>
          <cell r="L732" t="str">
            <v>FRF</v>
          </cell>
          <cell r="M732" t="str">
            <v>2100</v>
          </cell>
        </row>
        <row r="733">
          <cell r="E733" t="str">
            <v>328194</v>
          </cell>
          <cell r="F733">
            <v>36563</v>
          </cell>
          <cell r="G733">
            <v>36599</v>
          </cell>
          <cell r="H733" t="str">
            <v>1 ouvrage Lamy Dehove, mise à jour 2003</v>
          </cell>
          <cell r="I733" t="str">
            <v>LMY</v>
          </cell>
          <cell r="J733" t="str">
            <v>01</v>
          </cell>
          <cell r="K733">
            <v>523.91999999999996</v>
          </cell>
          <cell r="L733" t="str">
            <v>EUR</v>
          </cell>
          <cell r="M733" t="str">
            <v>2201</v>
          </cell>
        </row>
        <row r="734">
          <cell r="E734" t="str">
            <v>328271</v>
          </cell>
          <cell r="F734">
            <v>36631</v>
          </cell>
          <cell r="G734">
            <v>36775</v>
          </cell>
          <cell r="H734" t="str">
            <v>1 CD, le codex alimentarus</v>
          </cell>
          <cell r="I734" t="str">
            <v>FAO</v>
          </cell>
          <cell r="J734" t="str">
            <v>01</v>
          </cell>
          <cell r="K734">
            <v>4849.9399999999996</v>
          </cell>
          <cell r="L734" t="str">
            <v>FRF</v>
          </cell>
          <cell r="M734" t="str">
            <v>2201</v>
          </cell>
        </row>
        <row r="735">
          <cell r="E735" t="str">
            <v>328921</v>
          </cell>
          <cell r="F735">
            <v>36626</v>
          </cell>
          <cell r="G735">
            <v>36700</v>
          </cell>
          <cell r="H735" t="str">
            <v>Gélose d'endo</v>
          </cell>
          <cell r="I735" t="str">
            <v>DPQ</v>
          </cell>
          <cell r="J735" t="str">
            <v>01</v>
          </cell>
          <cell r="K735">
            <v>1522.8</v>
          </cell>
          <cell r="L735" t="str">
            <v>FRF</v>
          </cell>
          <cell r="M735" t="str">
            <v>2100</v>
          </cell>
        </row>
        <row r="736">
          <cell r="E736" t="str">
            <v>328074</v>
          </cell>
          <cell r="F736">
            <v>36425</v>
          </cell>
          <cell r="G736">
            <v>36466</v>
          </cell>
          <cell r="H736" t="str">
            <v>Système de contrôle des UP</v>
          </cell>
          <cell r="I736" t="str">
            <v>SAC</v>
          </cell>
          <cell r="J736" t="str">
            <v>04</v>
          </cell>
          <cell r="K736">
            <v>8506.36</v>
          </cell>
          <cell r="L736" t="str">
            <v>FRF</v>
          </cell>
          <cell r="M736" t="str">
            <v>X034</v>
          </cell>
        </row>
        <row r="737">
          <cell r="E737" t="str">
            <v>328064</v>
          </cell>
          <cell r="F737">
            <v>36622</v>
          </cell>
          <cell r="G737">
            <v>36662</v>
          </cell>
          <cell r="H737" t="str">
            <v>Alu N°1 + N°2 + Glycine + DPD N° 1 et 4R</v>
          </cell>
          <cell r="I737" t="str">
            <v>CIF</v>
          </cell>
          <cell r="J737" t="str">
            <v>01</v>
          </cell>
          <cell r="K737">
            <v>27466.9</v>
          </cell>
          <cell r="L737" t="str">
            <v>FRF</v>
          </cell>
          <cell r="M737" t="str">
            <v>2100</v>
          </cell>
        </row>
        <row r="738">
          <cell r="E738" t="str">
            <v>328071</v>
          </cell>
          <cell r="F738">
            <v>36553</v>
          </cell>
          <cell r="G738">
            <v>36579</v>
          </cell>
          <cell r="H738" t="str">
            <v>Papier filtre DN 125 mm bande noire</v>
          </cell>
          <cell r="I738" t="str">
            <v>S&amp;S</v>
          </cell>
          <cell r="J738" t="str">
            <v>01</v>
          </cell>
          <cell r="K738">
            <v>5090</v>
          </cell>
          <cell r="L738" t="str">
            <v>FRF</v>
          </cell>
          <cell r="M738" t="str">
            <v>2100</v>
          </cell>
        </row>
        <row r="739">
          <cell r="E739" t="str">
            <v>328270</v>
          </cell>
          <cell r="F739">
            <v>36567</v>
          </cell>
          <cell r="G739">
            <v>36669</v>
          </cell>
          <cell r="H739" t="str">
            <v>Membranes 0,45 µm+Minisart+Sartofluor</v>
          </cell>
          <cell r="I739" t="str">
            <v>STR</v>
          </cell>
          <cell r="J739" t="str">
            <v>01</v>
          </cell>
          <cell r="K739">
            <v>132593.76999999999</v>
          </cell>
          <cell r="L739" t="str">
            <v>FRF</v>
          </cell>
          <cell r="M739" t="str">
            <v>2100</v>
          </cell>
        </row>
        <row r="740">
          <cell r="E740" t="str">
            <v>328195</v>
          </cell>
          <cell r="F740">
            <v>36563</v>
          </cell>
          <cell r="G740">
            <v>36600</v>
          </cell>
          <cell r="H740" t="str">
            <v>1 Foam Testing Apparatus</v>
          </cell>
          <cell r="I740" t="str">
            <v>DBR</v>
          </cell>
          <cell r="J740" t="str">
            <v>01</v>
          </cell>
          <cell r="K740">
            <v>56103.4</v>
          </cell>
          <cell r="L740" t="str">
            <v>FRF</v>
          </cell>
          <cell r="M740" t="str">
            <v>Y017</v>
          </cell>
        </row>
        <row r="741">
          <cell r="E741" t="str">
            <v>328073</v>
          </cell>
          <cell r="F741">
            <v>36550</v>
          </cell>
          <cell r="G741">
            <v>36595</v>
          </cell>
          <cell r="H741" t="str">
            <v>Alcolyser version bière (2)</v>
          </cell>
          <cell r="I741" t="str">
            <v>PAA</v>
          </cell>
          <cell r="J741" t="str">
            <v>01</v>
          </cell>
          <cell r="K741">
            <v>34448.5</v>
          </cell>
          <cell r="L741" t="str">
            <v>EUR</v>
          </cell>
          <cell r="M741" t="str">
            <v>DV032</v>
          </cell>
        </row>
        <row r="742">
          <cell r="E742" t="str">
            <v>327912</v>
          </cell>
          <cell r="F742">
            <v>36530</v>
          </cell>
          <cell r="G742">
            <v>36605</v>
          </cell>
          <cell r="H742" t="str">
            <v>1 Ordinateur personnel + imprimante</v>
          </cell>
          <cell r="I742" t="str">
            <v>DSI</v>
          </cell>
          <cell r="J742" t="str">
            <v>01</v>
          </cell>
          <cell r="K742">
            <v>0</v>
          </cell>
          <cell r="L742" t="str">
            <v>FRF</v>
          </cell>
          <cell r="M742" t="str">
            <v>Y020</v>
          </cell>
        </row>
        <row r="743">
          <cell r="E743" t="str">
            <v>327952</v>
          </cell>
          <cell r="F743">
            <v>36537</v>
          </cell>
          <cell r="G743">
            <v>36592</v>
          </cell>
          <cell r="H743" t="str">
            <v>pH mètres SG 837 + 4 sondes (4)</v>
          </cell>
          <cell r="I743" t="str">
            <v>PRO</v>
          </cell>
          <cell r="J743" t="str">
            <v>01</v>
          </cell>
          <cell r="K743">
            <v>24587.4</v>
          </cell>
          <cell r="L743" t="str">
            <v>FRF</v>
          </cell>
          <cell r="M743" t="str">
            <v>Y019</v>
          </cell>
        </row>
        <row r="744">
          <cell r="E744" t="str">
            <v>4707</v>
          </cell>
          <cell r="F744">
            <v>36532</v>
          </cell>
          <cell r="H744" t="str">
            <v>Démontage/remontage paillasses LC</v>
          </cell>
          <cell r="I744" t="str">
            <v>GTS</v>
          </cell>
          <cell r="J744" t="str">
            <v>01</v>
          </cell>
          <cell r="K744">
            <v>2955880</v>
          </cell>
          <cell r="L744" t="str">
            <v>CFA</v>
          </cell>
          <cell r="M744" t="str">
            <v>X003</v>
          </cell>
        </row>
        <row r="745">
          <cell r="E745" t="str">
            <v>3279756</v>
          </cell>
          <cell r="F745">
            <v>36537</v>
          </cell>
          <cell r="G745">
            <v>36587</v>
          </cell>
          <cell r="H745" t="str">
            <v>Roulements groupe froid scaba</v>
          </cell>
          <cell r="I745" t="str">
            <v>SKF</v>
          </cell>
          <cell r="J745" t="str">
            <v>01</v>
          </cell>
          <cell r="K745">
            <v>0</v>
          </cell>
          <cell r="L745" t="str">
            <v>FRF</v>
          </cell>
          <cell r="M745" t="str">
            <v>2000</v>
          </cell>
        </row>
        <row r="746">
          <cell r="E746" t="str">
            <v>328069</v>
          </cell>
          <cell r="F746">
            <v>36563</v>
          </cell>
          <cell r="H746" t="str">
            <v>Manuals of good practice, vol 1,2,4 &amp; 5</v>
          </cell>
          <cell r="I746" t="str">
            <v>FHC</v>
          </cell>
          <cell r="J746" t="str">
            <v>01</v>
          </cell>
          <cell r="K746">
            <v>2742.92</v>
          </cell>
          <cell r="L746" t="str">
            <v>FRF</v>
          </cell>
          <cell r="M746" t="str">
            <v>2201</v>
          </cell>
        </row>
        <row r="747">
          <cell r="E747" t="str">
            <v>57579</v>
          </cell>
          <cell r="F747">
            <v>36507</v>
          </cell>
          <cell r="G747">
            <v>36559</v>
          </cell>
          <cell r="H747" t="str">
            <v>Sources vis spectrophotomètre Hitachi (3)</v>
          </cell>
          <cell r="I747" t="str">
            <v>GOF</v>
          </cell>
          <cell r="J747" t="str">
            <v>01</v>
          </cell>
          <cell r="K747">
            <v>3215</v>
          </cell>
          <cell r="L747" t="str">
            <v>FRF</v>
          </cell>
          <cell r="M747" t="str">
            <v>2000</v>
          </cell>
        </row>
        <row r="748">
          <cell r="E748" t="str">
            <v>327602</v>
          </cell>
          <cell r="F748">
            <v>36493</v>
          </cell>
          <cell r="G748">
            <v>36537</v>
          </cell>
          <cell r="H748" t="str">
            <v>Produits de laboratoire</v>
          </cell>
          <cell r="I748" t="str">
            <v>PRO</v>
          </cell>
          <cell r="J748" t="str">
            <v>01</v>
          </cell>
          <cell r="K748">
            <v>24921.63</v>
          </cell>
          <cell r="L748" t="str">
            <v>FRF</v>
          </cell>
          <cell r="M748" t="str">
            <v>2100</v>
          </cell>
        </row>
        <row r="749">
          <cell r="E749" t="str">
            <v>327587</v>
          </cell>
          <cell r="F749">
            <v>36514</v>
          </cell>
          <cell r="G749">
            <v>36605</v>
          </cell>
          <cell r="H749" t="str">
            <v>Bacl2 + NaF</v>
          </cell>
          <cell r="I749" t="str">
            <v>FSS</v>
          </cell>
          <cell r="J749" t="str">
            <v>01</v>
          </cell>
          <cell r="K749">
            <v>0</v>
          </cell>
          <cell r="L749" t="str">
            <v>FRF</v>
          </cell>
          <cell r="M749" t="str">
            <v>2100</v>
          </cell>
        </row>
        <row r="750">
          <cell r="E750" t="str">
            <v>327589</v>
          </cell>
          <cell r="F750">
            <v>36530</v>
          </cell>
          <cell r="G750">
            <v>36580</v>
          </cell>
          <cell r="H750" t="str">
            <v>Membranes 0,45 µm</v>
          </cell>
          <cell r="I750" t="str">
            <v>STR</v>
          </cell>
          <cell r="J750" t="str">
            <v>SEMC</v>
          </cell>
          <cell r="K750">
            <v>29010</v>
          </cell>
          <cell r="L750" t="str">
            <v>FRF</v>
          </cell>
          <cell r="M750" t="str">
            <v>SEMC</v>
          </cell>
        </row>
        <row r="751">
          <cell r="E751" t="str">
            <v>327586</v>
          </cell>
          <cell r="F751">
            <v>36493</v>
          </cell>
          <cell r="G751">
            <v>36537</v>
          </cell>
          <cell r="H751" t="str">
            <v>Produits de laboratoire</v>
          </cell>
          <cell r="I751" t="str">
            <v>MCK</v>
          </cell>
          <cell r="J751" t="str">
            <v>01</v>
          </cell>
          <cell r="K751">
            <v>132076.1</v>
          </cell>
          <cell r="L751" t="str">
            <v>FRF</v>
          </cell>
          <cell r="M751" t="str">
            <v>2100</v>
          </cell>
        </row>
        <row r="752">
          <cell r="E752" t="str">
            <v>327673</v>
          </cell>
          <cell r="F752">
            <v>36510</v>
          </cell>
          <cell r="G752">
            <v>37488</v>
          </cell>
          <cell r="H752" t="str">
            <v>Electrodes pH mètre Hanna (6)</v>
          </cell>
          <cell r="I752" t="str">
            <v>NRL</v>
          </cell>
          <cell r="J752" t="str">
            <v>01</v>
          </cell>
          <cell r="K752">
            <v>1314.5</v>
          </cell>
          <cell r="L752" t="str">
            <v>FRF</v>
          </cell>
          <cell r="M752" t="str">
            <v>A042</v>
          </cell>
        </row>
        <row r="753">
          <cell r="E753" t="str">
            <v>327590</v>
          </cell>
          <cell r="F753">
            <v>36495</v>
          </cell>
          <cell r="G753">
            <v>36544</v>
          </cell>
          <cell r="H753" t="str">
            <v>Rechanges Zahm SS 60 &amp; 5000</v>
          </cell>
          <cell r="I753" t="str">
            <v>CRB</v>
          </cell>
          <cell r="J753" t="str">
            <v>01</v>
          </cell>
          <cell r="K753">
            <v>70903.8</v>
          </cell>
          <cell r="L753" t="str">
            <v>FRF</v>
          </cell>
          <cell r="M753" t="str">
            <v>2000</v>
          </cell>
        </row>
        <row r="754">
          <cell r="E754" t="str">
            <v>4080</v>
          </cell>
          <cell r="F754">
            <v>38811</v>
          </cell>
          <cell r="G754">
            <v>38903</v>
          </cell>
          <cell r="H754" t="str">
            <v>Alizarine red S + VDK + DMS</v>
          </cell>
          <cell r="I754" t="str">
            <v>FLK</v>
          </cell>
          <cell r="J754" t="str">
            <v>01</v>
          </cell>
          <cell r="K754">
            <v>2311.1999999999998</v>
          </cell>
          <cell r="L754" t="str">
            <v>FRF</v>
          </cell>
          <cell r="M754" t="str">
            <v>2100</v>
          </cell>
        </row>
        <row r="755">
          <cell r="E755" t="str">
            <v>327591</v>
          </cell>
          <cell r="F755">
            <v>36500</v>
          </cell>
          <cell r="G755">
            <v>36599</v>
          </cell>
          <cell r="H755" t="str">
            <v>Rechanges spectrophotomètre</v>
          </cell>
          <cell r="I755" t="str">
            <v>SPT</v>
          </cell>
          <cell r="J755" t="str">
            <v>01</v>
          </cell>
          <cell r="K755">
            <v>73323.600000000006</v>
          </cell>
          <cell r="L755" t="str">
            <v>FRF</v>
          </cell>
          <cell r="M755" t="str">
            <v>2000</v>
          </cell>
        </row>
        <row r="756">
          <cell r="E756" t="str">
            <v>327959</v>
          </cell>
          <cell r="F756">
            <v>36537</v>
          </cell>
          <cell r="G756">
            <v>36594</v>
          </cell>
          <cell r="H756" t="str">
            <v>Ressorts s/miroir DUV 21</v>
          </cell>
          <cell r="I756" t="str">
            <v>SPT</v>
          </cell>
          <cell r="J756" t="str">
            <v>01</v>
          </cell>
          <cell r="K756">
            <v>4002.6</v>
          </cell>
          <cell r="L756" t="str">
            <v>FRF</v>
          </cell>
          <cell r="M756" t="str">
            <v>2000</v>
          </cell>
        </row>
        <row r="757">
          <cell r="E757" t="str">
            <v>327146</v>
          </cell>
          <cell r="F757">
            <v>36454</v>
          </cell>
          <cell r="G757">
            <v>36508</v>
          </cell>
          <cell r="H757" t="str">
            <v>1 Electrode combinée en verre Metrohm</v>
          </cell>
          <cell r="I757" t="str">
            <v>ROU</v>
          </cell>
          <cell r="J757" t="str">
            <v>01</v>
          </cell>
          <cell r="K757">
            <v>1632.4</v>
          </cell>
          <cell r="L757" t="str">
            <v>FRF</v>
          </cell>
          <cell r="M757" t="str">
            <v>2000</v>
          </cell>
        </row>
        <row r="758">
          <cell r="E758" t="str">
            <v>327148</v>
          </cell>
          <cell r="F758">
            <v>36454</v>
          </cell>
          <cell r="G758">
            <v>36552</v>
          </cell>
          <cell r="H758" t="str">
            <v>Ammonium pers+thermo maxi+tampon pH 7</v>
          </cell>
          <cell r="I758" t="str">
            <v>FSS</v>
          </cell>
          <cell r="J758" t="str">
            <v>01</v>
          </cell>
          <cell r="K758">
            <v>10891</v>
          </cell>
          <cell r="L758" t="str">
            <v>FRF</v>
          </cell>
          <cell r="M758" t="str">
            <v>2100</v>
          </cell>
        </row>
        <row r="759">
          <cell r="E759" t="str">
            <v>327060</v>
          </cell>
          <cell r="F759">
            <v>36445</v>
          </cell>
          <cell r="H759" t="str">
            <v>Tubes de rechange pour scaba</v>
          </cell>
          <cell r="I759" t="str">
            <v>PST</v>
          </cell>
          <cell r="J759" t="str">
            <v>01</v>
          </cell>
          <cell r="K759">
            <v>8236.0400000000009</v>
          </cell>
          <cell r="L759" t="str">
            <v>FRF</v>
          </cell>
          <cell r="M759" t="str">
            <v>2100</v>
          </cell>
        </row>
        <row r="760">
          <cell r="E760" t="str">
            <v>327040</v>
          </cell>
          <cell r="F760">
            <v>36444</v>
          </cell>
          <cell r="G760">
            <v>36482</v>
          </cell>
          <cell r="H760" t="str">
            <v>Pressure gauges 0 - 60 psi (24)</v>
          </cell>
          <cell r="I760" t="str">
            <v>CRB</v>
          </cell>
          <cell r="J760" t="str">
            <v>01</v>
          </cell>
          <cell r="K760">
            <v>20930</v>
          </cell>
          <cell r="L760" t="str">
            <v>FRF</v>
          </cell>
          <cell r="M760" t="str">
            <v>2100</v>
          </cell>
        </row>
        <row r="761">
          <cell r="E761" t="str">
            <v>327059</v>
          </cell>
          <cell r="F761">
            <v>36440</v>
          </cell>
          <cell r="G761">
            <v>36669</v>
          </cell>
          <cell r="H761" t="str">
            <v>Staphyslide test (2)</v>
          </cell>
          <cell r="I761" t="str">
            <v>BIO</v>
          </cell>
          <cell r="J761" t="str">
            <v>01</v>
          </cell>
          <cell r="K761">
            <v>7135.8</v>
          </cell>
          <cell r="L761" t="str">
            <v>FRF</v>
          </cell>
          <cell r="M761" t="str">
            <v>2100</v>
          </cell>
        </row>
        <row r="762">
          <cell r="E762" t="str">
            <v>326814</v>
          </cell>
          <cell r="F762">
            <v>36425</v>
          </cell>
          <cell r="G762">
            <v>36600</v>
          </cell>
          <cell r="H762" t="str">
            <v>Temperature logger</v>
          </cell>
          <cell r="I762" t="str">
            <v>THS</v>
          </cell>
          <cell r="J762" t="str">
            <v>01</v>
          </cell>
          <cell r="K762">
            <v>47593.5</v>
          </cell>
          <cell r="L762" t="str">
            <v>FRF</v>
          </cell>
          <cell r="M762" t="str">
            <v>X003</v>
          </cell>
        </row>
        <row r="763">
          <cell r="E763" t="str">
            <v>326815</v>
          </cell>
          <cell r="F763">
            <v>36425</v>
          </cell>
          <cell r="G763">
            <v>36595</v>
          </cell>
          <cell r="H763" t="str">
            <v>Autoclave pressure logger</v>
          </cell>
          <cell r="I763" t="str">
            <v>B&amp;B</v>
          </cell>
          <cell r="J763" t="str">
            <v>01</v>
          </cell>
          <cell r="K763">
            <v>30713</v>
          </cell>
          <cell r="L763" t="str">
            <v>FRF</v>
          </cell>
          <cell r="M763" t="str">
            <v>X003</v>
          </cell>
        </row>
        <row r="764">
          <cell r="E764" t="str">
            <v>326888</v>
          </cell>
          <cell r="F764">
            <v>36483</v>
          </cell>
          <cell r="G764">
            <v>36580</v>
          </cell>
          <cell r="H764" t="str">
            <v>Réparation d'un spectrophotomètre</v>
          </cell>
          <cell r="I764" t="str">
            <v>MLT</v>
          </cell>
          <cell r="J764" t="str">
            <v>01</v>
          </cell>
          <cell r="K764">
            <v>4306.96</v>
          </cell>
          <cell r="L764" t="str">
            <v>FRF</v>
          </cell>
          <cell r="M764" t="str">
            <v>3022</v>
          </cell>
        </row>
        <row r="765">
          <cell r="E765" t="str">
            <v>327952</v>
          </cell>
          <cell r="F765">
            <v>36425</v>
          </cell>
          <cell r="G765">
            <v>36592</v>
          </cell>
          <cell r="H765" t="str">
            <v>Bottle plate 80 - 90 mm,6</v>
          </cell>
          <cell r="I765" t="str">
            <v>CPM</v>
          </cell>
          <cell r="J765" t="str">
            <v>01</v>
          </cell>
          <cell r="K765">
            <v>0</v>
          </cell>
          <cell r="L765" t="str">
            <v>FRF</v>
          </cell>
          <cell r="M765" t="str">
            <v>2000</v>
          </cell>
        </row>
        <row r="766">
          <cell r="E766" t="str">
            <v>326656</v>
          </cell>
          <cell r="F766">
            <v>36403</v>
          </cell>
          <cell r="G766">
            <v>36434</v>
          </cell>
          <cell r="H766" t="str">
            <v>Démontage/remontage paillasses LC</v>
          </cell>
          <cell r="I766" t="str">
            <v>GTS</v>
          </cell>
          <cell r="J766" t="str">
            <v>01</v>
          </cell>
          <cell r="K766">
            <v>2955880</v>
          </cell>
          <cell r="L766" t="str">
            <v>CFA</v>
          </cell>
          <cell r="M766" t="str">
            <v>X003</v>
          </cell>
        </row>
        <row r="767">
          <cell r="E767" t="str">
            <v>3279756</v>
          </cell>
          <cell r="F767">
            <v>36537</v>
          </cell>
          <cell r="G767">
            <v>36579</v>
          </cell>
          <cell r="H767" t="str">
            <v>Lecteur de disquettes 3,5"</v>
          </cell>
          <cell r="I767" t="str">
            <v>DSI</v>
          </cell>
          <cell r="J767" t="str">
            <v>01</v>
          </cell>
          <cell r="K767">
            <v>0</v>
          </cell>
          <cell r="L767" t="str">
            <v>FRF</v>
          </cell>
          <cell r="M767" t="str">
            <v>2000</v>
          </cell>
        </row>
        <row r="768">
          <cell r="E768" t="str">
            <v>326716</v>
          </cell>
          <cell r="F768">
            <v>36439</v>
          </cell>
          <cell r="H768" t="str">
            <v>Réparation boîtier moca 3600</v>
          </cell>
          <cell r="I768" t="str">
            <v>ORB</v>
          </cell>
          <cell r="J768" t="str">
            <v>01</v>
          </cell>
          <cell r="K768">
            <v>19635</v>
          </cell>
          <cell r="L768" t="str">
            <v>FRF</v>
          </cell>
          <cell r="M768" t="str">
            <v>3022</v>
          </cell>
        </row>
        <row r="769">
          <cell r="E769" t="str">
            <v>326416</v>
          </cell>
          <cell r="F769">
            <v>36384</v>
          </cell>
          <cell r="G769">
            <v>36455</v>
          </cell>
          <cell r="H769" t="str">
            <v>4 sources UV + 4 sources visible</v>
          </cell>
          <cell r="I769" t="str">
            <v>MLT</v>
          </cell>
          <cell r="J769" t="str">
            <v>01</v>
          </cell>
          <cell r="K769">
            <v>25620</v>
          </cell>
          <cell r="L769" t="str">
            <v>FRF</v>
          </cell>
          <cell r="M769" t="str">
            <v>2000</v>
          </cell>
        </row>
        <row r="770">
          <cell r="E770" t="str">
            <v>4073</v>
          </cell>
          <cell r="F770">
            <v>38811</v>
          </cell>
          <cell r="G770">
            <v>38903</v>
          </cell>
          <cell r="H770" t="str">
            <v>Densimètre électronique DMA 4500</v>
          </cell>
          <cell r="I770" t="str">
            <v>PAA</v>
          </cell>
          <cell r="J770" t="str">
            <v>06</v>
          </cell>
          <cell r="K770">
            <v>15569.24</v>
          </cell>
          <cell r="L770" t="str">
            <v>EUR</v>
          </cell>
          <cell r="M770" t="str">
            <v>EV041</v>
          </cell>
        </row>
        <row r="771">
          <cell r="E771" t="str">
            <v>326813</v>
          </cell>
          <cell r="F771">
            <v>36425</v>
          </cell>
          <cell r="G771">
            <v>36462</v>
          </cell>
          <cell r="H771" t="str">
            <v>ADA Oxalate</v>
          </cell>
          <cell r="I771" t="str">
            <v>ALD</v>
          </cell>
          <cell r="J771" t="str">
            <v>01</v>
          </cell>
          <cell r="K771">
            <v>7556</v>
          </cell>
          <cell r="L771" t="str">
            <v>FRF</v>
          </cell>
          <cell r="M771" t="str">
            <v>2100</v>
          </cell>
        </row>
        <row r="772">
          <cell r="E772" t="str">
            <v>326398</v>
          </cell>
          <cell r="F772">
            <v>36382</v>
          </cell>
          <cell r="G772">
            <v>36515</v>
          </cell>
          <cell r="H772" t="str">
            <v>500g Silicon antifoam BDH</v>
          </cell>
          <cell r="I772" t="str">
            <v>SCL</v>
          </cell>
          <cell r="J772" t="str">
            <v>01</v>
          </cell>
          <cell r="K772">
            <v>982.25</v>
          </cell>
          <cell r="L772" t="str">
            <v>FRF</v>
          </cell>
          <cell r="M772" t="str">
            <v>2100</v>
          </cell>
        </row>
        <row r="773">
          <cell r="E773" t="str">
            <v>328552</v>
          </cell>
          <cell r="F773">
            <v>36598</v>
          </cell>
          <cell r="G773">
            <v>36601</v>
          </cell>
          <cell r="H773" t="str">
            <v>3 Flacons de 100g silicone antimousse</v>
          </cell>
          <cell r="I773" t="str">
            <v>BDH</v>
          </cell>
          <cell r="J773" t="str">
            <v>01</v>
          </cell>
          <cell r="K773">
            <v>3265.2</v>
          </cell>
          <cell r="L773" t="str">
            <v>FRF</v>
          </cell>
          <cell r="M773" t="str">
            <v>2100</v>
          </cell>
        </row>
        <row r="774">
          <cell r="E774" t="str">
            <v>326359</v>
          </cell>
          <cell r="F774">
            <v>36378</v>
          </cell>
          <cell r="G774">
            <v>36490</v>
          </cell>
          <cell r="H774" t="str">
            <v>Electrodes pH mètre Hanna (6)</v>
          </cell>
          <cell r="I774" t="str">
            <v>NRL</v>
          </cell>
          <cell r="J774" t="str">
            <v>01</v>
          </cell>
          <cell r="K774">
            <v>1314.5</v>
          </cell>
          <cell r="L774" t="str">
            <v>FRF</v>
          </cell>
          <cell r="M774" t="str">
            <v>2000</v>
          </cell>
        </row>
        <row r="775">
          <cell r="E775" t="str">
            <v>326399</v>
          </cell>
          <cell r="F775">
            <v>36384</v>
          </cell>
          <cell r="G775">
            <v>36447</v>
          </cell>
          <cell r="H775" t="str">
            <v>2 Zahm SS-60 Volume meters</v>
          </cell>
          <cell r="I775" t="str">
            <v>CBR</v>
          </cell>
          <cell r="J775" t="str">
            <v>01</v>
          </cell>
          <cell r="K775">
            <v>46521</v>
          </cell>
          <cell r="L775" t="str">
            <v>FRF</v>
          </cell>
          <cell r="M775" t="str">
            <v>X003</v>
          </cell>
        </row>
        <row r="776">
          <cell r="E776" t="str">
            <v>326361</v>
          </cell>
          <cell r="F776">
            <v>36377</v>
          </cell>
          <cell r="G776">
            <v>36410</v>
          </cell>
          <cell r="H776" t="str">
            <v>Redpost et adaptateurs 68 -80 mm</v>
          </cell>
          <cell r="I776" t="str">
            <v>HAF</v>
          </cell>
          <cell r="J776" t="str">
            <v>01</v>
          </cell>
          <cell r="K776">
            <v>5445.71</v>
          </cell>
          <cell r="L776" t="str">
            <v>FRF</v>
          </cell>
          <cell r="M776" t="str">
            <v>2000</v>
          </cell>
        </row>
        <row r="777">
          <cell r="E777" t="str">
            <v>327591</v>
          </cell>
          <cell r="F777">
            <v>36500</v>
          </cell>
          <cell r="G777">
            <v>36551</v>
          </cell>
          <cell r="H777" t="str">
            <v>Rechanges spectrophotomètre</v>
          </cell>
          <cell r="I777" t="str">
            <v>SPT</v>
          </cell>
          <cell r="J777" t="str">
            <v>01</v>
          </cell>
          <cell r="K777">
            <v>73323.600000000006</v>
          </cell>
          <cell r="L777" t="str">
            <v>FRF</v>
          </cell>
          <cell r="M777" t="str">
            <v>2100</v>
          </cell>
        </row>
        <row r="778">
          <cell r="E778" t="str">
            <v>326552</v>
          </cell>
          <cell r="F778">
            <v>36403</v>
          </cell>
          <cell r="G778">
            <v>36455</v>
          </cell>
          <cell r="H778" t="str">
            <v>Ressorts s/miroir DUV 21</v>
          </cell>
          <cell r="I778" t="str">
            <v>SPT</v>
          </cell>
          <cell r="J778" t="str">
            <v>01</v>
          </cell>
          <cell r="K778">
            <v>4002.6</v>
          </cell>
          <cell r="L778" t="str">
            <v>FRF</v>
          </cell>
          <cell r="M778" t="str">
            <v>2000</v>
          </cell>
        </row>
        <row r="779">
          <cell r="E779" t="str">
            <v>326352</v>
          </cell>
          <cell r="F779">
            <v>36376</v>
          </cell>
          <cell r="G779">
            <v>36508</v>
          </cell>
          <cell r="H779" t="str">
            <v>1 Polystat I</v>
          </cell>
          <cell r="I779" t="str">
            <v>BBL</v>
          </cell>
          <cell r="J779" t="str">
            <v>01</v>
          </cell>
          <cell r="K779">
            <v>4612.8999999999996</v>
          </cell>
          <cell r="L779" t="str">
            <v>FRF</v>
          </cell>
          <cell r="M779" t="str">
            <v>W004</v>
          </cell>
        </row>
        <row r="780">
          <cell r="E780" t="str">
            <v>327148</v>
          </cell>
          <cell r="F780">
            <v>36454</v>
          </cell>
          <cell r="G780">
            <v>36552</v>
          </cell>
          <cell r="H780" t="str">
            <v>Carboxyque</v>
          </cell>
          <cell r="I780" t="str">
            <v>CBX</v>
          </cell>
          <cell r="J780" t="str">
            <v>01</v>
          </cell>
          <cell r="K780">
            <v>0</v>
          </cell>
          <cell r="L780" t="str">
            <v>FRF</v>
          </cell>
          <cell r="M780" t="str">
            <v>2100</v>
          </cell>
        </row>
        <row r="781">
          <cell r="E781" t="str">
            <v>327060</v>
          </cell>
          <cell r="F781">
            <v>36445</v>
          </cell>
          <cell r="G781">
            <v>36490</v>
          </cell>
          <cell r="H781" t="str">
            <v>Tubes de rechange pour scaba</v>
          </cell>
          <cell r="I781" t="str">
            <v>PST</v>
          </cell>
          <cell r="J781" t="str">
            <v>01</v>
          </cell>
          <cell r="K781">
            <v>8236.0400000000009</v>
          </cell>
          <cell r="L781" t="str">
            <v>FRF</v>
          </cell>
          <cell r="M781" t="str">
            <v>2100</v>
          </cell>
        </row>
        <row r="782">
          <cell r="E782" t="str">
            <v>327040</v>
          </cell>
          <cell r="F782">
            <v>36444</v>
          </cell>
          <cell r="G782">
            <v>36325</v>
          </cell>
          <cell r="H782" t="str">
            <v>2 Micromètres sertissage boîtes alu</v>
          </cell>
          <cell r="I782" t="str">
            <v>MTY</v>
          </cell>
          <cell r="J782" t="str">
            <v>01</v>
          </cell>
          <cell r="K782">
            <v>0</v>
          </cell>
          <cell r="L782" t="str">
            <v>FRF</v>
          </cell>
          <cell r="M782" t="str">
            <v>2100</v>
          </cell>
        </row>
        <row r="783">
          <cell r="E783" t="str">
            <v>325974</v>
          </cell>
          <cell r="F783">
            <v>36328</v>
          </cell>
          <cell r="H783" t="str">
            <v>1 Boîtier Orbisphere en réparation</v>
          </cell>
          <cell r="I783" t="str">
            <v>ORB</v>
          </cell>
          <cell r="J783" t="str">
            <v>01</v>
          </cell>
          <cell r="K783">
            <v>2574</v>
          </cell>
          <cell r="L783" t="str">
            <v>FRF</v>
          </cell>
          <cell r="M783" t="str">
            <v>3022</v>
          </cell>
        </row>
        <row r="784">
          <cell r="E784" t="str">
            <v>326014</v>
          </cell>
          <cell r="F784">
            <v>36334</v>
          </cell>
          <cell r="H784" t="str">
            <v>3 Appareils de Buse</v>
          </cell>
          <cell r="I784" t="str">
            <v>BUS</v>
          </cell>
          <cell r="J784" t="str">
            <v>01</v>
          </cell>
          <cell r="K784">
            <v>0</v>
          </cell>
          <cell r="L784">
            <v>0</v>
          </cell>
          <cell r="M784" t="str">
            <v>2100</v>
          </cell>
        </row>
        <row r="785">
          <cell r="E785" t="str">
            <v>325536</v>
          </cell>
          <cell r="F785">
            <v>36291</v>
          </cell>
          <cell r="H785" t="str">
            <v>12 Antimousse Rhodorsil 426 R</v>
          </cell>
          <cell r="I785" t="str">
            <v>PRO</v>
          </cell>
          <cell r="J785" t="str">
            <v>01</v>
          </cell>
          <cell r="K785">
            <v>4217.6000000000004</v>
          </cell>
          <cell r="L785" t="str">
            <v>FRF</v>
          </cell>
          <cell r="M785" t="str">
            <v>2100</v>
          </cell>
        </row>
        <row r="786">
          <cell r="E786" t="str">
            <v>325528</v>
          </cell>
          <cell r="F786">
            <v>36300</v>
          </cell>
          <cell r="G786">
            <v>36398</v>
          </cell>
          <cell r="H786" t="str">
            <v>Produits de laboratoire</v>
          </cell>
          <cell r="I786" t="str">
            <v>MCK</v>
          </cell>
          <cell r="J786" t="str">
            <v>01</v>
          </cell>
          <cell r="K786">
            <v>86788.98</v>
          </cell>
          <cell r="L786" t="str">
            <v>FRF</v>
          </cell>
          <cell r="M786" t="str">
            <v>2100</v>
          </cell>
        </row>
        <row r="787">
          <cell r="E787" t="str">
            <v>325573</v>
          </cell>
          <cell r="F787">
            <v>36425</v>
          </cell>
          <cell r="G787">
            <v>36398</v>
          </cell>
          <cell r="H787" t="str">
            <v>Bottle plate 80 - 90 mm,6</v>
          </cell>
          <cell r="I787" t="str">
            <v>CPM</v>
          </cell>
          <cell r="J787" t="str">
            <v>01</v>
          </cell>
          <cell r="K787">
            <v>0</v>
          </cell>
          <cell r="L787" t="str">
            <v>FRF</v>
          </cell>
          <cell r="M787" t="str">
            <v>2000</v>
          </cell>
        </row>
        <row r="788">
          <cell r="E788" t="str">
            <v>325769</v>
          </cell>
          <cell r="F788">
            <v>36318</v>
          </cell>
          <cell r="G788">
            <v>36339</v>
          </cell>
          <cell r="H788" t="str">
            <v>Electrodes combinées pour pH mètre Hanna</v>
          </cell>
          <cell r="I788" t="str">
            <v>NRM</v>
          </cell>
          <cell r="J788" t="str">
            <v>01</v>
          </cell>
          <cell r="K788">
            <v>4227.5600000000004</v>
          </cell>
          <cell r="L788" t="str">
            <v>FRF</v>
          </cell>
          <cell r="M788" t="str">
            <v>2100</v>
          </cell>
        </row>
        <row r="789">
          <cell r="E789" t="str">
            <v>325862</v>
          </cell>
          <cell r="F789">
            <v>36320</v>
          </cell>
          <cell r="H789" t="str">
            <v>Cellules conductimétriques</v>
          </cell>
          <cell r="I789" t="str">
            <v>TAC</v>
          </cell>
          <cell r="J789" t="str">
            <v>01</v>
          </cell>
          <cell r="K789">
            <v>8469.84</v>
          </cell>
          <cell r="L789" t="str">
            <v>FRF</v>
          </cell>
          <cell r="M789" t="str">
            <v>2000</v>
          </cell>
        </row>
        <row r="790">
          <cell r="E790" t="str">
            <v>325547</v>
          </cell>
          <cell r="F790">
            <v>36291</v>
          </cell>
          <cell r="G790">
            <v>36320</v>
          </cell>
          <cell r="H790" t="str">
            <v>Réparation boîtier moca 3600</v>
          </cell>
          <cell r="I790" t="str">
            <v>ORB</v>
          </cell>
          <cell r="J790" t="str">
            <v>01</v>
          </cell>
          <cell r="K790">
            <v>19635</v>
          </cell>
          <cell r="L790" t="str">
            <v>FRF</v>
          </cell>
          <cell r="M790" t="str">
            <v>3022</v>
          </cell>
        </row>
        <row r="791">
          <cell r="E791" t="str">
            <v>325669</v>
          </cell>
          <cell r="F791">
            <v>36299</v>
          </cell>
          <cell r="G791">
            <v>36332</v>
          </cell>
          <cell r="H791" t="str">
            <v>Rechanges redpost + aérosols Vos"4000"</v>
          </cell>
          <cell r="I791" t="str">
            <v>HAF</v>
          </cell>
          <cell r="J791" t="str">
            <v>01</v>
          </cell>
          <cell r="K791">
            <v>41717.81</v>
          </cell>
          <cell r="L791" t="str">
            <v>FRF</v>
          </cell>
          <cell r="M791" t="str">
            <v>2000</v>
          </cell>
        </row>
        <row r="792">
          <cell r="E792" t="str">
            <v>326882</v>
          </cell>
          <cell r="F792">
            <v>36425</v>
          </cell>
          <cell r="G792">
            <v>36482</v>
          </cell>
          <cell r="H792" t="str">
            <v>Bombes aérosol Vos "4000"</v>
          </cell>
          <cell r="I792" t="str">
            <v>HAF</v>
          </cell>
          <cell r="J792" t="str">
            <v>01</v>
          </cell>
          <cell r="K792">
            <v>1652</v>
          </cell>
          <cell r="L792" t="str">
            <v>FRF</v>
          </cell>
          <cell r="M792" t="str">
            <v>2100</v>
          </cell>
        </row>
        <row r="793">
          <cell r="E793" t="str">
            <v>325529</v>
          </cell>
          <cell r="F793">
            <v>36291</v>
          </cell>
          <cell r="G793">
            <v>36370</v>
          </cell>
          <cell r="H793" t="str">
            <v>Rechanges filtres:supports frittés;joint</v>
          </cell>
          <cell r="I793" t="str">
            <v>STR</v>
          </cell>
          <cell r="J793" t="str">
            <v>01</v>
          </cell>
          <cell r="K793">
            <v>39520.61</v>
          </cell>
          <cell r="L793" t="str">
            <v>FRF</v>
          </cell>
          <cell r="M793" t="str">
            <v>2100</v>
          </cell>
        </row>
        <row r="794">
          <cell r="E794" t="str">
            <v>325550</v>
          </cell>
          <cell r="F794">
            <v>36291</v>
          </cell>
          <cell r="G794">
            <v>36515</v>
          </cell>
          <cell r="H794" t="str">
            <v>Trousse pour pH et chlore</v>
          </cell>
          <cell r="I794" t="str">
            <v>FSS</v>
          </cell>
          <cell r="J794" t="str">
            <v>01</v>
          </cell>
          <cell r="K794">
            <v>37005</v>
          </cell>
          <cell r="L794" t="str">
            <v>FRF</v>
          </cell>
          <cell r="M794" t="str">
            <v>2100</v>
          </cell>
        </row>
        <row r="795">
          <cell r="E795" t="str">
            <v>325530</v>
          </cell>
          <cell r="F795">
            <v>36291</v>
          </cell>
          <cell r="G795">
            <v>36320</v>
          </cell>
          <cell r="H795" t="str">
            <v>Boules et cubes de caoutchouc</v>
          </cell>
          <cell r="I795" t="str">
            <v>BUH</v>
          </cell>
          <cell r="J795" t="str">
            <v>01</v>
          </cell>
          <cell r="K795">
            <v>990.84</v>
          </cell>
          <cell r="L795" t="str">
            <v>FRF</v>
          </cell>
          <cell r="M795" t="str">
            <v>2000</v>
          </cell>
        </row>
        <row r="796">
          <cell r="E796" t="str">
            <v>325527</v>
          </cell>
          <cell r="F796">
            <v>36292</v>
          </cell>
          <cell r="G796">
            <v>36375</v>
          </cell>
          <cell r="H796" t="str">
            <v>Saccharimètres Plato</v>
          </cell>
          <cell r="I796" t="str">
            <v>GBL</v>
          </cell>
          <cell r="J796" t="str">
            <v>01</v>
          </cell>
          <cell r="K796">
            <v>12116.86</v>
          </cell>
          <cell r="L796" t="str">
            <v>FRF</v>
          </cell>
          <cell r="M796" t="str">
            <v>2100</v>
          </cell>
        </row>
        <row r="797">
          <cell r="E797" t="str">
            <v>325572</v>
          </cell>
          <cell r="F797">
            <v>36292</v>
          </cell>
          <cell r="G797">
            <v>36382</v>
          </cell>
          <cell r="H797" t="str">
            <v>Matériels de laboratoire</v>
          </cell>
          <cell r="I797" t="str">
            <v>OSI</v>
          </cell>
          <cell r="J797" t="str">
            <v>01</v>
          </cell>
          <cell r="K797">
            <v>33803</v>
          </cell>
          <cell r="L797" t="str">
            <v>FRF</v>
          </cell>
          <cell r="M797" t="str">
            <v>2100</v>
          </cell>
        </row>
        <row r="798">
          <cell r="E798" t="str">
            <v>326361</v>
          </cell>
          <cell r="F798">
            <v>36377</v>
          </cell>
          <cell r="G798">
            <v>36410</v>
          </cell>
          <cell r="H798" t="str">
            <v>Purexol liquide, 25 kg</v>
          </cell>
          <cell r="I798" t="str">
            <v>SPR</v>
          </cell>
          <cell r="J798" t="str">
            <v>01</v>
          </cell>
          <cell r="K798">
            <v>0</v>
          </cell>
          <cell r="L798" t="str">
            <v>FRF</v>
          </cell>
          <cell r="M798" t="str">
            <v>2100</v>
          </cell>
        </row>
        <row r="799">
          <cell r="E799" t="str">
            <v>325300</v>
          </cell>
          <cell r="F799">
            <v>36271</v>
          </cell>
          <cell r="G799">
            <v>36551</v>
          </cell>
          <cell r="H799" t="str">
            <v>Produits et matériels</v>
          </cell>
          <cell r="I799" t="str">
            <v>FSS</v>
          </cell>
          <cell r="J799" t="str">
            <v>01</v>
          </cell>
          <cell r="K799">
            <v>0</v>
          </cell>
          <cell r="L799" t="str">
            <v>FRF</v>
          </cell>
          <cell r="M799" t="str">
            <v>2100</v>
          </cell>
        </row>
        <row r="800">
          <cell r="E800" t="str">
            <v>325253</v>
          </cell>
          <cell r="F800">
            <v>36266</v>
          </cell>
          <cell r="G800">
            <v>36321</v>
          </cell>
          <cell r="H800" t="str">
            <v>60 Genbox anaer + staphyslides</v>
          </cell>
          <cell r="I800" t="str">
            <v>BIO</v>
          </cell>
          <cell r="J800" t="str">
            <v>01</v>
          </cell>
          <cell r="K800">
            <v>9926.9599999999991</v>
          </cell>
          <cell r="L800" t="str">
            <v>FRF</v>
          </cell>
          <cell r="M800" t="str">
            <v>2100</v>
          </cell>
        </row>
        <row r="801">
          <cell r="E801" t="str">
            <v>325252</v>
          </cell>
          <cell r="F801">
            <v>36270</v>
          </cell>
          <cell r="G801">
            <v>36321</v>
          </cell>
          <cell r="H801" t="str">
            <v>1 Polystat I</v>
          </cell>
          <cell r="I801" t="str">
            <v>BBL</v>
          </cell>
          <cell r="J801" t="str">
            <v>01</v>
          </cell>
          <cell r="K801">
            <v>4612.8999999999996</v>
          </cell>
          <cell r="L801" t="str">
            <v>FRF</v>
          </cell>
          <cell r="M801" t="str">
            <v>W004</v>
          </cell>
        </row>
        <row r="802">
          <cell r="E802" t="str">
            <v>325254</v>
          </cell>
          <cell r="F802">
            <v>36277</v>
          </cell>
          <cell r="H802" t="str">
            <v>6x1000 tubes à hémolyse stériles</v>
          </cell>
          <cell r="I802" t="str">
            <v>LES</v>
          </cell>
          <cell r="J802" t="str">
            <v>01</v>
          </cell>
          <cell r="K802">
            <v>5090.8999999999996</v>
          </cell>
          <cell r="L802" t="str">
            <v>FRF</v>
          </cell>
          <cell r="M802" t="str">
            <v>2100</v>
          </cell>
        </row>
        <row r="803">
          <cell r="G803">
            <v>36490</v>
          </cell>
          <cell r="H803" t="str">
            <v>4 Flacons de 50 ml termamyl 120 L</v>
          </cell>
          <cell r="I803" t="str">
            <v>NVO</v>
          </cell>
          <cell r="J803" t="str">
            <v>01</v>
          </cell>
          <cell r="K803">
            <v>0</v>
          </cell>
          <cell r="L803" t="str">
            <v>FRF</v>
          </cell>
          <cell r="M803" t="str">
            <v>2100</v>
          </cell>
        </row>
        <row r="804">
          <cell r="G804">
            <v>36325</v>
          </cell>
          <cell r="H804" t="str">
            <v>1 Miccro Logger CO2</v>
          </cell>
          <cell r="I804" t="str">
            <v>ORB</v>
          </cell>
          <cell r="J804" t="str">
            <v>01</v>
          </cell>
          <cell r="K804">
            <v>0</v>
          </cell>
          <cell r="M804" t="str">
            <v>X003</v>
          </cell>
        </row>
        <row r="805">
          <cell r="E805" t="str">
            <v>325203</v>
          </cell>
          <cell r="F805">
            <v>36283</v>
          </cell>
          <cell r="G805">
            <v>36286</v>
          </cell>
          <cell r="H805" t="str">
            <v>1 Boîtier Orbisphere en réparation</v>
          </cell>
          <cell r="I805" t="str">
            <v>ORB</v>
          </cell>
          <cell r="J805" t="str">
            <v>01</v>
          </cell>
          <cell r="K805">
            <v>2574</v>
          </cell>
          <cell r="L805" t="str">
            <v>FRF</v>
          </cell>
          <cell r="M805" t="str">
            <v>3022</v>
          </cell>
        </row>
        <row r="806">
          <cell r="E806" t="str">
            <v>324966</v>
          </cell>
          <cell r="F806">
            <v>36238</v>
          </cell>
          <cell r="G806">
            <v>36264</v>
          </cell>
          <cell r="H806" t="str">
            <v>3 Appareils de Buse</v>
          </cell>
          <cell r="I806" t="str">
            <v>BUS</v>
          </cell>
          <cell r="J806" t="str">
            <v>01</v>
          </cell>
          <cell r="K806">
            <v>0</v>
          </cell>
          <cell r="L806">
            <v>0</v>
          </cell>
          <cell r="M806" t="str">
            <v>2100</v>
          </cell>
        </row>
        <row r="807">
          <cell r="E807" t="str">
            <v>325094</v>
          </cell>
          <cell r="F807">
            <v>36250</v>
          </cell>
          <cell r="G807">
            <v>36321</v>
          </cell>
          <cell r="H807" t="str">
            <v>12 Antimousse Rhodorsil 426 R</v>
          </cell>
          <cell r="I807" t="str">
            <v>PRO</v>
          </cell>
          <cell r="J807" t="str">
            <v>01</v>
          </cell>
          <cell r="K807">
            <v>4217.6000000000004</v>
          </cell>
          <cell r="L807" t="str">
            <v>FRF</v>
          </cell>
          <cell r="M807" t="str">
            <v>2100</v>
          </cell>
        </row>
        <row r="808">
          <cell r="E808" t="str">
            <v>324871</v>
          </cell>
          <cell r="F808">
            <v>36234</v>
          </cell>
          <cell r="G808">
            <v>36398</v>
          </cell>
          <cell r="H808" t="str">
            <v>NH4Fe(III) citrate vert + ZnSO4</v>
          </cell>
          <cell r="I808" t="str">
            <v>OSI</v>
          </cell>
          <cell r="J808" t="str">
            <v>01</v>
          </cell>
          <cell r="K808">
            <v>5253.2</v>
          </cell>
          <cell r="L808" t="str">
            <v>FRF</v>
          </cell>
          <cell r="M808" t="str">
            <v>2100</v>
          </cell>
        </row>
        <row r="809">
          <cell r="E809" t="str">
            <v>324808</v>
          </cell>
          <cell r="F809">
            <v>36258</v>
          </cell>
          <cell r="G809">
            <v>36266</v>
          </cell>
          <cell r="H809" t="str">
            <v>Tests sulfites + KOH + KCl</v>
          </cell>
          <cell r="I809" t="str">
            <v>MCK</v>
          </cell>
          <cell r="J809" t="str">
            <v>01</v>
          </cell>
          <cell r="K809">
            <v>12624.8</v>
          </cell>
          <cell r="L809" t="str">
            <v>FRF</v>
          </cell>
          <cell r="M809" t="str">
            <v>2100</v>
          </cell>
        </row>
        <row r="810">
          <cell r="E810" t="str">
            <v>325769</v>
          </cell>
          <cell r="F810">
            <v>36318</v>
          </cell>
          <cell r="G810">
            <v>36339</v>
          </cell>
          <cell r="H810" t="str">
            <v>Lecteurs de disquettes</v>
          </cell>
          <cell r="I810" t="str">
            <v>DSI</v>
          </cell>
          <cell r="J810" t="str">
            <v>01</v>
          </cell>
          <cell r="K810">
            <v>0</v>
          </cell>
          <cell r="L810" t="str">
            <v>FRF</v>
          </cell>
          <cell r="M810" t="str">
            <v>2100</v>
          </cell>
        </row>
        <row r="811">
          <cell r="E811" t="str">
            <v>325862</v>
          </cell>
          <cell r="F811">
            <v>36320</v>
          </cell>
          <cell r="H811" t="str">
            <v>2 Lecteur de diquette 3,5 pouces</v>
          </cell>
          <cell r="I811" t="str">
            <v>DSI</v>
          </cell>
          <cell r="J811" t="str">
            <v>01</v>
          </cell>
          <cell r="K811">
            <v>0</v>
          </cell>
          <cell r="L811" t="str">
            <v>FRF</v>
          </cell>
          <cell r="M811" t="str">
            <v>2000</v>
          </cell>
        </row>
        <row r="812">
          <cell r="E812" t="str">
            <v>325075</v>
          </cell>
          <cell r="F812">
            <v>36258</v>
          </cell>
          <cell r="G812">
            <v>36279</v>
          </cell>
          <cell r="H812" t="str">
            <v>Slit assembly + springs</v>
          </cell>
          <cell r="I812" t="str">
            <v>SPT</v>
          </cell>
          <cell r="J812" t="str">
            <v>01</v>
          </cell>
          <cell r="K812">
            <v>2222.63</v>
          </cell>
          <cell r="L812" t="str">
            <v>FRF</v>
          </cell>
          <cell r="M812" t="str">
            <v>2000</v>
          </cell>
        </row>
        <row r="813">
          <cell r="E813" t="str">
            <v>324805</v>
          </cell>
          <cell r="F813">
            <v>36234</v>
          </cell>
          <cell r="G813">
            <v>36332</v>
          </cell>
          <cell r="H813" t="str">
            <v>Set of haze standards</v>
          </cell>
          <cell r="I813" t="str">
            <v>DBR</v>
          </cell>
          <cell r="J813" t="str">
            <v>01</v>
          </cell>
          <cell r="K813">
            <v>7497.8</v>
          </cell>
          <cell r="L813" t="str">
            <v>FRF</v>
          </cell>
          <cell r="M813" t="str">
            <v>2100</v>
          </cell>
        </row>
        <row r="814">
          <cell r="E814" t="str">
            <v>324646</v>
          </cell>
          <cell r="F814">
            <v>36234</v>
          </cell>
          <cell r="G814">
            <v>36243</v>
          </cell>
          <cell r="H814" t="str">
            <v>New publication Analytica EBC</v>
          </cell>
          <cell r="I814" t="str">
            <v>VHC</v>
          </cell>
          <cell r="J814" t="str">
            <v>01</v>
          </cell>
          <cell r="K814">
            <v>2613.77</v>
          </cell>
          <cell r="L814" t="str">
            <v>FRF</v>
          </cell>
          <cell r="M814" t="str">
            <v>2201</v>
          </cell>
        </row>
        <row r="815">
          <cell r="E815" t="str">
            <v>325942</v>
          </cell>
          <cell r="F815">
            <v>36339</v>
          </cell>
          <cell r="G815">
            <v>36495</v>
          </cell>
          <cell r="H815" t="str">
            <v>Supplément analytica EBC</v>
          </cell>
          <cell r="I815" t="str">
            <v>VHC</v>
          </cell>
          <cell r="J815" t="str">
            <v>01</v>
          </cell>
          <cell r="K815">
            <v>844.49</v>
          </cell>
          <cell r="L815" t="str">
            <v>FRF</v>
          </cell>
          <cell r="M815" t="str">
            <v>2201</v>
          </cell>
        </row>
        <row r="816">
          <cell r="E816" t="str">
            <v>324465</v>
          </cell>
          <cell r="F816">
            <v>36221</v>
          </cell>
          <cell r="H816" t="str">
            <v>Dictionnaire de Brasserie</v>
          </cell>
          <cell r="I816" t="str">
            <v>EBC</v>
          </cell>
          <cell r="J816" t="str">
            <v>01</v>
          </cell>
          <cell r="K816">
            <v>374.1</v>
          </cell>
          <cell r="L816" t="str">
            <v>FRF</v>
          </cell>
          <cell r="M816" t="str">
            <v>2201</v>
          </cell>
        </row>
        <row r="817">
          <cell r="E817" t="str">
            <v>324461</v>
          </cell>
          <cell r="F817">
            <v>36209</v>
          </cell>
          <cell r="G817">
            <v>36225</v>
          </cell>
          <cell r="H817" t="str">
            <v>Boîte de 12 mèches de rechange</v>
          </cell>
          <cell r="I817" t="str">
            <v>DJS</v>
          </cell>
          <cell r="J817" t="str">
            <v>01</v>
          </cell>
          <cell r="K817">
            <v>698</v>
          </cell>
          <cell r="L817" t="str">
            <v>FRF</v>
          </cell>
          <cell r="M817" t="str">
            <v>2100</v>
          </cell>
        </row>
        <row r="818">
          <cell r="E818" t="str">
            <v>324592</v>
          </cell>
          <cell r="F818">
            <v>36216</v>
          </cell>
          <cell r="G818">
            <v>36221</v>
          </cell>
          <cell r="H818" t="str">
            <v>10 Gabarits Hauteur de remplissage 57 mm</v>
          </cell>
          <cell r="I818" t="str">
            <v>COK</v>
          </cell>
          <cell r="J818" t="str">
            <v>01</v>
          </cell>
          <cell r="K818">
            <v>2337.3000000000002</v>
          </cell>
          <cell r="L818" t="str">
            <v>FRF</v>
          </cell>
          <cell r="M818" t="str">
            <v>2100</v>
          </cell>
        </row>
        <row r="819">
          <cell r="E819" t="str">
            <v>324249</v>
          </cell>
          <cell r="F819">
            <v>36181</v>
          </cell>
          <cell r="G819">
            <v>36382</v>
          </cell>
          <cell r="H819" t="str">
            <v>Débit-mètre 150 mm</v>
          </cell>
          <cell r="I819" t="str">
            <v>BBL</v>
          </cell>
          <cell r="J819" t="str">
            <v>11</v>
          </cell>
          <cell r="K819">
            <v>7388.8</v>
          </cell>
          <cell r="L819" t="str">
            <v>FRF</v>
          </cell>
          <cell r="M819" t="str">
            <v>X003</v>
          </cell>
        </row>
        <row r="820">
          <cell r="E820" t="str">
            <v>324944</v>
          </cell>
          <cell r="F820">
            <v>36241</v>
          </cell>
          <cell r="G820">
            <v>35836</v>
          </cell>
          <cell r="H820" t="str">
            <v>Purexol liquide, 25 kg</v>
          </cell>
          <cell r="I820" t="str">
            <v>SPR</v>
          </cell>
          <cell r="J820" t="str">
            <v>01</v>
          </cell>
          <cell r="K820">
            <v>0</v>
          </cell>
          <cell r="L820" t="str">
            <v>FRF</v>
          </cell>
          <cell r="M820" t="str">
            <v>2100</v>
          </cell>
        </row>
        <row r="821">
          <cell r="E821" t="str">
            <v>323800</v>
          </cell>
          <cell r="F821">
            <v>36129</v>
          </cell>
          <cell r="G821">
            <v>36230</v>
          </cell>
          <cell r="H821" t="str">
            <v>Matériels de laboratoire</v>
          </cell>
          <cell r="I821" t="str">
            <v>FSS</v>
          </cell>
          <cell r="J821" t="str">
            <v>01</v>
          </cell>
          <cell r="K821">
            <v>18112</v>
          </cell>
          <cell r="L821" t="str">
            <v>FRF</v>
          </cell>
          <cell r="M821" t="str">
            <v>2100</v>
          </cell>
        </row>
        <row r="822">
          <cell r="E822" t="str">
            <v>324494</v>
          </cell>
          <cell r="F822">
            <v>36203</v>
          </cell>
          <cell r="G822">
            <v>36321</v>
          </cell>
          <cell r="H822" t="str">
            <v>6 Rubans Témoin poupinel</v>
          </cell>
          <cell r="I822" t="str">
            <v>FSS</v>
          </cell>
          <cell r="J822" t="str">
            <v>01</v>
          </cell>
          <cell r="K822">
            <v>1264.8</v>
          </cell>
          <cell r="L822" t="str">
            <v>FRF</v>
          </cell>
          <cell r="M822" t="str">
            <v>2100</v>
          </cell>
        </row>
        <row r="823">
          <cell r="E823" t="str">
            <v>323657</v>
          </cell>
          <cell r="F823">
            <v>36116</v>
          </cell>
          <cell r="G823">
            <v>36321</v>
          </cell>
          <cell r="H823" t="str">
            <v>Kits analyses des eaux</v>
          </cell>
          <cell r="I823" t="str">
            <v>MCK</v>
          </cell>
          <cell r="J823" t="str">
            <v>01</v>
          </cell>
          <cell r="K823">
            <v>69389.72</v>
          </cell>
          <cell r="L823" t="str">
            <v>FRF</v>
          </cell>
          <cell r="M823" t="str">
            <v>2100</v>
          </cell>
        </row>
        <row r="824">
          <cell r="E824" t="str">
            <v>323818</v>
          </cell>
          <cell r="F824">
            <v>36144</v>
          </cell>
          <cell r="H824" t="str">
            <v>Seringue 10 ml et 5 ml kits Merck eaux</v>
          </cell>
          <cell r="I824" t="str">
            <v>MCK</v>
          </cell>
          <cell r="J824" t="str">
            <v>01</v>
          </cell>
          <cell r="K824">
            <v>748.6</v>
          </cell>
          <cell r="L824" t="str">
            <v>FRF</v>
          </cell>
          <cell r="M824" t="str">
            <v>2100</v>
          </cell>
        </row>
        <row r="825">
          <cell r="E825" t="str">
            <v>323823</v>
          </cell>
          <cell r="F825">
            <v>36137</v>
          </cell>
          <cell r="G825">
            <v>35806</v>
          </cell>
          <cell r="H825" t="str">
            <v>4 Flacons de 50 ml termamyl 120 L</v>
          </cell>
          <cell r="I825" t="str">
            <v>NVO</v>
          </cell>
          <cell r="J825" t="str">
            <v>01</v>
          </cell>
          <cell r="K825">
            <v>0</v>
          </cell>
          <cell r="L825" t="str">
            <v>FRF</v>
          </cell>
          <cell r="M825" t="str">
            <v>2100</v>
          </cell>
        </row>
        <row r="826">
          <cell r="E826" t="str">
            <v>330557</v>
          </cell>
          <cell r="F826">
            <v>36808</v>
          </cell>
          <cell r="G826">
            <v>36888</v>
          </cell>
          <cell r="H826" t="str">
            <v>1 Miccro Logger CO2</v>
          </cell>
          <cell r="I826" t="str">
            <v>ORB</v>
          </cell>
          <cell r="J826" t="str">
            <v>01</v>
          </cell>
          <cell r="K826">
            <v>1556.4</v>
          </cell>
          <cell r="L826" t="str">
            <v>FRF</v>
          </cell>
          <cell r="M826" t="str">
            <v>X003</v>
          </cell>
        </row>
        <row r="827">
          <cell r="E827" t="str">
            <v>323324</v>
          </cell>
          <cell r="F827">
            <v>36087</v>
          </cell>
          <cell r="G827">
            <v>36109</v>
          </cell>
          <cell r="H827" t="str">
            <v>DPD  N°4 et DPD N°1</v>
          </cell>
          <cell r="I827" t="str">
            <v>CIP</v>
          </cell>
          <cell r="J827" t="str">
            <v>01</v>
          </cell>
          <cell r="K827">
            <v>11684.9</v>
          </cell>
          <cell r="L827" t="str">
            <v>FRF</v>
          </cell>
          <cell r="M827" t="str">
            <v>2100</v>
          </cell>
        </row>
        <row r="828">
          <cell r="E828" t="str">
            <v>323243</v>
          </cell>
          <cell r="F828">
            <v>36074</v>
          </cell>
          <cell r="G828">
            <v>36214</v>
          </cell>
          <cell r="H828" t="str">
            <v>Rechanges Scaba</v>
          </cell>
          <cell r="I828" t="str">
            <v>FOS</v>
          </cell>
          <cell r="J828" t="str">
            <v>01</v>
          </cell>
          <cell r="K828">
            <v>84140.4</v>
          </cell>
          <cell r="L828" t="str">
            <v>FRF</v>
          </cell>
          <cell r="M828" t="str">
            <v>2000</v>
          </cell>
        </row>
        <row r="829">
          <cell r="E829" t="str">
            <v>323342</v>
          </cell>
          <cell r="F829">
            <v>36087</v>
          </cell>
          <cell r="G829">
            <v>36171</v>
          </cell>
          <cell r="H829" t="str">
            <v>Rechanges Gehaltmeter + Redpost</v>
          </cell>
          <cell r="I829" t="str">
            <v>HAF</v>
          </cell>
          <cell r="J829" t="str">
            <v>01</v>
          </cell>
          <cell r="K829">
            <v>4212034</v>
          </cell>
          <cell r="L829" t="str">
            <v>CFA</v>
          </cell>
          <cell r="M829" t="str">
            <v>2000</v>
          </cell>
        </row>
        <row r="830">
          <cell r="E830" t="str">
            <v>325526</v>
          </cell>
          <cell r="F830">
            <v>36298</v>
          </cell>
          <cell r="G830">
            <v>36538</v>
          </cell>
          <cell r="H830" t="str">
            <v>NH4Fe(III) citrate vert + ZnSO4</v>
          </cell>
          <cell r="I830" t="str">
            <v>OSI</v>
          </cell>
          <cell r="J830" t="str">
            <v>01</v>
          </cell>
          <cell r="K830">
            <v>5253.2</v>
          </cell>
          <cell r="L830" t="str">
            <v>FRF</v>
          </cell>
          <cell r="M830" t="str">
            <v>2100</v>
          </cell>
        </row>
        <row r="831">
          <cell r="E831" t="str">
            <v>323802</v>
          </cell>
          <cell r="F831">
            <v>36124</v>
          </cell>
          <cell r="G831">
            <v>36225</v>
          </cell>
          <cell r="H831" t="str">
            <v>40 fl 100 ml Sabouraud + Gentamycin</v>
          </cell>
          <cell r="I831" t="str">
            <v>MCK</v>
          </cell>
          <cell r="J831" t="str">
            <v>01</v>
          </cell>
          <cell r="K831">
            <v>1197.83</v>
          </cell>
          <cell r="L831" t="str">
            <v>FRF</v>
          </cell>
          <cell r="M831" t="str">
            <v>2100</v>
          </cell>
        </row>
        <row r="832">
          <cell r="E832" t="str">
            <v>323323</v>
          </cell>
          <cell r="F832">
            <v>36087</v>
          </cell>
          <cell r="G832">
            <v>36068</v>
          </cell>
          <cell r="H832" t="str">
            <v>Lecteurs de disquettes</v>
          </cell>
          <cell r="I832" t="str">
            <v>DSI</v>
          </cell>
          <cell r="J832" t="str">
            <v>01</v>
          </cell>
          <cell r="K832">
            <v>0</v>
          </cell>
          <cell r="L832" t="str">
            <v>FRF</v>
          </cell>
          <cell r="M832" t="str">
            <v>2100</v>
          </cell>
        </row>
        <row r="833">
          <cell r="E833" t="str">
            <v>323497</v>
          </cell>
          <cell r="F833">
            <v>36129</v>
          </cell>
          <cell r="G833">
            <v>36234</v>
          </cell>
          <cell r="H833" t="str">
            <v>2 Lecteur de diquette 3,5 pouces</v>
          </cell>
          <cell r="I833" t="str">
            <v>DSI</v>
          </cell>
          <cell r="J833" t="str">
            <v>01</v>
          </cell>
          <cell r="K833">
            <v>0</v>
          </cell>
          <cell r="L833" t="str">
            <v>FRF</v>
          </cell>
          <cell r="M833" t="str">
            <v>2000</v>
          </cell>
        </row>
        <row r="834">
          <cell r="E834" t="str">
            <v>322861</v>
          </cell>
          <cell r="F834">
            <v>36111</v>
          </cell>
          <cell r="G834">
            <v>36152</v>
          </cell>
          <cell r="H834" t="str">
            <v>1 Turbidimètre Vos "4000" + 1 Redpost</v>
          </cell>
          <cell r="I834" t="str">
            <v>HAF</v>
          </cell>
          <cell r="J834" t="str">
            <v>01</v>
          </cell>
          <cell r="K834">
            <v>69717.679999999993</v>
          </cell>
          <cell r="L834" t="str">
            <v>FRF</v>
          </cell>
          <cell r="M834" t="str">
            <v>W004</v>
          </cell>
        </row>
        <row r="835">
          <cell r="E835" t="str">
            <v>322859</v>
          </cell>
          <cell r="F835">
            <v>36047</v>
          </cell>
          <cell r="G835">
            <v>36243</v>
          </cell>
          <cell r="H835" t="str">
            <v>Set of haze standards</v>
          </cell>
          <cell r="I835" t="str">
            <v>DBR</v>
          </cell>
          <cell r="J835" t="str">
            <v>01</v>
          </cell>
          <cell r="K835">
            <v>7497.8</v>
          </cell>
          <cell r="L835" t="str">
            <v>FRF</v>
          </cell>
          <cell r="M835" t="str">
            <v>2100</v>
          </cell>
        </row>
        <row r="836">
          <cell r="E836" t="str">
            <v>323015</v>
          </cell>
          <cell r="F836">
            <v>36061</v>
          </cell>
          <cell r="G836">
            <v>36138</v>
          </cell>
          <cell r="H836" t="str">
            <v>1 Système Orbisphere MOCA 3600</v>
          </cell>
          <cell r="I836" t="str">
            <v>ORB</v>
          </cell>
          <cell r="J836" t="str">
            <v>01</v>
          </cell>
          <cell r="K836">
            <v>81669.45</v>
          </cell>
          <cell r="L836" t="str">
            <v>FRF</v>
          </cell>
          <cell r="M836" t="str">
            <v>W004</v>
          </cell>
        </row>
        <row r="837">
          <cell r="E837" t="str">
            <v>323019</v>
          </cell>
          <cell r="F837">
            <v>36061</v>
          </cell>
          <cell r="G837">
            <v>36191</v>
          </cell>
          <cell r="H837" t="str">
            <v>3 Stalagmomètre digital</v>
          </cell>
          <cell r="I837" t="str">
            <v>SPR</v>
          </cell>
          <cell r="J837" t="str">
            <v>01</v>
          </cell>
          <cell r="K837">
            <v>18891.5</v>
          </cell>
          <cell r="L837" t="str">
            <v>FRF</v>
          </cell>
          <cell r="M837" t="str">
            <v>W004</v>
          </cell>
        </row>
        <row r="838">
          <cell r="E838" t="str">
            <v>322677</v>
          </cell>
          <cell r="F838">
            <v>36047</v>
          </cell>
          <cell r="G838">
            <v>36070</v>
          </cell>
          <cell r="H838" t="str">
            <v>Dictionnaire de Brasserie</v>
          </cell>
          <cell r="I838" t="str">
            <v>EBC</v>
          </cell>
          <cell r="J838" t="str">
            <v>01</v>
          </cell>
          <cell r="K838">
            <v>374.1</v>
          </cell>
          <cell r="L838" t="str">
            <v>FRF</v>
          </cell>
          <cell r="M838" t="str">
            <v>2201</v>
          </cell>
        </row>
        <row r="839">
          <cell r="E839" t="str">
            <v>324461</v>
          </cell>
          <cell r="F839">
            <v>36209</v>
          </cell>
          <cell r="G839">
            <v>36225</v>
          </cell>
          <cell r="H839" t="str">
            <v>48 Filter paper circles, black ribbon</v>
          </cell>
          <cell r="I839" t="str">
            <v>S&amp;S</v>
          </cell>
          <cell r="J839" t="str">
            <v>01</v>
          </cell>
          <cell r="K839">
            <v>0</v>
          </cell>
          <cell r="L839" t="str">
            <v>FRF</v>
          </cell>
          <cell r="M839" t="str">
            <v>2100</v>
          </cell>
        </row>
        <row r="840">
          <cell r="E840" t="str">
            <v>324592</v>
          </cell>
          <cell r="F840">
            <v>36216</v>
          </cell>
          <cell r="G840">
            <v>36221</v>
          </cell>
          <cell r="H840" t="str">
            <v>Spectrocolorimètre portable 968 ou 948</v>
          </cell>
          <cell r="I840" t="str">
            <v>MTS</v>
          </cell>
          <cell r="J840" t="str">
            <v>01</v>
          </cell>
          <cell r="K840">
            <v>0</v>
          </cell>
          <cell r="L840" t="str">
            <v>FRF</v>
          </cell>
          <cell r="M840" t="str">
            <v>V006</v>
          </cell>
        </row>
        <row r="841">
          <cell r="E841" t="str">
            <v>320019</v>
          </cell>
          <cell r="F841">
            <v>36148</v>
          </cell>
          <cell r="H841" t="str">
            <v>Spectrophotomètre Vipectra 33</v>
          </cell>
          <cell r="I841" t="str">
            <v>FAG</v>
          </cell>
          <cell r="J841" t="str">
            <v>01</v>
          </cell>
          <cell r="K841">
            <v>52265</v>
          </cell>
          <cell r="L841" t="str">
            <v>FRF</v>
          </cell>
          <cell r="M841" t="str">
            <v>V006</v>
          </cell>
        </row>
        <row r="842">
          <cell r="E842" t="str">
            <v>319059</v>
          </cell>
          <cell r="F842">
            <v>35704</v>
          </cell>
          <cell r="G842">
            <v>35836</v>
          </cell>
          <cell r="H842" t="str">
            <v>Système process encastrable in line O3</v>
          </cell>
          <cell r="I842" t="str">
            <v>SNB</v>
          </cell>
          <cell r="J842" t="str">
            <v>01</v>
          </cell>
          <cell r="K842">
            <v>84612.9</v>
          </cell>
          <cell r="L842" t="str">
            <v>FRF</v>
          </cell>
          <cell r="M842" t="str">
            <v>SEMC</v>
          </cell>
        </row>
        <row r="843">
          <cell r="E843" t="str">
            <v>322760</v>
          </cell>
          <cell r="F843">
            <v>36042</v>
          </cell>
          <cell r="G843">
            <v>36068</v>
          </cell>
          <cell r="H843" t="str">
            <v>Produits de laboratoire</v>
          </cell>
          <cell r="I843" t="str">
            <v>MCK</v>
          </cell>
          <cell r="J843" t="str">
            <v>01</v>
          </cell>
          <cell r="K843">
            <v>17912.29</v>
          </cell>
          <cell r="L843" t="str">
            <v>FRF</v>
          </cell>
          <cell r="M843" t="str">
            <v>2100</v>
          </cell>
        </row>
        <row r="844">
          <cell r="E844" t="str">
            <v>322670</v>
          </cell>
          <cell r="F844">
            <v>36031</v>
          </cell>
          <cell r="G844">
            <v>36132</v>
          </cell>
          <cell r="H844" t="str">
            <v>6 Rubans Témoin poupinel</v>
          </cell>
          <cell r="I844" t="str">
            <v>FSS</v>
          </cell>
          <cell r="J844" t="str">
            <v>01</v>
          </cell>
          <cell r="K844">
            <v>1264.8</v>
          </cell>
          <cell r="L844" t="str">
            <v>FRF</v>
          </cell>
          <cell r="M844" t="str">
            <v>2100</v>
          </cell>
        </row>
        <row r="845">
          <cell r="E845" t="str">
            <v>322681</v>
          </cell>
          <cell r="F845">
            <v>36032</v>
          </cell>
          <cell r="G845">
            <v>36321</v>
          </cell>
          <cell r="H845" t="str">
            <v>Additifs Pasteur</v>
          </cell>
          <cell r="I845" t="str">
            <v>DPA</v>
          </cell>
          <cell r="J845" t="str">
            <v>01</v>
          </cell>
          <cell r="K845">
            <v>5284.52</v>
          </cell>
          <cell r="L845" t="str">
            <v>FRF</v>
          </cell>
          <cell r="M845" t="str">
            <v>2100</v>
          </cell>
        </row>
        <row r="846">
          <cell r="E846" t="str">
            <v>323818</v>
          </cell>
          <cell r="F846">
            <v>36144</v>
          </cell>
          <cell r="H846" t="str">
            <v>2 Depth micrometers</v>
          </cell>
          <cell r="I846" t="str">
            <v>MTY</v>
          </cell>
          <cell r="J846" t="str">
            <v>01</v>
          </cell>
          <cell r="K846">
            <v>0</v>
          </cell>
          <cell r="L846" t="str">
            <v>FRF</v>
          </cell>
          <cell r="M846" t="str">
            <v>2100</v>
          </cell>
        </row>
        <row r="847">
          <cell r="E847" t="str">
            <v>322510</v>
          </cell>
          <cell r="F847">
            <v>36010</v>
          </cell>
          <cell r="G847">
            <v>36175</v>
          </cell>
          <cell r="H847" t="str">
            <v>1 Ouvrage "les lubrifiants dans les IA"</v>
          </cell>
          <cell r="I847" t="str">
            <v>LAV</v>
          </cell>
          <cell r="J847" t="str">
            <v>01</v>
          </cell>
          <cell r="K847">
            <v>508</v>
          </cell>
          <cell r="L847" t="str">
            <v>FRF</v>
          </cell>
          <cell r="M847" t="str">
            <v>2201</v>
          </cell>
        </row>
        <row r="848">
          <cell r="E848" t="str">
            <v>322419</v>
          </cell>
          <cell r="F848">
            <v>36034</v>
          </cell>
          <cell r="G848">
            <v>36080</v>
          </cell>
          <cell r="H848" t="str">
            <v>2 Pieds à coulisse Mitutoyo 350 mm min.</v>
          </cell>
          <cell r="I848" t="str">
            <v>MTT</v>
          </cell>
          <cell r="J848" t="str">
            <v>01</v>
          </cell>
          <cell r="K848">
            <v>1556.4</v>
          </cell>
          <cell r="L848" t="str">
            <v>FRF</v>
          </cell>
          <cell r="M848" t="str">
            <v>2000</v>
          </cell>
        </row>
        <row r="849">
          <cell r="E849" t="str">
            <v>322560</v>
          </cell>
          <cell r="F849">
            <v>36034</v>
          </cell>
          <cell r="G849">
            <v>36109</v>
          </cell>
          <cell r="H849" t="str">
            <v>2 Fraises alésage métrique</v>
          </cell>
          <cell r="I849" t="str">
            <v>EPX</v>
          </cell>
          <cell r="J849" t="str">
            <v>01</v>
          </cell>
          <cell r="K849">
            <v>0</v>
          </cell>
          <cell r="L849">
            <v>0</v>
          </cell>
          <cell r="M849" t="str">
            <v>2100</v>
          </cell>
        </row>
        <row r="850">
          <cell r="E850" t="str">
            <v>322759</v>
          </cell>
          <cell r="F850">
            <v>36042</v>
          </cell>
          <cell r="G850">
            <v>36214</v>
          </cell>
          <cell r="H850" t="str">
            <v>3 Sources visibles pour Hitachi 100-10</v>
          </cell>
          <cell r="I850" t="str">
            <v>GOF</v>
          </cell>
          <cell r="J850" t="str">
            <v>01</v>
          </cell>
          <cell r="K850">
            <v>1284</v>
          </cell>
          <cell r="L850" t="str">
            <v>FRF</v>
          </cell>
          <cell r="M850" t="str">
            <v>2100</v>
          </cell>
        </row>
        <row r="851">
          <cell r="E851" t="str">
            <v>322613</v>
          </cell>
          <cell r="F851">
            <v>36019</v>
          </cell>
          <cell r="G851">
            <v>36160</v>
          </cell>
          <cell r="H851" t="str">
            <v>1 Balance Mettler Toledo P5002S</v>
          </cell>
          <cell r="I851" t="str">
            <v>MTL</v>
          </cell>
          <cell r="J851" t="str">
            <v>04</v>
          </cell>
          <cell r="K851">
            <v>23082</v>
          </cell>
          <cell r="L851" t="str">
            <v>FRF</v>
          </cell>
          <cell r="M851" t="str">
            <v>W004</v>
          </cell>
        </row>
        <row r="852">
          <cell r="E852" t="str">
            <v>322459</v>
          </cell>
          <cell r="F852">
            <v>36003</v>
          </cell>
          <cell r="G852">
            <v>36222</v>
          </cell>
          <cell r="H852" t="str">
            <v>Rechanges Scaba:ppe à air, filtres, cell</v>
          </cell>
          <cell r="I852" t="str">
            <v>FOS</v>
          </cell>
          <cell r="J852" t="str">
            <v>01</v>
          </cell>
          <cell r="K852">
            <v>29823.8</v>
          </cell>
          <cell r="L852" t="str">
            <v>FRF</v>
          </cell>
          <cell r="M852" t="str">
            <v>2000</v>
          </cell>
        </row>
        <row r="853">
          <cell r="E853" t="str">
            <v>322371</v>
          </cell>
          <cell r="F853">
            <v>36010</v>
          </cell>
          <cell r="G853">
            <v>36225</v>
          </cell>
          <cell r="H853" t="str">
            <v>Burettes+Universal Fill Height</v>
          </cell>
          <cell r="I853" t="str">
            <v>TRS</v>
          </cell>
          <cell r="J853" t="str">
            <v>01</v>
          </cell>
          <cell r="K853">
            <v>38468</v>
          </cell>
          <cell r="L853" t="str">
            <v>FRF</v>
          </cell>
          <cell r="M853" t="str">
            <v>2100</v>
          </cell>
        </row>
        <row r="854">
          <cell r="E854" t="str">
            <v>322371</v>
          </cell>
          <cell r="F854">
            <v>35996</v>
          </cell>
          <cell r="G854">
            <v>36068</v>
          </cell>
          <cell r="H854" t="str">
            <v>2 Zahm Air determination tester</v>
          </cell>
          <cell r="I854" t="str">
            <v>TRS</v>
          </cell>
          <cell r="J854" t="str">
            <v>01</v>
          </cell>
          <cell r="K854">
            <v>20280</v>
          </cell>
          <cell r="L854" t="str">
            <v>FRF</v>
          </cell>
          <cell r="M854" t="str">
            <v>W004</v>
          </cell>
        </row>
        <row r="855">
          <cell r="E855" t="str">
            <v>322370</v>
          </cell>
          <cell r="F855">
            <v>35997</v>
          </cell>
          <cell r="G855">
            <v>36132</v>
          </cell>
          <cell r="H855" t="str">
            <v>Membranes 0,45 µm+Caps Sartofluor+ MiniS</v>
          </cell>
          <cell r="I855" t="str">
            <v>STR</v>
          </cell>
          <cell r="J855" t="str">
            <v>01</v>
          </cell>
          <cell r="K855">
            <v>151357.20000000001</v>
          </cell>
          <cell r="L855" t="str">
            <v>FRF</v>
          </cell>
          <cell r="M855" t="str">
            <v>2100</v>
          </cell>
        </row>
        <row r="856">
          <cell r="E856" t="str">
            <v>322086</v>
          </cell>
          <cell r="F856">
            <v>35984</v>
          </cell>
          <cell r="G856">
            <v>36103</v>
          </cell>
          <cell r="H856" t="str">
            <v>2x100 ml Termamyl 120 L</v>
          </cell>
          <cell r="I856" t="str">
            <v>NVO</v>
          </cell>
          <cell r="J856" t="str">
            <v>01</v>
          </cell>
          <cell r="K856">
            <v>360</v>
          </cell>
          <cell r="L856" t="str">
            <v>FRF</v>
          </cell>
          <cell r="M856" t="str">
            <v>2100</v>
          </cell>
        </row>
        <row r="857">
          <cell r="E857" t="str">
            <v>322194</v>
          </cell>
          <cell r="F857">
            <v>35984</v>
          </cell>
          <cell r="G857">
            <v>36020</v>
          </cell>
          <cell r="H857" t="str">
            <v>Tubes 30 + pince bois + NH4 persulfate</v>
          </cell>
          <cell r="I857" t="str">
            <v>ERP</v>
          </cell>
          <cell r="J857" t="str">
            <v>01</v>
          </cell>
          <cell r="K857">
            <v>10417.799999999999</v>
          </cell>
          <cell r="L857" t="str">
            <v>FRF</v>
          </cell>
          <cell r="M857" t="str">
            <v>2100</v>
          </cell>
        </row>
        <row r="858">
          <cell r="E858" t="str">
            <v>322294</v>
          </cell>
          <cell r="F858">
            <v>35996</v>
          </cell>
          <cell r="G858">
            <v>36138</v>
          </cell>
          <cell r="H858" t="str">
            <v>Marqueurs effaçables à sec</v>
          </cell>
          <cell r="I858" t="str">
            <v>MAN</v>
          </cell>
          <cell r="J858" t="str">
            <v>01</v>
          </cell>
          <cell r="K858">
            <v>0</v>
          </cell>
          <cell r="L858">
            <v>0</v>
          </cell>
          <cell r="M858" t="str">
            <v>2100</v>
          </cell>
        </row>
        <row r="859">
          <cell r="E859" t="str">
            <v>323019</v>
          </cell>
          <cell r="F859">
            <v>36061</v>
          </cell>
          <cell r="G859">
            <v>35970</v>
          </cell>
          <cell r="H859" t="str">
            <v>24  Manomètres + robinets + pr</v>
          </cell>
          <cell r="I859" t="str">
            <v>TRS</v>
          </cell>
          <cell r="J859" t="str">
            <v>01</v>
          </cell>
          <cell r="K859">
            <v>0</v>
          </cell>
          <cell r="L859" t="str">
            <v>FRF</v>
          </cell>
          <cell r="M859" t="str">
            <v>2100</v>
          </cell>
        </row>
        <row r="860">
          <cell r="E860" t="str">
            <v>321576</v>
          </cell>
          <cell r="F860">
            <v>35935</v>
          </cell>
          <cell r="G860">
            <v>36070</v>
          </cell>
          <cell r="H860" t="str">
            <v>Pressure gauges + needle valves complete</v>
          </cell>
          <cell r="I860" t="str">
            <v>TRS</v>
          </cell>
          <cell r="J860" t="str">
            <v>01</v>
          </cell>
          <cell r="K860">
            <v>0</v>
          </cell>
          <cell r="L860">
            <v>0</v>
          </cell>
          <cell r="M860" t="str">
            <v>2000</v>
          </cell>
        </row>
        <row r="861">
          <cell r="E861" t="str">
            <v>322393</v>
          </cell>
          <cell r="F861">
            <v>36003</v>
          </cell>
          <cell r="G861">
            <v>36059</v>
          </cell>
          <cell r="H861" t="str">
            <v>48 Filter paper circles, black ribbon</v>
          </cell>
          <cell r="I861" t="str">
            <v>S&amp;S</v>
          </cell>
          <cell r="J861" t="str">
            <v>01</v>
          </cell>
          <cell r="K861">
            <v>0</v>
          </cell>
          <cell r="L861" t="str">
            <v>FRF</v>
          </cell>
          <cell r="M861" t="str">
            <v>2100</v>
          </cell>
        </row>
        <row r="862">
          <cell r="E862" t="str">
            <v>321395</v>
          </cell>
          <cell r="F862">
            <v>35954</v>
          </cell>
          <cell r="H862" t="str">
            <v>Tuyaux+S230mm+Batteries+Câbles raccord</v>
          </cell>
          <cell r="I862" t="str">
            <v>HAF</v>
          </cell>
          <cell r="J862" t="str">
            <v>01</v>
          </cell>
          <cell r="K862">
            <v>23332.560000000001</v>
          </cell>
          <cell r="L862" t="str">
            <v>FRF</v>
          </cell>
          <cell r="M862" t="str">
            <v>V006</v>
          </cell>
        </row>
        <row r="863">
          <cell r="E863" t="str">
            <v>321396</v>
          </cell>
          <cell r="F863">
            <v>35926</v>
          </cell>
          <cell r="H863" t="str">
            <v>60 Generbox+ indicateur + Staphyslide</v>
          </cell>
          <cell r="I863" t="str">
            <v>BIO</v>
          </cell>
          <cell r="J863" t="str">
            <v>01</v>
          </cell>
          <cell r="K863">
            <v>9417.9599999999991</v>
          </cell>
          <cell r="L863" t="str">
            <v>FRF</v>
          </cell>
          <cell r="M863" t="str">
            <v>2100</v>
          </cell>
        </row>
        <row r="864">
          <cell r="E864" t="str">
            <v>321394</v>
          </cell>
          <cell r="F864">
            <v>35927</v>
          </cell>
          <cell r="G864">
            <v>36108</v>
          </cell>
          <cell r="H864" t="str">
            <v>Système process encastrable in line O3</v>
          </cell>
          <cell r="I864" t="str">
            <v>SNB</v>
          </cell>
          <cell r="J864" t="str">
            <v>01</v>
          </cell>
          <cell r="K864">
            <v>84612.9</v>
          </cell>
          <cell r="L864" t="str">
            <v>FRF</v>
          </cell>
          <cell r="M864" t="str">
            <v>SEMC</v>
          </cell>
        </row>
        <row r="865">
          <cell r="E865" t="str">
            <v>324644</v>
          </cell>
          <cell r="F865">
            <v>36216</v>
          </cell>
          <cell r="G865">
            <v>36068</v>
          </cell>
          <cell r="H865" t="str">
            <v>Calcium oxyde en poudre</v>
          </cell>
          <cell r="I865" t="str">
            <v>PRO</v>
          </cell>
          <cell r="J865" t="str">
            <v>01</v>
          </cell>
          <cell r="K865">
            <v>2685.4</v>
          </cell>
          <cell r="L865" t="str">
            <v>FRF</v>
          </cell>
          <cell r="M865" t="str">
            <v>2100</v>
          </cell>
        </row>
        <row r="866">
          <cell r="E866" t="str">
            <v>321346</v>
          </cell>
          <cell r="F866">
            <v>35921</v>
          </cell>
          <cell r="G866">
            <v>36000</v>
          </cell>
          <cell r="H866" t="str">
            <v>Jaune de méthyle + ZnSO4</v>
          </cell>
          <cell r="I866" t="str">
            <v>OSI</v>
          </cell>
          <cell r="J866" t="str">
            <v>01</v>
          </cell>
          <cell r="K866">
            <v>9061.5</v>
          </cell>
          <cell r="L866" t="str">
            <v>FRF</v>
          </cell>
          <cell r="M866" t="str">
            <v>2100</v>
          </cell>
        </row>
        <row r="867">
          <cell r="E867" t="str">
            <v>320837</v>
          </cell>
          <cell r="F867">
            <v>35872</v>
          </cell>
          <cell r="G867">
            <v>35949</v>
          </cell>
          <cell r="H867" t="str">
            <v>Additifs Pasteur</v>
          </cell>
          <cell r="I867" t="str">
            <v>DPA</v>
          </cell>
          <cell r="J867" t="str">
            <v>01</v>
          </cell>
          <cell r="K867">
            <v>5284.52</v>
          </cell>
          <cell r="L867" t="str">
            <v>FRF</v>
          </cell>
          <cell r="M867" t="str">
            <v>2100</v>
          </cell>
        </row>
        <row r="868">
          <cell r="E868" t="str">
            <v>321643</v>
          </cell>
          <cell r="F868">
            <v>36007</v>
          </cell>
          <cell r="G868">
            <v>36175</v>
          </cell>
          <cell r="H868" t="str">
            <v>2 Depth micrometers</v>
          </cell>
          <cell r="I868" t="str">
            <v>MTY</v>
          </cell>
          <cell r="J868" t="str">
            <v>01</v>
          </cell>
          <cell r="K868">
            <v>0</v>
          </cell>
          <cell r="L868" t="str">
            <v>FRF</v>
          </cell>
          <cell r="M868" t="str">
            <v>2100</v>
          </cell>
        </row>
        <row r="869">
          <cell r="E869" t="str">
            <v>320896</v>
          </cell>
          <cell r="F869">
            <v>35874</v>
          </cell>
          <cell r="G869">
            <v>35909</v>
          </cell>
          <cell r="H869" t="str">
            <v>Saccharomètres brix 7,5/10-9,5/12-11,5/1</v>
          </cell>
          <cell r="I869" t="str">
            <v>FSH</v>
          </cell>
          <cell r="J869" t="str">
            <v>01</v>
          </cell>
          <cell r="K869">
            <v>18468.25</v>
          </cell>
          <cell r="L869" t="str">
            <v>FRF</v>
          </cell>
          <cell r="M869" t="str">
            <v>2100</v>
          </cell>
        </row>
        <row r="870">
          <cell r="E870" t="str">
            <v>321349</v>
          </cell>
          <cell r="F870">
            <v>35921</v>
          </cell>
          <cell r="G870">
            <v>36080</v>
          </cell>
          <cell r="H870" t="str">
            <v>Saccharomètres plato 0/10-10/20-15/25</v>
          </cell>
          <cell r="I870" t="str">
            <v>GBL</v>
          </cell>
          <cell r="J870" t="str">
            <v>01</v>
          </cell>
          <cell r="K870">
            <v>5935</v>
          </cell>
          <cell r="L870" t="str">
            <v>FRF</v>
          </cell>
          <cell r="M870" t="str">
            <v>2100</v>
          </cell>
        </row>
        <row r="871">
          <cell r="E871" t="str">
            <v>322560</v>
          </cell>
          <cell r="F871">
            <v>36034</v>
          </cell>
          <cell r="G871">
            <v>35947</v>
          </cell>
          <cell r="H871" t="str">
            <v>2 Fraises alésage métrique</v>
          </cell>
          <cell r="I871" t="str">
            <v>EPX</v>
          </cell>
          <cell r="J871" t="str">
            <v>01</v>
          </cell>
          <cell r="K871">
            <v>0</v>
          </cell>
          <cell r="L871">
            <v>0</v>
          </cell>
          <cell r="M871" t="str">
            <v>2100</v>
          </cell>
        </row>
        <row r="872">
          <cell r="E872" t="str">
            <v>320907</v>
          </cell>
          <cell r="F872">
            <v>35874</v>
          </cell>
          <cell r="H872" t="str">
            <v>6000 DPD N°4 Rouge</v>
          </cell>
          <cell r="I872" t="str">
            <v>CIF</v>
          </cell>
          <cell r="J872" t="str">
            <v>01</v>
          </cell>
          <cell r="K872">
            <v>4803.8999999999996</v>
          </cell>
          <cell r="L872" t="str">
            <v>FRF</v>
          </cell>
          <cell r="M872" t="str">
            <v>2100</v>
          </cell>
        </row>
        <row r="873">
          <cell r="E873" t="str">
            <v>320907</v>
          </cell>
          <cell r="F873">
            <v>35874</v>
          </cell>
          <cell r="G873">
            <v>35881</v>
          </cell>
          <cell r="H873" t="str">
            <v>DPD N°4 Rouge</v>
          </cell>
          <cell r="I873" t="str">
            <v>CIF</v>
          </cell>
          <cell r="J873" t="str">
            <v>01</v>
          </cell>
          <cell r="K873">
            <v>4803.8999999999996</v>
          </cell>
          <cell r="L873" t="str">
            <v>FRF</v>
          </cell>
          <cell r="M873" t="str">
            <v>2100</v>
          </cell>
        </row>
        <row r="874">
          <cell r="E874" t="str">
            <v>321517</v>
          </cell>
          <cell r="F874">
            <v>35934</v>
          </cell>
          <cell r="G874">
            <v>36068</v>
          </cell>
          <cell r="H874" t="str">
            <v>Produits de laboratoire</v>
          </cell>
          <cell r="I874" t="str">
            <v>MCK</v>
          </cell>
          <cell r="J874" t="str">
            <v>01</v>
          </cell>
          <cell r="K874">
            <v>119497.68</v>
          </cell>
          <cell r="L874" t="str">
            <v>FRF</v>
          </cell>
          <cell r="M874" t="str">
            <v>2100</v>
          </cell>
        </row>
        <row r="875">
          <cell r="E875" t="str">
            <v>320833</v>
          </cell>
          <cell r="F875">
            <v>35906</v>
          </cell>
          <cell r="G875">
            <v>35919</v>
          </cell>
          <cell r="H875" t="str">
            <v>Burettes+Universal Fill Height</v>
          </cell>
          <cell r="I875" t="str">
            <v>TRS</v>
          </cell>
          <cell r="J875" t="str">
            <v>01</v>
          </cell>
          <cell r="K875">
            <v>38468</v>
          </cell>
          <cell r="L875" t="str">
            <v>FRF</v>
          </cell>
          <cell r="M875" t="str">
            <v>2100</v>
          </cell>
        </row>
        <row r="876">
          <cell r="E876" t="str">
            <v>320860</v>
          </cell>
          <cell r="F876">
            <v>35877</v>
          </cell>
          <cell r="G876">
            <v>35905</v>
          </cell>
          <cell r="H876" t="str">
            <v>2 Zahm Air determination tester</v>
          </cell>
          <cell r="I876" t="str">
            <v>TRS</v>
          </cell>
          <cell r="J876" t="str">
            <v>01</v>
          </cell>
          <cell r="K876">
            <v>20280</v>
          </cell>
          <cell r="L876" t="str">
            <v>FRF</v>
          </cell>
          <cell r="M876" t="str">
            <v>W004</v>
          </cell>
        </row>
        <row r="877">
          <cell r="E877" t="str">
            <v>320828</v>
          </cell>
          <cell r="F877">
            <v>35901</v>
          </cell>
          <cell r="G877">
            <v>36132</v>
          </cell>
          <cell r="H877" t="str">
            <v>Matériels de laboratoire</v>
          </cell>
          <cell r="I877" t="str">
            <v>OSI</v>
          </cell>
          <cell r="J877" t="str">
            <v>01</v>
          </cell>
          <cell r="K877">
            <v>40104.1</v>
          </cell>
          <cell r="L877" t="str">
            <v>FRF</v>
          </cell>
          <cell r="M877" t="str">
            <v>2100</v>
          </cell>
        </row>
        <row r="878">
          <cell r="E878" t="str">
            <v>320731</v>
          </cell>
          <cell r="F878">
            <v>35859</v>
          </cell>
          <cell r="G878">
            <v>35913</v>
          </cell>
          <cell r="H878" t="str">
            <v>Matériels de laboratoire</v>
          </cell>
          <cell r="I878" t="str">
            <v>NRL</v>
          </cell>
          <cell r="J878" t="str">
            <v>01</v>
          </cell>
          <cell r="K878">
            <v>15345.18</v>
          </cell>
          <cell r="L878" t="str">
            <v>FRF</v>
          </cell>
          <cell r="M878" t="str">
            <v>2100</v>
          </cell>
        </row>
        <row r="879">
          <cell r="E879" t="str">
            <v>321351</v>
          </cell>
          <cell r="F879">
            <v>35919</v>
          </cell>
          <cell r="G879">
            <v>36020</v>
          </cell>
          <cell r="H879" t="str">
            <v>Minuteries mécaniques (6)</v>
          </cell>
          <cell r="I879" t="str">
            <v>NRL</v>
          </cell>
          <cell r="J879" t="str">
            <v>01</v>
          </cell>
          <cell r="K879">
            <v>1176.5999999999999</v>
          </cell>
          <cell r="L879" t="str">
            <v>FRF</v>
          </cell>
          <cell r="M879" t="str">
            <v>2100</v>
          </cell>
        </row>
        <row r="880">
          <cell r="E880" t="str">
            <v>320831</v>
          </cell>
          <cell r="F880">
            <v>35871</v>
          </cell>
          <cell r="G880">
            <v>35905</v>
          </cell>
          <cell r="H880" t="str">
            <v>Marqueurs effaçables à sec</v>
          </cell>
          <cell r="I880" t="str">
            <v>MAN</v>
          </cell>
          <cell r="J880" t="str">
            <v>01</v>
          </cell>
          <cell r="K880">
            <v>0</v>
          </cell>
          <cell r="L880">
            <v>0</v>
          </cell>
          <cell r="M880" t="str">
            <v>2100</v>
          </cell>
        </row>
        <row r="881">
          <cell r="E881" t="str">
            <v>320646</v>
          </cell>
          <cell r="F881">
            <v>35851</v>
          </cell>
          <cell r="G881">
            <v>35970</v>
          </cell>
          <cell r="H881" t="str">
            <v>24  Manomètres + robinets + pr</v>
          </cell>
          <cell r="I881" t="str">
            <v>TRS</v>
          </cell>
          <cell r="J881" t="str">
            <v>01</v>
          </cell>
          <cell r="K881">
            <v>0</v>
          </cell>
          <cell r="L881" t="str">
            <v>FRF</v>
          </cell>
          <cell r="M881" t="str">
            <v>2100</v>
          </cell>
        </row>
        <row r="882">
          <cell r="E882" t="str">
            <v>321348</v>
          </cell>
          <cell r="F882">
            <v>36006</v>
          </cell>
          <cell r="G882">
            <v>36099</v>
          </cell>
          <cell r="H882" t="str">
            <v>Pressure gauges + needle valves complete</v>
          </cell>
          <cell r="I882" t="str">
            <v>TRS</v>
          </cell>
          <cell r="J882" t="str">
            <v>01</v>
          </cell>
          <cell r="K882">
            <v>0</v>
          </cell>
          <cell r="L882">
            <v>0</v>
          </cell>
          <cell r="M882" t="str">
            <v>2000</v>
          </cell>
        </row>
        <row r="883">
          <cell r="E883" t="str">
            <v>321687</v>
          </cell>
          <cell r="F883">
            <v>35948</v>
          </cell>
          <cell r="G883">
            <v>35970</v>
          </cell>
          <cell r="H883" t="str">
            <v>Réparation d'un spectrophotomètre</v>
          </cell>
          <cell r="I883" t="str">
            <v>MLT</v>
          </cell>
          <cell r="J883" t="str">
            <v>01</v>
          </cell>
          <cell r="K883">
            <v>2345.15</v>
          </cell>
          <cell r="L883" t="str">
            <v>FRF</v>
          </cell>
          <cell r="M883" t="str">
            <v>3022</v>
          </cell>
        </row>
        <row r="884">
          <cell r="E884" t="str">
            <v>320363</v>
          </cell>
          <cell r="F884">
            <v>35822</v>
          </cell>
          <cell r="G884">
            <v>35858</v>
          </cell>
          <cell r="H884" t="str">
            <v>Tuyaux+S230mm+Batteries+Câbles raccord</v>
          </cell>
          <cell r="I884" t="str">
            <v>HAF</v>
          </cell>
          <cell r="J884" t="str">
            <v>01</v>
          </cell>
          <cell r="K884">
            <v>23332.560000000001</v>
          </cell>
          <cell r="L884" t="str">
            <v>FRF</v>
          </cell>
          <cell r="M884" t="str">
            <v>2000</v>
          </cell>
        </row>
        <row r="885">
          <cell r="E885" t="str">
            <v>321396</v>
          </cell>
          <cell r="F885">
            <v>35926</v>
          </cell>
          <cell r="G885">
            <v>35692</v>
          </cell>
          <cell r="H885" t="str">
            <v>60 Generbox+ indicateur + Staphyslide</v>
          </cell>
          <cell r="I885" t="str">
            <v>BIO</v>
          </cell>
          <cell r="J885" t="str">
            <v>01</v>
          </cell>
          <cell r="K885">
            <v>9417.9599999999991</v>
          </cell>
          <cell r="L885" t="str">
            <v>FRF</v>
          </cell>
          <cell r="M885" t="str">
            <v>3022</v>
          </cell>
        </row>
        <row r="886">
          <cell r="E886" t="str">
            <v>320479</v>
          </cell>
          <cell r="F886">
            <v>35832</v>
          </cell>
          <cell r="G886">
            <v>35866</v>
          </cell>
          <cell r="H886" t="str">
            <v>6 Sondes 230 mm</v>
          </cell>
          <cell r="I886" t="str">
            <v>HAF</v>
          </cell>
          <cell r="J886" t="str">
            <v>01</v>
          </cell>
          <cell r="K886">
            <v>9627.0499999999993</v>
          </cell>
          <cell r="L886" t="str">
            <v>FRF</v>
          </cell>
          <cell r="M886" t="str">
            <v>2000</v>
          </cell>
        </row>
        <row r="887">
          <cell r="E887" t="str">
            <v>320174</v>
          </cell>
          <cell r="F887">
            <v>36216</v>
          </cell>
          <cell r="H887" t="str">
            <v>1 Flavour standard kit</v>
          </cell>
          <cell r="I887" t="str">
            <v>FLV</v>
          </cell>
          <cell r="J887" t="str">
            <v>01</v>
          </cell>
          <cell r="K887">
            <v>0</v>
          </cell>
          <cell r="L887" t="str">
            <v>FRF</v>
          </cell>
          <cell r="M887" t="str">
            <v>2100</v>
          </cell>
        </row>
        <row r="888">
          <cell r="E888" t="str">
            <v>321346</v>
          </cell>
          <cell r="F888">
            <v>35921</v>
          </cell>
          <cell r="G888">
            <v>35826</v>
          </cell>
          <cell r="H888" t="str">
            <v>Kit coli, lev&amp;mois et flore totale</v>
          </cell>
          <cell r="I888" t="str">
            <v>MLP</v>
          </cell>
          <cell r="J888" t="str">
            <v>01</v>
          </cell>
          <cell r="K888">
            <v>0</v>
          </cell>
          <cell r="L888" t="str">
            <v>FRF</v>
          </cell>
          <cell r="M888" t="str">
            <v>2100</v>
          </cell>
        </row>
        <row r="889">
          <cell r="E889" t="str">
            <v>320089</v>
          </cell>
          <cell r="F889">
            <v>35808</v>
          </cell>
          <cell r="G889">
            <v>35990</v>
          </cell>
          <cell r="H889" t="str">
            <v>Blles syst+buretttes ac+NaE</v>
          </cell>
          <cell r="I889" t="str">
            <v>GBL</v>
          </cell>
          <cell r="J889" t="str">
            <v>01</v>
          </cell>
          <cell r="K889">
            <v>63421</v>
          </cell>
          <cell r="L889" t="str">
            <v>FRF</v>
          </cell>
          <cell r="M889" t="str">
            <v>2100</v>
          </cell>
        </row>
        <row r="890">
          <cell r="E890" t="str">
            <v>320089</v>
          </cell>
          <cell r="F890">
            <v>35808</v>
          </cell>
          <cell r="G890">
            <v>36175</v>
          </cell>
          <cell r="H890" t="str">
            <v>2 CO2 volume meter</v>
          </cell>
          <cell r="I890" t="str">
            <v>GBL</v>
          </cell>
          <cell r="J890" t="str">
            <v>01</v>
          </cell>
          <cell r="K890">
            <v>32652</v>
          </cell>
          <cell r="L890" t="str">
            <v>FRF</v>
          </cell>
          <cell r="M890" t="str">
            <v>V006</v>
          </cell>
        </row>
        <row r="891">
          <cell r="E891" t="str">
            <v>325159</v>
          </cell>
          <cell r="F891">
            <v>36279</v>
          </cell>
          <cell r="G891">
            <v>36326</v>
          </cell>
          <cell r="H891" t="str">
            <v>Adapter for sodium spectral lamp</v>
          </cell>
          <cell r="I891" t="str">
            <v>GBL</v>
          </cell>
          <cell r="J891" t="str">
            <v>01</v>
          </cell>
          <cell r="K891">
            <v>7028.55</v>
          </cell>
          <cell r="L891" t="str">
            <v>FRF</v>
          </cell>
          <cell r="M891" t="str">
            <v>2000</v>
          </cell>
        </row>
        <row r="892">
          <cell r="E892" t="str">
            <v>321349</v>
          </cell>
          <cell r="F892">
            <v>35921</v>
          </cell>
          <cell r="H892" t="str">
            <v>Taylor super chlorimeters(6)+Timers(6)</v>
          </cell>
          <cell r="I892" t="str">
            <v>TRS</v>
          </cell>
          <cell r="J892" t="str">
            <v>01</v>
          </cell>
          <cell r="K892">
            <v>0</v>
          </cell>
          <cell r="L892" t="str">
            <v>FRF</v>
          </cell>
          <cell r="M892" t="str">
            <v>2100</v>
          </cell>
        </row>
        <row r="893">
          <cell r="E893" t="str">
            <v>320019</v>
          </cell>
          <cell r="F893">
            <v>35783</v>
          </cell>
          <cell r="G893">
            <v>35947</v>
          </cell>
          <cell r="H893" t="str">
            <v>Spectrophotomètre FAG VIPSPECTRA</v>
          </cell>
          <cell r="I893" t="str">
            <v>FAG</v>
          </cell>
          <cell r="J893" t="str">
            <v>01</v>
          </cell>
          <cell r="K893">
            <v>52265</v>
          </cell>
          <cell r="L893" t="str">
            <v>FRF</v>
          </cell>
          <cell r="M893" t="str">
            <v>2100</v>
          </cell>
        </row>
        <row r="894">
          <cell r="E894" t="str">
            <v>31974</v>
          </cell>
          <cell r="F894">
            <v>35768</v>
          </cell>
          <cell r="G894">
            <v>35821</v>
          </cell>
          <cell r="H894" t="str">
            <v>6000 DPD N°4 Rouge</v>
          </cell>
          <cell r="I894" t="str">
            <v>CIF</v>
          </cell>
          <cell r="J894" t="str">
            <v>01</v>
          </cell>
          <cell r="K894">
            <v>4803.8999999999996</v>
          </cell>
          <cell r="L894" t="str">
            <v>FRF</v>
          </cell>
          <cell r="M894" t="str">
            <v>2100</v>
          </cell>
        </row>
        <row r="895">
          <cell r="E895" t="str">
            <v>319923</v>
          </cell>
          <cell r="F895">
            <v>35780</v>
          </cell>
          <cell r="G895">
            <v>35811</v>
          </cell>
          <cell r="H895" t="str">
            <v>24 Manomètres 0-60 psi</v>
          </cell>
          <cell r="I895" t="str">
            <v>TRS</v>
          </cell>
          <cell r="J895" t="str">
            <v>01</v>
          </cell>
          <cell r="K895">
            <v>10561.47</v>
          </cell>
          <cell r="L895" t="str">
            <v>FRF</v>
          </cell>
          <cell r="M895" t="str">
            <v>2100</v>
          </cell>
        </row>
        <row r="896">
          <cell r="E896" t="str">
            <v>319054</v>
          </cell>
          <cell r="F896">
            <v>35783</v>
          </cell>
          <cell r="G896">
            <v>35821</v>
          </cell>
          <cell r="H896" t="str">
            <v>Graisse au silicone aérosol</v>
          </cell>
          <cell r="I896" t="str">
            <v>HAF</v>
          </cell>
          <cell r="J896" t="str">
            <v>01</v>
          </cell>
          <cell r="K896">
            <v>1680.96</v>
          </cell>
          <cell r="L896" t="str">
            <v>FRF</v>
          </cell>
          <cell r="M896" t="str">
            <v>2100</v>
          </cell>
        </row>
        <row r="897">
          <cell r="E897" t="str">
            <v>318960</v>
          </cell>
          <cell r="F897">
            <v>35737</v>
          </cell>
          <cell r="G897">
            <v>35760</v>
          </cell>
          <cell r="H897" t="str">
            <v>Etuve multi cellulaire et nacelles alu</v>
          </cell>
          <cell r="I897" t="str">
            <v>TPR</v>
          </cell>
          <cell r="J897" t="str">
            <v>06</v>
          </cell>
          <cell r="K897">
            <v>27201</v>
          </cell>
          <cell r="L897" t="str">
            <v>FRF</v>
          </cell>
          <cell r="M897" t="str">
            <v>V006</v>
          </cell>
        </row>
        <row r="898">
          <cell r="E898" t="str">
            <v>319157</v>
          </cell>
          <cell r="F898">
            <v>35716</v>
          </cell>
          <cell r="G898">
            <v>35734</v>
          </cell>
          <cell r="H898" t="str">
            <v>Produits de laboratoire</v>
          </cell>
          <cell r="I898" t="str">
            <v>DPA</v>
          </cell>
          <cell r="J898" t="str">
            <v>01</v>
          </cell>
          <cell r="K898">
            <v>3401.92</v>
          </cell>
          <cell r="L898" t="str">
            <v>FRF</v>
          </cell>
          <cell r="M898" t="str">
            <v>2100</v>
          </cell>
        </row>
        <row r="899">
          <cell r="E899" t="str">
            <v>318849</v>
          </cell>
          <cell r="F899">
            <v>35677</v>
          </cell>
          <cell r="H899" t="str">
            <v>DPD N°4 R, Glycine, Alu1,Alu2</v>
          </cell>
          <cell r="I899" t="str">
            <v>CIF</v>
          </cell>
          <cell r="J899" t="str">
            <v>01</v>
          </cell>
          <cell r="K899">
            <v>36055.5</v>
          </cell>
          <cell r="L899" t="str">
            <v>FRF</v>
          </cell>
          <cell r="M899" t="str">
            <v>2100</v>
          </cell>
        </row>
        <row r="900">
          <cell r="E900" t="str">
            <v>319050</v>
          </cell>
          <cell r="F900">
            <v>35703</v>
          </cell>
          <cell r="G900">
            <v>35811</v>
          </cell>
          <cell r="H900" t="str">
            <v>Produits de laboratoire</v>
          </cell>
          <cell r="I900" t="str">
            <v>OSI</v>
          </cell>
          <cell r="J900" t="str">
            <v>01</v>
          </cell>
          <cell r="K900">
            <v>9656.2000000000007</v>
          </cell>
          <cell r="L900" t="str">
            <v>FRF</v>
          </cell>
          <cell r="M900" t="str">
            <v>2100</v>
          </cell>
        </row>
        <row r="901">
          <cell r="E901" t="str">
            <v>319062</v>
          </cell>
          <cell r="F901">
            <v>35800</v>
          </cell>
          <cell r="H901" t="str">
            <v>Produits de laboratoire</v>
          </cell>
          <cell r="I901" t="str">
            <v>PRO</v>
          </cell>
          <cell r="J901" t="str">
            <v>01</v>
          </cell>
          <cell r="K901">
            <v>28280.16</v>
          </cell>
          <cell r="L901" t="str">
            <v>FRF</v>
          </cell>
          <cell r="M901" t="str">
            <v>2100</v>
          </cell>
        </row>
        <row r="902">
          <cell r="E902" t="str">
            <v>320880</v>
          </cell>
          <cell r="F902">
            <v>35873</v>
          </cell>
          <cell r="G902">
            <v>35919</v>
          </cell>
          <cell r="H902" t="str">
            <v>12 x 5kg Sodium fluorure</v>
          </cell>
          <cell r="I902" t="str">
            <v>PRO</v>
          </cell>
          <cell r="J902" t="str">
            <v>01</v>
          </cell>
          <cell r="K902">
            <v>10090.16</v>
          </cell>
          <cell r="L902" t="str">
            <v>FRF</v>
          </cell>
          <cell r="M902" t="str">
            <v>2100</v>
          </cell>
        </row>
        <row r="903">
          <cell r="E903" t="str">
            <v>319057</v>
          </cell>
          <cell r="F903">
            <v>35780</v>
          </cell>
          <cell r="G903">
            <v>35949</v>
          </cell>
          <cell r="H903" t="str">
            <v>Produits de laboratoire</v>
          </cell>
          <cell r="I903" t="str">
            <v>MCK</v>
          </cell>
          <cell r="J903" t="str">
            <v>01</v>
          </cell>
          <cell r="K903">
            <v>35275.97</v>
          </cell>
          <cell r="L903" t="str">
            <v>FRF</v>
          </cell>
          <cell r="M903" t="str">
            <v>2100</v>
          </cell>
        </row>
        <row r="904">
          <cell r="E904" t="str">
            <v>319950</v>
          </cell>
          <cell r="F904">
            <v>36147</v>
          </cell>
          <cell r="G904">
            <v>36099</v>
          </cell>
          <cell r="H904" t="str">
            <v>BaCl2,MgSO4,ZnSO4</v>
          </cell>
          <cell r="I904" t="str">
            <v>OSI</v>
          </cell>
          <cell r="J904" t="str">
            <v>01</v>
          </cell>
          <cell r="K904">
            <v>5890.2</v>
          </cell>
          <cell r="L904" t="str">
            <v>FRF</v>
          </cell>
          <cell r="M904" t="str">
            <v>2100</v>
          </cell>
        </row>
        <row r="905">
          <cell r="E905" t="str">
            <v>318655</v>
          </cell>
          <cell r="F905">
            <v>35675</v>
          </cell>
          <cell r="G905">
            <v>35811</v>
          </cell>
          <cell r="H905" t="str">
            <v>3 Tungsten lamps + 4 Deuterium lamps</v>
          </cell>
          <cell r="I905" t="str">
            <v>MLT</v>
          </cell>
          <cell r="J905" t="str">
            <v>01</v>
          </cell>
          <cell r="K905">
            <v>16365.21</v>
          </cell>
          <cell r="L905" t="str">
            <v>FRF</v>
          </cell>
          <cell r="M905" t="str">
            <v>2000</v>
          </cell>
        </row>
        <row r="906">
          <cell r="E906" t="str">
            <v>318576</v>
          </cell>
          <cell r="F906">
            <v>35654</v>
          </cell>
          <cell r="G906">
            <v>35858</v>
          </cell>
          <cell r="H906" t="str">
            <v>Connector panels,batteries,manos,o-rings</v>
          </cell>
          <cell r="I906" t="str">
            <v>HAF</v>
          </cell>
          <cell r="J906" t="str">
            <v>01</v>
          </cell>
          <cell r="K906">
            <v>25150.5</v>
          </cell>
          <cell r="L906" t="str">
            <v>FRF</v>
          </cell>
          <cell r="M906" t="str">
            <v>2000</v>
          </cell>
        </row>
        <row r="907">
          <cell r="E907" t="str">
            <v>318562</v>
          </cell>
          <cell r="F907">
            <v>35642</v>
          </cell>
          <cell r="G907">
            <v>35692</v>
          </cell>
          <cell r="H907" t="str">
            <v>1 spectrophotomètre en réparation</v>
          </cell>
          <cell r="I907" t="str">
            <v>MLT</v>
          </cell>
          <cell r="J907" t="str">
            <v>01</v>
          </cell>
          <cell r="K907">
            <v>0</v>
          </cell>
          <cell r="L907" t="str">
            <v>FRF</v>
          </cell>
          <cell r="M907" t="str">
            <v>3022</v>
          </cell>
        </row>
        <row r="908">
          <cell r="E908" t="str">
            <v>320479</v>
          </cell>
          <cell r="F908">
            <v>35832</v>
          </cell>
          <cell r="G908">
            <v>35866</v>
          </cell>
          <cell r="H908" t="str">
            <v>1 Perinorm International</v>
          </cell>
          <cell r="I908" t="str">
            <v>AFN</v>
          </cell>
          <cell r="J908" t="str">
            <v>01</v>
          </cell>
          <cell r="K908">
            <v>16938</v>
          </cell>
          <cell r="L908" t="str">
            <v>FRF</v>
          </cell>
          <cell r="M908" t="str">
            <v>V006</v>
          </cell>
        </row>
        <row r="909">
          <cell r="E909" t="str">
            <v>318559</v>
          </cell>
          <cell r="F909">
            <v>35642</v>
          </cell>
          <cell r="G909">
            <v>35684</v>
          </cell>
          <cell r="H909" t="str">
            <v>1 Flavour standard kit</v>
          </cell>
          <cell r="I909" t="str">
            <v>FLV</v>
          </cell>
          <cell r="J909" t="str">
            <v>01</v>
          </cell>
          <cell r="K909">
            <v>0</v>
          </cell>
          <cell r="L909" t="str">
            <v>FRF</v>
          </cell>
          <cell r="M909" t="str">
            <v>2100</v>
          </cell>
        </row>
        <row r="910">
          <cell r="E910" t="str">
            <v>319851</v>
          </cell>
          <cell r="F910">
            <v>35786</v>
          </cell>
          <cell r="G910">
            <v>35826</v>
          </cell>
          <cell r="H910" t="str">
            <v>Kit coli, lev&amp;mois et flore totale</v>
          </cell>
          <cell r="I910" t="str">
            <v>MLP</v>
          </cell>
          <cell r="J910" t="str">
            <v>01</v>
          </cell>
          <cell r="K910">
            <v>0</v>
          </cell>
          <cell r="L910" t="str">
            <v>FRF</v>
          </cell>
          <cell r="M910" t="str">
            <v>2100</v>
          </cell>
        </row>
        <row r="911">
          <cell r="E911" t="str">
            <v>89527</v>
          </cell>
          <cell r="F911">
            <v>39009</v>
          </cell>
          <cell r="G911">
            <v>39082</v>
          </cell>
          <cell r="H911" t="str">
            <v>Ribbons and rolls for 100 series printer</v>
          </cell>
          <cell r="I911" t="str">
            <v>PAA</v>
          </cell>
          <cell r="J911" t="str">
            <v>01</v>
          </cell>
          <cell r="K911">
            <v>451.68</v>
          </cell>
          <cell r="L911" t="str">
            <v>EUR</v>
          </cell>
          <cell r="M911" t="str">
            <v>2100</v>
          </cell>
        </row>
        <row r="912">
          <cell r="E912" t="str">
            <v>629</v>
          </cell>
          <cell r="F912">
            <v>35633</v>
          </cell>
          <cell r="H912" t="str">
            <v>Additifs Pasteur</v>
          </cell>
          <cell r="I912" t="str">
            <v>LDT</v>
          </cell>
          <cell r="J912" t="str">
            <v>01</v>
          </cell>
          <cell r="K912">
            <v>238000</v>
          </cell>
          <cell r="L912" t="str">
            <v>CFA</v>
          </cell>
          <cell r="M912" t="str">
            <v>2100</v>
          </cell>
        </row>
        <row r="913">
          <cell r="E913" t="str">
            <v>318634</v>
          </cell>
          <cell r="F913">
            <v>35649</v>
          </cell>
          <cell r="G913">
            <v>36326</v>
          </cell>
          <cell r="H913" t="str">
            <v>1 Kit orthophosphates + polyphosphates</v>
          </cell>
          <cell r="I913" t="str">
            <v>ERP</v>
          </cell>
          <cell r="J913" t="str">
            <v>01</v>
          </cell>
          <cell r="K913">
            <v>2648.94</v>
          </cell>
          <cell r="L913" t="str">
            <v>FRF</v>
          </cell>
          <cell r="M913" t="str">
            <v>2100</v>
          </cell>
        </row>
        <row r="914">
          <cell r="E914" t="str">
            <v>318561</v>
          </cell>
          <cell r="F914">
            <v>35642</v>
          </cell>
          <cell r="H914" t="str">
            <v>1 Thermostat à circulation + 1 pompe pst</v>
          </cell>
          <cell r="I914" t="str">
            <v>FOS</v>
          </cell>
          <cell r="J914" t="str">
            <v>01</v>
          </cell>
          <cell r="K914">
            <v>66933.259999999995</v>
          </cell>
          <cell r="L914" t="str">
            <v>FRF</v>
          </cell>
          <cell r="M914" t="str">
            <v>2100</v>
          </cell>
        </row>
        <row r="915">
          <cell r="E915" t="str">
            <v>320019</v>
          </cell>
          <cell r="F915">
            <v>35783</v>
          </cell>
          <cell r="H915" t="str">
            <v>Révision complète analyseur scaba</v>
          </cell>
          <cell r="I915" t="str">
            <v>FOS</v>
          </cell>
          <cell r="J915" t="str">
            <v>01</v>
          </cell>
          <cell r="K915">
            <v>0</v>
          </cell>
          <cell r="L915" t="str">
            <v>FRF</v>
          </cell>
          <cell r="M915" t="str">
            <v>3022</v>
          </cell>
        </row>
        <row r="916">
          <cell r="E916" t="str">
            <v>31974</v>
          </cell>
          <cell r="F916">
            <v>35768</v>
          </cell>
          <cell r="G916">
            <v>35821</v>
          </cell>
          <cell r="H916" t="str">
            <v>6 x 500 pseudomonas isolation agar</v>
          </cell>
          <cell r="I916" t="str">
            <v>OSI</v>
          </cell>
          <cell r="J916" t="str">
            <v>01</v>
          </cell>
          <cell r="K916">
            <v>0</v>
          </cell>
          <cell r="L916" t="str">
            <v>FRF</v>
          </cell>
          <cell r="M916" t="str">
            <v>2100</v>
          </cell>
        </row>
        <row r="917">
          <cell r="E917" t="str">
            <v>319923</v>
          </cell>
          <cell r="F917">
            <v>35780</v>
          </cell>
          <cell r="G917">
            <v>35611</v>
          </cell>
          <cell r="H917" t="str">
            <v>Generbox + additifs pasteur + MC</v>
          </cell>
          <cell r="I917" t="str">
            <v>LDT</v>
          </cell>
          <cell r="J917" t="str">
            <v>01</v>
          </cell>
          <cell r="K917">
            <v>0</v>
          </cell>
          <cell r="L917" t="str">
            <v>FRF</v>
          </cell>
          <cell r="M917" t="str">
            <v>2100</v>
          </cell>
        </row>
        <row r="918">
          <cell r="E918" t="str">
            <v>8364</v>
          </cell>
          <cell r="F918">
            <v>35629</v>
          </cell>
          <cell r="G918">
            <v>35663</v>
          </cell>
          <cell r="H918" t="str">
            <v>Membranes 0,45µm + Minisart + sartofluor</v>
          </cell>
          <cell r="I918" t="str">
            <v>LDT</v>
          </cell>
          <cell r="J918" t="str">
            <v>01</v>
          </cell>
          <cell r="K918">
            <v>17527500</v>
          </cell>
          <cell r="L918" t="str">
            <v>CFA</v>
          </cell>
          <cell r="M918" t="str">
            <v>2100</v>
          </cell>
        </row>
        <row r="919">
          <cell r="E919" t="str">
            <v>317937</v>
          </cell>
          <cell r="F919">
            <v>35580</v>
          </cell>
          <cell r="G919">
            <v>35660</v>
          </cell>
          <cell r="H919" t="str">
            <v>Parafilm,THMAM,BaCl2,ZnSO4,Isoctane,EtOH</v>
          </cell>
          <cell r="I919" t="str">
            <v>PRO</v>
          </cell>
          <cell r="J919" t="str">
            <v>01</v>
          </cell>
          <cell r="K919">
            <v>8242.7000000000007</v>
          </cell>
          <cell r="L919" t="str">
            <v>FRF</v>
          </cell>
          <cell r="M919" t="str">
            <v>2100</v>
          </cell>
        </row>
        <row r="920">
          <cell r="E920" t="str">
            <v>22160</v>
          </cell>
          <cell r="F920">
            <v>35619</v>
          </cell>
          <cell r="G920">
            <v>35668</v>
          </cell>
          <cell r="H920" t="str">
            <v>NaCl+H3PO4+Dichlorométhane</v>
          </cell>
          <cell r="I920" t="str">
            <v>ESC</v>
          </cell>
          <cell r="J920" t="str">
            <v>01</v>
          </cell>
          <cell r="K920">
            <v>984000</v>
          </cell>
          <cell r="L920" t="str">
            <v>CFA</v>
          </cell>
          <cell r="M920" t="str">
            <v>2100</v>
          </cell>
        </row>
        <row r="921">
          <cell r="E921" t="str">
            <v>317721</v>
          </cell>
          <cell r="F921">
            <v>35549</v>
          </cell>
          <cell r="H921" t="str">
            <v>24 Manomètres 0 - 60 psi</v>
          </cell>
          <cell r="I921" t="str">
            <v>TRS</v>
          </cell>
          <cell r="J921" t="str">
            <v>01</v>
          </cell>
          <cell r="K921">
            <v>13456.1</v>
          </cell>
          <cell r="L921" t="str">
            <v>FRF</v>
          </cell>
          <cell r="M921" t="str">
            <v>2000</v>
          </cell>
        </row>
        <row r="922">
          <cell r="E922" t="str">
            <v>317563</v>
          </cell>
          <cell r="F922">
            <v>35534</v>
          </cell>
          <cell r="G922">
            <v>35811</v>
          </cell>
          <cell r="H922" t="str">
            <v>Produits de laboratoire</v>
          </cell>
          <cell r="I922" t="str">
            <v>MCK</v>
          </cell>
          <cell r="J922" t="str">
            <v>01</v>
          </cell>
          <cell r="K922">
            <v>54762.42</v>
          </cell>
          <cell r="L922" t="str">
            <v>FRF</v>
          </cell>
          <cell r="M922" t="str">
            <v>2100</v>
          </cell>
        </row>
        <row r="923">
          <cell r="E923" t="str">
            <v>317598</v>
          </cell>
          <cell r="F923">
            <v>35535</v>
          </cell>
          <cell r="H923" t="str">
            <v>Masse de 50 g</v>
          </cell>
          <cell r="I923" t="str">
            <v>OSI</v>
          </cell>
          <cell r="J923" t="str">
            <v>SEMC</v>
          </cell>
          <cell r="K923">
            <v>801.9</v>
          </cell>
          <cell r="L923" t="str">
            <v>FRF</v>
          </cell>
          <cell r="M923" t="str">
            <v>2100</v>
          </cell>
        </row>
        <row r="924">
          <cell r="E924" t="str">
            <v>8258</v>
          </cell>
          <cell r="F924">
            <v>35528</v>
          </cell>
          <cell r="G924">
            <v>35536</v>
          </cell>
          <cell r="H924" t="str">
            <v>12 x 5 kg Zinc sulfate</v>
          </cell>
          <cell r="I924" t="str">
            <v>ESC</v>
          </cell>
          <cell r="J924" t="str">
            <v>01</v>
          </cell>
          <cell r="K924">
            <v>420000</v>
          </cell>
          <cell r="L924" t="str">
            <v>CFA</v>
          </cell>
          <cell r="M924" t="str">
            <v>2100</v>
          </cell>
        </row>
        <row r="925">
          <cell r="E925" t="str">
            <v>317320</v>
          </cell>
          <cell r="F925">
            <v>35508</v>
          </cell>
          <cell r="G925">
            <v>35577</v>
          </cell>
          <cell r="H925" t="str">
            <v>Produits de laboratoire</v>
          </cell>
          <cell r="I925" t="str">
            <v>MCK</v>
          </cell>
          <cell r="J925" t="str">
            <v>01</v>
          </cell>
          <cell r="K925">
            <v>35275.97</v>
          </cell>
          <cell r="L925" t="str">
            <v>FRF</v>
          </cell>
          <cell r="M925" t="str">
            <v>2100</v>
          </cell>
        </row>
        <row r="926">
          <cell r="E926" t="str">
            <v>317725</v>
          </cell>
          <cell r="F926">
            <v>35761</v>
          </cell>
          <cell r="G926">
            <v>35783</v>
          </cell>
          <cell r="H926" t="str">
            <v>BaCl2,MgSO4,ZnSO4</v>
          </cell>
          <cell r="I926" t="str">
            <v>OSI</v>
          </cell>
          <cell r="J926" t="str">
            <v>01</v>
          </cell>
          <cell r="K926">
            <v>5890.2</v>
          </cell>
          <cell r="L926" t="str">
            <v>FRF</v>
          </cell>
          <cell r="M926" t="str">
            <v>2100</v>
          </cell>
        </row>
        <row r="927">
          <cell r="E927" t="str">
            <v>318655</v>
          </cell>
          <cell r="F927">
            <v>35675</v>
          </cell>
          <cell r="G927">
            <v>35563</v>
          </cell>
          <cell r="H927" t="str">
            <v>Membranes 2958 et 2952</v>
          </cell>
          <cell r="I927" t="str">
            <v>ORB</v>
          </cell>
          <cell r="J927" t="str">
            <v>01</v>
          </cell>
          <cell r="K927">
            <v>0</v>
          </cell>
          <cell r="L927" t="str">
            <v>FRF</v>
          </cell>
          <cell r="M927" t="str">
            <v>2100</v>
          </cell>
        </row>
        <row r="928">
          <cell r="E928" t="str">
            <v>8232</v>
          </cell>
          <cell r="F928">
            <v>35489</v>
          </cell>
          <cell r="G928">
            <v>35579</v>
          </cell>
          <cell r="H928" t="str">
            <v>Connector panels,batteries,manos,o-rings</v>
          </cell>
          <cell r="I928" t="str">
            <v>HAF</v>
          </cell>
          <cell r="J928" t="str">
            <v>01</v>
          </cell>
          <cell r="K928">
            <v>25150.5</v>
          </cell>
          <cell r="L928" t="str">
            <v>FRF</v>
          </cell>
          <cell r="M928" t="str">
            <v>2000</v>
          </cell>
        </row>
        <row r="929">
          <cell r="E929" t="str">
            <v>317443</v>
          </cell>
          <cell r="F929">
            <v>35545</v>
          </cell>
          <cell r="G929">
            <v>35594</v>
          </cell>
          <cell r="H929" t="str">
            <v>6 Tamis N°36, ouverture mailles 0.560 mm</v>
          </cell>
          <cell r="I929" t="str">
            <v>BUH</v>
          </cell>
          <cell r="J929" t="str">
            <v>01</v>
          </cell>
          <cell r="K929">
            <v>1580.6</v>
          </cell>
          <cell r="L929" t="str">
            <v>FRF</v>
          </cell>
          <cell r="M929" t="str">
            <v>2000</v>
          </cell>
        </row>
        <row r="930">
          <cell r="E930" t="str">
            <v>317040</v>
          </cell>
          <cell r="G930">
            <v>35520</v>
          </cell>
          <cell r="H930" t="str">
            <v>1 Perinorm International</v>
          </cell>
          <cell r="I930" t="str">
            <v>AFN</v>
          </cell>
          <cell r="J930" t="str">
            <v>01</v>
          </cell>
          <cell r="K930">
            <v>16938</v>
          </cell>
          <cell r="L930" t="str">
            <v>FRF</v>
          </cell>
          <cell r="M930" t="str">
            <v>V006</v>
          </cell>
        </row>
        <row r="931">
          <cell r="E931" t="str">
            <v>317042</v>
          </cell>
          <cell r="F931">
            <v>35478</v>
          </cell>
          <cell r="G931">
            <v>35541</v>
          </cell>
          <cell r="H931" t="str">
            <v>Protection caps + raccords inox</v>
          </cell>
          <cell r="I931" t="str">
            <v>ORB</v>
          </cell>
          <cell r="J931" t="str">
            <v>01</v>
          </cell>
          <cell r="K931">
            <v>25963</v>
          </cell>
          <cell r="L931" t="str">
            <v>FRF</v>
          </cell>
          <cell r="M931" t="str">
            <v>2000</v>
          </cell>
        </row>
        <row r="932">
          <cell r="E932" t="str">
            <v>316881</v>
          </cell>
          <cell r="F932">
            <v>35543</v>
          </cell>
          <cell r="G932">
            <v>35635</v>
          </cell>
          <cell r="H932" t="str">
            <v>Rechanges Scaba</v>
          </cell>
          <cell r="I932" t="str">
            <v>FOS</v>
          </cell>
          <cell r="J932" t="str">
            <v>01</v>
          </cell>
          <cell r="K932">
            <v>25826.9</v>
          </cell>
          <cell r="L932" t="str">
            <v>FRF</v>
          </cell>
          <cell r="M932" t="str">
            <v>2000</v>
          </cell>
        </row>
        <row r="933">
          <cell r="E933" t="str">
            <v>89527</v>
          </cell>
          <cell r="F933">
            <v>39009</v>
          </cell>
          <cell r="G933">
            <v>39082</v>
          </cell>
          <cell r="H933" t="str">
            <v>Cellule d'évaporation</v>
          </cell>
          <cell r="I933" t="str">
            <v>FOS</v>
          </cell>
          <cell r="J933" t="str">
            <v>01</v>
          </cell>
          <cell r="K933">
            <v>0</v>
          </cell>
          <cell r="L933" t="str">
            <v>EUR</v>
          </cell>
          <cell r="M933" t="str">
            <v>2000</v>
          </cell>
        </row>
        <row r="934">
          <cell r="E934" t="str">
            <v>316898</v>
          </cell>
          <cell r="F934">
            <v>35459</v>
          </cell>
          <cell r="G934">
            <v>35557</v>
          </cell>
          <cell r="H934" t="str">
            <v>Additifs Pasteur</v>
          </cell>
          <cell r="I934" t="str">
            <v>LDT</v>
          </cell>
          <cell r="J934" t="str">
            <v>01</v>
          </cell>
          <cell r="K934">
            <v>238000</v>
          </cell>
          <cell r="L934" t="str">
            <v>CFA</v>
          </cell>
          <cell r="M934" t="str">
            <v>2100</v>
          </cell>
        </row>
        <row r="935">
          <cell r="E935" t="str">
            <v>316764</v>
          </cell>
          <cell r="F935">
            <v>35446</v>
          </cell>
          <cell r="G935">
            <v>35500</v>
          </cell>
          <cell r="H935" t="str">
            <v>1 Kit orthophosphates + polyphosphates</v>
          </cell>
          <cell r="I935" t="str">
            <v>ERP</v>
          </cell>
          <cell r="J935" t="str">
            <v>01</v>
          </cell>
          <cell r="K935">
            <v>2648.94</v>
          </cell>
          <cell r="L935" t="str">
            <v>FRF</v>
          </cell>
          <cell r="M935" t="str">
            <v>2100</v>
          </cell>
        </row>
        <row r="936">
          <cell r="E936" t="str">
            <v>316799</v>
          </cell>
          <cell r="F936">
            <v>35451</v>
          </cell>
          <cell r="G936">
            <v>35584</v>
          </cell>
          <cell r="H936" t="str">
            <v>1 Thermostat à circulation + 1 pompe pst</v>
          </cell>
          <cell r="I936" t="str">
            <v>FOS</v>
          </cell>
          <cell r="J936" t="str">
            <v>01</v>
          </cell>
          <cell r="K936">
            <v>66933.259999999995</v>
          </cell>
          <cell r="L936" t="str">
            <v>FRF</v>
          </cell>
          <cell r="M936" t="str">
            <v>V006</v>
          </cell>
        </row>
        <row r="937">
          <cell r="E937" t="str">
            <v>316799</v>
          </cell>
          <cell r="F937">
            <v>35451</v>
          </cell>
          <cell r="G937">
            <v>35499</v>
          </cell>
          <cell r="H937" t="str">
            <v>Révision complète analyseur scaba</v>
          </cell>
          <cell r="I937" t="str">
            <v>FOS</v>
          </cell>
          <cell r="J937" t="str">
            <v>01</v>
          </cell>
          <cell r="K937">
            <v>0</v>
          </cell>
          <cell r="L937" t="str">
            <v>FRF</v>
          </cell>
          <cell r="M937" t="str">
            <v>3022</v>
          </cell>
        </row>
        <row r="938">
          <cell r="E938" t="str">
            <v>316815</v>
          </cell>
          <cell r="F938">
            <v>35465</v>
          </cell>
          <cell r="G938">
            <v>35520</v>
          </cell>
          <cell r="H938" t="str">
            <v>6 x 500 pseudomonas isolation agar</v>
          </cell>
          <cell r="I938" t="str">
            <v>OSI</v>
          </cell>
          <cell r="J938" t="str">
            <v>01</v>
          </cell>
          <cell r="K938">
            <v>0</v>
          </cell>
          <cell r="L938" t="str">
            <v>FRF</v>
          </cell>
          <cell r="M938" t="str">
            <v>2100</v>
          </cell>
        </row>
        <row r="939">
          <cell r="E939" t="str">
            <v>316707</v>
          </cell>
          <cell r="F939">
            <v>35440</v>
          </cell>
          <cell r="G939">
            <v>35611</v>
          </cell>
          <cell r="H939" t="str">
            <v>Generbox + additifs pasteur + MC</v>
          </cell>
          <cell r="I939" t="str">
            <v>LDT</v>
          </cell>
          <cell r="J939" t="str">
            <v>01</v>
          </cell>
          <cell r="K939">
            <v>0</v>
          </cell>
          <cell r="L939" t="str">
            <v>FRF</v>
          </cell>
          <cell r="M939" t="str">
            <v>2100</v>
          </cell>
        </row>
        <row r="940">
          <cell r="E940" t="str">
            <v>316805</v>
          </cell>
          <cell r="F940">
            <v>35450</v>
          </cell>
          <cell r="G940">
            <v>35473</v>
          </cell>
          <cell r="H940" t="str">
            <v>2x2 Indicateurs de flux</v>
          </cell>
          <cell r="I940" t="str">
            <v>BBL</v>
          </cell>
          <cell r="J940" t="str">
            <v>01</v>
          </cell>
          <cell r="K940">
            <v>592.79999999999995</v>
          </cell>
          <cell r="L940" t="str">
            <v>FRF</v>
          </cell>
          <cell r="M940" t="str">
            <v>2100</v>
          </cell>
        </row>
        <row r="941">
          <cell r="E941" t="str">
            <v>316686</v>
          </cell>
          <cell r="F941">
            <v>35461</v>
          </cell>
          <cell r="G941">
            <v>35520</v>
          </cell>
          <cell r="H941" t="str">
            <v>24 Manomètres D 50 mm 0-4 bars</v>
          </cell>
          <cell r="I941" t="str">
            <v>BRD</v>
          </cell>
          <cell r="J941" t="str">
            <v>01</v>
          </cell>
          <cell r="K941">
            <v>2630</v>
          </cell>
          <cell r="L941" t="str">
            <v>FRF</v>
          </cell>
          <cell r="M941" t="str">
            <v>2000</v>
          </cell>
        </row>
        <row r="942">
          <cell r="E942" t="str">
            <v>316594</v>
          </cell>
          <cell r="F942">
            <v>35422</v>
          </cell>
          <cell r="G942">
            <v>35668</v>
          </cell>
          <cell r="H942" t="str">
            <v>6 Boîtes 1000 comp DPD N°4 Rouge</v>
          </cell>
          <cell r="I942" t="str">
            <v>CIF</v>
          </cell>
          <cell r="J942" t="str">
            <v>01</v>
          </cell>
          <cell r="K942">
            <v>6430.45</v>
          </cell>
          <cell r="L942" t="str">
            <v>FRF</v>
          </cell>
          <cell r="M942" t="str">
            <v>2100</v>
          </cell>
        </row>
        <row r="943">
          <cell r="E943" t="str">
            <v>317721</v>
          </cell>
          <cell r="F943">
            <v>35549</v>
          </cell>
          <cell r="H943" t="str">
            <v>24 Manomètres 0 - 60 psi</v>
          </cell>
          <cell r="I943" t="str">
            <v>TRS</v>
          </cell>
          <cell r="J943" t="str">
            <v>01</v>
          </cell>
          <cell r="K943">
            <v>0</v>
          </cell>
          <cell r="L943" t="str">
            <v>FRF</v>
          </cell>
          <cell r="M943" t="str">
            <v>2000</v>
          </cell>
        </row>
        <row r="944">
          <cell r="E944" t="str">
            <v>317563</v>
          </cell>
          <cell r="F944">
            <v>35534</v>
          </cell>
          <cell r="H944" t="str">
            <v>Gélose Sabouraud + Gélose Cétrimide</v>
          </cell>
          <cell r="I944" t="str">
            <v>LDT</v>
          </cell>
          <cell r="J944" t="str">
            <v>01</v>
          </cell>
          <cell r="K944">
            <v>243900</v>
          </cell>
          <cell r="L944" t="str">
            <v>CFA</v>
          </cell>
          <cell r="M944" t="str">
            <v>2100</v>
          </cell>
        </row>
        <row r="945">
          <cell r="E945" t="str">
            <v>316922</v>
          </cell>
          <cell r="F945">
            <v>35464</v>
          </cell>
          <cell r="G945">
            <v>35500</v>
          </cell>
          <cell r="H945" t="str">
            <v>Masse de 50 g</v>
          </cell>
          <cell r="I945" t="str">
            <v>OSI</v>
          </cell>
          <cell r="J945" t="str">
            <v>SEMC</v>
          </cell>
          <cell r="K945">
            <v>801.9</v>
          </cell>
          <cell r="L945" t="str">
            <v>FRF</v>
          </cell>
          <cell r="M945" t="str">
            <v>2100</v>
          </cell>
        </row>
        <row r="946">
          <cell r="E946" t="str">
            <v>316706</v>
          </cell>
          <cell r="F946">
            <v>35440</v>
          </cell>
          <cell r="G946">
            <v>35520</v>
          </cell>
          <cell r="H946" t="str">
            <v>Réfracto 0-45% + débitmètre + vanne</v>
          </cell>
          <cell r="I946" t="str">
            <v>BBL</v>
          </cell>
          <cell r="J946" t="str">
            <v>01</v>
          </cell>
          <cell r="K946">
            <v>17160.2</v>
          </cell>
          <cell r="L946" t="str">
            <v>FRF</v>
          </cell>
          <cell r="M946" t="str">
            <v>U008</v>
          </cell>
        </row>
        <row r="947">
          <cell r="E947" t="str">
            <v>316570</v>
          </cell>
          <cell r="F947">
            <v>35422</v>
          </cell>
          <cell r="G947">
            <v>35458</v>
          </cell>
          <cell r="H947" t="str">
            <v>Sources UV + Vis pour spectro DU40 DU64</v>
          </cell>
          <cell r="I947" t="str">
            <v>LBO</v>
          </cell>
          <cell r="J947" t="str">
            <v>01</v>
          </cell>
          <cell r="K947">
            <v>6097.2</v>
          </cell>
          <cell r="L947" t="str">
            <v>FRF</v>
          </cell>
          <cell r="M947" t="str">
            <v>2000</v>
          </cell>
        </row>
        <row r="948">
          <cell r="E948" t="str">
            <v>316661</v>
          </cell>
          <cell r="F948">
            <v>35436</v>
          </cell>
          <cell r="G948">
            <v>35486</v>
          </cell>
          <cell r="H948" t="str">
            <v>Sources UV + Vis Spectonic DUV 21</v>
          </cell>
          <cell r="I948" t="str">
            <v>MLT</v>
          </cell>
          <cell r="J948" t="str">
            <v>01</v>
          </cell>
          <cell r="K948">
            <v>14373</v>
          </cell>
          <cell r="L948" t="str">
            <v>FRF</v>
          </cell>
          <cell r="M948" t="str">
            <v>2000</v>
          </cell>
        </row>
        <row r="949">
          <cell r="E949" t="str">
            <v>316095</v>
          </cell>
          <cell r="F949">
            <v>35412</v>
          </cell>
          <cell r="G949">
            <v>35563</v>
          </cell>
          <cell r="H949" t="str">
            <v>Rechanges Réfractomètre à immersion</v>
          </cell>
          <cell r="I949" t="str">
            <v>GBL</v>
          </cell>
          <cell r="J949" t="str">
            <v>01</v>
          </cell>
          <cell r="K949">
            <v>29833.25</v>
          </cell>
          <cell r="L949" t="str">
            <v>FRF</v>
          </cell>
          <cell r="M949" t="str">
            <v>2100</v>
          </cell>
        </row>
        <row r="950">
          <cell r="E950" t="str">
            <v>316092</v>
          </cell>
          <cell r="F950">
            <v>35382</v>
          </cell>
          <cell r="G950">
            <v>35579</v>
          </cell>
          <cell r="H950" t="str">
            <v>5 Paquets de Minisart hydrophobes 0,45µm</v>
          </cell>
          <cell r="I950" t="str">
            <v>STR</v>
          </cell>
          <cell r="J950" t="str">
            <v>01</v>
          </cell>
          <cell r="K950">
            <v>1158</v>
          </cell>
          <cell r="L950" t="str">
            <v>FRF</v>
          </cell>
          <cell r="M950" t="str">
            <v>2100</v>
          </cell>
        </row>
        <row r="951">
          <cell r="E951" t="str">
            <v>316104</v>
          </cell>
          <cell r="F951">
            <v>35383</v>
          </cell>
          <cell r="G951">
            <v>35481</v>
          </cell>
          <cell r="H951" t="str">
            <v>Masses 50g et 100g</v>
          </cell>
          <cell r="I951" t="str">
            <v>OSI</v>
          </cell>
          <cell r="J951" t="str">
            <v>SEMC</v>
          </cell>
          <cell r="K951">
            <v>1369.7</v>
          </cell>
          <cell r="L951" t="str">
            <v>FRF</v>
          </cell>
          <cell r="M951" t="str">
            <v>2100</v>
          </cell>
        </row>
        <row r="952">
          <cell r="E952" t="str">
            <v>315847</v>
          </cell>
          <cell r="F952">
            <v>35356</v>
          </cell>
          <cell r="G952">
            <v>35520</v>
          </cell>
          <cell r="H952" t="str">
            <v>Spécificateur de couleur Pantone 747xR</v>
          </cell>
          <cell r="I952" t="str">
            <v>SNB</v>
          </cell>
          <cell r="J952" t="str">
            <v>01</v>
          </cell>
          <cell r="K952">
            <v>112725</v>
          </cell>
          <cell r="L952" t="str">
            <v>CFA</v>
          </cell>
          <cell r="M952" t="str">
            <v>2100</v>
          </cell>
        </row>
        <row r="953">
          <cell r="E953" t="str">
            <v>317596</v>
          </cell>
          <cell r="F953">
            <v>35699</v>
          </cell>
          <cell r="G953">
            <v>35734</v>
          </cell>
          <cell r="H953" t="str">
            <v>Oxymètre WTW Type OSI 325 A/SET</v>
          </cell>
          <cell r="I953" t="str">
            <v>SNB</v>
          </cell>
          <cell r="J953" t="str">
            <v>01</v>
          </cell>
          <cell r="K953">
            <v>8468.81</v>
          </cell>
          <cell r="L953" t="str">
            <v>FRF</v>
          </cell>
          <cell r="M953" t="str">
            <v>V006</v>
          </cell>
        </row>
        <row r="954">
          <cell r="E954" t="str">
            <v>27156</v>
          </cell>
          <cell r="F954">
            <v>35356</v>
          </cell>
          <cell r="G954">
            <v>35422</v>
          </cell>
          <cell r="H954" t="str">
            <v>60 Generbox + 2 staphyslide</v>
          </cell>
          <cell r="I954" t="str">
            <v>LDT</v>
          </cell>
          <cell r="J954" t="str">
            <v>01</v>
          </cell>
          <cell r="K954">
            <v>1165000</v>
          </cell>
          <cell r="L954" t="str">
            <v>CFA</v>
          </cell>
          <cell r="M954" t="str">
            <v>2100</v>
          </cell>
        </row>
        <row r="955">
          <cell r="E955" t="str">
            <v>316368</v>
          </cell>
          <cell r="F955">
            <v>35451</v>
          </cell>
          <cell r="G955">
            <v>35562</v>
          </cell>
          <cell r="H955" t="str">
            <v>Cellule d'évaporation</v>
          </cell>
          <cell r="I955" t="str">
            <v>FOS</v>
          </cell>
          <cell r="J955" t="str">
            <v>01</v>
          </cell>
          <cell r="K955">
            <v>0</v>
          </cell>
          <cell r="L955" t="str">
            <v>FRF</v>
          </cell>
          <cell r="M955" t="str">
            <v>2000</v>
          </cell>
        </row>
        <row r="956">
          <cell r="E956" t="str">
            <v>8162</v>
          </cell>
          <cell r="F956">
            <v>35356</v>
          </cell>
          <cell r="G956">
            <v>35557</v>
          </cell>
          <cell r="H956" t="str">
            <v>MC + Additifs Pasteur</v>
          </cell>
          <cell r="I956" t="str">
            <v>LDT</v>
          </cell>
          <cell r="J956" t="str">
            <v>01</v>
          </cell>
          <cell r="K956">
            <v>2546400</v>
          </cell>
          <cell r="L956" t="str">
            <v>CFA</v>
          </cell>
          <cell r="M956" t="str">
            <v>2100</v>
          </cell>
        </row>
        <row r="957">
          <cell r="E957" t="str">
            <v>8165</v>
          </cell>
          <cell r="F957">
            <v>35356</v>
          </cell>
          <cell r="G957">
            <v>35373</v>
          </cell>
          <cell r="H957" t="str">
            <v>ZnSO4+HCl+NH4Fe(III)Citrate</v>
          </cell>
          <cell r="I957" t="str">
            <v>ESC</v>
          </cell>
          <cell r="J957" t="str">
            <v>01</v>
          </cell>
          <cell r="K957">
            <v>305700</v>
          </cell>
          <cell r="L957" t="str">
            <v>CFA</v>
          </cell>
          <cell r="M957" t="str">
            <v>2100</v>
          </cell>
        </row>
        <row r="958">
          <cell r="E958" t="str">
            <v>316271</v>
          </cell>
          <cell r="F958">
            <v>35412</v>
          </cell>
          <cell r="G958">
            <v>35542</v>
          </cell>
          <cell r="H958" t="str">
            <v>Matériels de laboratoire</v>
          </cell>
          <cell r="I958" t="str">
            <v>OSI</v>
          </cell>
          <cell r="J958" t="str">
            <v>01</v>
          </cell>
          <cell r="K958">
            <v>46811.11</v>
          </cell>
          <cell r="L958" t="str">
            <v>FRF</v>
          </cell>
          <cell r="M958" t="str">
            <v>2100</v>
          </cell>
        </row>
        <row r="959">
          <cell r="E959" t="str">
            <v>315848</v>
          </cell>
          <cell r="F959">
            <v>35349</v>
          </cell>
          <cell r="G959">
            <v>35417</v>
          </cell>
          <cell r="H959" t="str">
            <v>20 Paquets de 1000 membranes 0,45 µm</v>
          </cell>
          <cell r="I959" t="str">
            <v>STR</v>
          </cell>
          <cell r="J959" t="str">
            <v>SEMC</v>
          </cell>
          <cell r="K959">
            <v>74885</v>
          </cell>
          <cell r="L959" t="str">
            <v>FRF</v>
          </cell>
          <cell r="M959" t="str">
            <v>2100</v>
          </cell>
        </row>
        <row r="960">
          <cell r="E960" t="str">
            <v>316111</v>
          </cell>
          <cell r="F960">
            <v>35384</v>
          </cell>
          <cell r="G960">
            <v>35461</v>
          </cell>
          <cell r="H960" t="str">
            <v>Sources UV + VIS pour spectro Hitachi</v>
          </cell>
          <cell r="I960" t="str">
            <v>GOF</v>
          </cell>
          <cell r="J960" t="str">
            <v>01</v>
          </cell>
          <cell r="K960">
            <v>14373</v>
          </cell>
          <cell r="L960" t="str">
            <v>FRF</v>
          </cell>
          <cell r="M960" t="str">
            <v>2000</v>
          </cell>
        </row>
        <row r="961">
          <cell r="E961" t="str">
            <v>316150</v>
          </cell>
          <cell r="F961">
            <v>35438</v>
          </cell>
          <cell r="G961">
            <v>35520</v>
          </cell>
          <cell r="H961" t="str">
            <v>Entrainment straps for VDK apparatus</v>
          </cell>
          <cell r="I961" t="str">
            <v>LGA</v>
          </cell>
          <cell r="J961" t="str">
            <v>01</v>
          </cell>
          <cell r="K961">
            <v>6182.87</v>
          </cell>
          <cell r="L961" t="str">
            <v>FRF</v>
          </cell>
          <cell r="M961" t="str">
            <v>2100</v>
          </cell>
        </row>
        <row r="962">
          <cell r="E962" t="str">
            <v>315945</v>
          </cell>
          <cell r="F962">
            <v>35416</v>
          </cell>
          <cell r="G962">
            <v>35486</v>
          </cell>
          <cell r="H962" t="str">
            <v>Membranes 0,45 µm + Minisart</v>
          </cell>
          <cell r="I962" t="str">
            <v>STR</v>
          </cell>
          <cell r="J962" t="str">
            <v>01</v>
          </cell>
          <cell r="K962">
            <v>89334.25</v>
          </cell>
          <cell r="L962" t="str">
            <v>FRF</v>
          </cell>
          <cell r="M962" t="str">
            <v>2100</v>
          </cell>
        </row>
        <row r="963">
          <cell r="E963" t="str">
            <v>316110</v>
          </cell>
          <cell r="F963">
            <v>35384</v>
          </cell>
          <cell r="G963">
            <v>35473</v>
          </cell>
          <cell r="H963" t="str">
            <v>Sodium fluorure, 12 kg</v>
          </cell>
          <cell r="I963" t="str">
            <v>PRO</v>
          </cell>
          <cell r="J963" t="str">
            <v>01</v>
          </cell>
          <cell r="K963">
            <v>10172.44</v>
          </cell>
          <cell r="L963" t="str">
            <v>FRF</v>
          </cell>
          <cell r="M963" t="str">
            <v>2100</v>
          </cell>
        </row>
        <row r="964">
          <cell r="E964" t="str">
            <v>315966</v>
          </cell>
          <cell r="F964">
            <v>35366</v>
          </cell>
          <cell r="G964">
            <v>35422</v>
          </cell>
          <cell r="H964" t="str">
            <v>6 Boîtes 1000 comp DPD N°4 Rouge</v>
          </cell>
          <cell r="I964" t="str">
            <v>CIF</v>
          </cell>
          <cell r="J964" t="str">
            <v>01</v>
          </cell>
          <cell r="K964">
            <v>6430.45</v>
          </cell>
          <cell r="L964" t="str">
            <v>FRF</v>
          </cell>
          <cell r="M964" t="str">
            <v>2100</v>
          </cell>
        </row>
        <row r="965">
          <cell r="E965" t="str">
            <v>316105</v>
          </cell>
          <cell r="F965">
            <v>35383</v>
          </cell>
          <cell r="G965">
            <v>35405</v>
          </cell>
          <cell r="H965" t="str">
            <v>1 Ebulliomètre complet</v>
          </cell>
          <cell r="I965" t="str">
            <v>DJS</v>
          </cell>
          <cell r="J965" t="str">
            <v>11</v>
          </cell>
          <cell r="K965">
            <v>0</v>
          </cell>
          <cell r="L965" t="str">
            <v>FRF</v>
          </cell>
          <cell r="M965" t="str">
            <v>2100</v>
          </cell>
        </row>
        <row r="966">
          <cell r="H966" t="str">
            <v>Tubes DMA 4500</v>
          </cell>
          <cell r="I966" t="str">
            <v>PAA</v>
          </cell>
          <cell r="J966" t="str">
            <v>01</v>
          </cell>
          <cell r="K966">
            <v>243900</v>
          </cell>
          <cell r="L966" t="str">
            <v>CFA</v>
          </cell>
          <cell r="M966" t="str">
            <v>2100</v>
          </cell>
        </row>
        <row r="967">
          <cell r="E967" t="str">
            <v>316177</v>
          </cell>
          <cell r="F967">
            <v>35389</v>
          </cell>
          <cell r="G967">
            <v>35473</v>
          </cell>
          <cell r="H967" t="str">
            <v>8 Sondes pour réparation</v>
          </cell>
          <cell r="I967" t="str">
            <v>ORB</v>
          </cell>
          <cell r="J967" t="str">
            <v>01</v>
          </cell>
          <cell r="K967">
            <v>137575.20000000001</v>
          </cell>
          <cell r="L967" t="str">
            <v>FRF</v>
          </cell>
          <cell r="M967" t="str">
            <v>3022</v>
          </cell>
        </row>
        <row r="968">
          <cell r="E968" t="str">
            <v>315436</v>
          </cell>
          <cell r="F968">
            <v>35319</v>
          </cell>
          <cell r="G968">
            <v>35520</v>
          </cell>
          <cell r="H968" t="str">
            <v>1 Distributeur EZ-PAK</v>
          </cell>
          <cell r="I968" t="str">
            <v>MLP</v>
          </cell>
          <cell r="J968" t="str">
            <v>SEMC</v>
          </cell>
          <cell r="K968">
            <v>13101.6</v>
          </cell>
          <cell r="L968" t="str">
            <v>FRF</v>
          </cell>
          <cell r="M968" t="str">
            <v>INV</v>
          </cell>
        </row>
        <row r="969">
          <cell r="E969" t="str">
            <v>315705</v>
          </cell>
          <cell r="F969">
            <v>35335</v>
          </cell>
          <cell r="G969">
            <v>35458</v>
          </cell>
          <cell r="H969" t="str">
            <v>Tamis standard D 200 mm</v>
          </cell>
          <cell r="I969" t="str">
            <v>PRO</v>
          </cell>
          <cell r="J969" t="str">
            <v>SEMC</v>
          </cell>
          <cell r="K969">
            <v>1473.1</v>
          </cell>
          <cell r="L969" t="str">
            <v>FRF</v>
          </cell>
          <cell r="M969" t="str">
            <v>2100</v>
          </cell>
        </row>
        <row r="970">
          <cell r="E970" t="str">
            <v>315801</v>
          </cell>
          <cell r="F970">
            <v>35440</v>
          </cell>
          <cell r="G970">
            <v>35473</v>
          </cell>
          <cell r="H970" t="str">
            <v>Rechanges pour ppe à vide Sartorius</v>
          </cell>
          <cell r="I970" t="str">
            <v>OSI</v>
          </cell>
          <cell r="J970" t="str">
            <v>01</v>
          </cell>
          <cell r="K970">
            <v>1535.32</v>
          </cell>
          <cell r="L970" t="str">
            <v>FRF</v>
          </cell>
          <cell r="M970" t="str">
            <v>2000</v>
          </cell>
        </row>
        <row r="971">
          <cell r="E971" t="str">
            <v>316095</v>
          </cell>
          <cell r="F971">
            <v>35412</v>
          </cell>
          <cell r="G971">
            <v>35509</v>
          </cell>
          <cell r="H971" t="str">
            <v>Rechanges Réfractomètre à immersion</v>
          </cell>
          <cell r="I971" t="str">
            <v>GBL</v>
          </cell>
          <cell r="J971" t="str">
            <v>01</v>
          </cell>
          <cell r="K971">
            <v>29833.25</v>
          </cell>
          <cell r="L971" t="str">
            <v>FRF</v>
          </cell>
          <cell r="M971" t="str">
            <v>2100</v>
          </cell>
        </row>
        <row r="972">
          <cell r="E972" t="str">
            <v>316394</v>
          </cell>
          <cell r="F972">
            <v>35430</v>
          </cell>
          <cell r="G972">
            <v>35520</v>
          </cell>
          <cell r="H972" t="str">
            <v>5 Paquets de Minisart hydrophobes 0,45µm</v>
          </cell>
          <cell r="I972" t="str">
            <v>STR</v>
          </cell>
          <cell r="J972" t="str">
            <v>01</v>
          </cell>
          <cell r="K972">
            <v>1158</v>
          </cell>
          <cell r="L972" t="str">
            <v>FRF</v>
          </cell>
          <cell r="M972" t="str">
            <v>2100</v>
          </cell>
        </row>
        <row r="973">
          <cell r="E973" t="str">
            <v>315674</v>
          </cell>
          <cell r="F973">
            <v>35366</v>
          </cell>
          <cell r="G973">
            <v>35500</v>
          </cell>
          <cell r="H973" t="str">
            <v>2 Spectrophotomètres Spectronic 21 DUV</v>
          </cell>
          <cell r="I973" t="str">
            <v>MLT</v>
          </cell>
          <cell r="J973" t="str">
            <v>01</v>
          </cell>
          <cell r="K973">
            <v>56976.03</v>
          </cell>
          <cell r="L973" t="str">
            <v>FRF</v>
          </cell>
          <cell r="M973" t="str">
            <v>U008</v>
          </cell>
        </row>
        <row r="974">
          <cell r="E974" t="str">
            <v>315348</v>
          </cell>
          <cell r="F974">
            <v>35304</v>
          </cell>
          <cell r="G974">
            <v>35422</v>
          </cell>
          <cell r="H974" t="str">
            <v>1 Système MOCA Orbisphere</v>
          </cell>
          <cell r="I974" t="str">
            <v>ORB</v>
          </cell>
          <cell r="J974" t="str">
            <v>01</v>
          </cell>
          <cell r="K974">
            <v>60609</v>
          </cell>
          <cell r="L974" t="str">
            <v>FRF</v>
          </cell>
          <cell r="M974" t="str">
            <v>U008</v>
          </cell>
        </row>
        <row r="975">
          <cell r="E975" t="str">
            <v>26893</v>
          </cell>
          <cell r="F975">
            <v>35250</v>
          </cell>
          <cell r="G975">
            <v>35734</v>
          </cell>
          <cell r="H975" t="str">
            <v>4x2,5 L Isooctane</v>
          </cell>
          <cell r="I975" t="str">
            <v>ESC</v>
          </cell>
          <cell r="J975" t="str">
            <v>01</v>
          </cell>
          <cell r="K975">
            <v>0</v>
          </cell>
          <cell r="L975">
            <v>0</v>
          </cell>
          <cell r="M975" t="str">
            <v>2100</v>
          </cell>
        </row>
        <row r="976">
          <cell r="E976" t="str">
            <v>26893</v>
          </cell>
          <cell r="F976">
            <v>35247</v>
          </cell>
          <cell r="G976">
            <v>35242</v>
          </cell>
          <cell r="H976" t="str">
            <v>6x5 kg ZnSO4</v>
          </cell>
          <cell r="I976" t="str">
            <v>CMU</v>
          </cell>
          <cell r="J976" t="str">
            <v>01</v>
          </cell>
          <cell r="K976">
            <v>440856</v>
          </cell>
          <cell r="L976" t="str">
            <v>CFA</v>
          </cell>
          <cell r="M976" t="str">
            <v>2100</v>
          </cell>
        </row>
        <row r="977">
          <cell r="E977" t="str">
            <v>314811</v>
          </cell>
          <cell r="F977">
            <v>35250</v>
          </cell>
          <cell r="G977">
            <v>35335</v>
          </cell>
          <cell r="H977" t="str">
            <v>Isooctane + spectroquant Mn</v>
          </cell>
          <cell r="I977" t="str">
            <v>MCK</v>
          </cell>
          <cell r="J977" t="str">
            <v>01</v>
          </cell>
          <cell r="K977">
            <v>14109.1</v>
          </cell>
          <cell r="L977" t="str">
            <v>FRF</v>
          </cell>
          <cell r="M977" t="str">
            <v>2100</v>
          </cell>
        </row>
        <row r="978">
          <cell r="E978" t="str">
            <v>314970</v>
          </cell>
          <cell r="F978">
            <v>35256</v>
          </cell>
          <cell r="G978">
            <v>35335</v>
          </cell>
          <cell r="H978" t="str">
            <v>MC + Additifs Pasteur</v>
          </cell>
          <cell r="I978" t="str">
            <v>LDT</v>
          </cell>
          <cell r="J978" t="str">
            <v>01</v>
          </cell>
          <cell r="K978">
            <v>2546400</v>
          </cell>
          <cell r="L978" t="str">
            <v>CFA</v>
          </cell>
          <cell r="M978" t="str">
            <v>2100</v>
          </cell>
        </row>
        <row r="979">
          <cell r="E979" t="str">
            <v>26860</v>
          </cell>
          <cell r="F979">
            <v>35207</v>
          </cell>
          <cell r="G979">
            <v>35284</v>
          </cell>
          <cell r="H979" t="str">
            <v>60 Generbox + indicateur</v>
          </cell>
          <cell r="I979" t="str">
            <v>BIO</v>
          </cell>
          <cell r="J979" t="str">
            <v>01</v>
          </cell>
          <cell r="K979">
            <v>1092000</v>
          </cell>
          <cell r="L979" t="str">
            <v>CFA</v>
          </cell>
          <cell r="M979" t="str">
            <v>2100</v>
          </cell>
        </row>
        <row r="980">
          <cell r="E980" t="str">
            <v>26859</v>
          </cell>
          <cell r="F980">
            <v>35207</v>
          </cell>
          <cell r="G980">
            <v>35246</v>
          </cell>
          <cell r="H980" t="str">
            <v>MC + additifs Pasteur</v>
          </cell>
          <cell r="I980" t="str">
            <v>LDT</v>
          </cell>
          <cell r="J980" t="str">
            <v>01</v>
          </cell>
          <cell r="K980">
            <v>430000</v>
          </cell>
          <cell r="L980" t="str">
            <v>CFA</v>
          </cell>
          <cell r="M980" t="str">
            <v>2100</v>
          </cell>
        </row>
        <row r="981">
          <cell r="E981" t="str">
            <v>314350</v>
          </cell>
          <cell r="F981">
            <v>35202</v>
          </cell>
          <cell r="G981">
            <v>35254</v>
          </cell>
          <cell r="H981" t="str">
            <v>6 Saccharomètres 9,5-12 Brix</v>
          </cell>
          <cell r="I981" t="str">
            <v>FSH</v>
          </cell>
          <cell r="J981" t="str">
            <v>01</v>
          </cell>
          <cell r="K981">
            <v>7014.5</v>
          </cell>
          <cell r="L981" t="str">
            <v>FRF</v>
          </cell>
          <cell r="M981" t="str">
            <v>2100</v>
          </cell>
        </row>
        <row r="982">
          <cell r="E982" t="str">
            <v>26859</v>
          </cell>
          <cell r="F982">
            <v>35207</v>
          </cell>
          <cell r="G982">
            <v>35209</v>
          </cell>
          <cell r="H982" t="str">
            <v>1x500g Gélose Cétrimide</v>
          </cell>
          <cell r="I982" t="str">
            <v>LDT</v>
          </cell>
          <cell r="J982" t="str">
            <v>01</v>
          </cell>
          <cell r="K982">
            <v>63400</v>
          </cell>
          <cell r="L982" t="str">
            <v>CFA</v>
          </cell>
          <cell r="M982" t="str">
            <v>2100</v>
          </cell>
        </row>
        <row r="983">
          <cell r="E983" t="str">
            <v>314510</v>
          </cell>
          <cell r="F983">
            <v>35219</v>
          </cell>
          <cell r="G983">
            <v>35261</v>
          </cell>
          <cell r="H983" t="str">
            <v>Entrainment straps for vdk apparatus</v>
          </cell>
          <cell r="I983" t="str">
            <v>LGA</v>
          </cell>
          <cell r="J983" t="str">
            <v>01</v>
          </cell>
          <cell r="K983">
            <v>6586.32</v>
          </cell>
          <cell r="L983" t="str">
            <v>FRF</v>
          </cell>
          <cell r="M983" t="str">
            <v>2100</v>
          </cell>
        </row>
        <row r="984">
          <cell r="E984" t="str">
            <v>314294</v>
          </cell>
          <cell r="F984">
            <v>35199</v>
          </cell>
          <cell r="G984">
            <v>35268</v>
          </cell>
          <cell r="H984" t="str">
            <v>Rechanges Zahm + Superchlorimètre Taylor</v>
          </cell>
          <cell r="I984" t="str">
            <v>TRS</v>
          </cell>
          <cell r="J984" t="str">
            <v>01</v>
          </cell>
          <cell r="K984">
            <v>9652.6</v>
          </cell>
          <cell r="L984" t="str">
            <v>FRF</v>
          </cell>
          <cell r="M984" t="str">
            <v>2100</v>
          </cell>
        </row>
        <row r="985">
          <cell r="E985" t="str">
            <v>314512</v>
          </cell>
          <cell r="F985">
            <v>35219</v>
          </cell>
          <cell r="G985">
            <v>35335</v>
          </cell>
          <cell r="H985" t="str">
            <v>Sondes 310 mm + O ring PRP 012 + ring Cu</v>
          </cell>
          <cell r="I985" t="str">
            <v>HAF</v>
          </cell>
          <cell r="J985" t="str">
            <v>01</v>
          </cell>
          <cell r="K985">
            <v>18820.28</v>
          </cell>
          <cell r="L985" t="str">
            <v>FRF</v>
          </cell>
          <cell r="M985" t="str">
            <v>2000</v>
          </cell>
        </row>
        <row r="986">
          <cell r="E986" t="str">
            <v>314377</v>
          </cell>
          <cell r="F986">
            <v>35207</v>
          </cell>
          <cell r="G986">
            <v>35248</v>
          </cell>
          <cell r="H986" t="str">
            <v>20 Paquets de filtres Ý 12,5 cm</v>
          </cell>
          <cell r="I986" t="str">
            <v>S&amp;S</v>
          </cell>
          <cell r="J986" t="str">
            <v>01</v>
          </cell>
          <cell r="K986">
            <v>2725</v>
          </cell>
          <cell r="L986" t="str">
            <v>FRF</v>
          </cell>
          <cell r="M986" t="str">
            <v>2100</v>
          </cell>
        </row>
        <row r="987">
          <cell r="E987" t="str">
            <v>314640</v>
          </cell>
          <cell r="F987">
            <v>35261</v>
          </cell>
          <cell r="G987">
            <v>35557</v>
          </cell>
          <cell r="H987" t="str">
            <v>3x500g Malt standard EBC</v>
          </cell>
          <cell r="I987" t="str">
            <v>LCT</v>
          </cell>
          <cell r="J987" t="str">
            <v>01</v>
          </cell>
          <cell r="K987">
            <v>1028</v>
          </cell>
          <cell r="L987" t="str">
            <v>FRF</v>
          </cell>
          <cell r="M987" t="str">
            <v>2100</v>
          </cell>
        </row>
        <row r="988">
          <cell r="E988" t="str">
            <v>314376</v>
          </cell>
          <cell r="F988">
            <v>35207</v>
          </cell>
          <cell r="G988">
            <v>35284</v>
          </cell>
          <cell r="H988" t="str">
            <v>Tubes DMA 4500</v>
          </cell>
          <cell r="I988" t="str">
            <v>PAA</v>
          </cell>
          <cell r="J988" t="str">
            <v>01</v>
          </cell>
          <cell r="K988">
            <v>16023.15</v>
          </cell>
          <cell r="L988" t="str">
            <v>FRF</v>
          </cell>
          <cell r="M988" t="str">
            <v>2100</v>
          </cell>
        </row>
        <row r="989">
          <cell r="E989" t="str">
            <v>314511</v>
          </cell>
          <cell r="F989">
            <v>35219</v>
          </cell>
          <cell r="G989">
            <v>35242</v>
          </cell>
          <cell r="H989" t="str">
            <v>6x1000 Tubes à hémolyse stériles</v>
          </cell>
          <cell r="I989" t="str">
            <v>LES</v>
          </cell>
          <cell r="J989" t="str">
            <v>01</v>
          </cell>
          <cell r="K989">
            <v>2532.9899999999998</v>
          </cell>
          <cell r="L989" t="str">
            <v>FRF</v>
          </cell>
          <cell r="M989" t="str">
            <v>2100</v>
          </cell>
        </row>
        <row r="990">
          <cell r="E990" t="str">
            <v>315436</v>
          </cell>
          <cell r="F990">
            <v>35319</v>
          </cell>
          <cell r="H990" t="str">
            <v>Rechanges autoclave M0076</v>
          </cell>
          <cell r="I990" t="str">
            <v>LQX</v>
          </cell>
          <cell r="J990" t="str">
            <v>01</v>
          </cell>
          <cell r="K990">
            <v>0</v>
          </cell>
          <cell r="L990" t="str">
            <v>FRF</v>
          </cell>
          <cell r="M990" t="str">
            <v>2000</v>
          </cell>
        </row>
        <row r="991">
          <cell r="E991" t="str">
            <v>313837</v>
          </cell>
          <cell r="F991">
            <v>35180</v>
          </cell>
          <cell r="H991" t="str">
            <v>2 Sources visibles Beckman DU 40</v>
          </cell>
          <cell r="I991" t="str">
            <v>LBP</v>
          </cell>
          <cell r="J991" t="str">
            <v>05</v>
          </cell>
          <cell r="K991">
            <v>161810</v>
          </cell>
          <cell r="L991" t="str">
            <v>CFA</v>
          </cell>
          <cell r="M991" t="str">
            <v>2000</v>
          </cell>
        </row>
        <row r="992">
          <cell r="E992" t="str">
            <v>313837</v>
          </cell>
          <cell r="F992">
            <v>35180</v>
          </cell>
          <cell r="G992">
            <v>35305</v>
          </cell>
          <cell r="H992" t="str">
            <v>2 Sources visibles DU 40</v>
          </cell>
          <cell r="I992" t="str">
            <v>BCK</v>
          </cell>
          <cell r="J992" t="str">
            <v>01</v>
          </cell>
          <cell r="K992">
            <v>1198.5999999999999</v>
          </cell>
          <cell r="L992" t="str">
            <v>FRF</v>
          </cell>
          <cell r="M992" t="str">
            <v>2000</v>
          </cell>
        </row>
        <row r="993">
          <cell r="E993" t="str">
            <v>313991</v>
          </cell>
          <cell r="F993">
            <v>35180</v>
          </cell>
          <cell r="G993">
            <v>35509</v>
          </cell>
          <cell r="H993" t="str">
            <v>3 Microordinateurs portables</v>
          </cell>
          <cell r="I993" t="str">
            <v>CTA</v>
          </cell>
          <cell r="J993" t="str">
            <v>01</v>
          </cell>
          <cell r="K993">
            <v>5100000</v>
          </cell>
          <cell r="L993" t="str">
            <v>CFA</v>
          </cell>
          <cell r="M993" t="str">
            <v>U008</v>
          </cell>
        </row>
        <row r="994">
          <cell r="E994" t="str">
            <v>313994</v>
          </cell>
          <cell r="F994">
            <v>35180</v>
          </cell>
          <cell r="G994">
            <v>35268</v>
          </cell>
          <cell r="H994" t="str">
            <v>1 Débit-mètre complet + valve</v>
          </cell>
          <cell r="I994" t="str">
            <v>mpl</v>
          </cell>
          <cell r="J994" t="str">
            <v>01</v>
          </cell>
          <cell r="K994">
            <v>5929.2</v>
          </cell>
          <cell r="L994" t="str">
            <v>FRF</v>
          </cell>
          <cell r="M994" t="str">
            <v>2000</v>
          </cell>
        </row>
        <row r="995">
          <cell r="E995" t="str">
            <v>315674</v>
          </cell>
          <cell r="F995">
            <v>35366</v>
          </cell>
          <cell r="G995">
            <v>35500</v>
          </cell>
          <cell r="H995" t="str">
            <v>1 Ebulliomètre Dujardin Salleron</v>
          </cell>
          <cell r="I995" t="str">
            <v>DJS</v>
          </cell>
          <cell r="J995" t="str">
            <v>01</v>
          </cell>
          <cell r="K995">
            <v>0</v>
          </cell>
          <cell r="L995" t="str">
            <v>FRF</v>
          </cell>
          <cell r="M995" t="str">
            <v>T002</v>
          </cell>
        </row>
        <row r="996">
          <cell r="E996" t="str">
            <v>313644</v>
          </cell>
          <cell r="F996">
            <v>35136</v>
          </cell>
          <cell r="G996">
            <v>35268</v>
          </cell>
          <cell r="H996" t="str">
            <v>Réparation de 7 sondes</v>
          </cell>
          <cell r="I996" t="str">
            <v>ORB</v>
          </cell>
          <cell r="J996" t="str">
            <v>01</v>
          </cell>
          <cell r="K996">
            <v>121821.4</v>
          </cell>
          <cell r="L996" t="str">
            <v>FRF</v>
          </cell>
          <cell r="M996" t="str">
            <v>3022</v>
          </cell>
        </row>
        <row r="997">
          <cell r="E997" t="str">
            <v>8040</v>
          </cell>
          <cell r="F997">
            <v>35137</v>
          </cell>
          <cell r="G997">
            <v>35171</v>
          </cell>
          <cell r="H997" t="str">
            <v>4x2,5 L Isooctane</v>
          </cell>
          <cell r="I997" t="str">
            <v>ESC</v>
          </cell>
          <cell r="J997" t="str">
            <v>01</v>
          </cell>
          <cell r="K997">
            <v>0</v>
          </cell>
          <cell r="L997">
            <v>0</v>
          </cell>
          <cell r="M997" t="str">
            <v>2100</v>
          </cell>
        </row>
        <row r="998">
          <cell r="E998" t="str">
            <v>315154</v>
          </cell>
          <cell r="F998">
            <v>35304</v>
          </cell>
          <cell r="G998">
            <v>35369</v>
          </cell>
          <cell r="H998" t="str">
            <v>1 Réfractomètre à main 0-50%</v>
          </cell>
          <cell r="I998" t="str">
            <v>SPM</v>
          </cell>
          <cell r="J998" t="str">
            <v>01</v>
          </cell>
          <cell r="K998">
            <v>2613.1999999999998</v>
          </cell>
          <cell r="L998" t="str">
            <v>FRF</v>
          </cell>
          <cell r="M998" t="str">
            <v>2100</v>
          </cell>
        </row>
        <row r="999">
          <cell r="E999" t="str">
            <v>314811</v>
          </cell>
          <cell r="F999">
            <v>35250</v>
          </cell>
          <cell r="G999">
            <v>35335</v>
          </cell>
          <cell r="H999" t="str">
            <v>1 Colorimètre X-Rite CDM</v>
          </cell>
          <cell r="I999" t="str">
            <v>XRT</v>
          </cell>
          <cell r="J999" t="str">
            <v>01</v>
          </cell>
          <cell r="K999">
            <v>0</v>
          </cell>
          <cell r="L999" t="str">
            <v>FRF</v>
          </cell>
          <cell r="M999" t="str">
            <v>T002</v>
          </cell>
        </row>
        <row r="1000">
          <cell r="E1000" t="str">
            <v>313401</v>
          </cell>
          <cell r="F1000">
            <v>35107</v>
          </cell>
          <cell r="G1000">
            <v>35335</v>
          </cell>
          <cell r="H1000" t="str">
            <v>2x5m Tube métrique en silicone NOVOSIL</v>
          </cell>
          <cell r="I1000" t="str">
            <v>BBL</v>
          </cell>
          <cell r="J1000" t="str">
            <v>01</v>
          </cell>
          <cell r="K1000">
            <v>436.8</v>
          </cell>
          <cell r="L1000" t="str">
            <v>FRF</v>
          </cell>
          <cell r="M1000" t="str">
            <v>2100</v>
          </cell>
        </row>
        <row r="1001">
          <cell r="E1001" t="str">
            <v>85382</v>
          </cell>
          <cell r="F1001">
            <v>38869</v>
          </cell>
          <cell r="G1001">
            <v>38910</v>
          </cell>
          <cell r="H1001" t="str">
            <v>Cell block (1), Membrane keyboard (1), Cale for keyboard (1)</v>
          </cell>
          <cell r="I1001" t="str">
            <v>PAA</v>
          </cell>
          <cell r="J1001" t="str">
            <v>01</v>
          </cell>
          <cell r="K1001">
            <v>2567.37</v>
          </cell>
          <cell r="L1001" t="str">
            <v>EUR</v>
          </cell>
          <cell r="M1001" t="str">
            <v>2100</v>
          </cell>
        </row>
        <row r="1002">
          <cell r="E1002" t="str">
            <v>26682</v>
          </cell>
          <cell r="F1002">
            <v>35116</v>
          </cell>
          <cell r="G1002">
            <v>35145</v>
          </cell>
          <cell r="H1002" t="str">
            <v>ZnSO4+Acétone+HCl+NaF</v>
          </cell>
          <cell r="I1002" t="str">
            <v>ESC</v>
          </cell>
          <cell r="J1002" t="str">
            <v>01</v>
          </cell>
          <cell r="K1002">
            <v>202500</v>
          </cell>
          <cell r="L1002" t="str">
            <v>CFA</v>
          </cell>
          <cell r="M1002" t="str">
            <v>2100</v>
          </cell>
        </row>
        <row r="1003">
          <cell r="E1003" t="str">
            <v>315916</v>
          </cell>
          <cell r="F1003">
            <v>35356</v>
          </cell>
          <cell r="G1003">
            <v>35254</v>
          </cell>
          <cell r="H1003" t="str">
            <v>6x5kg Sodium fluorure</v>
          </cell>
          <cell r="I1003" t="str">
            <v>OSI</v>
          </cell>
          <cell r="J1003" t="str">
            <v>01</v>
          </cell>
          <cell r="K1003">
            <v>3502.4</v>
          </cell>
          <cell r="L1003" t="str">
            <v>FRF</v>
          </cell>
          <cell r="M1003" t="str">
            <v>2100</v>
          </cell>
        </row>
        <row r="1004">
          <cell r="E1004" t="str">
            <v>313303</v>
          </cell>
          <cell r="F1004">
            <v>35101</v>
          </cell>
          <cell r="G1004">
            <v>35117</v>
          </cell>
          <cell r="H1004" t="str">
            <v>4x25g 4-Diméthylaminocinnamaldehyde 98%</v>
          </cell>
          <cell r="I1004" t="str">
            <v>SCL</v>
          </cell>
          <cell r="J1004" t="str">
            <v>01</v>
          </cell>
          <cell r="K1004">
            <v>4116.3999999999996</v>
          </cell>
          <cell r="L1004" t="str">
            <v>FRF</v>
          </cell>
          <cell r="M1004" t="str">
            <v>2100</v>
          </cell>
        </row>
        <row r="1005">
          <cell r="E1005" t="str">
            <v>313169</v>
          </cell>
          <cell r="F1005">
            <v>35093</v>
          </cell>
          <cell r="G1005">
            <v>35143</v>
          </cell>
          <cell r="H1005" t="str">
            <v>Tamis de rechange pour planchister</v>
          </cell>
          <cell r="I1005" t="str">
            <v>BUH</v>
          </cell>
          <cell r="J1005" t="str">
            <v>01</v>
          </cell>
          <cell r="K1005">
            <v>4015.9</v>
          </cell>
          <cell r="L1005" t="str">
            <v>FRF</v>
          </cell>
          <cell r="M1005" t="str">
            <v>2100</v>
          </cell>
        </row>
        <row r="1006">
          <cell r="E1006" t="str">
            <v>313146</v>
          </cell>
          <cell r="F1006">
            <v>35093</v>
          </cell>
          <cell r="G1006">
            <v>35142</v>
          </cell>
          <cell r="H1006" t="str">
            <v>Rechanges pompe à vide Sartorius</v>
          </cell>
          <cell r="I1006" t="str">
            <v>OSI</v>
          </cell>
          <cell r="J1006" t="str">
            <v>01</v>
          </cell>
          <cell r="K1006">
            <v>1224.01</v>
          </cell>
          <cell r="L1006" t="str">
            <v>FRF</v>
          </cell>
          <cell r="M1006" t="str">
            <v>2000</v>
          </cell>
        </row>
        <row r="1007">
          <cell r="E1007" t="str">
            <v>313074</v>
          </cell>
          <cell r="F1007">
            <v>35082</v>
          </cell>
          <cell r="G1007">
            <v>35157</v>
          </cell>
          <cell r="H1007" t="str">
            <v>Rechanges Redpost : connecteur,batteries</v>
          </cell>
          <cell r="I1007" t="str">
            <v>HAF</v>
          </cell>
          <cell r="J1007" t="str">
            <v>01</v>
          </cell>
          <cell r="K1007">
            <v>11420.86</v>
          </cell>
          <cell r="L1007" t="str">
            <v>FRF</v>
          </cell>
          <cell r="M1007" t="str">
            <v>2000</v>
          </cell>
        </row>
        <row r="1008">
          <cell r="E1008" t="str">
            <v>313075</v>
          </cell>
          <cell r="F1008">
            <v>35081</v>
          </cell>
          <cell r="G1008">
            <v>35143</v>
          </cell>
          <cell r="H1008" t="str">
            <v>Rechanges boîtiers Orbisphere</v>
          </cell>
          <cell r="I1008" t="str">
            <v>ORB</v>
          </cell>
          <cell r="J1008" t="str">
            <v>01</v>
          </cell>
          <cell r="K1008">
            <v>16089.5</v>
          </cell>
          <cell r="L1008" t="str">
            <v>FRF</v>
          </cell>
          <cell r="M1008" t="str">
            <v>2000</v>
          </cell>
        </row>
        <row r="1009">
          <cell r="E1009" t="str">
            <v>313995</v>
          </cell>
          <cell r="F1009">
            <v>35180</v>
          </cell>
          <cell r="G1009">
            <v>35297</v>
          </cell>
          <cell r="H1009" t="str">
            <v>Rechanges débit-mètres</v>
          </cell>
          <cell r="I1009" t="str">
            <v>BBL</v>
          </cell>
          <cell r="J1009" t="str">
            <v>01</v>
          </cell>
          <cell r="K1009">
            <v>11039</v>
          </cell>
          <cell r="L1009" t="str">
            <v>FRF</v>
          </cell>
          <cell r="M1009" t="str">
            <v>2000</v>
          </cell>
        </row>
        <row r="1010">
          <cell r="E1010" t="str">
            <v>313076</v>
          </cell>
          <cell r="F1010">
            <v>35082</v>
          </cell>
          <cell r="G1010">
            <v>35173</v>
          </cell>
          <cell r="H1010" t="str">
            <v>1 Spectrophotomètre Spectronic DUV</v>
          </cell>
          <cell r="I1010" t="str">
            <v>MLT</v>
          </cell>
          <cell r="J1010" t="str">
            <v>01</v>
          </cell>
          <cell r="K1010">
            <v>23483</v>
          </cell>
          <cell r="L1010" t="str">
            <v>FRF</v>
          </cell>
          <cell r="M1010" t="str">
            <v>T002</v>
          </cell>
        </row>
        <row r="1011">
          <cell r="E1011" t="str">
            <v>312761</v>
          </cell>
          <cell r="F1011">
            <v>35046</v>
          </cell>
          <cell r="G1011">
            <v>35096</v>
          </cell>
          <cell r="H1011" t="str">
            <v>1 Manuel vade-mecum assurance qualité</v>
          </cell>
          <cell r="I1011" t="str">
            <v>LAV</v>
          </cell>
          <cell r="J1011" t="str">
            <v>01</v>
          </cell>
          <cell r="K1011">
            <v>370.28</v>
          </cell>
          <cell r="L1011" t="str">
            <v>FRF</v>
          </cell>
          <cell r="M1011" t="str">
            <v>2201</v>
          </cell>
        </row>
        <row r="1012">
          <cell r="E1012" t="str">
            <v>313123</v>
          </cell>
          <cell r="F1012">
            <v>35087</v>
          </cell>
          <cell r="G1012">
            <v>35124</v>
          </cell>
          <cell r="H1012" t="str">
            <v>Rechanges autoclave M0076</v>
          </cell>
          <cell r="I1012" t="str">
            <v>LQX</v>
          </cell>
          <cell r="J1012" t="str">
            <v>01</v>
          </cell>
          <cell r="K1012">
            <v>0</v>
          </cell>
          <cell r="L1012" t="str">
            <v>FRF</v>
          </cell>
          <cell r="M1012" t="str">
            <v>2000</v>
          </cell>
        </row>
        <row r="1013">
          <cell r="E1013" t="str">
            <v>313837</v>
          </cell>
          <cell r="F1013">
            <v>35180</v>
          </cell>
          <cell r="H1013" t="str">
            <v>Terris Quality Control Equipment</v>
          </cell>
          <cell r="I1013" t="str">
            <v>TRS</v>
          </cell>
          <cell r="J1013" t="str">
            <v>01</v>
          </cell>
          <cell r="K1013">
            <v>0</v>
          </cell>
          <cell r="L1013" t="str">
            <v>CFA</v>
          </cell>
          <cell r="M1013" t="str">
            <v>2201</v>
          </cell>
        </row>
        <row r="1014">
          <cell r="E1014" t="str">
            <v>312439</v>
          </cell>
          <cell r="F1014">
            <v>35019</v>
          </cell>
          <cell r="G1014">
            <v>35117</v>
          </cell>
          <cell r="H1014" t="str">
            <v>Rechanges SCABA</v>
          </cell>
          <cell r="I1014" t="str">
            <v>FOS</v>
          </cell>
          <cell r="J1014" t="str">
            <v>01</v>
          </cell>
          <cell r="K1014">
            <v>19322.099999999999</v>
          </cell>
          <cell r="L1014" t="str">
            <v>FRF</v>
          </cell>
          <cell r="M1014" t="str">
            <v>2000</v>
          </cell>
        </row>
        <row r="1015">
          <cell r="E1015" t="str">
            <v>312444</v>
          </cell>
          <cell r="F1015">
            <v>35019</v>
          </cell>
          <cell r="G1015">
            <v>35096</v>
          </cell>
          <cell r="H1015" t="str">
            <v>1 Système MOCA</v>
          </cell>
          <cell r="I1015" t="str">
            <v>ORB</v>
          </cell>
          <cell r="J1015" t="str">
            <v>01</v>
          </cell>
          <cell r="K1015">
            <v>59195.5</v>
          </cell>
          <cell r="L1015" t="str">
            <v>FRF</v>
          </cell>
          <cell r="M1015" t="str">
            <v>T002</v>
          </cell>
        </row>
        <row r="1016">
          <cell r="E1016" t="str">
            <v>312438</v>
          </cell>
          <cell r="F1016">
            <v>35045</v>
          </cell>
          <cell r="G1016">
            <v>35117</v>
          </cell>
          <cell r="H1016" t="str">
            <v>Rechanges Orbisphere</v>
          </cell>
          <cell r="I1016" t="str">
            <v>ORB</v>
          </cell>
          <cell r="J1016" t="str">
            <v>01</v>
          </cell>
          <cell r="K1016">
            <v>12775</v>
          </cell>
          <cell r="L1016" t="str">
            <v>FRF</v>
          </cell>
          <cell r="M1016" t="str">
            <v>2000</v>
          </cell>
        </row>
        <row r="1017">
          <cell r="E1017" t="str">
            <v>312440</v>
          </cell>
          <cell r="F1017">
            <v>35019</v>
          </cell>
          <cell r="G1017">
            <v>35124</v>
          </cell>
          <cell r="H1017" t="str">
            <v>1 Ebulliomètre Dujardin Salleron</v>
          </cell>
          <cell r="I1017" t="str">
            <v>DJS</v>
          </cell>
          <cell r="J1017" t="str">
            <v>01</v>
          </cell>
          <cell r="K1017">
            <v>0</v>
          </cell>
          <cell r="L1017" t="str">
            <v>FRF</v>
          </cell>
          <cell r="M1017" t="str">
            <v>T002</v>
          </cell>
        </row>
        <row r="1018">
          <cell r="E1018" t="str">
            <v>312435</v>
          </cell>
          <cell r="F1018">
            <v>35018</v>
          </cell>
          <cell r="G1018">
            <v>35096</v>
          </cell>
          <cell r="H1018" t="str">
            <v>Lampes UV Vis pour HITACHI</v>
          </cell>
          <cell r="I1018" t="str">
            <v>GOF</v>
          </cell>
          <cell r="J1018" t="str">
            <v>01</v>
          </cell>
          <cell r="K1018">
            <v>8978.48</v>
          </cell>
          <cell r="L1018" t="str">
            <v>FRF</v>
          </cell>
          <cell r="M1018" t="str">
            <v>2000</v>
          </cell>
        </row>
        <row r="1019">
          <cell r="E1019" t="str">
            <v>312442</v>
          </cell>
          <cell r="F1019">
            <v>35045</v>
          </cell>
          <cell r="G1019">
            <v>35096</v>
          </cell>
          <cell r="H1019" t="str">
            <v>PSA + Sulfite T. + Spectroquant Mn</v>
          </cell>
          <cell r="I1019" t="str">
            <v>OSI</v>
          </cell>
          <cell r="J1019" t="str">
            <v>01</v>
          </cell>
          <cell r="K1019">
            <v>7727.4</v>
          </cell>
          <cell r="L1019" t="str">
            <v>FRF</v>
          </cell>
          <cell r="M1019" t="str">
            <v>2100</v>
          </cell>
        </row>
        <row r="1020">
          <cell r="E1020" t="str">
            <v>7951</v>
          </cell>
          <cell r="F1020">
            <v>35016</v>
          </cell>
          <cell r="G1020">
            <v>35041</v>
          </cell>
          <cell r="H1020" t="str">
            <v>Milieux de culture Pasteur</v>
          </cell>
          <cell r="I1020" t="str">
            <v>LDT</v>
          </cell>
          <cell r="J1020" t="str">
            <v>01</v>
          </cell>
          <cell r="K1020">
            <v>838900</v>
          </cell>
          <cell r="L1020" t="str">
            <v>CFA</v>
          </cell>
          <cell r="M1020" t="str">
            <v>2100</v>
          </cell>
        </row>
        <row r="1021">
          <cell r="E1021" t="str">
            <v>312437</v>
          </cell>
          <cell r="F1021">
            <v>35019</v>
          </cell>
          <cell r="H1021" t="str">
            <v>Documentation Lavoisier, Eaux</v>
          </cell>
          <cell r="I1021" t="str">
            <v>LAV</v>
          </cell>
          <cell r="J1021" t="str">
            <v>01</v>
          </cell>
          <cell r="K1021">
            <v>1887.17</v>
          </cell>
          <cell r="L1021" t="str">
            <v>FRF</v>
          </cell>
          <cell r="M1021" t="str">
            <v>T002</v>
          </cell>
        </row>
        <row r="1022">
          <cell r="E1022" t="str">
            <v>312267</v>
          </cell>
          <cell r="F1022">
            <v>35019</v>
          </cell>
          <cell r="G1022">
            <v>35082</v>
          </cell>
          <cell r="H1022" t="str">
            <v>2x5m Tube métrique en silicone NOVOSIL</v>
          </cell>
          <cell r="I1022" t="str">
            <v>BBL</v>
          </cell>
          <cell r="J1022" t="str">
            <v>01</v>
          </cell>
          <cell r="K1022">
            <v>436.8</v>
          </cell>
          <cell r="L1022" t="str">
            <v>FRF</v>
          </cell>
          <cell r="M1022" t="str">
            <v>2100</v>
          </cell>
        </row>
        <row r="1023">
          <cell r="E1023" t="str">
            <v>312433</v>
          </cell>
          <cell r="F1023">
            <v>35018</v>
          </cell>
          <cell r="G1023">
            <v>35096</v>
          </cell>
          <cell r="H1023" t="str">
            <v>1 Spectrophotomètre DUV 21</v>
          </cell>
          <cell r="I1023" t="str">
            <v>MLT</v>
          </cell>
          <cell r="J1023" t="str">
            <v>01</v>
          </cell>
          <cell r="K1023">
            <v>23483</v>
          </cell>
          <cell r="L1023" t="str">
            <v>FRF</v>
          </cell>
          <cell r="M1023" t="str">
            <v>T002</v>
          </cell>
        </row>
        <row r="1024">
          <cell r="E1024" t="str">
            <v>312434</v>
          </cell>
          <cell r="F1024">
            <v>35019</v>
          </cell>
          <cell r="G1024">
            <v>35272</v>
          </cell>
          <cell r="H1024" t="str">
            <v>1 Inpack CO2 + Air Meter</v>
          </cell>
          <cell r="I1024" t="str">
            <v>HAF</v>
          </cell>
          <cell r="J1024" t="str">
            <v>01</v>
          </cell>
          <cell r="K1024">
            <v>27584.02</v>
          </cell>
          <cell r="L1024" t="str">
            <v>FRF</v>
          </cell>
          <cell r="M1024" t="str">
            <v>T002</v>
          </cell>
        </row>
        <row r="1025">
          <cell r="E1025" t="str">
            <v>312254</v>
          </cell>
          <cell r="F1025">
            <v>34997</v>
          </cell>
          <cell r="G1025">
            <v>35026</v>
          </cell>
          <cell r="H1025" t="str">
            <v>6x5kg Sodium fluorure</v>
          </cell>
          <cell r="I1025" t="str">
            <v>OSI</v>
          </cell>
          <cell r="J1025" t="str">
            <v>01</v>
          </cell>
          <cell r="K1025">
            <v>3502.4</v>
          </cell>
          <cell r="L1025" t="str">
            <v>FRF</v>
          </cell>
          <cell r="M1025" t="str">
            <v>2100</v>
          </cell>
        </row>
        <row r="1026">
          <cell r="E1026" t="str">
            <v>7928</v>
          </cell>
          <cell r="F1026">
            <v>34968</v>
          </cell>
          <cell r="G1026">
            <v>35013</v>
          </cell>
          <cell r="H1026" t="str">
            <v>Produits de laboratoire</v>
          </cell>
          <cell r="I1026" t="str">
            <v>LDT</v>
          </cell>
          <cell r="J1026" t="str">
            <v>01</v>
          </cell>
          <cell r="K1026">
            <v>326700</v>
          </cell>
          <cell r="L1026" t="str">
            <v>CFA</v>
          </cell>
          <cell r="M1026" t="str">
            <v>2100</v>
          </cell>
        </row>
        <row r="1027">
          <cell r="E1027" t="str">
            <v>311934</v>
          </cell>
          <cell r="F1027">
            <v>34956</v>
          </cell>
          <cell r="G1027">
            <v>34989</v>
          </cell>
          <cell r="H1027" t="str">
            <v>Sartofluor capsules à vis</v>
          </cell>
          <cell r="I1027" t="str">
            <v>STR</v>
          </cell>
          <cell r="J1027" t="str">
            <v>01</v>
          </cell>
          <cell r="K1027">
            <v>11470.36</v>
          </cell>
          <cell r="L1027" t="str">
            <v>FRF</v>
          </cell>
          <cell r="M1027" t="str">
            <v>2100</v>
          </cell>
        </row>
        <row r="1028">
          <cell r="E1028" t="str">
            <v>313146</v>
          </cell>
          <cell r="F1028">
            <v>35093</v>
          </cell>
          <cell r="G1028">
            <v>35142</v>
          </cell>
          <cell r="H1028" t="str">
            <v>2 mètres de grillage fin inox</v>
          </cell>
          <cell r="I1028" t="str">
            <v>OSI</v>
          </cell>
          <cell r="J1028" t="str">
            <v>01</v>
          </cell>
          <cell r="K1028">
            <v>0</v>
          </cell>
          <cell r="L1028" t="str">
            <v>FRF</v>
          </cell>
          <cell r="M1028" t="str">
            <v>DI</v>
          </cell>
        </row>
        <row r="1029">
          <cell r="E1029" t="str">
            <v>311841</v>
          </cell>
          <cell r="F1029">
            <v>34949</v>
          </cell>
          <cell r="G1029">
            <v>34989</v>
          </cell>
          <cell r="H1029" t="str">
            <v>Normes NF H-13-045 et NF Q-12-008</v>
          </cell>
          <cell r="I1029" t="str">
            <v>AFN</v>
          </cell>
          <cell r="J1029" t="str">
            <v>01</v>
          </cell>
          <cell r="K1029">
            <v>494.72</v>
          </cell>
          <cell r="L1029" t="str">
            <v>FRF</v>
          </cell>
          <cell r="M1029" t="str">
            <v>2201</v>
          </cell>
        </row>
        <row r="1030">
          <cell r="E1030" t="str">
            <v>311840</v>
          </cell>
          <cell r="F1030">
            <v>34949</v>
          </cell>
          <cell r="G1030">
            <v>34989</v>
          </cell>
          <cell r="H1030" t="str">
            <v>Recharges FYRYTE CO2 et O2</v>
          </cell>
          <cell r="I1030" t="str">
            <v>DVL</v>
          </cell>
          <cell r="J1030" t="str">
            <v>01</v>
          </cell>
          <cell r="K1030">
            <v>2037.3</v>
          </cell>
          <cell r="L1030" t="str">
            <v>FRF</v>
          </cell>
          <cell r="M1030" t="str">
            <v>2100</v>
          </cell>
        </row>
        <row r="1031">
          <cell r="E1031" t="str">
            <v>7911</v>
          </cell>
          <cell r="F1031">
            <v>34942</v>
          </cell>
          <cell r="G1031">
            <v>35041</v>
          </cell>
          <cell r="H1031" t="str">
            <v>60 Generbox+anaer+indicateur</v>
          </cell>
          <cell r="I1031" t="str">
            <v>LDT</v>
          </cell>
          <cell r="J1031" t="str">
            <v>01</v>
          </cell>
          <cell r="K1031">
            <v>1135000</v>
          </cell>
          <cell r="L1031" t="str">
            <v>CFA</v>
          </cell>
          <cell r="M1031" t="str">
            <v>2100</v>
          </cell>
        </row>
        <row r="1032">
          <cell r="E1032" t="str">
            <v>311814</v>
          </cell>
          <cell r="F1032">
            <v>34947</v>
          </cell>
          <cell r="G1032">
            <v>35013</v>
          </cell>
          <cell r="H1032" t="str">
            <v>6x1000 DPD Nr 4 Rouge</v>
          </cell>
          <cell r="I1032" t="str">
            <v>CIF</v>
          </cell>
          <cell r="J1032" t="str">
            <v>SEMC</v>
          </cell>
          <cell r="K1032">
            <v>5908.76</v>
          </cell>
          <cell r="L1032" t="str">
            <v>FRF</v>
          </cell>
          <cell r="M1032" t="str">
            <v>2100</v>
          </cell>
        </row>
        <row r="1033">
          <cell r="E1033" t="str">
            <v>312622</v>
          </cell>
          <cell r="F1033">
            <v>35033</v>
          </cell>
          <cell r="G1033">
            <v>35096</v>
          </cell>
          <cell r="H1033" t="str">
            <v>Bombe aérosol peinture noire terne</v>
          </cell>
          <cell r="I1033" t="str">
            <v>HAF</v>
          </cell>
          <cell r="J1033" t="str">
            <v>01</v>
          </cell>
          <cell r="K1033">
            <v>884.4</v>
          </cell>
          <cell r="L1033" t="str">
            <v>FRF</v>
          </cell>
          <cell r="M1033" t="str">
            <v>2100</v>
          </cell>
        </row>
        <row r="1034">
          <cell r="E1034" t="str">
            <v>312255</v>
          </cell>
          <cell r="F1034">
            <v>34996</v>
          </cell>
          <cell r="G1034">
            <v>35026</v>
          </cell>
          <cell r="H1034" t="str">
            <v>Douille cylindrique Ampoule SM LUX</v>
          </cell>
          <cell r="I1034" t="str">
            <v>LTZ</v>
          </cell>
          <cell r="J1034" t="str">
            <v>01</v>
          </cell>
          <cell r="K1034">
            <v>1268.5</v>
          </cell>
          <cell r="L1034" t="str">
            <v>FRF</v>
          </cell>
          <cell r="M1034" t="str">
            <v>2000</v>
          </cell>
        </row>
        <row r="1035">
          <cell r="H1035" t="str">
            <v>Soft Pack Diagnostic + tournevis excentr</v>
          </cell>
          <cell r="I1035" t="str">
            <v>LBO</v>
          </cell>
          <cell r="J1035" t="str">
            <v>01</v>
          </cell>
          <cell r="K1035">
            <v>0</v>
          </cell>
          <cell r="M1035" t="str">
            <v>2100</v>
          </cell>
        </row>
        <row r="1036">
          <cell r="E1036" t="str">
            <v>312439</v>
          </cell>
          <cell r="F1036">
            <v>35019</v>
          </cell>
          <cell r="G1036">
            <v>35117</v>
          </cell>
          <cell r="H1036" t="str">
            <v>Réparation de 2 spectrophotomètres DU64</v>
          </cell>
          <cell r="I1036" t="str">
            <v>LBO</v>
          </cell>
          <cell r="J1036" t="str">
            <v>01</v>
          </cell>
          <cell r="K1036">
            <v>0</v>
          </cell>
          <cell r="L1036" t="str">
            <v>FRF</v>
          </cell>
          <cell r="M1036" t="str">
            <v>3022</v>
          </cell>
        </row>
        <row r="1037">
          <cell r="E1037" t="str">
            <v>311672</v>
          </cell>
          <cell r="F1037">
            <v>34933</v>
          </cell>
          <cell r="G1037">
            <v>34989</v>
          </cell>
          <cell r="H1037" t="str">
            <v>1 Volume métrologie des eaux résiduaires</v>
          </cell>
          <cell r="I1037" t="str">
            <v>LAV</v>
          </cell>
          <cell r="J1037" t="str">
            <v>01</v>
          </cell>
          <cell r="K1037">
            <v>1490.58</v>
          </cell>
          <cell r="L1037" t="str">
            <v>FRF</v>
          </cell>
          <cell r="M1037" t="str">
            <v>2201</v>
          </cell>
        </row>
        <row r="1038">
          <cell r="E1038" t="str">
            <v>312438</v>
          </cell>
          <cell r="F1038">
            <v>35045</v>
          </cell>
          <cell r="G1038">
            <v>35117</v>
          </cell>
          <cell r="H1038" t="str">
            <v>1 Spectrophotomètre DU 640</v>
          </cell>
          <cell r="I1038" t="str">
            <v>BCK</v>
          </cell>
          <cell r="J1038" t="str">
            <v>01</v>
          </cell>
          <cell r="K1038">
            <v>0</v>
          </cell>
          <cell r="L1038" t="str">
            <v>FRF</v>
          </cell>
          <cell r="M1038" t="str">
            <v>INV</v>
          </cell>
        </row>
        <row r="1039">
          <cell r="E1039" t="str">
            <v>327051</v>
          </cell>
          <cell r="F1039">
            <v>36439</v>
          </cell>
          <cell r="G1039">
            <v>35124</v>
          </cell>
          <cell r="H1039" t="str">
            <v>Guide pratique Bios N° 279 01-02/99</v>
          </cell>
          <cell r="I1039" t="str">
            <v>IFB</v>
          </cell>
          <cell r="J1039" t="str">
            <v>01</v>
          </cell>
          <cell r="K1039">
            <v>404.8</v>
          </cell>
          <cell r="L1039" t="str">
            <v>FRF</v>
          </cell>
          <cell r="M1039" t="str">
            <v>2201</v>
          </cell>
        </row>
        <row r="1040">
          <cell r="E1040" t="str">
            <v>327705</v>
          </cell>
          <cell r="F1040">
            <v>35018</v>
          </cell>
          <cell r="G1040">
            <v>36455</v>
          </cell>
          <cell r="H1040" t="str">
            <v>Guide pratique Bios</v>
          </cell>
          <cell r="I1040" t="str">
            <v>IFB</v>
          </cell>
          <cell r="J1040" t="str">
            <v>01</v>
          </cell>
          <cell r="K1040">
            <v>0</v>
          </cell>
          <cell r="L1040" t="str">
            <v>FRF</v>
          </cell>
          <cell r="M1040" t="str">
            <v>2201</v>
          </cell>
        </row>
        <row r="1041">
          <cell r="E1041" t="str">
            <v>311441</v>
          </cell>
          <cell r="F1041">
            <v>34900</v>
          </cell>
          <cell r="G1041">
            <v>34989</v>
          </cell>
          <cell r="H1041" t="str">
            <v>Bandelettes indicatrices spectroquant</v>
          </cell>
          <cell r="I1041" t="str">
            <v>MCK</v>
          </cell>
          <cell r="J1041" t="str">
            <v>01</v>
          </cell>
          <cell r="K1041">
            <v>975</v>
          </cell>
          <cell r="L1041" t="str">
            <v>FRF</v>
          </cell>
          <cell r="M1041" t="str">
            <v>2100</v>
          </cell>
        </row>
        <row r="1042">
          <cell r="E1042" t="str">
            <v>311509</v>
          </cell>
          <cell r="F1042">
            <v>34907</v>
          </cell>
          <cell r="G1042">
            <v>34989</v>
          </cell>
          <cell r="H1042" t="str">
            <v>Entonnoir à poudre, phmètre+ thermomètre</v>
          </cell>
          <cell r="I1042" t="str">
            <v>OSI</v>
          </cell>
          <cell r="J1042" t="str">
            <v>01</v>
          </cell>
          <cell r="K1042">
            <v>4266.41</v>
          </cell>
          <cell r="L1042" t="str">
            <v>FRF</v>
          </cell>
          <cell r="M1042" t="str">
            <v>2100</v>
          </cell>
        </row>
        <row r="1043">
          <cell r="E1043" t="str">
            <v>311299</v>
          </cell>
          <cell r="F1043">
            <v>34900</v>
          </cell>
          <cell r="G1043">
            <v>34989</v>
          </cell>
          <cell r="H1043" t="str">
            <v>Documentation Lavoisier, Eaux</v>
          </cell>
          <cell r="I1043" t="str">
            <v>LAV</v>
          </cell>
          <cell r="J1043" t="str">
            <v>01</v>
          </cell>
          <cell r="K1043">
            <v>1887.17</v>
          </cell>
          <cell r="L1043" t="str">
            <v>FRF</v>
          </cell>
          <cell r="M1043" t="str">
            <v>2201</v>
          </cell>
        </row>
        <row r="1044">
          <cell r="E1044" t="str">
            <v>311503</v>
          </cell>
          <cell r="F1044">
            <v>34906</v>
          </cell>
          <cell r="G1044">
            <v>34989</v>
          </cell>
          <cell r="H1044" t="str">
            <v>Résistance chauffante + PT100</v>
          </cell>
          <cell r="I1044" t="str">
            <v>CIS</v>
          </cell>
          <cell r="J1044" t="str">
            <v>01</v>
          </cell>
          <cell r="K1044">
            <v>2762</v>
          </cell>
          <cell r="L1044" t="str">
            <v>FRF</v>
          </cell>
          <cell r="M1044" t="str">
            <v>2000</v>
          </cell>
        </row>
        <row r="1045">
          <cell r="E1045" t="str">
            <v>318728</v>
          </cell>
          <cell r="F1045">
            <v>35667</v>
          </cell>
          <cell r="G1045">
            <v>35096</v>
          </cell>
          <cell r="H1045" t="str">
            <v>Electrodes pH mètre philips</v>
          </cell>
          <cell r="I1045" t="str">
            <v>PHI</v>
          </cell>
          <cell r="J1045" t="str">
            <v>01</v>
          </cell>
          <cell r="K1045">
            <v>3092.5</v>
          </cell>
          <cell r="L1045" t="str">
            <v>FRF</v>
          </cell>
          <cell r="M1045" t="str">
            <v>2000</v>
          </cell>
        </row>
        <row r="1046">
          <cell r="E1046" t="str">
            <v>311295</v>
          </cell>
          <cell r="F1046">
            <v>34884</v>
          </cell>
          <cell r="G1046">
            <v>34989</v>
          </cell>
          <cell r="H1046" t="str">
            <v>FILTRES Bio X Domnick Hunter</v>
          </cell>
          <cell r="I1046" t="str">
            <v>TCA</v>
          </cell>
          <cell r="J1046" t="str">
            <v>01</v>
          </cell>
          <cell r="K1046">
            <v>12227.44</v>
          </cell>
          <cell r="L1046" t="str">
            <v>FRF</v>
          </cell>
          <cell r="M1046" t="str">
            <v>2100</v>
          </cell>
        </row>
        <row r="1047">
          <cell r="E1047" t="str">
            <v>311508</v>
          </cell>
          <cell r="F1047">
            <v>34911</v>
          </cell>
          <cell r="G1047">
            <v>35023</v>
          </cell>
          <cell r="H1047" t="str">
            <v>Produits de laboratoire</v>
          </cell>
          <cell r="I1047" t="str">
            <v>PRO</v>
          </cell>
          <cell r="J1047" t="str">
            <v>01</v>
          </cell>
          <cell r="K1047">
            <v>8749.82</v>
          </cell>
          <cell r="L1047" t="str">
            <v>FRF</v>
          </cell>
          <cell r="M1047" t="str">
            <v>2100</v>
          </cell>
        </row>
        <row r="1048">
          <cell r="E1048" t="str">
            <v>311572</v>
          </cell>
          <cell r="F1048">
            <v>34911</v>
          </cell>
          <cell r="G1048">
            <v>34989</v>
          </cell>
          <cell r="H1048" t="str">
            <v>6x1L Antimousse</v>
          </cell>
          <cell r="I1048" t="str">
            <v>PRO</v>
          </cell>
          <cell r="J1048" t="str">
            <v>01</v>
          </cell>
          <cell r="K1048">
            <v>2259.34</v>
          </cell>
          <cell r="L1048" t="str">
            <v>FRF</v>
          </cell>
          <cell r="M1048" t="str">
            <v>2100</v>
          </cell>
        </row>
        <row r="1049">
          <cell r="E1049" t="str">
            <v>311517</v>
          </cell>
          <cell r="F1049">
            <v>34911</v>
          </cell>
          <cell r="G1049">
            <v>34989</v>
          </cell>
          <cell r="H1049" t="str">
            <v>ZnSO4+EDTA+Goupillons</v>
          </cell>
          <cell r="I1049" t="str">
            <v>PRO</v>
          </cell>
          <cell r="J1049" t="str">
            <v>01</v>
          </cell>
          <cell r="K1049">
            <v>3470.94</v>
          </cell>
          <cell r="L1049" t="str">
            <v>FRF</v>
          </cell>
          <cell r="M1049" t="str">
            <v>2100</v>
          </cell>
        </row>
        <row r="1050">
          <cell r="E1050" t="str">
            <v>7879</v>
          </cell>
          <cell r="F1050">
            <v>34886</v>
          </cell>
          <cell r="G1050">
            <v>35353</v>
          </cell>
          <cell r="H1050" t="str">
            <v>2 mètres de grillage fin inox</v>
          </cell>
          <cell r="I1050" t="str">
            <v>LDT</v>
          </cell>
          <cell r="J1050" t="str">
            <v>01</v>
          </cell>
          <cell r="K1050">
            <v>0</v>
          </cell>
          <cell r="L1050" t="str">
            <v>CFA</v>
          </cell>
          <cell r="M1050" t="str">
            <v>DI</v>
          </cell>
        </row>
        <row r="1051">
          <cell r="E1051" t="str">
            <v>311418</v>
          </cell>
          <cell r="F1051">
            <v>34900</v>
          </cell>
          <cell r="G1051">
            <v>34989</v>
          </cell>
          <cell r="H1051" t="str">
            <v>Alu1+Alu2+DPD+Comparateur Lovibond</v>
          </cell>
          <cell r="I1051" t="str">
            <v>CIF</v>
          </cell>
          <cell r="J1051" t="str">
            <v>01</v>
          </cell>
          <cell r="K1051">
            <v>19040</v>
          </cell>
          <cell r="L1051" t="str">
            <v>FRF</v>
          </cell>
          <cell r="M1051" t="str">
            <v>2100</v>
          </cell>
        </row>
        <row r="1052">
          <cell r="E1052" t="str">
            <v>311321</v>
          </cell>
          <cell r="F1052">
            <v>34885</v>
          </cell>
          <cell r="G1052">
            <v>34989</v>
          </cell>
          <cell r="H1052" t="str">
            <v>4 Chambres d'écoulement+ 2 cel de regéné</v>
          </cell>
          <cell r="I1052" t="str">
            <v>ORB</v>
          </cell>
          <cell r="J1052" t="str">
            <v>01</v>
          </cell>
          <cell r="K1052">
            <v>33133</v>
          </cell>
          <cell r="L1052" t="str">
            <v>FRF</v>
          </cell>
          <cell r="M1052" t="str">
            <v>2000</v>
          </cell>
        </row>
        <row r="1053">
          <cell r="E1053" t="str">
            <v>311322</v>
          </cell>
          <cell r="F1053">
            <v>34900</v>
          </cell>
          <cell r="G1053">
            <v>35041</v>
          </cell>
          <cell r="H1053" t="str">
            <v>12 sondes REDPOST 230 mm</v>
          </cell>
          <cell r="I1053" t="str">
            <v>HAF</v>
          </cell>
          <cell r="J1053" t="str">
            <v>01</v>
          </cell>
          <cell r="K1053">
            <v>17256.259999999998</v>
          </cell>
          <cell r="L1053" t="str">
            <v>FRF</v>
          </cell>
          <cell r="M1053" t="str">
            <v>2000</v>
          </cell>
        </row>
        <row r="1054">
          <cell r="E1054" t="str">
            <v>311508</v>
          </cell>
          <cell r="F1054">
            <v>34911</v>
          </cell>
          <cell r="G1054">
            <v>35013</v>
          </cell>
          <cell r="H1054" t="str">
            <v>8x5kg Baryum chlorure</v>
          </cell>
          <cell r="I1054" t="str">
            <v>PRO</v>
          </cell>
          <cell r="J1054" t="str">
            <v>01</v>
          </cell>
          <cell r="K1054">
            <v>0</v>
          </cell>
          <cell r="L1054">
            <v>0</v>
          </cell>
          <cell r="M1054" t="str">
            <v>2100</v>
          </cell>
        </row>
        <row r="1055">
          <cell r="E1055" t="str">
            <v>310403</v>
          </cell>
          <cell r="F1055">
            <v>34793</v>
          </cell>
          <cell r="G1055">
            <v>34835</v>
          </cell>
          <cell r="H1055" t="str">
            <v>Spectroquant pour Analyseur Palintest</v>
          </cell>
          <cell r="I1055" t="str">
            <v>OSI</v>
          </cell>
          <cell r="J1055" t="str">
            <v>01</v>
          </cell>
          <cell r="K1055">
            <v>6030.5</v>
          </cell>
          <cell r="L1055" t="str">
            <v>FRF</v>
          </cell>
          <cell r="M1055" t="str">
            <v>2100</v>
          </cell>
        </row>
        <row r="1056">
          <cell r="E1056" t="str">
            <v>310237</v>
          </cell>
          <cell r="F1056">
            <v>34773</v>
          </cell>
          <cell r="G1056">
            <v>34841</v>
          </cell>
          <cell r="H1056" t="str">
            <v>Rechanges halumeter</v>
          </cell>
          <cell r="I1056" t="str">
            <v>HAF</v>
          </cell>
          <cell r="J1056" t="str">
            <v>01</v>
          </cell>
          <cell r="K1056">
            <v>1270.4100000000001</v>
          </cell>
          <cell r="L1056" t="str">
            <v>FRF</v>
          </cell>
          <cell r="M1056" t="str">
            <v>2000</v>
          </cell>
        </row>
        <row r="1057">
          <cell r="H1057" t="str">
            <v>10x6 Rouleaux de papier thermique</v>
          </cell>
          <cell r="I1057" t="str">
            <v>CIS</v>
          </cell>
          <cell r="J1057" t="str">
            <v>01</v>
          </cell>
          <cell r="K1057">
            <v>0</v>
          </cell>
          <cell r="M1057" t="str">
            <v>2100</v>
          </cell>
        </row>
        <row r="1058">
          <cell r="E1058" t="str">
            <v>309874</v>
          </cell>
          <cell r="F1058">
            <v>34739</v>
          </cell>
          <cell r="G1058">
            <v>34773</v>
          </cell>
          <cell r="H1058" t="str">
            <v>Réparation de 2 spectrophotomètres DU64</v>
          </cell>
          <cell r="I1058" t="str">
            <v>LBO</v>
          </cell>
          <cell r="J1058" t="str">
            <v>01</v>
          </cell>
          <cell r="K1058">
            <v>0</v>
          </cell>
          <cell r="L1058" t="str">
            <v>FRF</v>
          </cell>
          <cell r="M1058" t="str">
            <v>3022</v>
          </cell>
        </row>
        <row r="1059">
          <cell r="E1059" t="str">
            <v>309908</v>
          </cell>
          <cell r="F1059">
            <v>34731</v>
          </cell>
          <cell r="G1059">
            <v>34807</v>
          </cell>
          <cell r="H1059" t="str">
            <v/>
          </cell>
          <cell r="I1059" t="str">
            <v>ORB</v>
          </cell>
          <cell r="J1059" t="str">
            <v>01</v>
          </cell>
          <cell r="K1059">
            <v>18378.5</v>
          </cell>
          <cell r="L1059" t="str">
            <v>FRF</v>
          </cell>
          <cell r="M1059" t="str">
            <v>2000</v>
          </cell>
        </row>
        <row r="1060">
          <cell r="E1060" t="str">
            <v>309871</v>
          </cell>
          <cell r="F1060">
            <v>34729</v>
          </cell>
          <cell r="H1060" t="str">
            <v>Palintest Alu 1 + Alu 2 + glycine</v>
          </cell>
          <cell r="I1060" t="str">
            <v>CIF</v>
          </cell>
          <cell r="J1060" t="str">
            <v>01</v>
          </cell>
          <cell r="K1060">
            <v>13233</v>
          </cell>
          <cell r="L1060" t="str">
            <v>FRF</v>
          </cell>
          <cell r="M1060" t="str">
            <v>INV</v>
          </cell>
        </row>
        <row r="1061">
          <cell r="E1061" t="str">
            <v>309873</v>
          </cell>
          <cell r="F1061">
            <v>34729</v>
          </cell>
          <cell r="H1061" t="str">
            <v>Rechanges spectrophotomètre+ pH mètre</v>
          </cell>
          <cell r="I1061" t="str">
            <v>LBO</v>
          </cell>
          <cell r="J1061" t="str">
            <v>01</v>
          </cell>
          <cell r="K1061">
            <v>34373.599999999999</v>
          </cell>
          <cell r="L1061" t="str">
            <v>FRF</v>
          </cell>
          <cell r="M1061" t="str">
            <v>2000</v>
          </cell>
        </row>
        <row r="1062">
          <cell r="E1062" t="str">
            <v>309880</v>
          </cell>
          <cell r="F1062">
            <v>34750</v>
          </cell>
          <cell r="G1062">
            <v>36455</v>
          </cell>
          <cell r="H1062" t="str">
            <v>Guide pratique Bios</v>
          </cell>
          <cell r="I1062" t="str">
            <v>IFB</v>
          </cell>
          <cell r="J1062" t="str">
            <v>01</v>
          </cell>
          <cell r="K1062">
            <v>0</v>
          </cell>
          <cell r="L1062" t="str">
            <v>FRF</v>
          </cell>
          <cell r="M1062" t="str">
            <v>2201</v>
          </cell>
        </row>
        <row r="1063">
          <cell r="E1063" t="str">
            <v>309875</v>
          </cell>
          <cell r="F1063">
            <v>34739</v>
          </cell>
          <cell r="G1063">
            <v>34835</v>
          </cell>
          <cell r="H1063" t="str">
            <v>Produits de laboratoire</v>
          </cell>
          <cell r="I1063" t="str">
            <v>MCK</v>
          </cell>
          <cell r="J1063" t="str">
            <v>01</v>
          </cell>
          <cell r="K1063">
            <v>23829</v>
          </cell>
          <cell r="L1063" t="str">
            <v>FRF</v>
          </cell>
          <cell r="M1063" t="str">
            <v>2100</v>
          </cell>
        </row>
        <row r="1064">
          <cell r="E1064" t="str">
            <v>310035</v>
          </cell>
          <cell r="F1064">
            <v>34739</v>
          </cell>
          <cell r="G1064">
            <v>34793</v>
          </cell>
          <cell r="H1064" t="str">
            <v>10 x 1L Extran</v>
          </cell>
          <cell r="I1064" t="str">
            <v>MCK</v>
          </cell>
          <cell r="J1064" t="str">
            <v>01</v>
          </cell>
          <cell r="K1064">
            <v>2469</v>
          </cell>
          <cell r="L1064" t="str">
            <v>FRF</v>
          </cell>
          <cell r="M1064" t="str">
            <v>2100</v>
          </cell>
        </row>
        <row r="1065">
          <cell r="E1065" t="str">
            <v>309913</v>
          </cell>
          <cell r="F1065">
            <v>34738</v>
          </cell>
          <cell r="G1065">
            <v>34793</v>
          </cell>
          <cell r="H1065" t="str">
            <v>5 Minisart</v>
          </cell>
          <cell r="I1065" t="str">
            <v>STR</v>
          </cell>
          <cell r="J1065" t="str">
            <v>01</v>
          </cell>
          <cell r="K1065">
            <v>3274.25</v>
          </cell>
          <cell r="L1065" t="str">
            <v>FRF</v>
          </cell>
          <cell r="M1065" t="str">
            <v>2100</v>
          </cell>
        </row>
        <row r="1066">
          <cell r="E1066" t="str">
            <v>309907</v>
          </cell>
          <cell r="F1066">
            <v>34738</v>
          </cell>
          <cell r="G1066">
            <v>34835</v>
          </cell>
          <cell r="H1066" t="str">
            <v>Produits de laboratoire</v>
          </cell>
          <cell r="I1066" t="str">
            <v>PRO</v>
          </cell>
          <cell r="J1066" t="str">
            <v>01</v>
          </cell>
          <cell r="K1066">
            <v>12659.34</v>
          </cell>
          <cell r="L1066" t="str">
            <v>FRF</v>
          </cell>
          <cell r="M1066" t="str">
            <v>2100</v>
          </cell>
        </row>
        <row r="1067">
          <cell r="E1067" t="str">
            <v>309985</v>
          </cell>
          <cell r="F1067">
            <v>34738</v>
          </cell>
          <cell r="H1067" t="str">
            <v>EDTA 0.01 mol/l + KCl</v>
          </cell>
          <cell r="I1067" t="str">
            <v>PRO</v>
          </cell>
          <cell r="J1067" t="str">
            <v>01</v>
          </cell>
          <cell r="K1067">
            <v>3589.4</v>
          </cell>
          <cell r="L1067" t="str">
            <v>FRF</v>
          </cell>
          <cell r="M1067" t="str">
            <v>2100</v>
          </cell>
        </row>
        <row r="1068">
          <cell r="E1068" t="str">
            <v>7813</v>
          </cell>
          <cell r="F1068">
            <v>34736</v>
          </cell>
          <cell r="G1068">
            <v>34753</v>
          </cell>
          <cell r="H1068" t="str">
            <v>Additifs pasteur</v>
          </cell>
          <cell r="I1068" t="str">
            <v>LDT</v>
          </cell>
          <cell r="J1068" t="str">
            <v>01</v>
          </cell>
          <cell r="K1068">
            <v>678700</v>
          </cell>
          <cell r="L1068" t="str">
            <v>CFA</v>
          </cell>
          <cell r="M1068" t="str">
            <v>2100</v>
          </cell>
        </row>
        <row r="1069">
          <cell r="E1069" t="str">
            <v>309968</v>
          </cell>
          <cell r="F1069">
            <v>34750</v>
          </cell>
          <cell r="G1069">
            <v>35023</v>
          </cell>
          <cell r="H1069" t="str">
            <v>Rechanges réfracto + microbrassin</v>
          </cell>
          <cell r="I1069" t="str">
            <v>GBL</v>
          </cell>
          <cell r="J1069" t="str">
            <v>01</v>
          </cell>
          <cell r="K1069">
            <v>17625.89</v>
          </cell>
          <cell r="L1069" t="str">
            <v>FRF</v>
          </cell>
          <cell r="M1069" t="str">
            <v>2000</v>
          </cell>
        </row>
        <row r="1070">
          <cell r="E1070" t="str">
            <v>309872</v>
          </cell>
          <cell r="F1070">
            <v>34750</v>
          </cell>
          <cell r="G1070">
            <v>34856</v>
          </cell>
          <cell r="H1070" t="str">
            <v>Produits et matériels de laboratoire</v>
          </cell>
          <cell r="I1070" t="str">
            <v>OSI</v>
          </cell>
          <cell r="J1070" t="str">
            <v>01</v>
          </cell>
          <cell r="K1070">
            <v>45049.4</v>
          </cell>
          <cell r="L1070" t="str">
            <v>FRF</v>
          </cell>
          <cell r="M1070" t="str">
            <v>2100</v>
          </cell>
        </row>
        <row r="1071">
          <cell r="E1071" t="str">
            <v>309967</v>
          </cell>
          <cell r="F1071">
            <v>34750</v>
          </cell>
          <cell r="H1071" t="str">
            <v>2 Rechanges CO2 Gehaltmeter</v>
          </cell>
          <cell r="I1071" t="str">
            <v>HAF</v>
          </cell>
          <cell r="J1071" t="str">
            <v>01</v>
          </cell>
          <cell r="K1071">
            <v>12651.92</v>
          </cell>
          <cell r="L1071" t="str">
            <v>FRF</v>
          </cell>
          <cell r="M1071" t="str">
            <v>2000</v>
          </cell>
        </row>
        <row r="1072">
          <cell r="E1072" t="str">
            <v>309705</v>
          </cell>
          <cell r="F1072">
            <v>34709</v>
          </cell>
          <cell r="G1072">
            <v>34817</v>
          </cell>
          <cell r="H1072" t="str">
            <v>5 Burettes d'absorption de CO2</v>
          </cell>
          <cell r="I1072" t="str">
            <v>BAG</v>
          </cell>
          <cell r="J1072" t="str">
            <v>01</v>
          </cell>
          <cell r="K1072">
            <v>26384.1</v>
          </cell>
          <cell r="L1072" t="str">
            <v>FRF</v>
          </cell>
          <cell r="M1072" t="str">
            <v>2100</v>
          </cell>
        </row>
        <row r="1073">
          <cell r="E1073" t="str">
            <v>309742</v>
          </cell>
          <cell r="F1073">
            <v>34715</v>
          </cell>
          <cell r="G1073">
            <v>34793</v>
          </cell>
          <cell r="H1073" t="str">
            <v>Alu1+Alu2+DPD+Comparateur Lovibond</v>
          </cell>
          <cell r="I1073" t="str">
            <v>CIF</v>
          </cell>
          <cell r="J1073" t="str">
            <v>01</v>
          </cell>
          <cell r="K1073">
            <v>19040</v>
          </cell>
          <cell r="L1073" t="str">
            <v>FRF</v>
          </cell>
          <cell r="M1073" t="str">
            <v>2100</v>
          </cell>
        </row>
        <row r="1074">
          <cell r="E1074" t="str">
            <v>311321</v>
          </cell>
          <cell r="F1074">
            <v>34885</v>
          </cell>
          <cell r="H1074" t="str">
            <v>3 Cellules conductimétriques</v>
          </cell>
          <cell r="I1074" t="str">
            <v>TAC</v>
          </cell>
          <cell r="J1074" t="str">
            <v>01</v>
          </cell>
          <cell r="K1074">
            <v>0</v>
          </cell>
          <cell r="L1074" t="str">
            <v>FRF</v>
          </cell>
          <cell r="M1074" t="str">
            <v>2000</v>
          </cell>
        </row>
        <row r="1075">
          <cell r="E1075" t="str">
            <v>309395</v>
          </cell>
          <cell r="F1075">
            <v>34670</v>
          </cell>
          <cell r="G1075">
            <v>34719</v>
          </cell>
          <cell r="H1075" t="str">
            <v>12 sondes REDPOST 230 mm</v>
          </cell>
          <cell r="I1075" t="str">
            <v>HAF</v>
          </cell>
          <cell r="J1075" t="str">
            <v>01</v>
          </cell>
          <cell r="K1075">
            <v>17256.259999999998</v>
          </cell>
          <cell r="L1075" t="str">
            <v>FRF</v>
          </cell>
          <cell r="M1075" t="str">
            <v>2000</v>
          </cell>
        </row>
        <row r="1076">
          <cell r="E1076" t="str">
            <v>309396</v>
          </cell>
          <cell r="F1076">
            <v>34670</v>
          </cell>
          <cell r="G1076">
            <v>34719</v>
          </cell>
          <cell r="H1076" t="str">
            <v>8x5kg Baryum chlorure</v>
          </cell>
          <cell r="I1076" t="str">
            <v>PRO</v>
          </cell>
          <cell r="J1076" t="str">
            <v>01</v>
          </cell>
          <cell r="K1076">
            <v>0</v>
          </cell>
          <cell r="L1076">
            <v>0</v>
          </cell>
          <cell r="M1076" t="str">
            <v>2100</v>
          </cell>
        </row>
        <row r="1077">
          <cell r="E1077" t="str">
            <v>308974</v>
          </cell>
          <cell r="F1077">
            <v>34642</v>
          </cell>
          <cell r="G1077">
            <v>34719</v>
          </cell>
          <cell r="H1077" t="str">
            <v>1 Thermomètre COMARK</v>
          </cell>
          <cell r="I1077" t="str">
            <v>PRO</v>
          </cell>
          <cell r="J1077" t="str">
            <v>01</v>
          </cell>
          <cell r="K1077">
            <v>4974</v>
          </cell>
          <cell r="L1077" t="str">
            <v>FRF</v>
          </cell>
          <cell r="M1077" t="str">
            <v>S002</v>
          </cell>
        </row>
        <row r="1078">
          <cell r="E1078" t="str">
            <v>308841</v>
          </cell>
          <cell r="F1078">
            <v>34642</v>
          </cell>
          <cell r="G1078">
            <v>34841</v>
          </cell>
          <cell r="H1078" t="str">
            <v>2 pvc tubing, set of 12 code 5582-0009</v>
          </cell>
          <cell r="I1078" t="str">
            <v>FOS</v>
          </cell>
          <cell r="J1078" t="str">
            <v>01</v>
          </cell>
          <cell r="K1078">
            <v>1209.2</v>
          </cell>
          <cell r="L1078" t="str">
            <v>FRF</v>
          </cell>
          <cell r="M1078" t="str">
            <v>2000</v>
          </cell>
        </row>
        <row r="1079">
          <cell r="E1079" t="str">
            <v>308910</v>
          </cell>
          <cell r="F1079">
            <v>34642</v>
          </cell>
          <cell r="G1079">
            <v>34691</v>
          </cell>
          <cell r="H1079" t="str">
            <v>10x6 Rouleaux de papier thermique</v>
          </cell>
          <cell r="I1079" t="str">
            <v>CIS</v>
          </cell>
          <cell r="J1079" t="str">
            <v>01</v>
          </cell>
          <cell r="K1079">
            <v>0</v>
          </cell>
          <cell r="L1079" t="str">
            <v>FRF</v>
          </cell>
          <cell r="M1079" t="str">
            <v>2100</v>
          </cell>
        </row>
        <row r="1080">
          <cell r="E1080" t="str">
            <v>309874</v>
          </cell>
          <cell r="F1080">
            <v>34739</v>
          </cell>
          <cell r="G1080">
            <v>34773</v>
          </cell>
          <cell r="H1080" t="str">
            <v>1 Densimètre DMA 35N + port + interface</v>
          </cell>
          <cell r="I1080" t="str">
            <v>PAA</v>
          </cell>
          <cell r="J1080" t="str">
            <v>01</v>
          </cell>
          <cell r="K1080">
            <v>14829.25</v>
          </cell>
          <cell r="L1080" t="str">
            <v>FRF</v>
          </cell>
          <cell r="M1080" t="str">
            <v>V006</v>
          </cell>
        </row>
        <row r="1081">
          <cell r="E1081" t="str">
            <v>25767</v>
          </cell>
          <cell r="F1081">
            <v>34613</v>
          </cell>
          <cell r="G1081">
            <v>34648</v>
          </cell>
          <cell r="H1081" t="str">
            <v>4 Calculatrices HP 42S</v>
          </cell>
          <cell r="I1081" t="str">
            <v>CIS</v>
          </cell>
          <cell r="J1081" t="str">
            <v>01</v>
          </cell>
          <cell r="K1081">
            <v>501900</v>
          </cell>
          <cell r="L1081" t="str">
            <v>CFA</v>
          </cell>
          <cell r="M1081" t="str">
            <v>2100</v>
          </cell>
        </row>
        <row r="1082">
          <cell r="E1082" t="str">
            <v>308871</v>
          </cell>
          <cell r="F1082">
            <v>34646</v>
          </cell>
          <cell r="G1082">
            <v>34730</v>
          </cell>
          <cell r="H1082" t="str">
            <v>Palintest Alu 1 + Alu 2 + glycine</v>
          </cell>
          <cell r="I1082" t="str">
            <v>CIF</v>
          </cell>
          <cell r="J1082" t="str">
            <v>01</v>
          </cell>
          <cell r="K1082">
            <v>13233</v>
          </cell>
          <cell r="L1082" t="str">
            <v>FRF</v>
          </cell>
          <cell r="M1082" t="str">
            <v>2100</v>
          </cell>
        </row>
        <row r="1083">
          <cell r="E1083" t="str">
            <v>308911</v>
          </cell>
          <cell r="F1083">
            <v>34642</v>
          </cell>
          <cell r="G1083">
            <v>34719</v>
          </cell>
          <cell r="H1083" t="str">
            <v>Rechanges spectrophotomètre+ pH mètre</v>
          </cell>
          <cell r="I1083" t="str">
            <v>LBO</v>
          </cell>
          <cell r="J1083" t="str">
            <v>01</v>
          </cell>
          <cell r="K1083">
            <v>34373.599999999999</v>
          </cell>
          <cell r="L1083" t="str">
            <v>FRF</v>
          </cell>
          <cell r="M1083" t="str">
            <v>2000</v>
          </cell>
        </row>
        <row r="1084">
          <cell r="E1084" t="str">
            <v>308734</v>
          </cell>
          <cell r="F1084">
            <v>34617</v>
          </cell>
          <cell r="G1084">
            <v>34648</v>
          </cell>
          <cell r="H1084" t="str">
            <v>20x100 Papiers filtre S&amp;S 12,5 mm 589/1</v>
          </cell>
          <cell r="I1084" t="str">
            <v>S&amp;S</v>
          </cell>
          <cell r="J1084" t="str">
            <v>01</v>
          </cell>
          <cell r="K1084">
            <v>2534</v>
          </cell>
          <cell r="L1084" t="str">
            <v>FRF</v>
          </cell>
          <cell r="M1084" t="str">
            <v>2100</v>
          </cell>
        </row>
        <row r="1085">
          <cell r="E1085" t="str">
            <v>308774</v>
          </cell>
          <cell r="F1085">
            <v>34596</v>
          </cell>
          <cell r="G1085">
            <v>34691</v>
          </cell>
          <cell r="H1085" t="str">
            <v>Cuves spectro+thermo vert+bunsen+buchner</v>
          </cell>
          <cell r="I1085" t="str">
            <v>OSI</v>
          </cell>
          <cell r="J1085" t="str">
            <v>01</v>
          </cell>
          <cell r="K1085">
            <v>10032.77</v>
          </cell>
          <cell r="L1085" t="str">
            <v>FRF</v>
          </cell>
          <cell r="M1085" t="str">
            <v>2100</v>
          </cell>
        </row>
        <row r="1086">
          <cell r="E1086" t="str">
            <v>308757</v>
          </cell>
          <cell r="F1086">
            <v>34610</v>
          </cell>
          <cell r="G1086">
            <v>34648</v>
          </cell>
          <cell r="H1086" t="str">
            <v>Rechanges Orbisphere</v>
          </cell>
          <cell r="I1086" t="str">
            <v>ORB</v>
          </cell>
          <cell r="J1086" t="str">
            <v>01</v>
          </cell>
          <cell r="K1086">
            <v>11900</v>
          </cell>
          <cell r="L1086" t="str">
            <v>FRF</v>
          </cell>
          <cell r="M1086" t="str">
            <v>2000</v>
          </cell>
        </row>
        <row r="1087">
          <cell r="E1087" t="str">
            <v>308776</v>
          </cell>
          <cell r="F1087">
            <v>34642</v>
          </cell>
          <cell r="G1087">
            <v>34751</v>
          </cell>
          <cell r="H1087" t="str">
            <v>Réparation de 4 sondes Orbisphere</v>
          </cell>
          <cell r="I1087" t="str">
            <v>ORB</v>
          </cell>
          <cell r="J1087" t="str">
            <v>01</v>
          </cell>
          <cell r="K1087">
            <v>46652.9</v>
          </cell>
          <cell r="L1087" t="str">
            <v>FRF</v>
          </cell>
          <cell r="M1087" t="str">
            <v>3022</v>
          </cell>
        </row>
        <row r="1088">
          <cell r="E1088" t="str">
            <v>308586</v>
          </cell>
          <cell r="F1088">
            <v>34572</v>
          </cell>
          <cell r="G1088">
            <v>34620</v>
          </cell>
          <cell r="H1088" t="str">
            <v>2 DISQUES SiO2</v>
          </cell>
          <cell r="I1088" t="str">
            <v>HEL</v>
          </cell>
          <cell r="J1088" t="str">
            <v>01</v>
          </cell>
          <cell r="K1088">
            <v>3672.28</v>
          </cell>
          <cell r="L1088" t="str">
            <v>FRF</v>
          </cell>
          <cell r="M1088" t="str">
            <v>2100</v>
          </cell>
        </row>
        <row r="1089">
          <cell r="E1089" t="str">
            <v>308965</v>
          </cell>
          <cell r="F1089">
            <v>34642</v>
          </cell>
          <cell r="G1089">
            <v>34691</v>
          </cell>
          <cell r="H1089" t="str">
            <v>EDTA 0.01 mol/l + KCl</v>
          </cell>
          <cell r="I1089" t="str">
            <v>PRO</v>
          </cell>
          <cell r="J1089" t="str">
            <v>01</v>
          </cell>
          <cell r="K1089">
            <v>3589.4</v>
          </cell>
          <cell r="L1089" t="str">
            <v>FRF</v>
          </cell>
          <cell r="M1089" t="str">
            <v>2100</v>
          </cell>
        </row>
        <row r="1090">
          <cell r="E1090" t="str">
            <v>308580</v>
          </cell>
          <cell r="F1090">
            <v>34575</v>
          </cell>
          <cell r="G1090">
            <v>34620</v>
          </cell>
          <cell r="H1090" t="str">
            <v>Cel Thoma,ZnSO4,NaF,EDTA 0.01M</v>
          </cell>
          <cell r="I1090" t="str">
            <v>PRO</v>
          </cell>
          <cell r="J1090" t="str">
            <v>01</v>
          </cell>
          <cell r="K1090">
            <v>5389.48</v>
          </cell>
          <cell r="L1090" t="str">
            <v>FRF</v>
          </cell>
          <cell r="M1090" t="str">
            <v>2100</v>
          </cell>
        </row>
        <row r="1091">
          <cell r="E1091" t="str">
            <v>308581</v>
          </cell>
          <cell r="F1091">
            <v>34572</v>
          </cell>
          <cell r="G1091">
            <v>34730</v>
          </cell>
          <cell r="H1091" t="str">
            <v>Rechanges réfracto + microbrassin</v>
          </cell>
          <cell r="I1091" t="str">
            <v>GBL</v>
          </cell>
          <cell r="J1091" t="str">
            <v>01</v>
          </cell>
          <cell r="K1091">
            <v>17625.89</v>
          </cell>
          <cell r="L1091" t="str">
            <v>FRF</v>
          </cell>
          <cell r="M1091" t="str">
            <v>2000</v>
          </cell>
        </row>
        <row r="1092">
          <cell r="E1092" t="str">
            <v>305585</v>
          </cell>
          <cell r="F1092">
            <v>34572</v>
          </cell>
          <cell r="G1092">
            <v>34856</v>
          </cell>
          <cell r="H1092" t="str">
            <v>1 Thermomètre COMARK</v>
          </cell>
          <cell r="I1092" t="str">
            <v>PRO</v>
          </cell>
          <cell r="J1092" t="str">
            <v>06</v>
          </cell>
          <cell r="K1092">
            <v>4857</v>
          </cell>
          <cell r="L1092" t="str">
            <v>FRF</v>
          </cell>
          <cell r="M1092" t="str">
            <v>S002</v>
          </cell>
        </row>
        <row r="1093">
          <cell r="E1093" t="str">
            <v>308520</v>
          </cell>
          <cell r="F1093">
            <v>34572</v>
          </cell>
          <cell r="G1093">
            <v>34620</v>
          </cell>
          <cell r="H1093" t="str">
            <v>2 Rechanges CO2 Gehaltmeter</v>
          </cell>
          <cell r="I1093" t="str">
            <v>HAF</v>
          </cell>
          <cell r="J1093" t="str">
            <v>01</v>
          </cell>
          <cell r="K1093">
            <v>12651.92</v>
          </cell>
          <cell r="L1093" t="str">
            <v>FRF</v>
          </cell>
          <cell r="M1093" t="str">
            <v>2000</v>
          </cell>
        </row>
        <row r="1094">
          <cell r="E1094" t="str">
            <v>308521</v>
          </cell>
          <cell r="F1094">
            <v>34572</v>
          </cell>
          <cell r="G1094">
            <v>34605</v>
          </cell>
          <cell r="H1094" t="str">
            <v>2000 Tubes à hémolyse cap. 5 ml</v>
          </cell>
          <cell r="I1094" t="str">
            <v>LES</v>
          </cell>
          <cell r="J1094" t="str">
            <v>01</v>
          </cell>
          <cell r="K1094">
            <v>1314.2</v>
          </cell>
          <cell r="L1094" t="str">
            <v>FRF</v>
          </cell>
          <cell r="M1094" t="str">
            <v>2100</v>
          </cell>
        </row>
        <row r="1095">
          <cell r="E1095" t="str">
            <v>308519</v>
          </cell>
          <cell r="F1095">
            <v>34572</v>
          </cell>
          <cell r="G1095">
            <v>34620</v>
          </cell>
          <cell r="H1095" t="str">
            <v>Tungsten + D2 lamps</v>
          </cell>
          <cell r="I1095" t="str">
            <v>GOF</v>
          </cell>
          <cell r="J1095" t="str">
            <v>01</v>
          </cell>
          <cell r="K1095">
            <v>8117.55</v>
          </cell>
          <cell r="L1095" t="str">
            <v>FRF</v>
          </cell>
          <cell r="M1095" t="str">
            <v>2000</v>
          </cell>
        </row>
        <row r="1096">
          <cell r="E1096" t="str">
            <v>308578</v>
          </cell>
          <cell r="F1096">
            <v>34575</v>
          </cell>
          <cell r="G1096">
            <v>34730</v>
          </cell>
          <cell r="H1096" t="str">
            <v>3 Cellules conductimétriques</v>
          </cell>
          <cell r="I1096" t="str">
            <v>TAC</v>
          </cell>
          <cell r="J1096" t="str">
            <v>01</v>
          </cell>
          <cell r="K1096">
            <v>0</v>
          </cell>
          <cell r="L1096" t="str">
            <v>FRF</v>
          </cell>
          <cell r="M1096" t="str">
            <v>2000</v>
          </cell>
        </row>
        <row r="1097">
          <cell r="E1097" t="str">
            <v>308668</v>
          </cell>
          <cell r="F1097">
            <v>34585</v>
          </cell>
          <cell r="G1097">
            <v>34620</v>
          </cell>
          <cell r="H1097" t="str">
            <v>200 Goupillons à main</v>
          </cell>
          <cell r="I1097" t="str">
            <v>MCC</v>
          </cell>
          <cell r="J1097" t="str">
            <v>01</v>
          </cell>
          <cell r="K1097">
            <v>4998</v>
          </cell>
          <cell r="L1097" t="str">
            <v>FRF</v>
          </cell>
          <cell r="M1097" t="str">
            <v>2100</v>
          </cell>
        </row>
        <row r="1098">
          <cell r="E1098" t="str">
            <v>7764</v>
          </cell>
          <cell r="F1098">
            <v>34557</v>
          </cell>
          <cell r="G1098">
            <v>34648</v>
          </cell>
          <cell r="H1098" t="str">
            <v>API + Additifs + pipettes</v>
          </cell>
          <cell r="I1098" t="str">
            <v>LDT</v>
          </cell>
          <cell r="J1098" t="str">
            <v>01</v>
          </cell>
          <cell r="K1098">
            <v>734300</v>
          </cell>
          <cell r="L1098" t="str">
            <v>CFA</v>
          </cell>
          <cell r="M1098" t="str">
            <v>2100</v>
          </cell>
        </row>
        <row r="1099">
          <cell r="E1099" t="str">
            <v>308577</v>
          </cell>
          <cell r="F1099">
            <v>34572</v>
          </cell>
          <cell r="G1099">
            <v>34641</v>
          </cell>
          <cell r="H1099" t="str">
            <v>Generbox + indicateur</v>
          </cell>
          <cell r="I1099" t="str">
            <v>BIO</v>
          </cell>
          <cell r="J1099" t="str">
            <v>01</v>
          </cell>
          <cell r="K1099">
            <v>7526</v>
          </cell>
          <cell r="L1099" t="str">
            <v>FRF</v>
          </cell>
          <cell r="M1099" t="str">
            <v>2100</v>
          </cell>
        </row>
        <row r="1100">
          <cell r="E1100" t="str">
            <v>308579</v>
          </cell>
          <cell r="F1100">
            <v>34575</v>
          </cell>
          <cell r="G1100">
            <v>34618</v>
          </cell>
          <cell r="H1100" t="str">
            <v>2 pvc tubing, set of 12 code 5582-0009</v>
          </cell>
          <cell r="I1100" t="str">
            <v>FOS</v>
          </cell>
          <cell r="J1100" t="str">
            <v>01</v>
          </cell>
          <cell r="K1100">
            <v>1209.2</v>
          </cell>
          <cell r="L1100" t="str">
            <v>FRF</v>
          </cell>
          <cell r="M1100" t="str">
            <v>2000</v>
          </cell>
        </row>
        <row r="1101">
          <cell r="E1101" t="str">
            <v>308575</v>
          </cell>
          <cell r="F1101">
            <v>34575</v>
          </cell>
          <cell r="G1101">
            <v>34641</v>
          </cell>
          <cell r="H1101" t="str">
            <v>30 000 membranes 0.45µm + Sartofluor</v>
          </cell>
          <cell r="I1101" t="str">
            <v>STR</v>
          </cell>
          <cell r="J1101" t="str">
            <v>01</v>
          </cell>
          <cell r="K1101">
            <v>57470</v>
          </cell>
          <cell r="L1101" t="str">
            <v>FRF</v>
          </cell>
          <cell r="M1101" t="str">
            <v>2100</v>
          </cell>
        </row>
        <row r="1102">
          <cell r="E1102" t="str">
            <v>308576</v>
          </cell>
          <cell r="F1102">
            <v>34575</v>
          </cell>
          <cell r="H1102" t="str">
            <v>20 000 membranes 0.45µm Ý 47 mm</v>
          </cell>
          <cell r="I1102" t="str">
            <v>STR</v>
          </cell>
          <cell r="J1102" t="str">
            <v>SEMC</v>
          </cell>
          <cell r="K1102">
            <v>27650</v>
          </cell>
          <cell r="L1102" t="str">
            <v>FRF</v>
          </cell>
          <cell r="M1102" t="str">
            <v>2100</v>
          </cell>
        </row>
        <row r="1103">
          <cell r="E1103" t="str">
            <v>25767</v>
          </cell>
          <cell r="F1103">
            <v>34613</v>
          </cell>
          <cell r="G1103">
            <v>34648</v>
          </cell>
          <cell r="H1103" t="str">
            <v>Micro O2 logger</v>
          </cell>
          <cell r="I1103" t="str">
            <v>ORB</v>
          </cell>
          <cell r="J1103" t="str">
            <v>01</v>
          </cell>
          <cell r="K1103">
            <v>53492.25</v>
          </cell>
          <cell r="L1103" t="str">
            <v>FRF</v>
          </cell>
          <cell r="M1103" t="str">
            <v>R002</v>
          </cell>
        </row>
        <row r="1104">
          <cell r="E1104" t="str">
            <v>307824</v>
          </cell>
          <cell r="F1104">
            <v>34460</v>
          </cell>
          <cell r="G1104">
            <v>34508</v>
          </cell>
          <cell r="H1104" t="str">
            <v>Produits de laboratoire</v>
          </cell>
          <cell r="I1104" t="str">
            <v>MCK</v>
          </cell>
          <cell r="J1104" t="str">
            <v>01</v>
          </cell>
          <cell r="K1104">
            <v>5677.32</v>
          </cell>
          <cell r="L1104" t="str">
            <v>FRF</v>
          </cell>
          <cell r="M1104" t="str">
            <v>2100</v>
          </cell>
        </row>
        <row r="1105">
          <cell r="E1105" t="str">
            <v>307799</v>
          </cell>
          <cell r="F1105">
            <v>34494</v>
          </cell>
          <cell r="G1105">
            <v>34543</v>
          </cell>
          <cell r="H1105" t="str">
            <v>6 Manomètres MTR 0-60 psi raccord F</v>
          </cell>
          <cell r="I1105" t="str">
            <v>COV</v>
          </cell>
          <cell r="J1105" t="str">
            <v>01</v>
          </cell>
          <cell r="K1105">
            <v>1174.53</v>
          </cell>
          <cell r="L1105" t="str">
            <v>FRF</v>
          </cell>
          <cell r="M1105" t="str">
            <v>2100</v>
          </cell>
        </row>
        <row r="1106">
          <cell r="E1106" t="str">
            <v>307765</v>
          </cell>
          <cell r="F1106">
            <v>34519</v>
          </cell>
          <cell r="G1106">
            <v>34572</v>
          </cell>
          <cell r="H1106" t="str">
            <v>Disques Aluminium 01-04-05-11</v>
          </cell>
          <cell r="I1106" t="str">
            <v>CIF</v>
          </cell>
          <cell r="J1106" t="str">
            <v>01</v>
          </cell>
          <cell r="K1106">
            <v>4170</v>
          </cell>
          <cell r="L1106" t="str">
            <v>FRF</v>
          </cell>
          <cell r="M1106" t="str">
            <v>2100</v>
          </cell>
        </row>
        <row r="1107">
          <cell r="E1107" t="str">
            <v>307711</v>
          </cell>
          <cell r="F1107">
            <v>34430</v>
          </cell>
          <cell r="G1107">
            <v>34445</v>
          </cell>
          <cell r="H1107" t="str">
            <v>1 Air Pump</v>
          </cell>
          <cell r="I1107" t="str">
            <v>FOS</v>
          </cell>
          <cell r="J1107" t="str">
            <v>01</v>
          </cell>
          <cell r="K1107">
            <v>4232.8</v>
          </cell>
          <cell r="L1107" t="str">
            <v>FRF</v>
          </cell>
          <cell r="M1107" t="str">
            <v>2000</v>
          </cell>
        </row>
        <row r="1108">
          <cell r="E1108" t="str">
            <v>307614</v>
          </cell>
          <cell r="F1108">
            <v>34442</v>
          </cell>
          <cell r="G1108">
            <v>34472</v>
          </cell>
          <cell r="H1108" t="str">
            <v>1 Catalogue AFNOR 1993</v>
          </cell>
          <cell r="I1108" t="str">
            <v>AFN</v>
          </cell>
          <cell r="J1108" t="str">
            <v>01</v>
          </cell>
          <cell r="K1108">
            <v>375</v>
          </cell>
          <cell r="L1108" t="str">
            <v>FRF</v>
          </cell>
          <cell r="M1108" t="str">
            <v>2201</v>
          </cell>
        </row>
        <row r="1109">
          <cell r="E1109" t="str">
            <v>308265</v>
          </cell>
          <cell r="F1109">
            <v>34520</v>
          </cell>
          <cell r="G1109">
            <v>34585</v>
          </cell>
          <cell r="H1109" t="str">
            <v>Rechanges Zahm NS</v>
          </cell>
          <cell r="I1109" t="str">
            <v>TRS</v>
          </cell>
          <cell r="J1109" t="str">
            <v>01</v>
          </cell>
          <cell r="K1109">
            <v>7914.77</v>
          </cell>
          <cell r="L1109" t="str">
            <v>FRF</v>
          </cell>
          <cell r="M1109" t="str">
            <v>2000</v>
          </cell>
        </row>
        <row r="1110">
          <cell r="E1110" t="str">
            <v>307615</v>
          </cell>
          <cell r="F1110">
            <v>34439</v>
          </cell>
          <cell r="G1110">
            <v>34491</v>
          </cell>
          <cell r="H1110" t="str">
            <v>Plaques à cavités + NaI&amp;NaNO2 spectro</v>
          </cell>
          <cell r="I1110" t="str">
            <v>OSI</v>
          </cell>
          <cell r="J1110" t="str">
            <v>01</v>
          </cell>
          <cell r="K1110">
            <v>4307.28</v>
          </cell>
          <cell r="L1110" t="str">
            <v>FRF</v>
          </cell>
          <cell r="M1110" t="str">
            <v>2100</v>
          </cell>
        </row>
        <row r="1111">
          <cell r="E1111" t="str">
            <v>307532</v>
          </cell>
          <cell r="F1111">
            <v>34439</v>
          </cell>
          <cell r="G1111">
            <v>34479</v>
          </cell>
          <cell r="H1111" t="str">
            <v>200 Bague O d'étanchéité PRP 012</v>
          </cell>
          <cell r="I1111" t="str">
            <v>HAF</v>
          </cell>
          <cell r="J1111" t="str">
            <v>01</v>
          </cell>
          <cell r="K1111">
            <v>2253.58</v>
          </cell>
          <cell r="L1111" t="str">
            <v>FRF</v>
          </cell>
          <cell r="M1111" t="str">
            <v>2000</v>
          </cell>
        </row>
        <row r="1112">
          <cell r="E1112" t="str">
            <v>307516</v>
          </cell>
          <cell r="F1112">
            <v>34519</v>
          </cell>
          <cell r="G1112">
            <v>34543</v>
          </cell>
          <cell r="H1112" t="str">
            <v>1 Ouvrage LES EAUX CONDITIONNEES</v>
          </cell>
          <cell r="I1112" t="str">
            <v>LAV</v>
          </cell>
          <cell r="J1112" t="str">
            <v>01</v>
          </cell>
          <cell r="K1112">
            <v>586.5</v>
          </cell>
          <cell r="L1112" t="str">
            <v>FRF</v>
          </cell>
          <cell r="M1112" t="str">
            <v>2201</v>
          </cell>
        </row>
        <row r="1113">
          <cell r="E1113" t="str">
            <v>307537</v>
          </cell>
          <cell r="F1113">
            <v>34395</v>
          </cell>
          <cell r="G1113">
            <v>34410</v>
          </cell>
          <cell r="H1113" t="str">
            <v>6X500 DPDR + 6X200 GLYCINE</v>
          </cell>
          <cell r="I1113" t="str">
            <v>CIF</v>
          </cell>
          <cell r="J1113" t="str">
            <v>01</v>
          </cell>
          <cell r="K1113">
            <v>4266</v>
          </cell>
          <cell r="L1113" t="str">
            <v>FRF</v>
          </cell>
          <cell r="M1113" t="str">
            <v>2100</v>
          </cell>
        </row>
        <row r="1114">
          <cell r="E1114" t="str">
            <v>307677</v>
          </cell>
          <cell r="F1114">
            <v>34422</v>
          </cell>
          <cell r="G1114">
            <v>34450</v>
          </cell>
          <cell r="H1114" t="str">
            <v>1 Thermomètre COMARK</v>
          </cell>
          <cell r="I1114" t="str">
            <v>PRO</v>
          </cell>
          <cell r="J1114" t="str">
            <v>06</v>
          </cell>
          <cell r="K1114">
            <v>4857</v>
          </cell>
          <cell r="L1114" t="str">
            <v>FRF</v>
          </cell>
          <cell r="M1114" t="str">
            <v>S002</v>
          </cell>
        </row>
        <row r="1115">
          <cell r="E1115" t="str">
            <v>307561</v>
          </cell>
          <cell r="F1115">
            <v>34400</v>
          </cell>
          <cell r="G1115">
            <v>34620</v>
          </cell>
          <cell r="H1115" t="str">
            <v>1 Collection 3 tomes "Emballages"</v>
          </cell>
          <cell r="I1115" t="str">
            <v>AFN</v>
          </cell>
          <cell r="J1115" t="str">
            <v>01</v>
          </cell>
          <cell r="K1115">
            <v>3489.48</v>
          </cell>
          <cell r="L1115" t="str">
            <v>FRF</v>
          </cell>
          <cell r="M1115" t="str">
            <v>2201</v>
          </cell>
        </row>
        <row r="1116">
          <cell r="E1116" t="str">
            <v>307491</v>
          </cell>
          <cell r="F1116">
            <v>34383</v>
          </cell>
          <cell r="G1116">
            <v>34432</v>
          </cell>
          <cell r="H1116" t="str">
            <v>2 x 1 Kg Detergent for SCABA</v>
          </cell>
          <cell r="I1116" t="str">
            <v>FOS</v>
          </cell>
          <cell r="J1116" t="str">
            <v>01</v>
          </cell>
          <cell r="K1116">
            <v>1180.5999999999999</v>
          </cell>
          <cell r="L1116" t="str">
            <v>FRF</v>
          </cell>
          <cell r="M1116" t="str">
            <v>2100</v>
          </cell>
        </row>
        <row r="1117">
          <cell r="E1117" t="str">
            <v>307436</v>
          </cell>
          <cell r="F1117">
            <v>34374</v>
          </cell>
          <cell r="G1117">
            <v>34620</v>
          </cell>
          <cell r="H1117" t="str">
            <v>1 Réfractomètre FABRE 0 - 50%</v>
          </cell>
          <cell r="I1117" t="str">
            <v>MES</v>
          </cell>
          <cell r="J1117" t="str">
            <v>01</v>
          </cell>
          <cell r="K1117">
            <v>5301.6</v>
          </cell>
          <cell r="L1117" t="str">
            <v>FRF</v>
          </cell>
          <cell r="M1117" t="str">
            <v>R002</v>
          </cell>
        </row>
        <row r="1118">
          <cell r="E1118" t="str">
            <v>304398</v>
          </cell>
          <cell r="F1118">
            <v>34393</v>
          </cell>
          <cell r="G1118">
            <v>34444</v>
          </cell>
          <cell r="H1118" t="str">
            <v>Filtres  SCABA</v>
          </cell>
          <cell r="I1118" t="str">
            <v>FOS</v>
          </cell>
          <cell r="J1118" t="str">
            <v>01</v>
          </cell>
          <cell r="K1118">
            <v>6131</v>
          </cell>
          <cell r="L1118" t="str">
            <v>FRF</v>
          </cell>
          <cell r="M1118" t="str">
            <v>2000</v>
          </cell>
        </row>
        <row r="1119">
          <cell r="E1119" t="str">
            <v>307563</v>
          </cell>
          <cell r="F1119">
            <v>34400</v>
          </cell>
          <cell r="G1119">
            <v>34472</v>
          </cell>
          <cell r="H1119" t="str">
            <v>Remise en état du colorimètre du Scaba</v>
          </cell>
          <cell r="I1119" t="str">
            <v>FOS</v>
          </cell>
          <cell r="J1119" t="str">
            <v>01</v>
          </cell>
          <cell r="K1119">
            <v>8616</v>
          </cell>
          <cell r="L1119" t="str">
            <v>FRF</v>
          </cell>
          <cell r="M1119" t="str">
            <v>3391</v>
          </cell>
        </row>
        <row r="1120">
          <cell r="E1120" t="str">
            <v>307250</v>
          </cell>
          <cell r="F1120">
            <v>34347</v>
          </cell>
          <cell r="G1120">
            <v>34421</v>
          </cell>
          <cell r="H1120" t="str">
            <v>1 Volume EBC proceedings</v>
          </cell>
          <cell r="I1120" t="str">
            <v>LAV</v>
          </cell>
          <cell r="J1120" t="str">
            <v>01</v>
          </cell>
          <cell r="K1120">
            <v>187035</v>
          </cell>
          <cell r="L1120" t="str">
            <v>CFA</v>
          </cell>
          <cell r="M1120" t="str">
            <v>2201</v>
          </cell>
        </row>
        <row r="1121">
          <cell r="E1121" t="str">
            <v>7693</v>
          </cell>
          <cell r="F1121">
            <v>34572</v>
          </cell>
          <cell r="G1121">
            <v>34338</v>
          </cell>
          <cell r="H1121" t="str">
            <v>Télécopieur PANASONIX KX-F50</v>
          </cell>
          <cell r="I1121" t="str">
            <v>GLY</v>
          </cell>
          <cell r="J1121" t="str">
            <v>01</v>
          </cell>
          <cell r="K1121">
            <v>240000</v>
          </cell>
          <cell r="L1121" t="str">
            <v>CFA</v>
          </cell>
          <cell r="M1121" t="str">
            <v>R002</v>
          </cell>
        </row>
        <row r="1122">
          <cell r="E1122" t="str">
            <v>292</v>
          </cell>
          <cell r="F1122">
            <v>34389</v>
          </cell>
          <cell r="G1122">
            <v>35353</v>
          </cell>
          <cell r="H1122" t="str">
            <v>Additifs Pasteur</v>
          </cell>
          <cell r="I1122" t="str">
            <v>LDT</v>
          </cell>
          <cell r="J1122" t="str">
            <v>SEMC</v>
          </cell>
          <cell r="K1122">
            <v>380400</v>
          </cell>
          <cell r="L1122" t="str">
            <v>CFA</v>
          </cell>
          <cell r="M1122" t="str">
            <v>SEMC</v>
          </cell>
        </row>
        <row r="1123">
          <cell r="E1123" t="str">
            <v>307285</v>
          </cell>
          <cell r="F1123">
            <v>34442</v>
          </cell>
          <cell r="G1123">
            <v>34505</v>
          </cell>
          <cell r="H1123" t="str">
            <v>Rechanges pour tête de perçage oxymètre</v>
          </cell>
          <cell r="I1123" t="str">
            <v>ORB</v>
          </cell>
          <cell r="J1123" t="str">
            <v>01</v>
          </cell>
          <cell r="K1123">
            <v>7521.5</v>
          </cell>
          <cell r="L1123" t="str">
            <v>FRF</v>
          </cell>
          <cell r="M1123" t="str">
            <v>2000</v>
          </cell>
        </row>
        <row r="1124">
          <cell r="E1124" t="str">
            <v>307240</v>
          </cell>
          <cell r="F1124">
            <v>34347</v>
          </cell>
          <cell r="G1124">
            <v>34382</v>
          </cell>
          <cell r="H1124" t="str">
            <v>20 000 membranes 0.45µm Ý 47 mm</v>
          </cell>
          <cell r="I1124" t="str">
            <v>STR</v>
          </cell>
          <cell r="J1124" t="str">
            <v>SEMC</v>
          </cell>
          <cell r="K1124">
            <v>27650</v>
          </cell>
          <cell r="L1124" t="str">
            <v>FRF</v>
          </cell>
          <cell r="M1124" t="str">
            <v>2100</v>
          </cell>
        </row>
        <row r="1125">
          <cell r="E1125" t="str">
            <v>307249</v>
          </cell>
          <cell r="F1125">
            <v>34347</v>
          </cell>
          <cell r="G1125">
            <v>34382</v>
          </cell>
          <cell r="H1125" t="str">
            <v>Micro O2 logger</v>
          </cell>
          <cell r="I1125" t="str">
            <v>ORB</v>
          </cell>
          <cell r="J1125" t="str">
            <v>01</v>
          </cell>
          <cell r="K1125">
            <v>53492.25</v>
          </cell>
          <cell r="L1125" t="str">
            <v>FRF</v>
          </cell>
          <cell r="M1125" t="str">
            <v>R002</v>
          </cell>
        </row>
        <row r="1126">
          <cell r="E1126" t="str">
            <v>307248</v>
          </cell>
          <cell r="F1126">
            <v>34347</v>
          </cell>
          <cell r="G1126">
            <v>34382</v>
          </cell>
          <cell r="H1126" t="str">
            <v>7x1000 Membranes filtrantes blanches</v>
          </cell>
          <cell r="I1126" t="str">
            <v>STR</v>
          </cell>
          <cell r="J1126" t="str">
            <v>SEMC</v>
          </cell>
          <cell r="K1126">
            <v>8729</v>
          </cell>
          <cell r="L1126" t="str">
            <v>FRF</v>
          </cell>
          <cell r="M1126" t="str">
            <v>SEMC</v>
          </cell>
        </row>
        <row r="1127">
          <cell r="E1127" t="str">
            <v>307210</v>
          </cell>
          <cell r="F1127">
            <v>34442</v>
          </cell>
          <cell r="G1127">
            <v>34494</v>
          </cell>
          <cell r="H1127" t="str">
            <v>30x1000 Membranes filtrantes blanche&amp;N</v>
          </cell>
          <cell r="I1127" t="str">
            <v>STR</v>
          </cell>
          <cell r="J1127" t="str">
            <v>01</v>
          </cell>
          <cell r="K1127">
            <v>37760</v>
          </cell>
          <cell r="L1127" t="str">
            <v>FRF</v>
          </cell>
          <cell r="M1127" t="str">
            <v>2100</v>
          </cell>
        </row>
        <row r="1128">
          <cell r="E1128" t="str">
            <v>307212</v>
          </cell>
          <cell r="F1128">
            <v>34439</v>
          </cell>
          <cell r="G1128">
            <v>34500</v>
          </cell>
          <cell r="H1128" t="str">
            <v>5 Sulfite test + 5x100g THAM</v>
          </cell>
          <cell r="I1128" t="str">
            <v>OSI</v>
          </cell>
          <cell r="J1128" t="str">
            <v>01</v>
          </cell>
          <cell r="K1128">
            <v>2390.5</v>
          </cell>
          <cell r="L1128" t="str">
            <v>FRF</v>
          </cell>
          <cell r="M1128" t="str">
            <v>2100</v>
          </cell>
        </row>
        <row r="1129">
          <cell r="E1129" t="str">
            <v>307264</v>
          </cell>
          <cell r="F1129">
            <v>34442</v>
          </cell>
          <cell r="G1129">
            <v>34445</v>
          </cell>
          <cell r="H1129" t="str">
            <v>500 Bouteilles système</v>
          </cell>
          <cell r="I1129" t="str">
            <v>BKH</v>
          </cell>
          <cell r="J1129" t="str">
            <v>01</v>
          </cell>
          <cell r="K1129">
            <v>8749.4599999999991</v>
          </cell>
          <cell r="L1129" t="str">
            <v>FRF</v>
          </cell>
          <cell r="M1129" t="str">
            <v>2100</v>
          </cell>
        </row>
        <row r="1130">
          <cell r="E1130" t="str">
            <v>307144</v>
          </cell>
          <cell r="F1130">
            <v>33983</v>
          </cell>
          <cell r="G1130">
            <v>34472</v>
          </cell>
          <cell r="H1130" t="str">
            <v>2 x 12 pumps tubes réf 5582-0009</v>
          </cell>
          <cell r="I1130" t="str">
            <v>FOS</v>
          </cell>
          <cell r="J1130" t="str">
            <v>01</v>
          </cell>
          <cell r="K1130">
            <v>0</v>
          </cell>
          <cell r="L1130">
            <v>0</v>
          </cell>
          <cell r="M1130" t="str">
            <v>2000</v>
          </cell>
        </row>
        <row r="1131">
          <cell r="E1131" t="str">
            <v>308265</v>
          </cell>
          <cell r="F1131">
            <v>34520</v>
          </cell>
          <cell r="G1131">
            <v>34585</v>
          </cell>
          <cell r="H1131" t="str">
            <v>2 catalogues API 20 NE et API 20 E</v>
          </cell>
          <cell r="I1131" t="str">
            <v>LDT</v>
          </cell>
          <cell r="J1131" t="str">
            <v>01</v>
          </cell>
          <cell r="K1131">
            <v>0</v>
          </cell>
          <cell r="L1131" t="str">
            <v>FRF</v>
          </cell>
          <cell r="M1131" t="str">
            <v>SEMC</v>
          </cell>
        </row>
        <row r="1132">
          <cell r="E1132" t="str">
            <v>307615</v>
          </cell>
          <cell r="F1132">
            <v>34439</v>
          </cell>
          <cell r="G1132">
            <v>34491</v>
          </cell>
          <cell r="H1132" t="str">
            <v>Abonnement mise à jour DEHOVE</v>
          </cell>
          <cell r="I1132" t="str">
            <v>LMY</v>
          </cell>
          <cell r="J1132" t="str">
            <v>01</v>
          </cell>
          <cell r="K1132">
            <v>333890</v>
          </cell>
          <cell r="L1132" t="str">
            <v>CFA</v>
          </cell>
          <cell r="M1132" t="str">
            <v>2201</v>
          </cell>
        </row>
        <row r="1133">
          <cell r="E1133" t="str">
            <v>25349</v>
          </cell>
          <cell r="F1133">
            <v>34338</v>
          </cell>
          <cell r="G1133">
            <v>34372</v>
          </cell>
          <cell r="H1133" t="str">
            <v>9+3 Paquets de 10 marqueurs pointe fine</v>
          </cell>
          <cell r="I1133" t="str">
            <v>APX</v>
          </cell>
          <cell r="J1133" t="str">
            <v>01</v>
          </cell>
          <cell r="K1133">
            <v>118800</v>
          </cell>
          <cell r="L1133" t="str">
            <v>CFA</v>
          </cell>
          <cell r="M1133" t="str">
            <v>2100</v>
          </cell>
        </row>
        <row r="1134">
          <cell r="E1134" t="str">
            <v>307145</v>
          </cell>
          <cell r="F1134">
            <v>33975</v>
          </cell>
          <cell r="G1134">
            <v>34543</v>
          </cell>
          <cell r="H1134" t="str">
            <v>1 Système ORBISPHERE 4602</v>
          </cell>
          <cell r="I1134" t="str">
            <v>ORB</v>
          </cell>
          <cell r="J1134" t="str">
            <v>01</v>
          </cell>
          <cell r="K1134">
            <v>53848.75</v>
          </cell>
          <cell r="L1134" t="str">
            <v>FRF</v>
          </cell>
          <cell r="M1134" t="str">
            <v>R002</v>
          </cell>
        </row>
        <row r="1135">
          <cell r="E1135" t="str">
            <v>307537</v>
          </cell>
          <cell r="F1135">
            <v>34395</v>
          </cell>
          <cell r="G1135">
            <v>34410</v>
          </cell>
          <cell r="H1135" t="str">
            <v>4 Appareils LCD à solides dissous</v>
          </cell>
          <cell r="I1135" t="str">
            <v>BBL</v>
          </cell>
          <cell r="J1135" t="str">
            <v>01</v>
          </cell>
          <cell r="K1135">
            <v>0</v>
          </cell>
          <cell r="L1135" t="str">
            <v>FRF</v>
          </cell>
          <cell r="M1135" t="str">
            <v>R002</v>
          </cell>
        </row>
        <row r="1136">
          <cell r="E1136" t="str">
            <v>307521</v>
          </cell>
          <cell r="F1136">
            <v>34393</v>
          </cell>
          <cell r="G1136">
            <v>34065</v>
          </cell>
          <cell r="H1136" t="str">
            <v>4 Mini pompes péristaltiques 14 rpm</v>
          </cell>
          <cell r="I1136" t="str">
            <v>OSI</v>
          </cell>
          <cell r="J1136" t="str">
            <v>01</v>
          </cell>
          <cell r="K1136">
            <v>7370</v>
          </cell>
          <cell r="L1136" t="str">
            <v>FRF</v>
          </cell>
          <cell r="M1136" t="str">
            <v>R002</v>
          </cell>
        </row>
        <row r="1137">
          <cell r="E1137" t="str">
            <v>307213</v>
          </cell>
          <cell r="F1137">
            <v>34345</v>
          </cell>
          <cell r="G1137">
            <v>34432</v>
          </cell>
          <cell r="H1137" t="str">
            <v>1 Collection 3 tomes "Emballages"</v>
          </cell>
          <cell r="I1137" t="str">
            <v>AFN</v>
          </cell>
          <cell r="J1137" t="str">
            <v>01</v>
          </cell>
          <cell r="K1137">
            <v>3489.48</v>
          </cell>
          <cell r="L1137" t="str">
            <v>FRF</v>
          </cell>
          <cell r="M1137" t="str">
            <v>2201</v>
          </cell>
        </row>
        <row r="1138">
          <cell r="E1138" t="str">
            <v>307211</v>
          </cell>
          <cell r="F1138">
            <v>34522</v>
          </cell>
          <cell r="G1138">
            <v>34589</v>
          </cell>
          <cell r="H1138" t="str">
            <v>6 Entrainment straps + 2 coolers</v>
          </cell>
          <cell r="I1138" t="str">
            <v>LGA</v>
          </cell>
          <cell r="J1138" t="str">
            <v>01</v>
          </cell>
          <cell r="K1138">
            <v>7652.8</v>
          </cell>
          <cell r="L1138" t="str">
            <v>FRF</v>
          </cell>
          <cell r="M1138" t="str">
            <v>2100</v>
          </cell>
        </row>
        <row r="1139">
          <cell r="E1139" t="str">
            <v>306841</v>
          </cell>
          <cell r="F1139">
            <v>34297</v>
          </cell>
          <cell r="G1139">
            <v>34697</v>
          </cell>
          <cell r="H1139" t="str">
            <v>1 Réfractomètre FABRE 0 - 50%</v>
          </cell>
          <cell r="I1139" t="str">
            <v>MES</v>
          </cell>
          <cell r="J1139" t="str">
            <v>01</v>
          </cell>
          <cell r="K1139">
            <v>5301.6</v>
          </cell>
          <cell r="L1139" t="str">
            <v>FRF</v>
          </cell>
          <cell r="M1139" t="str">
            <v>R002</v>
          </cell>
        </row>
        <row r="1140">
          <cell r="E1140" t="str">
            <v>306842</v>
          </cell>
          <cell r="F1140">
            <v>34362</v>
          </cell>
          <cell r="G1140">
            <v>34422</v>
          </cell>
          <cell r="H1140" t="str">
            <v>Réactifs + thermomètres</v>
          </cell>
          <cell r="I1140" t="str">
            <v>OSI</v>
          </cell>
          <cell r="J1140" t="str">
            <v>01</v>
          </cell>
          <cell r="K1140">
            <v>7567.04</v>
          </cell>
          <cell r="L1140" t="str">
            <v>FRF</v>
          </cell>
          <cell r="M1140" t="str">
            <v>2100</v>
          </cell>
        </row>
        <row r="1141">
          <cell r="E1141" t="str">
            <v>306908</v>
          </cell>
          <cell r="F1141">
            <v>34319</v>
          </cell>
          <cell r="G1141">
            <v>34423</v>
          </cell>
          <cell r="H1141" t="str">
            <v>Toile de rechange N° 36 planchister</v>
          </cell>
          <cell r="I1141" t="str">
            <v>BUH</v>
          </cell>
          <cell r="J1141" t="str">
            <v>01</v>
          </cell>
          <cell r="K1141">
            <v>1058.2</v>
          </cell>
          <cell r="L1141" t="str">
            <v>FRF</v>
          </cell>
          <cell r="M1141" t="str">
            <v>2000</v>
          </cell>
        </row>
        <row r="1142">
          <cell r="E1142" t="str">
            <v>306763</v>
          </cell>
          <cell r="F1142">
            <v>34297</v>
          </cell>
          <cell r="G1142">
            <v>34366</v>
          </cell>
          <cell r="H1142" t="str">
            <v>1 Cellules d'évaporation SCABA</v>
          </cell>
          <cell r="I1142" t="str">
            <v>FOS</v>
          </cell>
          <cell r="J1142" t="str">
            <v>01</v>
          </cell>
          <cell r="K1142">
            <v>13125</v>
          </cell>
          <cell r="L1142" t="str">
            <v>FRF</v>
          </cell>
          <cell r="M1142" t="str">
            <v>2000</v>
          </cell>
        </row>
        <row r="1143">
          <cell r="E1143" t="str">
            <v>306843</v>
          </cell>
          <cell r="F1143">
            <v>34297</v>
          </cell>
          <cell r="G1143">
            <v>34338</v>
          </cell>
          <cell r="H1143" t="str">
            <v>Télécopieur PANASONIX KX-F50</v>
          </cell>
          <cell r="I1143" t="str">
            <v>GLY</v>
          </cell>
          <cell r="J1143" t="str">
            <v>01</v>
          </cell>
          <cell r="K1143">
            <v>240000</v>
          </cell>
          <cell r="L1143" t="str">
            <v>CFA</v>
          </cell>
          <cell r="M1143" t="str">
            <v>R002</v>
          </cell>
        </row>
        <row r="1144">
          <cell r="E1144" t="str">
            <v>306844</v>
          </cell>
          <cell r="F1144">
            <v>34297</v>
          </cell>
          <cell r="G1144">
            <v>34366</v>
          </cell>
          <cell r="H1144" t="str">
            <v>6 Saccharomètres 47/54 Bx</v>
          </cell>
          <cell r="I1144" t="str">
            <v>FSH</v>
          </cell>
          <cell r="J1144" t="str">
            <v>01</v>
          </cell>
          <cell r="K1144">
            <v>4883.75</v>
          </cell>
          <cell r="L1144" t="str">
            <v>FRF</v>
          </cell>
          <cell r="M1144" t="str">
            <v>2100</v>
          </cell>
        </row>
        <row r="1145">
          <cell r="E1145" t="str">
            <v>306803</v>
          </cell>
          <cell r="F1145">
            <v>34297</v>
          </cell>
          <cell r="G1145">
            <v>34366</v>
          </cell>
          <cell r="H1145" t="str">
            <v>Disques ozone + dpd R</v>
          </cell>
          <cell r="I1145" t="str">
            <v>CIF</v>
          </cell>
          <cell r="J1145" t="str">
            <v>SEMC</v>
          </cell>
          <cell r="K1145">
            <v>6901</v>
          </cell>
          <cell r="L1145" t="str">
            <v>FRF</v>
          </cell>
          <cell r="M1145" t="str">
            <v>2100</v>
          </cell>
        </row>
        <row r="1146">
          <cell r="E1146" t="str">
            <v>307209</v>
          </cell>
          <cell r="F1146">
            <v>34519</v>
          </cell>
          <cell r="G1146">
            <v>34543</v>
          </cell>
          <cell r="H1146" t="str">
            <v>Cardans centrage anneaux microscope</v>
          </cell>
          <cell r="I1146" t="str">
            <v>LTZ</v>
          </cell>
          <cell r="J1146" t="str">
            <v>04</v>
          </cell>
          <cell r="K1146">
            <v>2471.69</v>
          </cell>
          <cell r="L1146" t="str">
            <v>FRF</v>
          </cell>
          <cell r="M1146" t="str">
            <v>2000</v>
          </cell>
        </row>
        <row r="1147">
          <cell r="E1147" t="str">
            <v>306901</v>
          </cell>
          <cell r="F1147">
            <v>34520</v>
          </cell>
          <cell r="G1147">
            <v>34572</v>
          </cell>
          <cell r="H1147" t="str">
            <v>Battery charger</v>
          </cell>
          <cell r="I1147" t="str">
            <v>HAF</v>
          </cell>
          <cell r="J1147" t="str">
            <v>01</v>
          </cell>
          <cell r="K1147">
            <v>3812.2</v>
          </cell>
          <cell r="L1147" t="str">
            <v>FRF</v>
          </cell>
          <cell r="M1147" t="str">
            <v>2000</v>
          </cell>
        </row>
        <row r="1148">
          <cell r="E1148" t="str">
            <v>266</v>
          </cell>
          <cell r="F1148">
            <v>34283</v>
          </cell>
          <cell r="G1148">
            <v>34491</v>
          </cell>
          <cell r="H1148" t="str">
            <v>Génerbox + Indicateur</v>
          </cell>
          <cell r="I1148" t="str">
            <v>LDT</v>
          </cell>
          <cell r="J1148" t="str">
            <v>01</v>
          </cell>
          <cell r="K1148">
            <v>948000</v>
          </cell>
          <cell r="L1148" t="str">
            <v>CFA</v>
          </cell>
          <cell r="M1148" t="str">
            <v>2100</v>
          </cell>
        </row>
        <row r="1149">
          <cell r="E1149" t="str">
            <v>307937</v>
          </cell>
          <cell r="F1149">
            <v>34366</v>
          </cell>
          <cell r="G1149">
            <v>34401</v>
          </cell>
          <cell r="H1149" t="str">
            <v>Cog belts for shaking apparatus</v>
          </cell>
          <cell r="I1149" t="str">
            <v>LGA</v>
          </cell>
          <cell r="J1149" t="str">
            <v>01</v>
          </cell>
          <cell r="K1149">
            <v>854.04</v>
          </cell>
          <cell r="L1149" t="str">
            <v>FRF</v>
          </cell>
          <cell r="M1149" t="str">
            <v>2000</v>
          </cell>
        </row>
        <row r="1150">
          <cell r="E1150" t="str">
            <v>306895</v>
          </cell>
          <cell r="F1150">
            <v>34296</v>
          </cell>
          <cell r="G1150">
            <v>34326</v>
          </cell>
          <cell r="H1150" t="str">
            <v>1 Ouvrage FORMULAIRE</v>
          </cell>
          <cell r="I1150" t="str">
            <v>LAV</v>
          </cell>
          <cell r="J1150" t="str">
            <v>01</v>
          </cell>
          <cell r="K1150">
            <v>737.34</v>
          </cell>
          <cell r="L1150" t="str">
            <v>FRF</v>
          </cell>
          <cell r="M1150" t="str">
            <v>2201</v>
          </cell>
        </row>
        <row r="1151">
          <cell r="E1151" t="str">
            <v>307155</v>
          </cell>
          <cell r="F1151">
            <v>33975</v>
          </cell>
          <cell r="G1151">
            <v>34396</v>
          </cell>
          <cell r="H1151" t="str">
            <v>500 Bouteilles système</v>
          </cell>
          <cell r="I1151" t="str">
            <v>BKH</v>
          </cell>
          <cell r="J1151" t="str">
            <v>01</v>
          </cell>
          <cell r="K1151">
            <v>8749.4599999999991</v>
          </cell>
          <cell r="L1151" t="str">
            <v>FRF</v>
          </cell>
          <cell r="M1151" t="str">
            <v>2100</v>
          </cell>
        </row>
        <row r="1152">
          <cell r="E1152" t="str">
            <v>306899</v>
          </cell>
          <cell r="F1152">
            <v>34296</v>
          </cell>
          <cell r="G1152">
            <v>34319</v>
          </cell>
          <cell r="H1152" t="str">
            <v>2 x 12 pumps tubes réf 5582-0009</v>
          </cell>
          <cell r="I1152" t="str">
            <v>FOS</v>
          </cell>
          <cell r="J1152" t="str">
            <v>01</v>
          </cell>
          <cell r="K1152">
            <v>0</v>
          </cell>
          <cell r="L1152">
            <v>0</v>
          </cell>
          <cell r="M1152" t="str">
            <v>2000</v>
          </cell>
        </row>
        <row r="1153">
          <cell r="E1153" t="str">
            <v>306474</v>
          </cell>
          <cell r="F1153">
            <v>34256</v>
          </cell>
          <cell r="G1153">
            <v>34311</v>
          </cell>
          <cell r="H1153" t="str">
            <v>2 catalogues API 20 NE et API 20 E</v>
          </cell>
          <cell r="I1153" t="str">
            <v>LDT</v>
          </cell>
          <cell r="J1153" t="str">
            <v>01</v>
          </cell>
          <cell r="K1153">
            <v>0</v>
          </cell>
          <cell r="L1153" t="str">
            <v>FRF</v>
          </cell>
          <cell r="M1153" t="str">
            <v>SEMC</v>
          </cell>
        </row>
        <row r="1154">
          <cell r="E1154" t="str">
            <v>306473</v>
          </cell>
          <cell r="F1154">
            <v>34269</v>
          </cell>
          <cell r="G1154">
            <v>34345</v>
          </cell>
          <cell r="H1154" t="str">
            <v>Abonnement mise à jour DEHOVE</v>
          </cell>
          <cell r="I1154" t="str">
            <v>LMY</v>
          </cell>
          <cell r="J1154" t="str">
            <v>01</v>
          </cell>
          <cell r="K1154">
            <v>333890</v>
          </cell>
          <cell r="L1154" t="str">
            <v>CFA</v>
          </cell>
          <cell r="M1154" t="str">
            <v>2201</v>
          </cell>
        </row>
        <row r="1155">
          <cell r="E1155" t="str">
            <v>306170</v>
          </cell>
          <cell r="F1155">
            <v>34185</v>
          </cell>
          <cell r="G1155">
            <v>34222</v>
          </cell>
          <cell r="H1155" t="str">
            <v>5 Générateurs -5V ICL 7660 CP</v>
          </cell>
          <cell r="I1155" t="str">
            <v>SEL</v>
          </cell>
          <cell r="J1155" t="str">
            <v>01</v>
          </cell>
          <cell r="K1155">
            <v>2548.84</v>
          </cell>
          <cell r="L1155" t="str">
            <v>FRF</v>
          </cell>
          <cell r="M1155" t="str">
            <v>2000</v>
          </cell>
        </row>
        <row r="1156">
          <cell r="E1156" t="str">
            <v>306138</v>
          </cell>
          <cell r="F1156">
            <v>34184</v>
          </cell>
          <cell r="G1156">
            <v>34262</v>
          </cell>
          <cell r="H1156" t="str">
            <v>1 Système ORBISPHERE 4602</v>
          </cell>
          <cell r="I1156" t="str">
            <v>ORB</v>
          </cell>
          <cell r="J1156" t="str">
            <v>01</v>
          </cell>
          <cell r="K1156">
            <v>53848.75</v>
          </cell>
          <cell r="L1156" t="str">
            <v>FRF</v>
          </cell>
          <cell r="M1156" t="str">
            <v>R002</v>
          </cell>
        </row>
        <row r="1157">
          <cell r="E1157" t="str">
            <v>24979</v>
          </cell>
          <cell r="F1157">
            <v>34184</v>
          </cell>
          <cell r="G1157">
            <v>34186</v>
          </cell>
          <cell r="H1157" t="str">
            <v>4 Appareils LCD à solides dissous</v>
          </cell>
          <cell r="I1157" t="str">
            <v>BBL</v>
          </cell>
          <cell r="J1157" t="str">
            <v>01</v>
          </cell>
          <cell r="K1157">
            <v>0</v>
          </cell>
          <cell r="L1157" t="str">
            <v>CFA</v>
          </cell>
          <cell r="M1157" t="str">
            <v>R002</v>
          </cell>
        </row>
        <row r="1158">
          <cell r="E1158" t="str">
            <v>306137</v>
          </cell>
          <cell r="F1158">
            <v>34187</v>
          </cell>
          <cell r="G1158">
            <v>34220</v>
          </cell>
          <cell r="H1158" t="str">
            <v>6 Saccharomètres 45-50 Bx</v>
          </cell>
          <cell r="I1158" t="str">
            <v>FSH</v>
          </cell>
          <cell r="J1158" t="str">
            <v>01</v>
          </cell>
          <cell r="K1158">
            <v>4090.2</v>
          </cell>
          <cell r="L1158" t="str">
            <v>FRF</v>
          </cell>
          <cell r="M1158" t="str">
            <v>2100</v>
          </cell>
        </row>
        <row r="1159">
          <cell r="E1159" t="str">
            <v>326415</v>
          </cell>
          <cell r="F1159">
            <v>36403</v>
          </cell>
          <cell r="G1159">
            <v>36453</v>
          </cell>
          <cell r="H1159" t="str">
            <v>Rechanges DMA</v>
          </cell>
          <cell r="I1159" t="str">
            <v>PAA</v>
          </cell>
          <cell r="J1159" t="str">
            <v>01</v>
          </cell>
          <cell r="K1159">
            <v>2742.01</v>
          </cell>
          <cell r="L1159" t="str">
            <v>FRF</v>
          </cell>
          <cell r="M1159" t="str">
            <v>2000</v>
          </cell>
        </row>
        <row r="1160">
          <cell r="E1160" t="str">
            <v>306155</v>
          </cell>
          <cell r="F1160">
            <v>34204</v>
          </cell>
          <cell r="G1160">
            <v>34222</v>
          </cell>
          <cell r="H1160" t="str">
            <v>Rechanges Orbisphere</v>
          </cell>
          <cell r="I1160" t="str">
            <v>ORB</v>
          </cell>
          <cell r="J1160" t="str">
            <v>01</v>
          </cell>
          <cell r="K1160">
            <v>4257.2</v>
          </cell>
          <cell r="L1160" t="str">
            <v>FRF</v>
          </cell>
          <cell r="M1160" t="str">
            <v>2000</v>
          </cell>
        </row>
        <row r="1161">
          <cell r="E1161" t="str">
            <v>306221</v>
          </cell>
          <cell r="F1161">
            <v>34187</v>
          </cell>
          <cell r="G1161">
            <v>34249</v>
          </cell>
          <cell r="H1161" t="str">
            <v>Matériels de laboratoire</v>
          </cell>
          <cell r="I1161" t="str">
            <v>OSI</v>
          </cell>
          <cell r="J1161" t="str">
            <v>01</v>
          </cell>
          <cell r="K1161">
            <v>9351.2000000000007</v>
          </cell>
          <cell r="L1161" t="str">
            <v>FRF</v>
          </cell>
          <cell r="M1161" t="str">
            <v>2100</v>
          </cell>
        </row>
        <row r="1162">
          <cell r="E1162" t="str">
            <v>306190</v>
          </cell>
          <cell r="F1162">
            <v>34275</v>
          </cell>
          <cell r="G1162">
            <v>34290</v>
          </cell>
          <cell r="H1162" t="str">
            <v>Produits de laboratoire</v>
          </cell>
          <cell r="I1162" t="str">
            <v>PRO</v>
          </cell>
          <cell r="J1162" t="str">
            <v>01</v>
          </cell>
          <cell r="K1162">
            <v>10062.16</v>
          </cell>
          <cell r="L1162" t="str">
            <v>FRF</v>
          </cell>
          <cell r="M1162" t="str">
            <v>2100</v>
          </cell>
        </row>
        <row r="1163">
          <cell r="E1163" t="str">
            <v>306255</v>
          </cell>
          <cell r="F1163">
            <v>34193</v>
          </cell>
          <cell r="G1163">
            <v>34263</v>
          </cell>
          <cell r="H1163" t="str">
            <v>Contrôle sulfites + Dimethyl Yellow</v>
          </cell>
          <cell r="I1163" t="str">
            <v>OSI</v>
          </cell>
          <cell r="J1163" t="str">
            <v>01</v>
          </cell>
          <cell r="K1163">
            <v>5966</v>
          </cell>
          <cell r="L1163" t="str">
            <v>FRF</v>
          </cell>
          <cell r="M1163" t="str">
            <v>2100</v>
          </cell>
        </row>
        <row r="1164">
          <cell r="E1164" t="str">
            <v>306176</v>
          </cell>
          <cell r="F1164">
            <v>34179</v>
          </cell>
          <cell r="G1164">
            <v>34232</v>
          </cell>
          <cell r="H1164" t="str">
            <v>Ouvrage statistique</v>
          </cell>
          <cell r="I1164" t="str">
            <v>AFN</v>
          </cell>
          <cell r="J1164" t="str">
            <v>01</v>
          </cell>
          <cell r="K1164">
            <v>1569.91</v>
          </cell>
          <cell r="L1164" t="str">
            <v>FRF</v>
          </cell>
          <cell r="M1164" t="str">
            <v>2201</v>
          </cell>
        </row>
        <row r="1165">
          <cell r="E1165" t="str">
            <v>10130</v>
          </cell>
          <cell r="F1165">
            <v>34150</v>
          </cell>
          <cell r="G1165">
            <v>34149</v>
          </cell>
          <cell r="H1165" t="str">
            <v>Microordinateur SIMUSI 433DX</v>
          </cell>
          <cell r="I1165" t="str">
            <v>HTC</v>
          </cell>
          <cell r="J1165" t="str">
            <v>01</v>
          </cell>
          <cell r="K1165">
            <v>997790</v>
          </cell>
          <cell r="L1165" t="str">
            <v>CFA</v>
          </cell>
          <cell r="M1165" t="str">
            <v>Q005</v>
          </cell>
        </row>
        <row r="1166">
          <cell r="E1166" t="str">
            <v>305848</v>
          </cell>
          <cell r="F1166">
            <v>34128</v>
          </cell>
          <cell r="G1166">
            <v>34162</v>
          </cell>
          <cell r="H1166" t="str">
            <v>Normes AFNOR</v>
          </cell>
          <cell r="I1166" t="str">
            <v>AFN</v>
          </cell>
          <cell r="J1166" t="str">
            <v>01</v>
          </cell>
          <cell r="K1166">
            <v>2330.33</v>
          </cell>
          <cell r="L1166" t="str">
            <v>FRF</v>
          </cell>
          <cell r="M1166" t="str">
            <v>2201</v>
          </cell>
        </row>
        <row r="1167">
          <cell r="E1167" t="str">
            <v>305786</v>
          </cell>
          <cell r="F1167">
            <v>34115</v>
          </cell>
          <cell r="G1167">
            <v>34241</v>
          </cell>
          <cell r="H1167" t="str">
            <v>1 Mini pompe péristaltique</v>
          </cell>
          <cell r="I1167" t="str">
            <v>PLY</v>
          </cell>
          <cell r="J1167" t="str">
            <v>11</v>
          </cell>
          <cell r="K1167">
            <v>3038.5</v>
          </cell>
          <cell r="L1167" t="str">
            <v>FRF</v>
          </cell>
          <cell r="M1167" t="str">
            <v>2100</v>
          </cell>
        </row>
        <row r="1168">
          <cell r="E1168" t="str">
            <v>305749</v>
          </cell>
          <cell r="F1168">
            <v>34127</v>
          </cell>
          <cell r="G1168">
            <v>34205</v>
          </cell>
          <cell r="H1168" t="str">
            <v>2 CO2 Gehaltmeters</v>
          </cell>
          <cell r="I1168" t="str">
            <v>HAF</v>
          </cell>
          <cell r="J1168" t="str">
            <v>01</v>
          </cell>
          <cell r="K1168">
            <v>27864.22</v>
          </cell>
          <cell r="L1168" t="str">
            <v>FRF</v>
          </cell>
          <cell r="M1168" t="str">
            <v>Q005</v>
          </cell>
        </row>
        <row r="1169">
          <cell r="E1169" t="str">
            <v>305785</v>
          </cell>
          <cell r="F1169">
            <v>34127</v>
          </cell>
          <cell r="G1169">
            <v>34205</v>
          </cell>
          <cell r="H1169" t="str">
            <v>4 pH mètres à microprocesseur</v>
          </cell>
          <cell r="I1169" t="str">
            <v>BBL</v>
          </cell>
          <cell r="J1169" t="str">
            <v>01</v>
          </cell>
          <cell r="K1169">
            <v>14705</v>
          </cell>
          <cell r="L1169" t="str">
            <v>FRF</v>
          </cell>
          <cell r="M1169" t="str">
            <v>Q005</v>
          </cell>
        </row>
        <row r="1170">
          <cell r="E1170" t="str">
            <v>305668</v>
          </cell>
          <cell r="F1170">
            <v>34100</v>
          </cell>
          <cell r="G1170">
            <v>34186</v>
          </cell>
          <cell r="H1170" t="str">
            <v>1 Sonde de pénétration</v>
          </cell>
          <cell r="I1170" t="str">
            <v>PRO</v>
          </cell>
          <cell r="J1170" t="str">
            <v>06</v>
          </cell>
          <cell r="K1170">
            <v>1123.5</v>
          </cell>
          <cell r="L1170" t="str">
            <v>FRF</v>
          </cell>
          <cell r="M1170" t="str">
            <v>2000</v>
          </cell>
        </row>
        <row r="1171">
          <cell r="E1171" t="str">
            <v>307937</v>
          </cell>
          <cell r="F1171">
            <v>34366</v>
          </cell>
          <cell r="G1171">
            <v>34401</v>
          </cell>
          <cell r="H1171" t="str">
            <v>Matériels de laboratoire</v>
          </cell>
          <cell r="I1171" t="str">
            <v>OSI</v>
          </cell>
          <cell r="J1171" t="str">
            <v>01</v>
          </cell>
          <cell r="K1171">
            <v>0</v>
          </cell>
          <cell r="L1171" t="str">
            <v>FRF</v>
          </cell>
          <cell r="M1171" t="str">
            <v>2100</v>
          </cell>
        </row>
        <row r="1172">
          <cell r="E1172" t="str">
            <v>306895</v>
          </cell>
          <cell r="F1172">
            <v>34296</v>
          </cell>
          <cell r="G1172">
            <v>34326</v>
          </cell>
          <cell r="H1172" t="str">
            <v>Découpeur d'échantillons</v>
          </cell>
          <cell r="I1172" t="str">
            <v>NVI</v>
          </cell>
          <cell r="J1172" t="str">
            <v>01</v>
          </cell>
          <cell r="K1172">
            <v>0</v>
          </cell>
          <cell r="L1172" t="str">
            <v>FRF</v>
          </cell>
          <cell r="M1172" t="str">
            <v>2100</v>
          </cell>
        </row>
        <row r="1173">
          <cell r="E1173" t="str">
            <v>307155</v>
          </cell>
          <cell r="F1173">
            <v>33975</v>
          </cell>
          <cell r="G1173">
            <v>34396</v>
          </cell>
          <cell r="H1173" t="str">
            <v>Rechanges systèmes Orbisphere</v>
          </cell>
          <cell r="I1173" t="str">
            <v>ORB</v>
          </cell>
          <cell r="J1173" t="str">
            <v>01</v>
          </cell>
          <cell r="K1173">
            <v>0</v>
          </cell>
          <cell r="L1173" t="str">
            <v>FRF</v>
          </cell>
          <cell r="M1173" t="str">
            <v>2000</v>
          </cell>
        </row>
        <row r="1174">
          <cell r="E1174" t="str">
            <v>305667</v>
          </cell>
          <cell r="F1174">
            <v>34100</v>
          </cell>
          <cell r="G1174">
            <v>34165</v>
          </cell>
          <cell r="H1174" t="str">
            <v>Rechanges CO2 Gehaltmeter</v>
          </cell>
          <cell r="I1174" t="str">
            <v>HAF</v>
          </cell>
          <cell r="J1174" t="str">
            <v>01</v>
          </cell>
          <cell r="K1174">
            <v>3989.64</v>
          </cell>
          <cell r="L1174" t="str">
            <v>FRF</v>
          </cell>
          <cell r="M1174" t="str">
            <v>2000</v>
          </cell>
        </row>
        <row r="1175">
          <cell r="E1175" t="str">
            <v>305670</v>
          </cell>
          <cell r="F1175">
            <v>34113</v>
          </cell>
          <cell r="G1175">
            <v>34186</v>
          </cell>
          <cell r="H1175" t="str">
            <v>Rechanges Scaba</v>
          </cell>
          <cell r="I1175" t="str">
            <v>FOS</v>
          </cell>
          <cell r="J1175" t="str">
            <v>01</v>
          </cell>
          <cell r="K1175">
            <v>10531.6</v>
          </cell>
          <cell r="L1175" t="str">
            <v>FRF</v>
          </cell>
          <cell r="M1175" t="str">
            <v>2000</v>
          </cell>
        </row>
        <row r="1176">
          <cell r="E1176" t="str">
            <v>305882</v>
          </cell>
          <cell r="F1176">
            <v>34130</v>
          </cell>
          <cell r="G1176">
            <v>34205</v>
          </cell>
          <cell r="H1176" t="str">
            <v>Pièces de rechange pour ébulliomètre</v>
          </cell>
          <cell r="I1176" t="str">
            <v>LDS</v>
          </cell>
          <cell r="J1176" t="str">
            <v>01</v>
          </cell>
          <cell r="K1176">
            <v>1613.8</v>
          </cell>
          <cell r="L1176" t="str">
            <v>FRF</v>
          </cell>
          <cell r="M1176" t="str">
            <v>2000</v>
          </cell>
        </row>
        <row r="1177">
          <cell r="E1177" t="str">
            <v>305727</v>
          </cell>
          <cell r="F1177">
            <v>34113</v>
          </cell>
          <cell r="G1177">
            <v>34205</v>
          </cell>
          <cell r="H1177" t="str">
            <v>2 disques pour moulin type DFLU</v>
          </cell>
          <cell r="I1177" t="str">
            <v>BUH</v>
          </cell>
          <cell r="J1177" t="str">
            <v>01</v>
          </cell>
          <cell r="K1177">
            <v>8370.27</v>
          </cell>
          <cell r="L1177" t="str">
            <v>FRF</v>
          </cell>
          <cell r="M1177" t="str">
            <v>2000</v>
          </cell>
        </row>
        <row r="1178">
          <cell r="E1178" t="str">
            <v>306096</v>
          </cell>
          <cell r="F1178">
            <v>34163</v>
          </cell>
          <cell r="G1178">
            <v>34242</v>
          </cell>
          <cell r="H1178" t="str">
            <v>30 Paquet de 1000 membranes 0,45 µm</v>
          </cell>
          <cell r="I1178" t="str">
            <v>STR</v>
          </cell>
          <cell r="J1178" t="str">
            <v>01</v>
          </cell>
          <cell r="K1178">
            <v>35860</v>
          </cell>
          <cell r="L1178" t="str">
            <v>FRF</v>
          </cell>
          <cell r="M1178" t="str">
            <v>2100</v>
          </cell>
        </row>
        <row r="1179">
          <cell r="E1179" t="str">
            <v>305646</v>
          </cell>
          <cell r="F1179">
            <v>34094</v>
          </cell>
          <cell r="G1179">
            <v>34129</v>
          </cell>
          <cell r="H1179" t="str">
            <v>La Qualité au quotidien</v>
          </cell>
          <cell r="I1179" t="str">
            <v>PLT</v>
          </cell>
          <cell r="J1179" t="str">
            <v>01</v>
          </cell>
          <cell r="K1179">
            <v>590.5</v>
          </cell>
          <cell r="L1179" t="str">
            <v>FRF</v>
          </cell>
          <cell r="M1179" t="str">
            <v>2201</v>
          </cell>
        </row>
        <row r="1180">
          <cell r="E1180" t="str">
            <v>305669</v>
          </cell>
          <cell r="F1180">
            <v>34100</v>
          </cell>
          <cell r="G1180">
            <v>34148</v>
          </cell>
          <cell r="H1180" t="str">
            <v>1 Jeu d'huiles étalon viscosité</v>
          </cell>
          <cell r="I1180" t="str">
            <v>BCK</v>
          </cell>
          <cell r="J1180" t="str">
            <v>01</v>
          </cell>
          <cell r="K1180">
            <v>2785</v>
          </cell>
          <cell r="L1180" t="str">
            <v>FRF</v>
          </cell>
          <cell r="M1180" t="str">
            <v>2100</v>
          </cell>
        </row>
        <row r="1181">
          <cell r="E1181" t="str">
            <v>305579</v>
          </cell>
          <cell r="F1181">
            <v>34081</v>
          </cell>
          <cell r="G1181">
            <v>36453</v>
          </cell>
          <cell r="H1181" t="str">
            <v>Codex alimentarius</v>
          </cell>
          <cell r="I1181" t="str">
            <v>LAV</v>
          </cell>
          <cell r="J1181" t="str">
            <v>01</v>
          </cell>
          <cell r="K1181">
            <v>1163.23</v>
          </cell>
          <cell r="L1181" t="str">
            <v>FRF</v>
          </cell>
          <cell r="M1181" t="str">
            <v>2201</v>
          </cell>
        </row>
        <row r="1182">
          <cell r="E1182" t="str">
            <v>24732</v>
          </cell>
          <cell r="F1182">
            <v>34095</v>
          </cell>
          <cell r="G1182">
            <v>34116</v>
          </cell>
          <cell r="H1182" t="str">
            <v>Comprimés Aluminium et DPD N°4 R</v>
          </cell>
          <cell r="I1182" t="str">
            <v>APX</v>
          </cell>
          <cell r="J1182" t="str">
            <v>01</v>
          </cell>
          <cell r="K1182">
            <v>353470</v>
          </cell>
          <cell r="L1182" t="str">
            <v>CFA</v>
          </cell>
          <cell r="M1182" t="str">
            <v>2100</v>
          </cell>
        </row>
        <row r="1183">
          <cell r="E1183" t="str">
            <v>305449</v>
          </cell>
          <cell r="F1183">
            <v>34064</v>
          </cell>
          <cell r="G1183">
            <v>34073</v>
          </cell>
          <cell r="H1183" t="str">
            <v>Photocopies articles "Vigie tech"</v>
          </cell>
          <cell r="I1183" t="str">
            <v>IFB</v>
          </cell>
          <cell r="J1183" t="str">
            <v>01</v>
          </cell>
          <cell r="K1183">
            <v>216</v>
          </cell>
          <cell r="L1183" t="str">
            <v>FRF</v>
          </cell>
          <cell r="M1183" t="str">
            <v>2201</v>
          </cell>
        </row>
        <row r="1184">
          <cell r="E1184" t="str">
            <v>306190</v>
          </cell>
          <cell r="F1184">
            <v>34275</v>
          </cell>
          <cell r="G1184">
            <v>34290</v>
          </cell>
          <cell r="H1184" t="str">
            <v>Abonnement 1 an à Brew Info</v>
          </cell>
          <cell r="I1184" t="str">
            <v>EBC</v>
          </cell>
          <cell r="J1184" t="str">
            <v>01</v>
          </cell>
          <cell r="K1184">
            <v>300</v>
          </cell>
          <cell r="L1184" t="str">
            <v>NLG</v>
          </cell>
          <cell r="M1184" t="str">
            <v>2201</v>
          </cell>
        </row>
        <row r="1185">
          <cell r="E1185" t="str">
            <v>305431</v>
          </cell>
          <cell r="F1185">
            <v>34061</v>
          </cell>
          <cell r="G1185">
            <v>34130</v>
          </cell>
          <cell r="H1185" t="str">
            <v>24 Supports-filtre frittés + 72 joints</v>
          </cell>
          <cell r="I1185" t="str">
            <v>STR</v>
          </cell>
          <cell r="J1185" t="str">
            <v>01</v>
          </cell>
          <cell r="K1185">
            <v>29648.28</v>
          </cell>
          <cell r="L1185" t="str">
            <v>FRF</v>
          </cell>
          <cell r="M1185" t="str">
            <v>2000</v>
          </cell>
        </row>
        <row r="1186">
          <cell r="E1186" t="str">
            <v>305193</v>
          </cell>
          <cell r="F1186">
            <v>34025</v>
          </cell>
          <cell r="G1186">
            <v>34059</v>
          </cell>
          <cell r="H1186" t="str">
            <v>4 Ouvrages Beers &amp; Coolers</v>
          </cell>
          <cell r="I1186" t="str">
            <v>LAV</v>
          </cell>
          <cell r="J1186" t="str">
            <v>01</v>
          </cell>
          <cell r="K1186">
            <v>3363.32</v>
          </cell>
          <cell r="L1186" t="str">
            <v>FRF</v>
          </cell>
          <cell r="M1186" t="str">
            <v>2201</v>
          </cell>
        </row>
        <row r="1187">
          <cell r="E1187" t="str">
            <v>24519</v>
          </cell>
          <cell r="F1187">
            <v>34017</v>
          </cell>
          <cell r="G1187">
            <v>34022</v>
          </cell>
          <cell r="H1187" t="str">
            <v>Galeries API</v>
          </cell>
          <cell r="I1187" t="str">
            <v>LDT</v>
          </cell>
          <cell r="J1187" t="str">
            <v>01</v>
          </cell>
          <cell r="K1187">
            <v>333800</v>
          </cell>
          <cell r="L1187" t="str">
            <v>CFA</v>
          </cell>
          <cell r="M1187" t="str">
            <v>2100</v>
          </cell>
        </row>
        <row r="1188">
          <cell r="E1188" t="str">
            <v>304948</v>
          </cell>
          <cell r="F1188">
            <v>33989</v>
          </cell>
          <cell r="G1188">
            <v>34050</v>
          </cell>
          <cell r="H1188" t="str">
            <v>4 Pack battery charger</v>
          </cell>
          <cell r="I1188" t="str">
            <v>CDM</v>
          </cell>
          <cell r="J1188" t="str">
            <v>01</v>
          </cell>
          <cell r="K1188">
            <v>1605</v>
          </cell>
          <cell r="L1188" t="str">
            <v>FRF</v>
          </cell>
          <cell r="M1188" t="str">
            <v>2000</v>
          </cell>
        </row>
        <row r="1189">
          <cell r="E1189" t="str">
            <v>304996</v>
          </cell>
          <cell r="F1189">
            <v>33996</v>
          </cell>
          <cell r="G1189">
            <v>34032</v>
          </cell>
          <cell r="H1189" t="str">
            <v>Rechanges pour REDPOST</v>
          </cell>
          <cell r="I1189" t="str">
            <v>HAF</v>
          </cell>
          <cell r="J1189" t="str">
            <v>01</v>
          </cell>
          <cell r="K1189">
            <v>4238.3900000000003</v>
          </cell>
          <cell r="L1189" t="str">
            <v>FRF</v>
          </cell>
          <cell r="M1189" t="str">
            <v>2000</v>
          </cell>
        </row>
        <row r="1190">
          <cell r="E1190" t="str">
            <v>305955</v>
          </cell>
          <cell r="F1190">
            <v>33991</v>
          </cell>
          <cell r="G1190">
            <v>34059</v>
          </cell>
          <cell r="H1190" t="str">
            <v>Produits de laboratoire</v>
          </cell>
          <cell r="I1190" t="str">
            <v>OSI</v>
          </cell>
          <cell r="J1190" t="str">
            <v>01</v>
          </cell>
          <cell r="K1190">
            <v>492752</v>
          </cell>
          <cell r="L1190" t="str">
            <v>CFA</v>
          </cell>
          <cell r="M1190" t="str">
            <v>2100</v>
          </cell>
        </row>
        <row r="1191">
          <cell r="E1191" t="str">
            <v>304955</v>
          </cell>
          <cell r="F1191">
            <v>34019</v>
          </cell>
          <cell r="G1191">
            <v>34050</v>
          </cell>
          <cell r="H1191" t="str">
            <v>12 UBA Medium</v>
          </cell>
          <cell r="I1191" t="str">
            <v>OSI</v>
          </cell>
          <cell r="J1191" t="str">
            <v>01</v>
          </cell>
          <cell r="K1191">
            <v>16982.8</v>
          </cell>
          <cell r="L1191" t="str">
            <v>FRF</v>
          </cell>
          <cell r="M1191" t="str">
            <v>2100</v>
          </cell>
        </row>
        <row r="1192">
          <cell r="E1192" t="str">
            <v>304934</v>
          </cell>
          <cell r="F1192">
            <v>33990</v>
          </cell>
          <cell r="G1192">
            <v>34024</v>
          </cell>
          <cell r="H1192" t="str">
            <v>Produits de laboratoire</v>
          </cell>
          <cell r="I1192" t="str">
            <v>DPA</v>
          </cell>
          <cell r="J1192" t="str">
            <v>01</v>
          </cell>
          <cell r="K1192">
            <v>7632.36</v>
          </cell>
          <cell r="L1192" t="str">
            <v>FRF</v>
          </cell>
          <cell r="M1192" t="str">
            <v>2100</v>
          </cell>
        </row>
        <row r="1193">
          <cell r="E1193" t="str">
            <v>304953</v>
          </cell>
          <cell r="F1193">
            <v>33990</v>
          </cell>
          <cell r="G1193">
            <v>34024</v>
          </cell>
          <cell r="H1193" t="str">
            <v>Matériels de laboratoire</v>
          </cell>
          <cell r="I1193" t="str">
            <v>OSI</v>
          </cell>
          <cell r="J1193" t="str">
            <v>01</v>
          </cell>
          <cell r="K1193">
            <v>0</v>
          </cell>
          <cell r="L1193" t="str">
            <v>FRF</v>
          </cell>
          <cell r="M1193" t="str">
            <v>2100</v>
          </cell>
        </row>
        <row r="1194">
          <cell r="E1194" t="str">
            <v>305175</v>
          </cell>
          <cell r="F1194">
            <v>34024</v>
          </cell>
          <cell r="G1194">
            <v>34087</v>
          </cell>
          <cell r="H1194" t="str">
            <v>Découpeur d'échantillons</v>
          </cell>
          <cell r="I1194" t="str">
            <v>NVI</v>
          </cell>
          <cell r="J1194" t="str">
            <v>01</v>
          </cell>
          <cell r="K1194">
            <v>0</v>
          </cell>
          <cell r="L1194" t="str">
            <v>FRF</v>
          </cell>
          <cell r="M1194" t="str">
            <v>2100</v>
          </cell>
        </row>
        <row r="1195">
          <cell r="E1195" t="str">
            <v>304845</v>
          </cell>
          <cell r="F1195">
            <v>33608</v>
          </cell>
          <cell r="G1195">
            <v>33990</v>
          </cell>
          <cell r="H1195" t="str">
            <v>Rechanges systèmes Orbisphere</v>
          </cell>
          <cell r="I1195" t="str">
            <v>ORB</v>
          </cell>
          <cell r="J1195" t="str">
            <v>01</v>
          </cell>
          <cell r="K1195">
            <v>0</v>
          </cell>
          <cell r="L1195" t="str">
            <v>FRF</v>
          </cell>
          <cell r="M1195" t="str">
            <v>2000</v>
          </cell>
        </row>
        <row r="1196">
          <cell r="E1196" t="str">
            <v>24523</v>
          </cell>
          <cell r="F1196">
            <v>34018</v>
          </cell>
          <cell r="G1196">
            <v>34165</v>
          </cell>
          <cell r="H1196" t="str">
            <v>Afficheur Balance Sartorius + Sartofluor</v>
          </cell>
          <cell r="I1196" t="str">
            <v>APX</v>
          </cell>
          <cell r="J1196" t="str">
            <v>01</v>
          </cell>
          <cell r="K1196">
            <v>677835</v>
          </cell>
          <cell r="L1196" t="str">
            <v>CFA</v>
          </cell>
          <cell r="M1196" t="str">
            <v>2000</v>
          </cell>
        </row>
        <row r="1197">
          <cell r="E1197" t="str">
            <v>304861</v>
          </cell>
          <cell r="F1197">
            <v>33975</v>
          </cell>
          <cell r="G1197">
            <v>34024</v>
          </cell>
          <cell r="H1197" t="str">
            <v>12 Flow cells 5mm + 2 gaskets</v>
          </cell>
          <cell r="I1197" t="str">
            <v>FOS</v>
          </cell>
          <cell r="J1197" t="str">
            <v>01</v>
          </cell>
          <cell r="K1197">
            <v>18040.400000000001</v>
          </cell>
          <cell r="L1197" t="str">
            <v>FRF</v>
          </cell>
          <cell r="M1197" t="str">
            <v>2000</v>
          </cell>
        </row>
        <row r="1198">
          <cell r="E1198" t="str">
            <v>304849</v>
          </cell>
          <cell r="F1198">
            <v>33984</v>
          </cell>
          <cell r="G1198">
            <v>34024</v>
          </cell>
          <cell r="H1198" t="str">
            <v>1 Viscosimètre synchrolectrique</v>
          </cell>
          <cell r="I1198" t="str">
            <v>ODL</v>
          </cell>
          <cell r="J1198" t="str">
            <v>01</v>
          </cell>
          <cell r="K1198">
            <v>18721.96</v>
          </cell>
          <cell r="L1198" t="str">
            <v>FRF</v>
          </cell>
          <cell r="M1198" t="str">
            <v>Q005</v>
          </cell>
        </row>
        <row r="1199">
          <cell r="E1199" t="str">
            <v>305727</v>
          </cell>
          <cell r="F1199">
            <v>34113</v>
          </cell>
          <cell r="G1199">
            <v>34205</v>
          </cell>
          <cell r="H1199" t="str">
            <v>1 Découpeur d'échantillons de papier</v>
          </cell>
          <cell r="I1199" t="str">
            <v>BCH</v>
          </cell>
          <cell r="J1199" t="str">
            <v>01</v>
          </cell>
          <cell r="K1199">
            <v>0</v>
          </cell>
          <cell r="L1199" t="str">
            <v>FRF</v>
          </cell>
          <cell r="M1199" t="str">
            <v>2100</v>
          </cell>
        </row>
        <row r="1200">
          <cell r="E1200" t="str">
            <v>304835</v>
          </cell>
          <cell r="F1200">
            <v>33984</v>
          </cell>
          <cell r="G1200">
            <v>34032</v>
          </cell>
          <cell r="H1200" t="str">
            <v>Thermohygromètre + loupe + tubes à vis</v>
          </cell>
          <cell r="I1200" t="str">
            <v>OSI</v>
          </cell>
          <cell r="J1200" t="str">
            <v>01</v>
          </cell>
          <cell r="K1200">
            <v>2195</v>
          </cell>
          <cell r="L1200" t="str">
            <v>FRF</v>
          </cell>
          <cell r="M1200" t="str">
            <v>2100</v>
          </cell>
        </row>
        <row r="1201">
          <cell r="E1201" t="str">
            <v>304787</v>
          </cell>
          <cell r="F1201">
            <v>33984</v>
          </cell>
          <cell r="G1201">
            <v>34066</v>
          </cell>
          <cell r="H1201" t="str">
            <v>2 Micromètres</v>
          </cell>
          <cell r="I1201" t="str">
            <v>LHM</v>
          </cell>
          <cell r="J1201" t="str">
            <v>01</v>
          </cell>
          <cell r="K1201">
            <v>68169</v>
          </cell>
          <cell r="L1201" t="str">
            <v>FRF</v>
          </cell>
          <cell r="M1201" t="str">
            <v>Q005</v>
          </cell>
        </row>
        <row r="1202">
          <cell r="E1202" t="str">
            <v>305669</v>
          </cell>
          <cell r="F1202">
            <v>34100</v>
          </cell>
          <cell r="G1202">
            <v>34148</v>
          </cell>
          <cell r="H1202" t="str">
            <v>2 Microportable dissolved O2 analysers</v>
          </cell>
          <cell r="I1202" t="str">
            <v>ORB</v>
          </cell>
          <cell r="J1202" t="str">
            <v>01</v>
          </cell>
          <cell r="K1202">
            <v>0</v>
          </cell>
          <cell r="L1202" t="str">
            <v>FRF</v>
          </cell>
          <cell r="M1202" t="str">
            <v>Q005</v>
          </cell>
        </row>
        <row r="1203">
          <cell r="E1203" t="str">
            <v>304837</v>
          </cell>
          <cell r="F1203">
            <v>33987</v>
          </cell>
          <cell r="G1203">
            <v>34032</v>
          </cell>
          <cell r="H1203" t="str">
            <v>Codex alimentarius</v>
          </cell>
          <cell r="I1203" t="str">
            <v>LAV</v>
          </cell>
          <cell r="J1203" t="str">
            <v>01</v>
          </cell>
          <cell r="K1203">
            <v>1163.23</v>
          </cell>
          <cell r="L1203" t="str">
            <v>FRF</v>
          </cell>
          <cell r="M1203" t="str">
            <v>2201</v>
          </cell>
        </row>
        <row r="1204">
          <cell r="E1204" t="str">
            <v>305178</v>
          </cell>
          <cell r="F1204">
            <v>34025</v>
          </cell>
          <cell r="G1204">
            <v>34040</v>
          </cell>
          <cell r="H1204" t="str">
            <v>Réfractomètre digital ATAGO</v>
          </cell>
          <cell r="I1204" t="str">
            <v>BBL</v>
          </cell>
          <cell r="J1204" t="str">
            <v>01</v>
          </cell>
          <cell r="K1204">
            <v>8539.4</v>
          </cell>
          <cell r="L1204" t="str">
            <v>FRF</v>
          </cell>
          <cell r="M1204" t="str">
            <v>Q005</v>
          </cell>
        </row>
        <row r="1205">
          <cell r="E1205" t="str">
            <v>304780</v>
          </cell>
          <cell r="F1205">
            <v>33959</v>
          </cell>
          <cell r="G1205">
            <v>34040</v>
          </cell>
          <cell r="H1205" t="str">
            <v>Réparation de 15 sondes ORBISPHERE</v>
          </cell>
          <cell r="I1205" t="str">
            <v>ORB</v>
          </cell>
          <cell r="J1205" t="str">
            <v>01</v>
          </cell>
          <cell r="K1205">
            <v>84745.5</v>
          </cell>
          <cell r="L1205" t="str">
            <v>FRF</v>
          </cell>
          <cell r="M1205" t="str">
            <v>3301</v>
          </cell>
        </row>
        <row r="1206">
          <cell r="E1206" t="str">
            <v>304637</v>
          </cell>
          <cell r="F1206">
            <v>33991</v>
          </cell>
          <cell r="G1206">
            <v>34094</v>
          </cell>
          <cell r="H1206" t="str">
            <v>Abonnement 1 an à Brew Info</v>
          </cell>
          <cell r="I1206" t="str">
            <v>EBC</v>
          </cell>
          <cell r="J1206" t="str">
            <v>01</v>
          </cell>
          <cell r="K1206">
            <v>300</v>
          </cell>
          <cell r="L1206" t="str">
            <v>NLG</v>
          </cell>
          <cell r="M1206" t="str">
            <v>2201</v>
          </cell>
        </row>
        <row r="1207">
          <cell r="E1207" t="str">
            <v>304639</v>
          </cell>
          <cell r="F1207">
            <v>33987</v>
          </cell>
          <cell r="G1207">
            <v>34059</v>
          </cell>
          <cell r="H1207" t="str">
            <v>2 CO2 GEHALTMETERS</v>
          </cell>
          <cell r="I1207" t="str">
            <v>HAF</v>
          </cell>
          <cell r="J1207" t="str">
            <v>01</v>
          </cell>
          <cell r="K1207">
            <v>28021.61</v>
          </cell>
          <cell r="L1207" t="str">
            <v>FRF</v>
          </cell>
          <cell r="M1207" t="str">
            <v>Q005</v>
          </cell>
        </row>
        <row r="1208">
          <cell r="E1208" t="str">
            <v>304640</v>
          </cell>
          <cell r="F1208">
            <v>33987</v>
          </cell>
          <cell r="G1208">
            <v>35169</v>
          </cell>
          <cell r="H1208" t="str">
            <v>1 HAFFMANS/REDPOST PU-MONITOR</v>
          </cell>
          <cell r="I1208" t="str">
            <v>HAF</v>
          </cell>
          <cell r="J1208" t="str">
            <v>01</v>
          </cell>
          <cell r="K1208">
            <v>25091.64</v>
          </cell>
          <cell r="L1208" t="str">
            <v>FRF</v>
          </cell>
          <cell r="M1208" t="str">
            <v>Q005</v>
          </cell>
        </row>
        <row r="1209">
          <cell r="E1209" t="str">
            <v>304625</v>
          </cell>
          <cell r="F1209">
            <v>33939</v>
          </cell>
          <cell r="G1209">
            <v>34040</v>
          </cell>
          <cell r="H1209" t="str">
            <v>Matériels de laboratoire</v>
          </cell>
          <cell r="I1209" t="str">
            <v>OSI</v>
          </cell>
          <cell r="J1209" t="str">
            <v>01</v>
          </cell>
          <cell r="K1209">
            <v>7037</v>
          </cell>
          <cell r="L1209" t="str">
            <v>FRF</v>
          </cell>
          <cell r="M1209" t="str">
            <v>2100</v>
          </cell>
        </row>
        <row r="1210">
          <cell r="E1210" t="str">
            <v>304636</v>
          </cell>
          <cell r="F1210">
            <v>33940</v>
          </cell>
          <cell r="G1210">
            <v>33996</v>
          </cell>
          <cell r="H1210" t="str">
            <v>Produits de laboratoire</v>
          </cell>
          <cell r="I1210" t="str">
            <v>OSI</v>
          </cell>
          <cell r="J1210" t="str">
            <v>01</v>
          </cell>
          <cell r="K1210">
            <v>5049.3999999999996</v>
          </cell>
          <cell r="L1210" t="str">
            <v>FRF</v>
          </cell>
          <cell r="M1210" t="str">
            <v>2100</v>
          </cell>
        </row>
        <row r="1211">
          <cell r="E1211" t="str">
            <v>304606</v>
          </cell>
          <cell r="F1211">
            <v>33984</v>
          </cell>
          <cell r="G1211">
            <v>34032</v>
          </cell>
          <cell r="H1211" t="str">
            <v>Membranes 2958 + chambres d'écoulement</v>
          </cell>
          <cell r="I1211" t="str">
            <v>ORB</v>
          </cell>
          <cell r="J1211" t="str">
            <v>01</v>
          </cell>
          <cell r="K1211">
            <v>27604.26</v>
          </cell>
          <cell r="L1211" t="str">
            <v>FRF</v>
          </cell>
          <cell r="M1211" t="str">
            <v>2000</v>
          </cell>
        </row>
        <row r="1212">
          <cell r="E1212" t="str">
            <v>304638</v>
          </cell>
          <cell r="F1212">
            <v>33987</v>
          </cell>
          <cell r="G1212">
            <v>34059</v>
          </cell>
          <cell r="H1212" t="str">
            <v>Verres NIBEM + Sondes REDPOST</v>
          </cell>
          <cell r="I1212" t="str">
            <v>HAF</v>
          </cell>
          <cell r="J1212" t="str">
            <v>01</v>
          </cell>
          <cell r="K1212">
            <v>12002.27</v>
          </cell>
          <cell r="L1212" t="str">
            <v>FRF</v>
          </cell>
          <cell r="M1212" t="str">
            <v>2000</v>
          </cell>
        </row>
        <row r="1213">
          <cell r="E1213" t="str">
            <v>304570</v>
          </cell>
          <cell r="F1213">
            <v>33984</v>
          </cell>
          <cell r="G1213">
            <v>34024</v>
          </cell>
          <cell r="H1213" t="str">
            <v>Corps de chauffe POLYSTAT + Accus 9V</v>
          </cell>
          <cell r="I1213" t="str">
            <v>BBL</v>
          </cell>
          <cell r="J1213" t="str">
            <v>01</v>
          </cell>
          <cell r="K1213">
            <v>2674.9</v>
          </cell>
          <cell r="L1213" t="str">
            <v>FRF</v>
          </cell>
          <cell r="M1213" t="str">
            <v>2000</v>
          </cell>
        </row>
        <row r="1214">
          <cell r="E1214" t="str">
            <v>304603</v>
          </cell>
          <cell r="F1214">
            <v>33938</v>
          </cell>
          <cell r="G1214">
            <v>33996</v>
          </cell>
          <cell r="H1214" t="str">
            <v>Tamis de rechange pour planchister ROTEX</v>
          </cell>
          <cell r="I1214" t="str">
            <v>TPR</v>
          </cell>
          <cell r="J1214" t="str">
            <v>01</v>
          </cell>
          <cell r="K1214">
            <v>1035</v>
          </cell>
          <cell r="L1214" t="str">
            <v>FRF</v>
          </cell>
          <cell r="M1214" t="str">
            <v>2000</v>
          </cell>
        </row>
        <row r="1215">
          <cell r="E1215" t="str">
            <v>304624</v>
          </cell>
          <cell r="F1215">
            <v>33939</v>
          </cell>
          <cell r="G1215">
            <v>34080</v>
          </cell>
          <cell r="H1215" t="str">
            <v>Membranes 0.45 µm + Capsules sartofluor</v>
          </cell>
          <cell r="I1215" t="str">
            <v>STR</v>
          </cell>
          <cell r="J1215" t="str">
            <v>01</v>
          </cell>
          <cell r="K1215">
            <v>61840</v>
          </cell>
          <cell r="L1215" t="str">
            <v>FRF</v>
          </cell>
          <cell r="M1215" t="str">
            <v>2100</v>
          </cell>
        </row>
        <row r="1216">
          <cell r="E1216" t="str">
            <v>304620</v>
          </cell>
          <cell r="F1216">
            <v>33939</v>
          </cell>
          <cell r="G1216">
            <v>33977</v>
          </cell>
          <cell r="H1216" t="str">
            <v>Milieux de cultures bactériologiques</v>
          </cell>
          <cell r="I1216" t="str">
            <v>DPA</v>
          </cell>
          <cell r="J1216" t="str">
            <v>01</v>
          </cell>
          <cell r="K1216">
            <v>10078.75</v>
          </cell>
          <cell r="L1216" t="str">
            <v>FRF</v>
          </cell>
          <cell r="M1216" t="str">
            <v>2100</v>
          </cell>
        </row>
        <row r="1217">
          <cell r="E1217" t="str">
            <v>304506</v>
          </cell>
          <cell r="F1217">
            <v>33940</v>
          </cell>
          <cell r="G1217">
            <v>34017</v>
          </cell>
          <cell r="H1217" t="str">
            <v>Papiers Buvard blanc,rose,rouge,vert</v>
          </cell>
          <cell r="I1217" t="str">
            <v>SON</v>
          </cell>
          <cell r="J1217" t="str">
            <v>01</v>
          </cell>
          <cell r="K1217">
            <v>6824.3</v>
          </cell>
          <cell r="L1217" t="str">
            <v>FRF</v>
          </cell>
          <cell r="M1217" t="str">
            <v>2100</v>
          </cell>
        </row>
        <row r="1218">
          <cell r="E1218" t="str">
            <v>304608</v>
          </cell>
          <cell r="F1218">
            <v>33938</v>
          </cell>
          <cell r="G1218">
            <v>34032</v>
          </cell>
          <cell r="H1218" t="str">
            <v>Afficheur Balance Sartorius + Sartofluor</v>
          </cell>
          <cell r="I1218" t="str">
            <v>APX</v>
          </cell>
          <cell r="J1218" t="str">
            <v>01</v>
          </cell>
          <cell r="K1218">
            <v>677835</v>
          </cell>
          <cell r="L1218" t="str">
            <v>CFA</v>
          </cell>
          <cell r="M1218" t="str">
            <v>2000</v>
          </cell>
        </row>
        <row r="1219">
          <cell r="E1219" t="str">
            <v>304572</v>
          </cell>
          <cell r="F1219">
            <v>33975</v>
          </cell>
          <cell r="G1219">
            <v>33996</v>
          </cell>
          <cell r="H1219" t="str">
            <v>Rechanges pour pompe à vide MARC 705</v>
          </cell>
          <cell r="I1219" t="str">
            <v>OSI</v>
          </cell>
          <cell r="J1219" t="str">
            <v>01</v>
          </cell>
          <cell r="K1219">
            <v>0</v>
          </cell>
          <cell r="L1219" t="str">
            <v>FRF</v>
          </cell>
          <cell r="M1219" t="str">
            <v>2000</v>
          </cell>
        </row>
        <row r="1220">
          <cell r="E1220" t="str">
            <v>303924</v>
          </cell>
          <cell r="F1220">
            <v>33841</v>
          </cell>
          <cell r="G1220">
            <v>33872</v>
          </cell>
          <cell r="H1220" t="str">
            <v>Rechanges CO2 GEHALTMETER</v>
          </cell>
          <cell r="I1220" t="str">
            <v>HAF</v>
          </cell>
          <cell r="J1220" t="str">
            <v>01</v>
          </cell>
          <cell r="K1220">
            <v>3623.62</v>
          </cell>
          <cell r="L1220" t="str">
            <v>FRF</v>
          </cell>
          <cell r="M1220" t="str">
            <v>2000</v>
          </cell>
        </row>
        <row r="1221">
          <cell r="E1221" t="str">
            <v>303952</v>
          </cell>
          <cell r="F1221">
            <v>33848</v>
          </cell>
          <cell r="G1221">
            <v>33906</v>
          </cell>
          <cell r="H1221" t="str">
            <v>1 Découpeur d'échantillons de papier</v>
          </cell>
          <cell r="I1221" t="str">
            <v>BCH</v>
          </cell>
          <cell r="J1221" t="str">
            <v>01</v>
          </cell>
          <cell r="K1221">
            <v>0</v>
          </cell>
          <cell r="L1221" t="str">
            <v>FRF</v>
          </cell>
          <cell r="M1221" t="str">
            <v>2100</v>
          </cell>
        </row>
        <row r="1222">
          <cell r="E1222" t="str">
            <v>303951</v>
          </cell>
          <cell r="F1222">
            <v>33847</v>
          </cell>
          <cell r="G1222">
            <v>34032</v>
          </cell>
          <cell r="H1222" t="str">
            <v>Chloral Hydrate + Mercure Nitrate</v>
          </cell>
          <cell r="I1222" t="str">
            <v>MCK</v>
          </cell>
          <cell r="J1222" t="str">
            <v>01</v>
          </cell>
          <cell r="K1222">
            <v>680.3</v>
          </cell>
          <cell r="L1222" t="str">
            <v>FRF</v>
          </cell>
          <cell r="M1222" t="str">
            <v>2100</v>
          </cell>
        </row>
        <row r="1223">
          <cell r="E1223" t="str">
            <v>303914</v>
          </cell>
          <cell r="F1223">
            <v>33836</v>
          </cell>
          <cell r="G1223">
            <v>33914</v>
          </cell>
          <cell r="H1223" t="str">
            <v>Rechanges oxymètres</v>
          </cell>
          <cell r="I1223" t="str">
            <v>ORB</v>
          </cell>
          <cell r="J1223" t="str">
            <v>01</v>
          </cell>
          <cell r="K1223">
            <v>26480.47</v>
          </cell>
          <cell r="L1223" t="str">
            <v>FRF</v>
          </cell>
          <cell r="M1223" t="str">
            <v>2000</v>
          </cell>
        </row>
        <row r="1224">
          <cell r="E1224" t="str">
            <v>303974</v>
          </cell>
          <cell r="F1224">
            <v>33851</v>
          </cell>
          <cell r="G1224">
            <v>33940</v>
          </cell>
          <cell r="H1224" t="str">
            <v>2 Microportable dissolved O2 analysers</v>
          </cell>
          <cell r="I1224" t="str">
            <v>ORB</v>
          </cell>
          <cell r="J1224" t="str">
            <v>01</v>
          </cell>
          <cell r="K1224">
            <v>0</v>
          </cell>
          <cell r="L1224" t="str">
            <v>FRF</v>
          </cell>
          <cell r="M1224" t="str">
            <v>Q005</v>
          </cell>
        </row>
        <row r="1225">
          <cell r="E1225" t="str">
            <v>7526</v>
          </cell>
          <cell r="F1225">
            <v>33835</v>
          </cell>
          <cell r="G1225">
            <v>34334</v>
          </cell>
          <cell r="H1225" t="str">
            <v>API 20 E + API 20 NE + Colorants Gram</v>
          </cell>
          <cell r="I1225" t="str">
            <v>LDT</v>
          </cell>
          <cell r="J1225" t="str">
            <v>01</v>
          </cell>
          <cell r="K1225">
            <v>130500</v>
          </cell>
          <cell r="L1225" t="str">
            <v>CFA</v>
          </cell>
          <cell r="M1225" t="str">
            <v>2100</v>
          </cell>
        </row>
        <row r="1226">
          <cell r="E1226" t="str">
            <v>303915</v>
          </cell>
          <cell r="F1226">
            <v>33836</v>
          </cell>
          <cell r="G1226">
            <v>33906</v>
          </cell>
          <cell r="H1226" t="str">
            <v>Rechanges SCABA</v>
          </cell>
          <cell r="I1226" t="str">
            <v>FOS</v>
          </cell>
          <cell r="J1226" t="str">
            <v>01</v>
          </cell>
          <cell r="K1226">
            <v>9850.4</v>
          </cell>
          <cell r="L1226" t="str">
            <v>FRF</v>
          </cell>
          <cell r="M1226" t="str">
            <v>2000</v>
          </cell>
        </row>
        <row r="1227">
          <cell r="E1227" t="str">
            <v>303923</v>
          </cell>
          <cell r="F1227">
            <v>33911</v>
          </cell>
          <cell r="G1227">
            <v>33990</v>
          </cell>
          <cell r="H1227" t="str">
            <v>12 Thermomètres ASTM +18.5/+21.5°C</v>
          </cell>
          <cell r="I1227" t="str">
            <v>NRM</v>
          </cell>
          <cell r="J1227" t="str">
            <v>01</v>
          </cell>
          <cell r="K1227">
            <v>4940.68</v>
          </cell>
          <cell r="L1227" t="str">
            <v>FRF</v>
          </cell>
          <cell r="M1227" t="str">
            <v>2100</v>
          </cell>
        </row>
        <row r="1228">
          <cell r="E1228" t="str">
            <v>330603</v>
          </cell>
          <cell r="F1228">
            <v>36812</v>
          </cell>
          <cell r="G1228">
            <v>36847</v>
          </cell>
          <cell r="H1228" t="str">
            <v>Rechanges DMA</v>
          </cell>
          <cell r="I1228" t="str">
            <v>PAA</v>
          </cell>
          <cell r="J1228" t="str">
            <v>01</v>
          </cell>
          <cell r="K1228">
            <v>14593.04</v>
          </cell>
          <cell r="L1228" t="str">
            <v>FRF</v>
          </cell>
          <cell r="M1228" t="str">
            <v>2000</v>
          </cell>
        </row>
        <row r="1229">
          <cell r="E1229" t="str">
            <v>304104</v>
          </cell>
          <cell r="F1229">
            <v>33911</v>
          </cell>
          <cell r="G1229">
            <v>34024</v>
          </cell>
          <cell r="H1229" t="str">
            <v>Prismes+miroirs réfr.</v>
          </cell>
          <cell r="I1229" t="str">
            <v>GBL</v>
          </cell>
          <cell r="J1229" t="str">
            <v>01</v>
          </cell>
          <cell r="K1229">
            <v>7098.56</v>
          </cell>
          <cell r="L1229" t="str">
            <v>FRF</v>
          </cell>
          <cell r="M1229" t="str">
            <v>2000</v>
          </cell>
        </row>
        <row r="1230">
          <cell r="E1230" t="str">
            <v>304114</v>
          </cell>
          <cell r="F1230">
            <v>33868</v>
          </cell>
          <cell r="G1230">
            <v>34017</v>
          </cell>
          <cell r="H1230" t="str">
            <v>Rechanges spectrophotomètres</v>
          </cell>
          <cell r="I1230" t="str">
            <v>LBO</v>
          </cell>
          <cell r="J1230" t="str">
            <v>01</v>
          </cell>
          <cell r="K1230">
            <v>17716.8</v>
          </cell>
          <cell r="L1230" t="str">
            <v>FRF</v>
          </cell>
          <cell r="M1230" t="str">
            <v>2000</v>
          </cell>
        </row>
        <row r="1231">
          <cell r="E1231" t="str">
            <v>303958</v>
          </cell>
          <cell r="F1231">
            <v>33848</v>
          </cell>
          <cell r="G1231">
            <v>33940</v>
          </cell>
          <cell r="H1231" t="str">
            <v>Matériels de laboratoire</v>
          </cell>
          <cell r="I1231" t="str">
            <v>OSI</v>
          </cell>
          <cell r="J1231" t="str">
            <v>01</v>
          </cell>
          <cell r="K1231">
            <v>12692.63</v>
          </cell>
          <cell r="L1231" t="str">
            <v>FRF</v>
          </cell>
          <cell r="M1231" t="str">
            <v>2100</v>
          </cell>
        </row>
        <row r="1232">
          <cell r="E1232" t="str">
            <v>7526</v>
          </cell>
          <cell r="F1232">
            <v>33835</v>
          </cell>
          <cell r="G1232">
            <v>33848</v>
          </cell>
          <cell r="H1232" t="str">
            <v>80 Génerbox + 2 staphyslide</v>
          </cell>
          <cell r="I1232" t="str">
            <v>LDT</v>
          </cell>
          <cell r="J1232" t="str">
            <v>01</v>
          </cell>
          <cell r="K1232">
            <v>728400</v>
          </cell>
          <cell r="L1232" t="str">
            <v>CFA</v>
          </cell>
          <cell r="M1232" t="str">
            <v>2100</v>
          </cell>
        </row>
        <row r="1233">
          <cell r="E1233" t="str">
            <v>304606</v>
          </cell>
          <cell r="F1233">
            <v>33984</v>
          </cell>
          <cell r="G1233">
            <v>33885</v>
          </cell>
          <cell r="H1233" t="str">
            <v>Membranes 2958 + chambres d'écoulement</v>
          </cell>
          <cell r="I1233" t="str">
            <v>ORB</v>
          </cell>
          <cell r="J1233" t="str">
            <v>01</v>
          </cell>
          <cell r="K1233">
            <v>27604.26</v>
          </cell>
          <cell r="L1233" t="str">
            <v>FRF</v>
          </cell>
          <cell r="M1233" t="str">
            <v>2100</v>
          </cell>
        </row>
        <row r="1234">
          <cell r="E1234" t="str">
            <v>303913</v>
          </cell>
          <cell r="F1234">
            <v>33836</v>
          </cell>
          <cell r="G1234">
            <v>33940</v>
          </cell>
          <cell r="H1234" t="str">
            <v>Rechanges Zahm NS</v>
          </cell>
          <cell r="I1234" t="str">
            <v>TRS</v>
          </cell>
          <cell r="J1234" t="str">
            <v>01</v>
          </cell>
          <cell r="K1234">
            <v>14517.52</v>
          </cell>
          <cell r="L1234" t="str">
            <v>FRF</v>
          </cell>
          <cell r="M1234" t="str">
            <v>2000</v>
          </cell>
        </row>
        <row r="1235">
          <cell r="E1235" t="str">
            <v>303912</v>
          </cell>
          <cell r="F1235">
            <v>33836</v>
          </cell>
          <cell r="G1235">
            <v>33885</v>
          </cell>
          <cell r="H1235" t="str">
            <v>6000 Tubes à hémolyse 5 ml</v>
          </cell>
          <cell r="I1235" t="str">
            <v>LES</v>
          </cell>
          <cell r="J1235" t="str">
            <v>01</v>
          </cell>
          <cell r="K1235">
            <v>2157.2600000000002</v>
          </cell>
          <cell r="L1235" t="str">
            <v>FRF</v>
          </cell>
          <cell r="M1235" t="str">
            <v>2100</v>
          </cell>
        </row>
        <row r="1236">
          <cell r="E1236" t="str">
            <v>303980</v>
          </cell>
          <cell r="F1236">
            <v>33851</v>
          </cell>
          <cell r="G1236">
            <v>33940</v>
          </cell>
          <cell r="H1236" t="str">
            <v>Joints de rechange pour autoclaves</v>
          </cell>
          <cell r="I1236" t="str">
            <v>LQX</v>
          </cell>
          <cell r="J1236" t="str">
            <v>01</v>
          </cell>
          <cell r="K1236">
            <v>12889.14</v>
          </cell>
          <cell r="L1236" t="str">
            <v>FRF</v>
          </cell>
          <cell r="M1236" t="str">
            <v>2000</v>
          </cell>
        </row>
        <row r="1237">
          <cell r="E1237" t="str">
            <v>1123</v>
          </cell>
          <cell r="F1237">
            <v>33822</v>
          </cell>
          <cell r="G1237">
            <v>33897</v>
          </cell>
          <cell r="H1237" t="str">
            <v>Réparation de 4 sondes orbisphere</v>
          </cell>
          <cell r="I1237" t="str">
            <v>ORB</v>
          </cell>
          <cell r="J1237" t="str">
            <v>01</v>
          </cell>
          <cell r="K1237">
            <v>53080</v>
          </cell>
          <cell r="L1237" t="str">
            <v>FRF</v>
          </cell>
          <cell r="M1237" t="str">
            <v>3301</v>
          </cell>
        </row>
        <row r="1238">
          <cell r="E1238" t="str">
            <v>303560</v>
          </cell>
          <cell r="F1238">
            <v>33801</v>
          </cell>
          <cell r="G1238">
            <v>33977</v>
          </cell>
          <cell r="H1238" t="str">
            <v>Norme AFNOR NF O 12-008</v>
          </cell>
          <cell r="I1238" t="str">
            <v>AFN</v>
          </cell>
          <cell r="J1238" t="str">
            <v>01</v>
          </cell>
          <cell r="K1238">
            <v>484</v>
          </cell>
          <cell r="L1238" t="str">
            <v>FRF</v>
          </cell>
          <cell r="M1238" t="str">
            <v>2201</v>
          </cell>
        </row>
        <row r="1239">
          <cell r="E1239" t="str">
            <v>303511</v>
          </cell>
          <cell r="F1239">
            <v>33777</v>
          </cell>
          <cell r="G1239">
            <v>33828</v>
          </cell>
          <cell r="H1239" t="str">
            <v>Additifs Pasteur</v>
          </cell>
          <cell r="I1239" t="str">
            <v>DPA</v>
          </cell>
          <cell r="J1239" t="str">
            <v>01</v>
          </cell>
          <cell r="K1239">
            <v>8429.4</v>
          </cell>
          <cell r="L1239" t="str">
            <v>FRF</v>
          </cell>
          <cell r="M1239" t="str">
            <v>2100</v>
          </cell>
        </row>
        <row r="1240">
          <cell r="E1240" t="str">
            <v>303678</v>
          </cell>
          <cell r="F1240">
            <v>33806</v>
          </cell>
          <cell r="G1240">
            <v>33941</v>
          </cell>
          <cell r="H1240" t="str">
            <v>1 Analyseur Palintest</v>
          </cell>
          <cell r="I1240" t="str">
            <v>PLT</v>
          </cell>
          <cell r="J1240" t="str">
            <v>01</v>
          </cell>
          <cell r="K1240">
            <v>27465.3</v>
          </cell>
          <cell r="L1240" t="str">
            <v>FRF</v>
          </cell>
          <cell r="M1240" t="str">
            <v>P001</v>
          </cell>
        </row>
        <row r="1241">
          <cell r="E1241" t="str">
            <v>303655</v>
          </cell>
          <cell r="F1241">
            <v>33801</v>
          </cell>
          <cell r="G1241">
            <v>33996</v>
          </cell>
          <cell r="H1241" t="str">
            <v>Additifs et aux. de fab. dans las IA</v>
          </cell>
          <cell r="I1241" t="str">
            <v>LAV</v>
          </cell>
          <cell r="J1241" t="str">
            <v>01</v>
          </cell>
          <cell r="K1241">
            <v>1331.59</v>
          </cell>
          <cell r="L1241" t="str">
            <v>FRF</v>
          </cell>
          <cell r="M1241" t="str">
            <v>2000</v>
          </cell>
        </row>
        <row r="1242">
          <cell r="E1242" t="str">
            <v>303924</v>
          </cell>
          <cell r="F1242">
            <v>33841</v>
          </cell>
          <cell r="G1242">
            <v>33855</v>
          </cell>
          <cell r="H1242" t="str">
            <v>Documentation Brauwelt fg dans bière</v>
          </cell>
          <cell r="I1242" t="str">
            <v>IFB</v>
          </cell>
          <cell r="J1242" t="str">
            <v>01</v>
          </cell>
          <cell r="K1242">
            <v>86</v>
          </cell>
          <cell r="L1242" t="str">
            <v>CFA</v>
          </cell>
          <cell r="M1242" t="str">
            <v>2201</v>
          </cell>
        </row>
        <row r="1243">
          <cell r="E1243" t="str">
            <v>303212</v>
          </cell>
          <cell r="F1243">
            <v>33777</v>
          </cell>
          <cell r="G1243">
            <v>33906</v>
          </cell>
          <cell r="H1243" t="str">
            <v>1 Lave-vaisselle de laboratoire</v>
          </cell>
          <cell r="I1243" t="str">
            <v>ATC</v>
          </cell>
          <cell r="J1243" t="str">
            <v>11</v>
          </cell>
          <cell r="K1243">
            <v>50974.75</v>
          </cell>
          <cell r="L1243">
            <v>0</v>
          </cell>
          <cell r="M1243" t="str">
            <v>P016</v>
          </cell>
        </row>
        <row r="1244">
          <cell r="E1244" t="str">
            <v>302911</v>
          </cell>
          <cell r="F1244">
            <v>33696</v>
          </cell>
          <cell r="G1244">
            <v>33786</v>
          </cell>
          <cell r="H1244" t="str">
            <v>Chloral Hydrate + Mercure Nitrate</v>
          </cell>
          <cell r="I1244" t="str">
            <v>MCK</v>
          </cell>
          <cell r="J1244" t="str">
            <v>01</v>
          </cell>
          <cell r="K1244">
            <v>680.3</v>
          </cell>
          <cell r="L1244" t="str">
            <v>FRF</v>
          </cell>
          <cell r="M1244" t="str">
            <v>2100</v>
          </cell>
        </row>
        <row r="1245">
          <cell r="E1245" t="str">
            <v>302911</v>
          </cell>
          <cell r="F1245">
            <v>33696</v>
          </cell>
          <cell r="G1245">
            <v>33786</v>
          </cell>
          <cell r="H1245" t="str">
            <v>1 Enregistreur potentiométrique Chessel</v>
          </cell>
          <cell r="I1245" t="str">
            <v>CHS</v>
          </cell>
          <cell r="J1245" t="str">
            <v>04</v>
          </cell>
          <cell r="K1245">
            <v>14023.5</v>
          </cell>
          <cell r="L1245" t="str">
            <v>FRF</v>
          </cell>
          <cell r="M1245" t="str">
            <v>P052</v>
          </cell>
        </row>
        <row r="1246">
          <cell r="E1246" t="str">
            <v>302911</v>
          </cell>
          <cell r="F1246">
            <v>33696</v>
          </cell>
          <cell r="G1246">
            <v>33786</v>
          </cell>
          <cell r="H1246" t="str">
            <v>1 Enregistreur potentiométrique Chessel</v>
          </cell>
          <cell r="I1246" t="str">
            <v>CHS</v>
          </cell>
          <cell r="J1246" t="str">
            <v>05</v>
          </cell>
          <cell r="K1246">
            <v>14023.5</v>
          </cell>
          <cell r="L1246" t="str">
            <v>FRF</v>
          </cell>
          <cell r="M1246" t="str">
            <v>P078</v>
          </cell>
        </row>
        <row r="1247">
          <cell r="E1247" t="str">
            <v>302911</v>
          </cell>
          <cell r="F1247">
            <v>33696</v>
          </cell>
          <cell r="G1247">
            <v>33786</v>
          </cell>
          <cell r="H1247" t="str">
            <v>1 Enregistreur potentiométrique Chessel</v>
          </cell>
          <cell r="I1247" t="str">
            <v>CHS</v>
          </cell>
          <cell r="J1247" t="str">
            <v>06</v>
          </cell>
          <cell r="K1247">
            <v>14023.5</v>
          </cell>
          <cell r="L1247" t="str">
            <v>FRF</v>
          </cell>
          <cell r="M1247" t="str">
            <v>P099</v>
          </cell>
        </row>
        <row r="1248">
          <cell r="E1248" t="str">
            <v>303915</v>
          </cell>
          <cell r="F1248">
            <v>33836</v>
          </cell>
          <cell r="G1248">
            <v>33774</v>
          </cell>
          <cell r="H1248" t="str">
            <v>6x144 Boîtes de Pétri en verre 60x12 mm</v>
          </cell>
          <cell r="I1248" t="str">
            <v>OSI</v>
          </cell>
          <cell r="J1248" t="str">
            <v>01</v>
          </cell>
          <cell r="K1248">
            <v>0</v>
          </cell>
          <cell r="L1248" t="str">
            <v>FRF</v>
          </cell>
          <cell r="M1248" t="str">
            <v>2100</v>
          </cell>
        </row>
        <row r="1249">
          <cell r="E1249" t="str">
            <v>302998</v>
          </cell>
          <cell r="F1249">
            <v>33703</v>
          </cell>
          <cell r="G1249">
            <v>33897</v>
          </cell>
          <cell r="H1249" t="str">
            <v>1 Autoclave vertical standard 40x70</v>
          </cell>
          <cell r="I1249" t="str">
            <v>LQX</v>
          </cell>
          <cell r="J1249" t="str">
            <v>SEMC</v>
          </cell>
          <cell r="K1249">
            <v>43532.28</v>
          </cell>
          <cell r="L1249" t="str">
            <v>FRF</v>
          </cell>
          <cell r="M1249" t="str">
            <v>SEMC</v>
          </cell>
        </row>
        <row r="1250">
          <cell r="E1250" t="str">
            <v>330603</v>
          </cell>
          <cell r="F1250">
            <v>36812</v>
          </cell>
          <cell r="G1250">
            <v>33738</v>
          </cell>
          <cell r="H1250" t="str">
            <v>4 Eléments ISOLAIR</v>
          </cell>
          <cell r="I1250" t="str">
            <v>CEF</v>
          </cell>
          <cell r="J1250" t="str">
            <v>04</v>
          </cell>
          <cell r="K1250">
            <v>0</v>
          </cell>
          <cell r="L1250" t="str">
            <v>FRF</v>
          </cell>
          <cell r="M1250" t="str">
            <v>2000</v>
          </cell>
        </row>
        <row r="1251">
          <cell r="E1251" t="str">
            <v>304104</v>
          </cell>
          <cell r="F1251">
            <v>33911</v>
          </cell>
          <cell r="G1251">
            <v>33758</v>
          </cell>
          <cell r="H1251" t="str">
            <v>TTC 0.05% + Tergitol 7 0.2% + Sulfamat.</v>
          </cell>
          <cell r="I1251" t="str">
            <v>DPA</v>
          </cell>
          <cell r="J1251" t="str">
            <v>01</v>
          </cell>
          <cell r="K1251">
            <v>0</v>
          </cell>
          <cell r="L1251" t="str">
            <v>FRF</v>
          </cell>
          <cell r="M1251" t="str">
            <v>2100</v>
          </cell>
        </row>
        <row r="1252">
          <cell r="E1252" t="str">
            <v>302993</v>
          </cell>
          <cell r="F1252">
            <v>33868</v>
          </cell>
          <cell r="G1252">
            <v>33830</v>
          </cell>
          <cell r="H1252" t="str">
            <v>Burettes air col + Spindelzylinder</v>
          </cell>
          <cell r="I1252" t="str">
            <v>GBL</v>
          </cell>
          <cell r="J1252" t="str">
            <v>01</v>
          </cell>
          <cell r="K1252">
            <v>0</v>
          </cell>
          <cell r="L1252" t="str">
            <v>FRF</v>
          </cell>
          <cell r="M1252" t="str">
            <v>2100</v>
          </cell>
        </row>
        <row r="1253">
          <cell r="E1253" t="str">
            <v>303958</v>
          </cell>
          <cell r="F1253">
            <v>33848</v>
          </cell>
          <cell r="G1253">
            <v>33738</v>
          </cell>
          <cell r="H1253" t="str">
            <v>8x250 pillules NH3/G</v>
          </cell>
          <cell r="I1253" t="str">
            <v>CIF</v>
          </cell>
          <cell r="J1253" t="str">
            <v>01</v>
          </cell>
          <cell r="K1253">
            <v>0</v>
          </cell>
          <cell r="L1253" t="str">
            <v>FRF</v>
          </cell>
          <cell r="M1253" t="str">
            <v>2100</v>
          </cell>
        </row>
        <row r="1254">
          <cell r="E1254" t="str">
            <v>302521</v>
          </cell>
          <cell r="F1254">
            <v>33658</v>
          </cell>
          <cell r="G1254">
            <v>33786</v>
          </cell>
          <cell r="H1254" t="str">
            <v>Pack battery REDPOST + Sondes 150 mm</v>
          </cell>
          <cell r="I1254" t="str">
            <v>HAF</v>
          </cell>
          <cell r="J1254" t="str">
            <v>01</v>
          </cell>
          <cell r="K1254">
            <v>7126.75</v>
          </cell>
          <cell r="L1254" t="str">
            <v>FRF</v>
          </cell>
          <cell r="M1254" t="str">
            <v>2000</v>
          </cell>
        </row>
        <row r="1255">
          <cell r="G1255">
            <v>33722</v>
          </cell>
          <cell r="H1255" t="str">
            <v>24 Accumulateur Ni-Cd</v>
          </cell>
          <cell r="I1255" t="str">
            <v>SEL</v>
          </cell>
          <cell r="J1255" t="str">
            <v>01</v>
          </cell>
          <cell r="K1255">
            <v>0</v>
          </cell>
          <cell r="M1255" t="str">
            <v>2000</v>
          </cell>
        </row>
        <row r="1256">
          <cell r="E1256" t="str">
            <v>302517</v>
          </cell>
          <cell r="F1256">
            <v>33658</v>
          </cell>
          <cell r="G1256">
            <v>33722</v>
          </cell>
          <cell r="H1256" t="str">
            <v>6x100 Pipette Pasteur</v>
          </cell>
          <cell r="I1256" t="str">
            <v>DPA</v>
          </cell>
          <cell r="J1256" t="str">
            <v>01</v>
          </cell>
          <cell r="K1256">
            <v>857.28</v>
          </cell>
          <cell r="L1256" t="str">
            <v>FRF</v>
          </cell>
          <cell r="M1256" t="str">
            <v>2100</v>
          </cell>
        </row>
        <row r="1257">
          <cell r="E1257" t="str">
            <v>302687</v>
          </cell>
          <cell r="F1257">
            <v>33771</v>
          </cell>
          <cell r="G1257">
            <v>33855</v>
          </cell>
          <cell r="H1257" t="str">
            <v>Lentille L.loupe + agitateurs magnétique</v>
          </cell>
          <cell r="I1257" t="str">
            <v>BBL</v>
          </cell>
          <cell r="J1257" t="str">
            <v>01</v>
          </cell>
          <cell r="K1257">
            <v>18737</v>
          </cell>
          <cell r="L1257" t="str">
            <v>FRF</v>
          </cell>
          <cell r="M1257" t="str">
            <v>2000</v>
          </cell>
        </row>
        <row r="1258">
          <cell r="E1258" t="str">
            <v>302675</v>
          </cell>
          <cell r="F1258">
            <v>33771</v>
          </cell>
          <cell r="G1258">
            <v>33855</v>
          </cell>
          <cell r="H1258" t="str">
            <v>Matériels de laboratoire</v>
          </cell>
          <cell r="I1258" t="str">
            <v>OSI</v>
          </cell>
          <cell r="J1258" t="str">
            <v>01</v>
          </cell>
          <cell r="K1258">
            <v>8681.1</v>
          </cell>
          <cell r="L1258" t="str">
            <v>FRF</v>
          </cell>
          <cell r="M1258" t="str">
            <v>2100</v>
          </cell>
        </row>
        <row r="1259">
          <cell r="E1259" t="str">
            <v>302640</v>
          </cell>
          <cell r="F1259">
            <v>33771</v>
          </cell>
          <cell r="G1259">
            <v>33897</v>
          </cell>
          <cell r="H1259" t="str">
            <v>Matériels de laboratoire</v>
          </cell>
          <cell r="I1259" t="str">
            <v>PRO</v>
          </cell>
          <cell r="J1259" t="str">
            <v>01</v>
          </cell>
          <cell r="K1259">
            <v>25811</v>
          </cell>
          <cell r="L1259" t="str">
            <v>FRF</v>
          </cell>
          <cell r="M1259" t="str">
            <v>2100</v>
          </cell>
        </row>
        <row r="1260">
          <cell r="E1260" t="str">
            <v>302994</v>
          </cell>
          <cell r="F1260">
            <v>33783</v>
          </cell>
          <cell r="H1260" t="str">
            <v>Saccharomètres Plato + Bouteilles système</v>
          </cell>
          <cell r="I1260" t="str">
            <v>GBL</v>
          </cell>
          <cell r="J1260" t="str">
            <v>01</v>
          </cell>
          <cell r="K1260">
            <v>13985.04</v>
          </cell>
          <cell r="L1260" t="str">
            <v>FRF</v>
          </cell>
          <cell r="M1260" t="str">
            <v>2100</v>
          </cell>
        </row>
        <row r="1261">
          <cell r="E1261" t="str">
            <v>302523</v>
          </cell>
          <cell r="F1261">
            <v>33658</v>
          </cell>
          <cell r="G1261">
            <v>33864</v>
          </cell>
          <cell r="H1261" t="str">
            <v>Hydrometers syrups and beverages</v>
          </cell>
          <cell r="I1261" t="str">
            <v>FSH</v>
          </cell>
          <cell r="J1261" t="str">
            <v>01</v>
          </cell>
          <cell r="K1261">
            <v>44856.24</v>
          </cell>
          <cell r="L1261" t="str">
            <v>FRF</v>
          </cell>
          <cell r="M1261" t="str">
            <v>2100</v>
          </cell>
        </row>
        <row r="1262">
          <cell r="E1262" t="str">
            <v>302687</v>
          </cell>
          <cell r="F1262">
            <v>33680</v>
          </cell>
          <cell r="G1262">
            <v>33855</v>
          </cell>
          <cell r="H1262" t="str">
            <v>1 Distributeur Unispence</v>
          </cell>
          <cell r="I1262" t="str">
            <v>BBL</v>
          </cell>
          <cell r="J1262" t="str">
            <v>01</v>
          </cell>
          <cell r="K1262">
            <v>15117</v>
          </cell>
          <cell r="L1262" t="str">
            <v>FRF</v>
          </cell>
          <cell r="M1262" t="str">
            <v>P001</v>
          </cell>
        </row>
        <row r="1263">
          <cell r="E1263" t="str">
            <v>303655</v>
          </cell>
          <cell r="F1263">
            <v>33801</v>
          </cell>
          <cell r="H1263" t="str">
            <v>Produits de laboratoire</v>
          </cell>
          <cell r="I1263" t="str">
            <v>CMC</v>
          </cell>
          <cell r="J1263" t="str">
            <v>01</v>
          </cell>
          <cell r="K1263">
            <v>0</v>
          </cell>
          <cell r="L1263" t="str">
            <v>CFA</v>
          </cell>
          <cell r="M1263" t="str">
            <v>2100</v>
          </cell>
        </row>
        <row r="1264">
          <cell r="G1264">
            <v>33774</v>
          </cell>
          <cell r="H1264" t="str">
            <v>Matériels de laboratoire</v>
          </cell>
          <cell r="I1264" t="str">
            <v>CMC</v>
          </cell>
          <cell r="J1264" t="str">
            <v>01</v>
          </cell>
          <cell r="K1264">
            <v>4683290</v>
          </cell>
          <cell r="L1264" t="str">
            <v>CFA</v>
          </cell>
          <cell r="M1264" t="str">
            <v>2000</v>
          </cell>
        </row>
        <row r="1265">
          <cell r="E1265" t="str">
            <v>303212</v>
          </cell>
          <cell r="F1265">
            <v>33777</v>
          </cell>
          <cell r="H1265" t="str">
            <v>Jauge profondeur,pied coulisse,comparat.</v>
          </cell>
          <cell r="I1265" t="str">
            <v>MAN</v>
          </cell>
          <cell r="J1265" t="str">
            <v>01</v>
          </cell>
          <cell r="K1265">
            <v>0</v>
          </cell>
          <cell r="L1265">
            <v>0</v>
          </cell>
          <cell r="M1265" t="str">
            <v>2100</v>
          </cell>
        </row>
        <row r="1266">
          <cell r="E1266" t="str">
            <v>302520</v>
          </cell>
          <cell r="F1266">
            <v>33658</v>
          </cell>
          <cell r="G1266">
            <v>33722</v>
          </cell>
          <cell r="H1266" t="str">
            <v>2 Résistances autoclave 3 KW</v>
          </cell>
          <cell r="I1266" t="str">
            <v>LQX</v>
          </cell>
          <cell r="J1266" t="str">
            <v>SEMC</v>
          </cell>
          <cell r="K1266">
            <v>8368.9</v>
          </cell>
          <cell r="L1266" t="str">
            <v>FRF</v>
          </cell>
          <cell r="M1266" t="str">
            <v>2000</v>
          </cell>
        </row>
        <row r="1267">
          <cell r="E1267" t="str">
            <v>302645</v>
          </cell>
          <cell r="F1267">
            <v>33679</v>
          </cell>
          <cell r="G1267">
            <v>33786</v>
          </cell>
          <cell r="H1267" t="str">
            <v>Logiciel de communication Data Capture</v>
          </cell>
          <cell r="I1267" t="str">
            <v>LBO</v>
          </cell>
          <cell r="J1267" t="str">
            <v>01</v>
          </cell>
          <cell r="K1267">
            <v>19035</v>
          </cell>
          <cell r="L1267" t="str">
            <v>FRF</v>
          </cell>
          <cell r="M1267" t="str">
            <v>P001</v>
          </cell>
        </row>
        <row r="1268">
          <cell r="E1268" t="str">
            <v>302911</v>
          </cell>
          <cell r="F1268">
            <v>33696</v>
          </cell>
          <cell r="G1268">
            <v>33794</v>
          </cell>
          <cell r="H1268" t="str">
            <v>Produits de laboratoire</v>
          </cell>
          <cell r="I1268" t="str">
            <v>PRO</v>
          </cell>
          <cell r="J1268" t="str">
            <v>01</v>
          </cell>
          <cell r="K1268">
            <v>0</v>
          </cell>
          <cell r="L1268" t="str">
            <v>FRF</v>
          </cell>
          <cell r="M1268" t="str">
            <v>2100</v>
          </cell>
        </row>
        <row r="1269">
          <cell r="E1269" t="str">
            <v>302522</v>
          </cell>
          <cell r="F1269">
            <v>33658</v>
          </cell>
          <cell r="G1269">
            <v>33786</v>
          </cell>
          <cell r="H1269" t="str">
            <v>Minisart NML pores 0.45 µm</v>
          </cell>
          <cell r="I1269" t="str">
            <v>STR</v>
          </cell>
          <cell r="J1269" t="str">
            <v>01</v>
          </cell>
          <cell r="K1269">
            <v>4683</v>
          </cell>
          <cell r="L1269" t="str">
            <v>FRF</v>
          </cell>
          <cell r="M1269" t="str">
            <v>2100</v>
          </cell>
        </row>
        <row r="1270">
          <cell r="G1270">
            <v>33780</v>
          </cell>
          <cell r="H1270" t="str">
            <v>Solutions SCABA</v>
          </cell>
          <cell r="I1270" t="str">
            <v>FOS</v>
          </cell>
          <cell r="J1270" t="str">
            <v>01</v>
          </cell>
          <cell r="K1270">
            <v>0</v>
          </cell>
          <cell r="M1270" t="str">
            <v>2100</v>
          </cell>
        </row>
        <row r="1271">
          <cell r="E1271" t="str">
            <v>302998</v>
          </cell>
          <cell r="F1271">
            <v>33703</v>
          </cell>
          <cell r="G1271">
            <v>33830</v>
          </cell>
          <cell r="H1271" t="str">
            <v>Produits de laboratoire</v>
          </cell>
          <cell r="I1271" t="str">
            <v>STR</v>
          </cell>
          <cell r="J1271" t="str">
            <v>01</v>
          </cell>
          <cell r="K1271">
            <v>0</v>
          </cell>
          <cell r="M1271" t="str">
            <v>2100</v>
          </cell>
        </row>
        <row r="1272">
          <cell r="G1272">
            <v>33746</v>
          </cell>
          <cell r="H1272" t="str">
            <v>Produits de laboratoire</v>
          </cell>
          <cell r="I1272" t="str">
            <v>BIO</v>
          </cell>
          <cell r="J1272" t="str">
            <v>01</v>
          </cell>
          <cell r="K1272">
            <v>0</v>
          </cell>
          <cell r="M1272" t="str">
            <v>2100</v>
          </cell>
        </row>
        <row r="1273">
          <cell r="G1273">
            <v>33774</v>
          </cell>
          <cell r="H1273" t="str">
            <v>Produits de laboratoire</v>
          </cell>
          <cell r="I1273" t="str">
            <v>MCK</v>
          </cell>
          <cell r="J1273" t="str">
            <v>01</v>
          </cell>
          <cell r="K1273">
            <v>0</v>
          </cell>
          <cell r="M1273" t="str">
            <v>2100</v>
          </cell>
        </row>
        <row r="1274">
          <cell r="E1274" t="str">
            <v>23409</v>
          </cell>
          <cell r="F1274">
            <v>33660</v>
          </cell>
          <cell r="G1274">
            <v>33830</v>
          </cell>
          <cell r="H1274" t="str">
            <v>Burettes air col + Spindelzylinder</v>
          </cell>
          <cell r="I1274" t="str">
            <v>GBL</v>
          </cell>
          <cell r="J1274" t="str">
            <v>01</v>
          </cell>
          <cell r="K1274">
            <v>0</v>
          </cell>
          <cell r="L1274" t="str">
            <v>CFA</v>
          </cell>
          <cell r="M1274" t="str">
            <v>2100</v>
          </cell>
        </row>
        <row r="1275">
          <cell r="E1275" t="str">
            <v>302519</v>
          </cell>
          <cell r="F1275">
            <v>33658</v>
          </cell>
          <cell r="G1275">
            <v>33738</v>
          </cell>
          <cell r="H1275" t="str">
            <v>8x250 pillules NH3/G</v>
          </cell>
          <cell r="I1275" t="str">
            <v>CIF</v>
          </cell>
          <cell r="J1275" t="str">
            <v>01</v>
          </cell>
          <cell r="K1275">
            <v>0</v>
          </cell>
          <cell r="L1275" t="str">
            <v>FRF</v>
          </cell>
          <cell r="M1275" t="str">
            <v>2100</v>
          </cell>
        </row>
        <row r="1276">
          <cell r="E1276" t="str">
            <v>32157</v>
          </cell>
          <cell r="F1276">
            <v>38028</v>
          </cell>
          <cell r="G1276">
            <v>38065</v>
          </cell>
          <cell r="H1276" t="str">
            <v>Densimètre DMA 4500</v>
          </cell>
          <cell r="I1276" t="str">
            <v>PAA</v>
          </cell>
          <cell r="J1276" t="str">
            <v>11</v>
          </cell>
          <cell r="K1276">
            <v>13922.5</v>
          </cell>
          <cell r="L1276" t="str">
            <v>EUR</v>
          </cell>
          <cell r="M1276" t="str">
            <v>CV035</v>
          </cell>
        </row>
        <row r="1277">
          <cell r="G1277">
            <v>33786</v>
          </cell>
          <cell r="H1277" t="str">
            <v>Publication of EBC</v>
          </cell>
          <cell r="I1277" t="str">
            <v>LAV</v>
          </cell>
          <cell r="J1277" t="str">
            <v>01</v>
          </cell>
          <cell r="K1277">
            <v>0</v>
          </cell>
          <cell r="M1277" t="str">
            <v>2201</v>
          </cell>
        </row>
        <row r="1278">
          <cell r="E1278" t="str">
            <v>302643</v>
          </cell>
          <cell r="F1278">
            <v>33771</v>
          </cell>
          <cell r="G1278">
            <v>33857</v>
          </cell>
          <cell r="H1278" t="str">
            <v>Rechanges spectrophotomètres</v>
          </cell>
          <cell r="I1278" t="str">
            <v>LBO</v>
          </cell>
          <cell r="J1278" t="str">
            <v>01</v>
          </cell>
          <cell r="K1278">
            <v>50753</v>
          </cell>
          <cell r="L1278" t="str">
            <v>FRF</v>
          </cell>
          <cell r="M1278" t="str">
            <v>2000</v>
          </cell>
        </row>
        <row r="1279">
          <cell r="E1279" t="str">
            <v>302687</v>
          </cell>
          <cell r="F1279">
            <v>33771</v>
          </cell>
          <cell r="G1279">
            <v>33546</v>
          </cell>
          <cell r="H1279" t="str">
            <v>1 carte alimentation + 2 lampes UV</v>
          </cell>
          <cell r="I1279" t="str">
            <v>LBO</v>
          </cell>
          <cell r="J1279" t="str">
            <v>01</v>
          </cell>
          <cell r="K1279">
            <v>24000</v>
          </cell>
          <cell r="L1279" t="str">
            <v>FRF</v>
          </cell>
          <cell r="M1279" t="str">
            <v>2000</v>
          </cell>
        </row>
        <row r="1280">
          <cell r="E1280" t="str">
            <v>302675</v>
          </cell>
          <cell r="F1280">
            <v>33771</v>
          </cell>
          <cell r="G1280">
            <v>33617</v>
          </cell>
          <cell r="H1280" t="str">
            <v>2x6 filtres hydrophobes scaba</v>
          </cell>
          <cell r="I1280" t="str">
            <v>STR</v>
          </cell>
          <cell r="J1280" t="str">
            <v>01</v>
          </cell>
          <cell r="K1280">
            <v>0</v>
          </cell>
          <cell r="L1280" t="str">
            <v>FRF</v>
          </cell>
          <cell r="M1280" t="str">
            <v>2100</v>
          </cell>
        </row>
        <row r="1281">
          <cell r="E1281" t="str">
            <v>302141</v>
          </cell>
          <cell r="F1281">
            <v>33592</v>
          </cell>
          <cell r="G1281">
            <v>33687</v>
          </cell>
          <cell r="H1281" t="str">
            <v>24 Ersatzspindelzylinder aus Glas</v>
          </cell>
          <cell r="I1281" t="str">
            <v>BKH</v>
          </cell>
          <cell r="J1281" t="str">
            <v>01</v>
          </cell>
          <cell r="K1281">
            <v>3641.72</v>
          </cell>
          <cell r="L1281" t="str">
            <v>FRF</v>
          </cell>
          <cell r="M1281" t="str">
            <v>2100</v>
          </cell>
        </row>
        <row r="1282">
          <cell r="E1282" t="str">
            <v>302994</v>
          </cell>
          <cell r="F1282">
            <v>33783</v>
          </cell>
          <cell r="H1282" t="str">
            <v>Documentation:le vin,l'emballage</v>
          </cell>
          <cell r="I1282" t="str">
            <v>LAV</v>
          </cell>
          <cell r="J1282" t="str">
            <v>01</v>
          </cell>
          <cell r="K1282">
            <v>0</v>
          </cell>
          <cell r="L1282" t="str">
            <v>FRF</v>
          </cell>
          <cell r="M1282" t="str">
            <v>2201</v>
          </cell>
        </row>
        <row r="1283">
          <cell r="E1283" t="str">
            <v>302114</v>
          </cell>
          <cell r="F1283">
            <v>33591</v>
          </cell>
          <cell r="G1283">
            <v>33675</v>
          </cell>
          <cell r="H1283" t="str">
            <v>2 Résistances + 2 pressostats autoclave</v>
          </cell>
          <cell r="I1283" t="str">
            <v>LQX</v>
          </cell>
          <cell r="J1283" t="str">
            <v>06</v>
          </cell>
          <cell r="K1283">
            <v>10040</v>
          </cell>
          <cell r="L1283" t="str">
            <v>FRF</v>
          </cell>
          <cell r="M1283" t="str">
            <v>2000</v>
          </cell>
        </row>
        <row r="1284">
          <cell r="E1284" t="str">
            <v>302687</v>
          </cell>
          <cell r="F1284">
            <v>33535</v>
          </cell>
          <cell r="G1284">
            <v>33610</v>
          </cell>
          <cell r="H1284" t="str">
            <v>80 Generbox anaer + 3 staphyslide</v>
          </cell>
          <cell r="I1284" t="str">
            <v>BIO</v>
          </cell>
          <cell r="J1284" t="str">
            <v>01</v>
          </cell>
          <cell r="K1284">
            <v>1034400</v>
          </cell>
          <cell r="L1284" t="str">
            <v>CFA</v>
          </cell>
          <cell r="M1284" t="str">
            <v>2100</v>
          </cell>
        </row>
        <row r="1285">
          <cell r="E1285" t="str">
            <v>1124</v>
          </cell>
          <cell r="F1285">
            <v>33822</v>
          </cell>
          <cell r="G1285">
            <v>33914</v>
          </cell>
          <cell r="H1285" t="str">
            <v>Produits de laboratoire</v>
          </cell>
          <cell r="I1285" t="str">
            <v>CMC</v>
          </cell>
          <cell r="J1285" t="str">
            <v>01</v>
          </cell>
          <cell r="K1285">
            <v>0</v>
          </cell>
          <cell r="L1285" t="str">
            <v>CFA</v>
          </cell>
          <cell r="M1285" t="str">
            <v>2100</v>
          </cell>
        </row>
        <row r="1286">
          <cell r="E1286" t="str">
            <v>301802</v>
          </cell>
          <cell r="F1286">
            <v>33554</v>
          </cell>
          <cell r="G1286">
            <v>33774</v>
          </cell>
          <cell r="H1286" t="str">
            <v>Matériels de laboratoire</v>
          </cell>
          <cell r="I1286" t="str">
            <v>CMC</v>
          </cell>
          <cell r="J1286" t="str">
            <v>01</v>
          </cell>
          <cell r="K1286">
            <v>4683290</v>
          </cell>
          <cell r="L1286" t="str">
            <v>CFA</v>
          </cell>
          <cell r="M1286" t="str">
            <v>2000</v>
          </cell>
        </row>
        <row r="1287">
          <cell r="E1287" t="str">
            <v>303244</v>
          </cell>
          <cell r="F1287">
            <v>33738</v>
          </cell>
          <cell r="G1287">
            <v>33823</v>
          </cell>
          <cell r="H1287" t="str">
            <v>Jauge profondeur,pied coulisse,comparat.</v>
          </cell>
          <cell r="I1287" t="str">
            <v>MAN</v>
          </cell>
          <cell r="J1287" t="str">
            <v>01</v>
          </cell>
          <cell r="K1287">
            <v>0</v>
          </cell>
          <cell r="L1287" t="str">
            <v>FRF</v>
          </cell>
          <cell r="M1287" t="str">
            <v>2100</v>
          </cell>
        </row>
        <row r="1288">
          <cell r="E1288" t="str">
            <v>302131</v>
          </cell>
          <cell r="F1288">
            <v>33591</v>
          </cell>
          <cell r="G1288">
            <v>33722</v>
          </cell>
          <cell r="H1288" t="str">
            <v>Matériels de laboratoire</v>
          </cell>
          <cell r="I1288" t="str">
            <v>PRO</v>
          </cell>
          <cell r="J1288" t="str">
            <v>01</v>
          </cell>
          <cell r="K1288">
            <v>15239.6</v>
          </cell>
          <cell r="L1288" t="str">
            <v>FRF</v>
          </cell>
          <cell r="M1288" t="str">
            <v>2100</v>
          </cell>
        </row>
        <row r="1289">
          <cell r="E1289" t="str">
            <v>302645</v>
          </cell>
          <cell r="F1289">
            <v>33679</v>
          </cell>
          <cell r="H1289" t="str">
            <v>Régulateur débit massique d'air</v>
          </cell>
          <cell r="I1289" t="str">
            <v>BBL</v>
          </cell>
          <cell r="J1289" t="str">
            <v>01</v>
          </cell>
          <cell r="K1289">
            <v>0</v>
          </cell>
          <cell r="L1289" t="str">
            <v>FRF</v>
          </cell>
          <cell r="M1289" t="str">
            <v>A226</v>
          </cell>
        </row>
        <row r="1290">
          <cell r="G1290">
            <v>33794</v>
          </cell>
          <cell r="H1290" t="str">
            <v>Régulateur débit massique d'air</v>
          </cell>
          <cell r="I1290" t="str">
            <v>BBL</v>
          </cell>
          <cell r="J1290" t="str">
            <v>01</v>
          </cell>
          <cell r="K1290">
            <v>0</v>
          </cell>
          <cell r="M1290" t="str">
            <v>A113</v>
          </cell>
        </row>
        <row r="1291">
          <cell r="E1291" t="str">
            <v>300682</v>
          </cell>
          <cell r="F1291">
            <v>33326</v>
          </cell>
          <cell r="G1291">
            <v>33387</v>
          </cell>
          <cell r="H1291" t="str">
            <v>Minisart NML pores 0.45 µm</v>
          </cell>
          <cell r="I1291" t="str">
            <v>STR</v>
          </cell>
          <cell r="J1291" t="str">
            <v>01</v>
          </cell>
          <cell r="K1291">
            <v>4683</v>
          </cell>
          <cell r="L1291" t="str">
            <v>FRF</v>
          </cell>
          <cell r="M1291" t="str">
            <v>2100</v>
          </cell>
        </row>
        <row r="1292">
          <cell r="E1292" t="str">
            <v>21862</v>
          </cell>
          <cell r="F1292">
            <v>33284</v>
          </cell>
          <cell r="G1292">
            <v>33780</v>
          </cell>
          <cell r="H1292" t="str">
            <v>Solutions SCABA</v>
          </cell>
          <cell r="I1292" t="str">
            <v>FOS</v>
          </cell>
          <cell r="J1292" t="str">
            <v>01</v>
          </cell>
          <cell r="K1292">
            <v>0</v>
          </cell>
          <cell r="L1292" t="str">
            <v>CFA</v>
          </cell>
          <cell r="M1292" t="str">
            <v>2100</v>
          </cell>
        </row>
        <row r="1293">
          <cell r="E1293" t="str">
            <v>50531</v>
          </cell>
          <cell r="F1293">
            <v>33340</v>
          </cell>
          <cell r="G1293">
            <v>33830</v>
          </cell>
          <cell r="H1293" t="str">
            <v>Produits de laboratoire</v>
          </cell>
          <cell r="I1293" t="str">
            <v>STR</v>
          </cell>
          <cell r="J1293" t="str">
            <v>01</v>
          </cell>
          <cell r="K1293">
            <v>0</v>
          </cell>
          <cell r="L1293" t="str">
            <v>CFA</v>
          </cell>
          <cell r="M1293" t="str">
            <v>2100</v>
          </cell>
        </row>
        <row r="1294">
          <cell r="E1294" t="str">
            <v>21917</v>
          </cell>
          <cell r="F1294">
            <v>33296</v>
          </cell>
          <cell r="G1294">
            <v>33746</v>
          </cell>
          <cell r="H1294" t="str">
            <v>Produits de laboratoire</v>
          </cell>
          <cell r="I1294" t="str">
            <v>BIO</v>
          </cell>
          <cell r="J1294" t="str">
            <v>01</v>
          </cell>
          <cell r="K1294">
            <v>0</v>
          </cell>
          <cell r="L1294" t="str">
            <v>CFA</v>
          </cell>
          <cell r="M1294" t="str">
            <v>2100</v>
          </cell>
        </row>
        <row r="1295">
          <cell r="E1295" t="str">
            <v>300649</v>
          </cell>
          <cell r="F1295">
            <v>33333</v>
          </cell>
          <cell r="G1295">
            <v>33774</v>
          </cell>
          <cell r="H1295" t="str">
            <v>Produits de laboratoire</v>
          </cell>
          <cell r="I1295" t="str">
            <v>MCK</v>
          </cell>
          <cell r="J1295" t="str">
            <v>01</v>
          </cell>
          <cell r="K1295">
            <v>0</v>
          </cell>
          <cell r="L1295" t="str">
            <v>FRF</v>
          </cell>
          <cell r="M1295" t="str">
            <v>2100</v>
          </cell>
        </row>
        <row r="1296">
          <cell r="E1296" t="str">
            <v>300638</v>
          </cell>
          <cell r="F1296">
            <v>33333</v>
          </cell>
          <cell r="G1296">
            <v>33070</v>
          </cell>
          <cell r="H1296" t="str">
            <v>1 Testeur de jauge MK2</v>
          </cell>
          <cell r="I1296" t="str">
            <v>CPM</v>
          </cell>
          <cell r="J1296" t="str">
            <v>01</v>
          </cell>
          <cell r="K1296">
            <v>19277.189999999999</v>
          </cell>
          <cell r="L1296" t="str">
            <v>FRF</v>
          </cell>
          <cell r="M1296" t="str">
            <v>N001</v>
          </cell>
        </row>
        <row r="1297">
          <cell r="E1297" t="str">
            <v>300809</v>
          </cell>
          <cell r="F1297">
            <v>33420</v>
          </cell>
          <cell r="G1297">
            <v>33637</v>
          </cell>
          <cell r="H1297" t="str">
            <v>120 green glasses</v>
          </cell>
          <cell r="I1297" t="str">
            <v>OVE</v>
          </cell>
          <cell r="J1297" t="str">
            <v>01</v>
          </cell>
          <cell r="K1297">
            <v>15972.02</v>
          </cell>
          <cell r="L1297" t="str">
            <v>FRF</v>
          </cell>
          <cell r="M1297" t="str">
            <v>2100</v>
          </cell>
        </row>
        <row r="1298">
          <cell r="E1298" t="str">
            <v>301050</v>
          </cell>
          <cell r="F1298">
            <v>33395</v>
          </cell>
          <cell r="G1298">
            <v>33527</v>
          </cell>
          <cell r="H1298" t="str">
            <v>1 Hotte à flux d'air laminaire stérile</v>
          </cell>
          <cell r="I1298" t="str">
            <v>PLC</v>
          </cell>
          <cell r="J1298" t="str">
            <v>11</v>
          </cell>
          <cell r="K1298">
            <v>37645</v>
          </cell>
          <cell r="L1298" t="str">
            <v>FRF</v>
          </cell>
          <cell r="M1298" t="str">
            <v>N001</v>
          </cell>
        </row>
        <row r="1299">
          <cell r="E1299" t="str">
            <v>301020</v>
          </cell>
          <cell r="F1299">
            <v>33389</v>
          </cell>
          <cell r="G1299">
            <v>33786</v>
          </cell>
          <cell r="H1299" t="str">
            <v>Publication of EBC</v>
          </cell>
          <cell r="I1299" t="str">
            <v>LAV</v>
          </cell>
          <cell r="J1299" t="str">
            <v>01</v>
          </cell>
          <cell r="K1299">
            <v>0</v>
          </cell>
          <cell r="L1299" t="str">
            <v>FRF</v>
          </cell>
          <cell r="M1299" t="str">
            <v>2201</v>
          </cell>
        </row>
        <row r="1300">
          <cell r="E1300" t="str">
            <v>22022</v>
          </cell>
          <cell r="F1300">
            <v>33317</v>
          </cell>
          <cell r="G1300">
            <v>33330</v>
          </cell>
          <cell r="H1300" t="str">
            <v>6 x 454g UBA</v>
          </cell>
          <cell r="I1300" t="str">
            <v>APX</v>
          </cell>
          <cell r="J1300" t="str">
            <v>01</v>
          </cell>
          <cell r="K1300">
            <v>682500</v>
          </cell>
          <cell r="L1300" t="str">
            <v xml:space="preserve">  A</v>
          </cell>
          <cell r="M1300" t="str">
            <v>2100</v>
          </cell>
        </row>
        <row r="1301">
          <cell r="E1301" t="str">
            <v>300699</v>
          </cell>
          <cell r="F1301">
            <v>33371</v>
          </cell>
          <cell r="G1301">
            <v>33546</v>
          </cell>
          <cell r="H1301" t="str">
            <v>1 carte alimentation + 2 lampes UV</v>
          </cell>
          <cell r="I1301" t="str">
            <v>LBO</v>
          </cell>
          <cell r="J1301" t="str">
            <v>01</v>
          </cell>
          <cell r="K1301">
            <v>24000</v>
          </cell>
          <cell r="L1301" t="str">
            <v>FRF</v>
          </cell>
          <cell r="M1301" t="str">
            <v>2000</v>
          </cell>
        </row>
        <row r="1302">
          <cell r="E1302" t="str">
            <v>300823</v>
          </cell>
          <cell r="F1302">
            <v>33387</v>
          </cell>
          <cell r="G1302">
            <v>33617</v>
          </cell>
          <cell r="H1302" t="str">
            <v>2x6 filtres hydrophobes scaba</v>
          </cell>
          <cell r="I1302" t="str">
            <v>STR</v>
          </cell>
          <cell r="J1302" t="str">
            <v>01</v>
          </cell>
          <cell r="K1302">
            <v>0</v>
          </cell>
          <cell r="L1302" t="str">
            <v>FRF</v>
          </cell>
          <cell r="M1302" t="str">
            <v>2100</v>
          </cell>
        </row>
        <row r="1303">
          <cell r="E1303" t="str">
            <v>22067</v>
          </cell>
          <cell r="F1303">
            <v>33330</v>
          </cell>
          <cell r="G1303">
            <v>33330</v>
          </cell>
          <cell r="H1303" t="str">
            <v>Résistance pour alambic+disp sécurité</v>
          </cell>
          <cell r="I1303" t="str">
            <v>APX</v>
          </cell>
          <cell r="J1303" t="str">
            <v>01</v>
          </cell>
          <cell r="K1303">
            <v>262080</v>
          </cell>
          <cell r="L1303" t="str">
            <v>CFA</v>
          </cell>
          <cell r="M1303" t="str">
            <v>2000</v>
          </cell>
        </row>
        <row r="1304">
          <cell r="E1304" t="str">
            <v>301325</v>
          </cell>
          <cell r="F1304">
            <v>33448</v>
          </cell>
          <cell r="G1304">
            <v>33486</v>
          </cell>
          <cell r="H1304" t="str">
            <v>Documentation:le vin,l'emballage</v>
          </cell>
          <cell r="I1304" t="str">
            <v>LAV</v>
          </cell>
          <cell r="J1304" t="str">
            <v>01</v>
          </cell>
          <cell r="K1304">
            <v>0</v>
          </cell>
          <cell r="L1304" t="str">
            <v>FRF</v>
          </cell>
          <cell r="M1304" t="str">
            <v>2201</v>
          </cell>
        </row>
        <row r="1305">
          <cell r="E1305" t="str">
            <v>300714</v>
          </cell>
          <cell r="F1305">
            <v>33357</v>
          </cell>
          <cell r="G1305">
            <v>33416</v>
          </cell>
          <cell r="H1305" t="str">
            <v>36 Pressure gauges + 8 graduated burets</v>
          </cell>
          <cell r="I1305" t="str">
            <v>TRS</v>
          </cell>
          <cell r="J1305" t="str">
            <v>01</v>
          </cell>
          <cell r="K1305">
            <v>14607.38</v>
          </cell>
          <cell r="L1305" t="str">
            <v>FRF</v>
          </cell>
          <cell r="M1305" t="str">
            <v>2000</v>
          </cell>
        </row>
        <row r="1306">
          <cell r="E1306" t="str">
            <v>300613</v>
          </cell>
          <cell r="F1306">
            <v>33535</v>
          </cell>
          <cell r="G1306">
            <v>33610</v>
          </cell>
          <cell r="H1306" t="str">
            <v>80 Generbox anaer + 3 staphyslide</v>
          </cell>
          <cell r="I1306" t="str">
            <v>BIO</v>
          </cell>
          <cell r="J1306" t="str">
            <v>01</v>
          </cell>
          <cell r="K1306">
            <v>1034400</v>
          </cell>
          <cell r="L1306" t="str">
            <v>CFA</v>
          </cell>
          <cell r="M1306" t="str">
            <v>2100</v>
          </cell>
        </row>
        <row r="1307">
          <cell r="E1307" t="str">
            <v>300717</v>
          </cell>
          <cell r="F1307">
            <v>33357</v>
          </cell>
          <cell r="G1307">
            <v>33425</v>
          </cell>
          <cell r="H1307" t="str">
            <v>4 Sondes + 4 outils de mont + 4 cellules</v>
          </cell>
          <cell r="I1307" t="str">
            <v>ORB</v>
          </cell>
          <cell r="J1307" t="str">
            <v>01</v>
          </cell>
          <cell r="K1307">
            <v>97591.94</v>
          </cell>
          <cell r="L1307" t="str">
            <v>FRF</v>
          </cell>
          <cell r="M1307" t="str">
            <v>2000</v>
          </cell>
        </row>
        <row r="1308">
          <cell r="E1308" t="str">
            <v>301344</v>
          </cell>
          <cell r="F1308">
            <v>33452</v>
          </cell>
          <cell r="G1308">
            <v>33514</v>
          </cell>
          <cell r="H1308" t="str">
            <v>6 Gasbox anaerobic jars</v>
          </cell>
          <cell r="I1308" t="str">
            <v>BIO</v>
          </cell>
          <cell r="J1308" t="str">
            <v>01</v>
          </cell>
          <cell r="K1308">
            <v>10800</v>
          </cell>
          <cell r="L1308" t="str">
            <v>FRF</v>
          </cell>
          <cell r="M1308" t="str">
            <v>2100</v>
          </cell>
        </row>
        <row r="1309">
          <cell r="E1309" t="str">
            <v>301018</v>
          </cell>
          <cell r="F1309">
            <v>33388</v>
          </cell>
          <cell r="G1309">
            <v>33486</v>
          </cell>
          <cell r="H1309" t="str">
            <v>12 x 454 g UBA</v>
          </cell>
          <cell r="I1309" t="str">
            <v>OSI</v>
          </cell>
          <cell r="J1309" t="str">
            <v>01</v>
          </cell>
          <cell r="K1309">
            <v>10730</v>
          </cell>
          <cell r="L1309" t="str">
            <v>FRF</v>
          </cell>
          <cell r="M1309" t="str">
            <v>2100</v>
          </cell>
        </row>
        <row r="1310">
          <cell r="E1310" t="str">
            <v>22068</v>
          </cell>
          <cell r="F1310">
            <v>33330</v>
          </cell>
          <cell r="G1310">
            <v>33330</v>
          </cell>
          <cell r="H1310" t="str">
            <v>20 thermomètres alcool/fuchsine/phénol</v>
          </cell>
          <cell r="I1310" t="str">
            <v>APX</v>
          </cell>
          <cell r="J1310" t="str">
            <v>01</v>
          </cell>
          <cell r="K1310">
            <v>429260</v>
          </cell>
          <cell r="L1310" t="str">
            <v>CFA</v>
          </cell>
          <cell r="M1310" t="str">
            <v>2000</v>
          </cell>
        </row>
        <row r="1311">
          <cell r="E1311" t="str">
            <v>300816</v>
          </cell>
          <cell r="F1311">
            <v>33387</v>
          </cell>
          <cell r="G1311">
            <v>33452</v>
          </cell>
          <cell r="H1311" t="str">
            <v>Régulateur débit massique d'air</v>
          </cell>
          <cell r="I1311" t="str">
            <v>BBL</v>
          </cell>
          <cell r="J1311" t="str">
            <v>01</v>
          </cell>
          <cell r="K1311">
            <v>0</v>
          </cell>
          <cell r="L1311" t="str">
            <v>FRF</v>
          </cell>
          <cell r="M1311" t="str">
            <v>A226</v>
          </cell>
        </row>
        <row r="1312">
          <cell r="E1312" t="str">
            <v>300817</v>
          </cell>
          <cell r="F1312">
            <v>33352</v>
          </cell>
          <cell r="G1312">
            <v>33408</v>
          </cell>
          <cell r="H1312" t="str">
            <v>Régulateur débit massique d'air</v>
          </cell>
          <cell r="I1312" t="str">
            <v>BBL</v>
          </cell>
          <cell r="J1312" t="str">
            <v>01</v>
          </cell>
          <cell r="K1312">
            <v>0</v>
          </cell>
          <cell r="L1312" t="str">
            <v>FRF</v>
          </cell>
          <cell r="M1312" t="str">
            <v>A113</v>
          </cell>
        </row>
        <row r="1313">
          <cell r="E1313" t="str">
            <v>300885</v>
          </cell>
          <cell r="F1313">
            <v>33360</v>
          </cell>
          <cell r="G1313">
            <v>33481</v>
          </cell>
          <cell r="H1313" t="str">
            <v>Dispositif d'aspiration non thermostaté</v>
          </cell>
          <cell r="I1313" t="str">
            <v>WAT</v>
          </cell>
          <cell r="J1313" t="str">
            <v>01</v>
          </cell>
          <cell r="K1313">
            <v>29536.03</v>
          </cell>
          <cell r="L1313" t="str">
            <v>FRF</v>
          </cell>
          <cell r="M1313" t="str">
            <v>N001</v>
          </cell>
        </row>
        <row r="1314">
          <cell r="E1314" t="str">
            <v>300893</v>
          </cell>
          <cell r="F1314">
            <v>33360</v>
          </cell>
          <cell r="G1314">
            <v>33402</v>
          </cell>
          <cell r="H1314" t="str">
            <v>5000 membranes stériles nitrate cellulos</v>
          </cell>
          <cell r="I1314" t="str">
            <v>STR</v>
          </cell>
          <cell r="J1314" t="str">
            <v>SEMC</v>
          </cell>
          <cell r="K1314">
            <v>1486490</v>
          </cell>
          <cell r="L1314" t="str">
            <v>CFA</v>
          </cell>
          <cell r="M1314" t="str">
            <v>2100</v>
          </cell>
        </row>
        <row r="1315">
          <cell r="E1315" t="str">
            <v>22066</v>
          </cell>
          <cell r="F1315">
            <v>33330</v>
          </cell>
          <cell r="G1315">
            <v>33381</v>
          </cell>
          <cell r="H1315" t="str">
            <v>Sonde de température pour machine MIELE</v>
          </cell>
          <cell r="I1315" t="str">
            <v>PRO</v>
          </cell>
          <cell r="J1315" t="str">
            <v>01</v>
          </cell>
          <cell r="K1315">
            <v>50545</v>
          </cell>
          <cell r="L1315" t="str">
            <v>CFA</v>
          </cell>
          <cell r="M1315" t="str">
            <v>2000</v>
          </cell>
        </row>
        <row r="1316">
          <cell r="E1316" t="str">
            <v>301032</v>
          </cell>
          <cell r="F1316">
            <v>33393</v>
          </cell>
          <cell r="G1316">
            <v>33452</v>
          </cell>
          <cell r="H1316" t="str">
            <v>Disques O3 + DPD n°4 5000 R et 6000 N</v>
          </cell>
          <cell r="I1316" t="str">
            <v>CIF</v>
          </cell>
          <cell r="J1316" t="str">
            <v>01</v>
          </cell>
          <cell r="K1316">
            <v>9638</v>
          </cell>
          <cell r="L1316" t="str">
            <v>FRF</v>
          </cell>
          <cell r="M1316" t="str">
            <v>2100</v>
          </cell>
        </row>
        <row r="1317">
          <cell r="E1317" t="str">
            <v>300861</v>
          </cell>
          <cell r="F1317">
            <v>33357</v>
          </cell>
          <cell r="G1317">
            <v>33416</v>
          </cell>
          <cell r="H1317" t="str">
            <v>Additifs API 20 NE + API 20 E</v>
          </cell>
          <cell r="I1317" t="str">
            <v>BIO</v>
          </cell>
          <cell r="J1317" t="str">
            <v>01</v>
          </cell>
          <cell r="K1317">
            <v>1294.3800000000001</v>
          </cell>
          <cell r="L1317" t="str">
            <v>FRF</v>
          </cell>
          <cell r="M1317" t="str">
            <v>2100</v>
          </cell>
        </row>
        <row r="1318">
          <cell r="E1318" t="str">
            <v>300718</v>
          </cell>
          <cell r="F1318">
            <v>33357</v>
          </cell>
          <cell r="G1318">
            <v>33382</v>
          </cell>
          <cell r="H1318" t="str">
            <v>Lampe portative UV 4 W</v>
          </cell>
          <cell r="I1318" t="str">
            <v>BBL</v>
          </cell>
          <cell r="J1318" t="str">
            <v>01</v>
          </cell>
          <cell r="K1318">
            <v>2457.5</v>
          </cell>
          <cell r="L1318" t="str">
            <v>FRF</v>
          </cell>
          <cell r="M1318" t="str">
            <v>N001</v>
          </cell>
        </row>
        <row r="1319">
          <cell r="E1319" t="str">
            <v>301001</v>
          </cell>
          <cell r="F1319">
            <v>33386</v>
          </cell>
          <cell r="G1319">
            <v>33479</v>
          </cell>
          <cell r="H1319" t="str">
            <v>I Unit lg-automatic pycnometer washer</v>
          </cell>
          <cell r="I1319" t="str">
            <v>LGA</v>
          </cell>
          <cell r="J1319" t="str">
            <v>11</v>
          </cell>
          <cell r="K1319">
            <v>6759.69</v>
          </cell>
          <cell r="L1319" t="str">
            <v>FRF</v>
          </cell>
          <cell r="M1319" t="str">
            <v>N001</v>
          </cell>
        </row>
        <row r="1320">
          <cell r="E1320" t="str">
            <v>300961</v>
          </cell>
          <cell r="F1320">
            <v>33385</v>
          </cell>
          <cell r="G1320">
            <v>33617</v>
          </cell>
          <cell r="H1320" t="str">
            <v>Accessoires spectrophotomètres</v>
          </cell>
          <cell r="I1320" t="str">
            <v>WAT</v>
          </cell>
          <cell r="J1320" t="str">
            <v>01</v>
          </cell>
          <cell r="K1320">
            <v>26791.27</v>
          </cell>
          <cell r="L1320" t="str">
            <v>FRF</v>
          </cell>
          <cell r="M1320" t="str">
            <v>2000</v>
          </cell>
        </row>
        <row r="1321">
          <cell r="E1321" t="str">
            <v>300937</v>
          </cell>
          <cell r="F1321">
            <v>33406</v>
          </cell>
          <cell r="G1321">
            <v>33487</v>
          </cell>
          <cell r="H1321" t="str">
            <v>24 Stalagmomètres</v>
          </cell>
          <cell r="I1321" t="str">
            <v>SPR</v>
          </cell>
          <cell r="J1321" t="str">
            <v>01</v>
          </cell>
          <cell r="K1321">
            <v>2700</v>
          </cell>
          <cell r="L1321" t="str">
            <v>FRF</v>
          </cell>
          <cell r="M1321" t="str">
            <v>2100</v>
          </cell>
        </row>
        <row r="1322">
          <cell r="E1322" t="str">
            <v>301135</v>
          </cell>
          <cell r="F1322">
            <v>33406</v>
          </cell>
          <cell r="G1322">
            <v>33543</v>
          </cell>
          <cell r="H1322" t="str">
            <v>Matériels de laboratoire</v>
          </cell>
          <cell r="I1322" t="str">
            <v>OSI</v>
          </cell>
          <cell r="J1322" t="str">
            <v>04</v>
          </cell>
          <cell r="K1322">
            <v>13216.94</v>
          </cell>
          <cell r="L1322" t="str">
            <v>FRF</v>
          </cell>
          <cell r="M1322" t="str">
            <v>2100</v>
          </cell>
        </row>
        <row r="1323">
          <cell r="E1323" t="str">
            <v>300732</v>
          </cell>
          <cell r="F1323">
            <v>33401</v>
          </cell>
          <cell r="G1323">
            <v>33584</v>
          </cell>
          <cell r="H1323" t="str">
            <v>Bottle shaking machines</v>
          </cell>
          <cell r="I1323" t="str">
            <v>FSH</v>
          </cell>
          <cell r="J1323" t="str">
            <v>01</v>
          </cell>
          <cell r="K1323">
            <v>74868.59</v>
          </cell>
          <cell r="L1323" t="str">
            <v>FRF</v>
          </cell>
          <cell r="M1323" t="str">
            <v>N001</v>
          </cell>
        </row>
        <row r="1324">
          <cell r="E1324" t="str">
            <v>301131</v>
          </cell>
          <cell r="F1324">
            <v>33407</v>
          </cell>
          <cell r="G1324">
            <v>33547</v>
          </cell>
          <cell r="H1324" t="str">
            <v>Matériels de laboratoire</v>
          </cell>
          <cell r="I1324" t="str">
            <v>OSI</v>
          </cell>
          <cell r="J1324" t="str">
            <v>11</v>
          </cell>
          <cell r="K1324">
            <v>10264.799999999999</v>
          </cell>
          <cell r="L1324" t="str">
            <v>FRF</v>
          </cell>
          <cell r="M1324" t="str">
            <v>2100</v>
          </cell>
        </row>
        <row r="1325">
          <cell r="E1325" t="str">
            <v>28835</v>
          </cell>
          <cell r="F1325">
            <v>33485</v>
          </cell>
          <cell r="G1325">
            <v>33330</v>
          </cell>
          <cell r="H1325" t="str">
            <v>4x25 g Chlorure tétraméthyl paraph. diam</v>
          </cell>
          <cell r="I1325" t="str">
            <v>MCK</v>
          </cell>
          <cell r="J1325" t="str">
            <v>01</v>
          </cell>
          <cell r="K1325">
            <v>0</v>
          </cell>
          <cell r="L1325">
            <v>326400</v>
          </cell>
          <cell r="M1325" t="str">
            <v>2100</v>
          </cell>
        </row>
        <row r="1326">
          <cell r="E1326" t="str">
            <v>22135</v>
          </cell>
          <cell r="F1326">
            <v>33346</v>
          </cell>
          <cell r="G1326">
            <v>33360</v>
          </cell>
          <cell r="H1326" t="str">
            <v>25 Pinces inox, à bouts plats</v>
          </cell>
          <cell r="I1326" t="str">
            <v>APX</v>
          </cell>
          <cell r="J1326" t="str">
            <v>01</v>
          </cell>
          <cell r="K1326">
            <v>438750</v>
          </cell>
          <cell r="L1326" t="str">
            <v>CFA</v>
          </cell>
          <cell r="M1326" t="str">
            <v>2100</v>
          </cell>
        </row>
        <row r="1327">
          <cell r="E1327" t="str">
            <v>300714</v>
          </cell>
          <cell r="F1327">
            <v>33357</v>
          </cell>
          <cell r="G1327">
            <v>33407</v>
          </cell>
          <cell r="H1327" t="str">
            <v>Comprimés DPD n°4,4000 R + 1500 N</v>
          </cell>
          <cell r="I1327" t="str">
            <v>CIF</v>
          </cell>
          <cell r="J1327" t="str">
            <v>SEMC</v>
          </cell>
          <cell r="K1327">
            <v>0</v>
          </cell>
          <cell r="L1327" t="str">
            <v>FRF</v>
          </cell>
          <cell r="M1327" t="str">
            <v>2100</v>
          </cell>
        </row>
        <row r="1328">
          <cell r="E1328" t="str">
            <v>22101</v>
          </cell>
          <cell r="F1328">
            <v>33337</v>
          </cell>
          <cell r="G1328">
            <v>33337</v>
          </cell>
          <cell r="H1328" t="str">
            <v>2 Résistances chauffantes pr alambic</v>
          </cell>
          <cell r="I1328" t="str">
            <v>APX</v>
          </cell>
          <cell r="J1328" t="str">
            <v>01</v>
          </cell>
          <cell r="K1328">
            <v>374490</v>
          </cell>
          <cell r="L1328" t="str">
            <v>CFA</v>
          </cell>
          <cell r="M1328" t="str">
            <v>2000</v>
          </cell>
        </row>
        <row r="1329">
          <cell r="E1329" t="str">
            <v>22162</v>
          </cell>
          <cell r="F1329">
            <v>33358</v>
          </cell>
          <cell r="G1329">
            <v>33403</v>
          </cell>
          <cell r="H1329" t="str">
            <v>4 Thermomètres à contact + 6 joints lamp</v>
          </cell>
          <cell r="I1329" t="str">
            <v>BBL</v>
          </cell>
          <cell r="J1329" t="str">
            <v>01</v>
          </cell>
          <cell r="K1329">
            <v>505000</v>
          </cell>
          <cell r="L1329" t="str">
            <v>CFA</v>
          </cell>
          <cell r="M1329" t="str">
            <v>2000</v>
          </cell>
        </row>
        <row r="1330">
          <cell r="E1330" t="str">
            <v>22184</v>
          </cell>
          <cell r="F1330">
            <v>33364</v>
          </cell>
          <cell r="G1330">
            <v>33514</v>
          </cell>
          <cell r="H1330" t="str">
            <v>Tuyaux souples autoclavables + amp à déc</v>
          </cell>
          <cell r="I1330" t="str">
            <v>APX</v>
          </cell>
          <cell r="J1330" t="str">
            <v>01</v>
          </cell>
          <cell r="K1330">
            <v>341550</v>
          </cell>
          <cell r="L1330">
            <v>341550</v>
          </cell>
          <cell r="M1330" t="str">
            <v>2100</v>
          </cell>
        </row>
        <row r="1331">
          <cell r="E1331" t="str">
            <v>300963</v>
          </cell>
          <cell r="F1331">
            <v>33385</v>
          </cell>
          <cell r="G1331">
            <v>33444</v>
          </cell>
          <cell r="H1331" t="str">
            <v>Thermomètres + bouchons caoutchouc</v>
          </cell>
          <cell r="I1331" t="str">
            <v>PRO</v>
          </cell>
          <cell r="J1331" t="str">
            <v>11</v>
          </cell>
          <cell r="K1331">
            <v>2959.08</v>
          </cell>
          <cell r="L1331" t="str">
            <v>FRF</v>
          </cell>
          <cell r="M1331" t="str">
            <v>2100</v>
          </cell>
        </row>
        <row r="1332">
          <cell r="E1332" t="str">
            <v>22780</v>
          </cell>
          <cell r="F1332">
            <v>33525</v>
          </cell>
          <cell r="G1332">
            <v>33382</v>
          </cell>
          <cell r="H1332" t="str">
            <v>4 tubes 22 W pour lampes loupe</v>
          </cell>
          <cell r="I1332" t="str">
            <v>BBL</v>
          </cell>
          <cell r="J1332" t="str">
            <v>01</v>
          </cell>
          <cell r="K1332">
            <v>70200</v>
          </cell>
          <cell r="L1332" t="str">
            <v>CFA</v>
          </cell>
          <cell r="M1332" t="str">
            <v>2000</v>
          </cell>
        </row>
        <row r="1333">
          <cell r="E1333" t="str">
            <v>300886</v>
          </cell>
          <cell r="F1333">
            <v>33387</v>
          </cell>
          <cell r="G1333">
            <v>33435</v>
          </cell>
          <cell r="H1333" t="str">
            <v>1 Système Orbisphere off line</v>
          </cell>
          <cell r="I1333" t="str">
            <v>ORB</v>
          </cell>
          <cell r="J1333" t="str">
            <v>01</v>
          </cell>
          <cell r="K1333">
            <v>5594964</v>
          </cell>
          <cell r="L1333" t="str">
            <v>CFA</v>
          </cell>
          <cell r="M1333" t="str">
            <v>N001</v>
          </cell>
        </row>
        <row r="1334">
          <cell r="E1334" t="str">
            <v>300919</v>
          </cell>
          <cell r="F1334">
            <v>33400</v>
          </cell>
          <cell r="G1334">
            <v>33408</v>
          </cell>
          <cell r="H1334" t="str">
            <v>Balances METTLER PM2000 + AE 200S</v>
          </cell>
          <cell r="I1334" t="str">
            <v>MTL</v>
          </cell>
          <cell r="J1334" t="str">
            <v>01</v>
          </cell>
          <cell r="K1334">
            <v>39722.800000000003</v>
          </cell>
          <cell r="L1334" t="str">
            <v>FRF</v>
          </cell>
          <cell r="M1334" t="str">
            <v>N001</v>
          </cell>
        </row>
        <row r="1335">
          <cell r="E1335" t="str">
            <v>301095</v>
          </cell>
          <cell r="F1335">
            <v>33401</v>
          </cell>
          <cell r="G1335">
            <v>33452</v>
          </cell>
          <cell r="H1335" t="str">
            <v>Printer paper + ventosil + pump tubings</v>
          </cell>
          <cell r="I1335" t="str">
            <v>FOS</v>
          </cell>
          <cell r="J1335" t="str">
            <v>01</v>
          </cell>
          <cell r="K1335">
            <v>7151.4</v>
          </cell>
          <cell r="L1335" t="str">
            <v>FRF</v>
          </cell>
          <cell r="M1335" t="str">
            <v>2000</v>
          </cell>
        </row>
        <row r="1336">
          <cell r="E1336" t="str">
            <v>301115</v>
          </cell>
          <cell r="F1336">
            <v>33402</v>
          </cell>
          <cell r="G1336">
            <v>33479</v>
          </cell>
          <cell r="H1336" t="str">
            <v>1 Torque Tester</v>
          </cell>
          <cell r="I1336" t="str">
            <v>EST</v>
          </cell>
          <cell r="J1336" t="str">
            <v>07</v>
          </cell>
          <cell r="K1336">
            <v>11649.67</v>
          </cell>
          <cell r="L1336" t="str">
            <v>FRF</v>
          </cell>
          <cell r="M1336" t="str">
            <v>N001</v>
          </cell>
        </row>
        <row r="1337">
          <cell r="E1337" t="str">
            <v>301096</v>
          </cell>
          <cell r="F1337">
            <v>33401</v>
          </cell>
          <cell r="G1337">
            <v>33494</v>
          </cell>
          <cell r="H1337" t="str">
            <v>20 Spindelzylinder mit kardanischer A.</v>
          </cell>
          <cell r="I1337" t="str">
            <v>BKU</v>
          </cell>
          <cell r="J1337" t="str">
            <v>01</v>
          </cell>
          <cell r="K1337">
            <v>6982.66</v>
          </cell>
          <cell r="L1337" t="str">
            <v>FRF</v>
          </cell>
          <cell r="M1337" t="str">
            <v>N001</v>
          </cell>
        </row>
        <row r="1338">
          <cell r="E1338" t="str">
            <v>301087</v>
          </cell>
          <cell r="F1338">
            <v>33401</v>
          </cell>
          <cell r="G1338">
            <v>33450</v>
          </cell>
          <cell r="H1338" t="str">
            <v>Rechanges pour enregistreur REDPOST</v>
          </cell>
          <cell r="I1338" t="str">
            <v>HAF</v>
          </cell>
          <cell r="J1338" t="str">
            <v>01</v>
          </cell>
          <cell r="K1338">
            <v>1944.5</v>
          </cell>
          <cell r="L1338" t="str">
            <v>FRF</v>
          </cell>
          <cell r="M1338" t="str">
            <v>2000</v>
          </cell>
        </row>
        <row r="1339">
          <cell r="E1339" t="str">
            <v>301044</v>
          </cell>
          <cell r="F1339">
            <v>33400</v>
          </cell>
          <cell r="G1339">
            <v>33444</v>
          </cell>
          <cell r="H1339" t="str">
            <v>6 Electrodes pour pH mètre Metrohm</v>
          </cell>
          <cell r="I1339" t="str">
            <v>ROU</v>
          </cell>
          <cell r="J1339" t="str">
            <v>01</v>
          </cell>
          <cell r="K1339">
            <v>4555.2</v>
          </cell>
          <cell r="L1339" t="str">
            <v>FRF</v>
          </cell>
          <cell r="M1339" t="str">
            <v>2000</v>
          </cell>
        </row>
        <row r="1340">
          <cell r="E1340" t="str">
            <v>301097</v>
          </cell>
          <cell r="F1340">
            <v>33401</v>
          </cell>
          <cell r="G1340">
            <v>33534</v>
          </cell>
          <cell r="H1340" t="str">
            <v>36 Pissettes + Barreaux magnétiques</v>
          </cell>
          <cell r="I1340" t="str">
            <v>SRL</v>
          </cell>
          <cell r="J1340" t="str">
            <v>01</v>
          </cell>
          <cell r="K1340">
            <v>3730.68</v>
          </cell>
          <cell r="L1340" t="str">
            <v>FRF</v>
          </cell>
          <cell r="M1340" t="str">
            <v>2100</v>
          </cell>
        </row>
        <row r="1341">
          <cell r="E1341" t="str">
            <v>301037</v>
          </cell>
          <cell r="F1341">
            <v>33393</v>
          </cell>
          <cell r="G1341">
            <v>33479</v>
          </cell>
          <cell r="H1341" t="str">
            <v>Produits de laboratoire</v>
          </cell>
          <cell r="I1341" t="str">
            <v>MCK</v>
          </cell>
          <cell r="J1341" t="str">
            <v>11</v>
          </cell>
          <cell r="K1341">
            <v>16142</v>
          </cell>
          <cell r="L1341" t="str">
            <v>FRF</v>
          </cell>
          <cell r="M1341" t="str">
            <v>2100</v>
          </cell>
        </row>
        <row r="1342">
          <cell r="E1342" t="str">
            <v>301000</v>
          </cell>
          <cell r="F1342">
            <v>33386</v>
          </cell>
          <cell r="G1342">
            <v>33452</v>
          </cell>
          <cell r="H1342" t="str">
            <v>32x250 ml Rauch liquid</v>
          </cell>
          <cell r="I1342" t="str">
            <v>CPM</v>
          </cell>
          <cell r="J1342" t="str">
            <v>01</v>
          </cell>
          <cell r="K1342">
            <v>8409.9599999999991</v>
          </cell>
          <cell r="L1342" t="str">
            <v>FRF</v>
          </cell>
          <cell r="M1342" t="str">
            <v>2100</v>
          </cell>
        </row>
        <row r="1343">
          <cell r="E1343" t="str">
            <v>301040</v>
          </cell>
          <cell r="F1343">
            <v>33421</v>
          </cell>
          <cell r="G1343">
            <v>33487</v>
          </cell>
          <cell r="H1343" t="str">
            <v>Produits de laboratoire</v>
          </cell>
          <cell r="I1343" t="str">
            <v>MCK</v>
          </cell>
          <cell r="J1343" t="str">
            <v>11</v>
          </cell>
          <cell r="K1343">
            <v>12292.4</v>
          </cell>
          <cell r="L1343" t="str">
            <v>FRF</v>
          </cell>
          <cell r="M1343" t="str">
            <v>2100</v>
          </cell>
        </row>
        <row r="1344">
          <cell r="E1344" t="str">
            <v>22307</v>
          </cell>
          <cell r="F1344">
            <v>33396</v>
          </cell>
          <cell r="G1344">
            <v>33591</v>
          </cell>
          <cell r="H1344" t="str">
            <v>5 calculateurs HP 42 S</v>
          </cell>
          <cell r="I1344" t="str">
            <v>RTI</v>
          </cell>
          <cell r="J1344" t="str">
            <v>01</v>
          </cell>
          <cell r="K1344">
            <v>849150</v>
          </cell>
          <cell r="L1344" t="str">
            <v>CFA</v>
          </cell>
          <cell r="M1344" t="str">
            <v>N001</v>
          </cell>
        </row>
        <row r="1345">
          <cell r="E1345" t="str">
            <v>22228</v>
          </cell>
          <cell r="F1345">
            <v>33380</v>
          </cell>
          <cell r="G1345">
            <v>33399</v>
          </cell>
          <cell r="H1345" t="str">
            <v>6 câble S7/BNC pour électrode</v>
          </cell>
          <cell r="I1345" t="str">
            <v>APX</v>
          </cell>
          <cell r="J1345" t="str">
            <v>01</v>
          </cell>
          <cell r="K1345">
            <v>162000</v>
          </cell>
          <cell r="L1345" t="str">
            <v>CFA</v>
          </cell>
          <cell r="M1345" t="str">
            <v>2100</v>
          </cell>
        </row>
        <row r="1346">
          <cell r="E1346" t="str">
            <v>22436</v>
          </cell>
          <cell r="F1346">
            <v>33360</v>
          </cell>
          <cell r="G1346">
            <v>33431</v>
          </cell>
          <cell r="H1346" t="str">
            <v>12 Adaptateurs PTFE GL 45</v>
          </cell>
          <cell r="I1346" t="str">
            <v>APX</v>
          </cell>
          <cell r="J1346" t="str">
            <v>01</v>
          </cell>
          <cell r="K1346">
            <v>469800</v>
          </cell>
          <cell r="L1346" t="str">
            <v>CFA</v>
          </cell>
          <cell r="M1346" t="str">
            <v>2000</v>
          </cell>
        </row>
        <row r="1347">
          <cell r="E1347" t="str">
            <v>22252</v>
          </cell>
          <cell r="F1347">
            <v>33387</v>
          </cell>
          <cell r="G1347">
            <v>33439</v>
          </cell>
          <cell r="H1347" t="str">
            <v>4x25 g Chlorure tétraméthyl paraph. diam</v>
          </cell>
          <cell r="I1347" t="str">
            <v>MCK</v>
          </cell>
          <cell r="J1347" t="str">
            <v>01</v>
          </cell>
          <cell r="K1347">
            <v>0</v>
          </cell>
          <cell r="L1347">
            <v>326400</v>
          </cell>
          <cell r="M1347" t="str">
            <v>2100</v>
          </cell>
        </row>
        <row r="1348">
          <cell r="E1348" t="str">
            <v>22135</v>
          </cell>
          <cell r="F1348">
            <v>33346</v>
          </cell>
          <cell r="G1348">
            <v>33360</v>
          </cell>
          <cell r="H1348" t="str">
            <v>1 Commutateur croisé BUFFALO</v>
          </cell>
          <cell r="I1348" t="str">
            <v>BUL</v>
          </cell>
          <cell r="J1348" t="str">
            <v>01</v>
          </cell>
          <cell r="K1348">
            <v>393946</v>
          </cell>
          <cell r="L1348" t="str">
            <v>CFA</v>
          </cell>
          <cell r="M1348" t="str">
            <v>2000</v>
          </cell>
        </row>
        <row r="1349">
          <cell r="E1349" t="str">
            <v>301019</v>
          </cell>
          <cell r="F1349">
            <v>33388</v>
          </cell>
          <cell r="G1349">
            <v>33407</v>
          </cell>
          <cell r="H1349" t="str">
            <v>Comprimés DPD n°4,4000 R + 1500 N</v>
          </cell>
          <cell r="I1349" t="str">
            <v>CIF</v>
          </cell>
          <cell r="J1349" t="str">
            <v>SEMC</v>
          </cell>
          <cell r="K1349">
            <v>0</v>
          </cell>
          <cell r="L1349" t="str">
            <v>FRF</v>
          </cell>
          <cell r="M1349" t="str">
            <v>2100</v>
          </cell>
        </row>
        <row r="1350">
          <cell r="E1350" t="str">
            <v>22330</v>
          </cell>
          <cell r="F1350">
            <v>33401</v>
          </cell>
          <cell r="G1350">
            <v>33435</v>
          </cell>
          <cell r="H1350" t="str">
            <v>Marqueurs pointe fine</v>
          </cell>
          <cell r="I1350" t="str">
            <v>APX</v>
          </cell>
          <cell r="J1350" t="str">
            <v>01</v>
          </cell>
          <cell r="K1350">
            <v>75600</v>
          </cell>
          <cell r="L1350" t="str">
            <v>CFA</v>
          </cell>
          <cell r="M1350" t="str">
            <v>2100</v>
          </cell>
        </row>
        <row r="1351">
          <cell r="E1351" t="str">
            <v>301941</v>
          </cell>
          <cell r="F1351">
            <v>33358</v>
          </cell>
          <cell r="G1351">
            <v>33403</v>
          </cell>
          <cell r="H1351" t="str">
            <v>Opacimètre + boîte ME 29 + tête mesure</v>
          </cell>
          <cell r="I1351" t="str">
            <v>NVI</v>
          </cell>
          <cell r="J1351" t="str">
            <v>01</v>
          </cell>
          <cell r="K1351">
            <v>29517.25</v>
          </cell>
          <cell r="L1351" t="str">
            <v>FRF</v>
          </cell>
          <cell r="M1351" t="str">
            <v>P001</v>
          </cell>
        </row>
        <row r="1352">
          <cell r="E1352" t="str">
            <v>301250</v>
          </cell>
          <cell r="F1352">
            <v>33554</v>
          </cell>
          <cell r="G1352">
            <v>33658</v>
          </cell>
          <cell r="H1352" t="str">
            <v>Tuyaux souples autoclavables + amp à déc</v>
          </cell>
          <cell r="I1352" t="str">
            <v>APX</v>
          </cell>
          <cell r="J1352" t="str">
            <v>01</v>
          </cell>
          <cell r="K1352">
            <v>341550</v>
          </cell>
          <cell r="L1352">
            <v>341550</v>
          </cell>
          <cell r="M1352" t="str">
            <v>2100</v>
          </cell>
        </row>
        <row r="1353">
          <cell r="E1353" t="str">
            <v>22331</v>
          </cell>
          <cell r="F1353">
            <v>33401</v>
          </cell>
          <cell r="G1353">
            <v>33444</v>
          </cell>
          <cell r="H1353" t="str">
            <v>Polished cups/lectrodryer dewpoint app.</v>
          </cell>
          <cell r="I1353" t="str">
            <v>APX</v>
          </cell>
          <cell r="J1353" t="str">
            <v>01</v>
          </cell>
          <cell r="K1353">
            <v>0</v>
          </cell>
          <cell r="L1353">
            <v>0</v>
          </cell>
          <cell r="M1353" t="str">
            <v>2000</v>
          </cell>
        </row>
        <row r="1354">
          <cell r="E1354" t="str">
            <v>301347</v>
          </cell>
          <cell r="F1354">
            <v>33452</v>
          </cell>
          <cell r="G1354">
            <v>33652</v>
          </cell>
          <cell r="H1354" t="str">
            <v>Thermomètre COMARK</v>
          </cell>
          <cell r="I1354" t="str">
            <v>PRO</v>
          </cell>
          <cell r="J1354" t="str">
            <v>05</v>
          </cell>
          <cell r="K1354">
            <v>4868.75</v>
          </cell>
          <cell r="L1354" t="str">
            <v>FRF</v>
          </cell>
          <cell r="M1354" t="str">
            <v>N055</v>
          </cell>
        </row>
        <row r="1355">
          <cell r="E1355" t="str">
            <v>301849</v>
          </cell>
          <cell r="F1355">
            <v>33791</v>
          </cell>
          <cell r="G1355">
            <v>33435</v>
          </cell>
          <cell r="H1355" t="str">
            <v>Membranes noires 0.8µ+membranes blanches</v>
          </cell>
          <cell r="I1355" t="str">
            <v>MLP</v>
          </cell>
          <cell r="J1355" t="str">
            <v>01</v>
          </cell>
          <cell r="K1355">
            <v>4605</v>
          </cell>
          <cell r="L1355" t="str">
            <v>FRF</v>
          </cell>
          <cell r="M1355" t="str">
            <v>2100</v>
          </cell>
        </row>
        <row r="1356">
          <cell r="E1356" t="str">
            <v>22398</v>
          </cell>
          <cell r="F1356">
            <v>33420</v>
          </cell>
          <cell r="G1356">
            <v>33435</v>
          </cell>
          <cell r="H1356" t="str">
            <v>Balances METTLER PM2000 + AE 200S</v>
          </cell>
          <cell r="I1356" t="str">
            <v>MTL</v>
          </cell>
          <cell r="J1356" t="str">
            <v>01</v>
          </cell>
          <cell r="K1356">
            <v>39722.800000000003</v>
          </cell>
          <cell r="L1356" t="str">
            <v>CFA</v>
          </cell>
          <cell r="M1356" t="str">
            <v>N001</v>
          </cell>
        </row>
        <row r="1357">
          <cell r="E1357" t="str">
            <v>301164</v>
          </cell>
          <cell r="F1357">
            <v>33480</v>
          </cell>
          <cell r="G1357">
            <v>33596</v>
          </cell>
          <cell r="H1357" t="str">
            <v>1 Enregistreur de pasteurisation + impr</v>
          </cell>
          <cell r="I1357" t="str">
            <v>HAF</v>
          </cell>
          <cell r="J1357" t="str">
            <v>01</v>
          </cell>
          <cell r="K1357">
            <v>32864.93</v>
          </cell>
          <cell r="L1357" t="str">
            <v>FRF</v>
          </cell>
          <cell r="M1357" t="str">
            <v>N001</v>
          </cell>
        </row>
        <row r="1358">
          <cell r="E1358" t="str">
            <v>301328</v>
          </cell>
          <cell r="F1358">
            <v>33480</v>
          </cell>
          <cell r="G1358">
            <v>33637</v>
          </cell>
          <cell r="H1358" t="str">
            <v>1 Shaker pour amertume</v>
          </cell>
          <cell r="I1358" t="str">
            <v>LGA</v>
          </cell>
          <cell r="J1358" t="str">
            <v>01</v>
          </cell>
          <cell r="K1358">
            <v>10506.2</v>
          </cell>
          <cell r="L1358" t="str">
            <v>FRF</v>
          </cell>
          <cell r="M1358" t="str">
            <v>P001</v>
          </cell>
        </row>
        <row r="1359">
          <cell r="E1359" t="str">
            <v>22635</v>
          </cell>
          <cell r="F1359">
            <v>33478</v>
          </cell>
          <cell r="G1359">
            <v>33494</v>
          </cell>
          <cell r="H1359" t="str">
            <v>Robinets mélangeurs</v>
          </cell>
          <cell r="I1359" t="str">
            <v>APX</v>
          </cell>
          <cell r="J1359" t="str">
            <v>SEMC</v>
          </cell>
          <cell r="K1359">
            <v>301600</v>
          </cell>
          <cell r="L1359" t="str">
            <v>CFA</v>
          </cell>
          <cell r="M1359" t="str">
            <v>2000</v>
          </cell>
        </row>
        <row r="1360">
          <cell r="E1360" t="str">
            <v>22467</v>
          </cell>
          <cell r="F1360">
            <v>33438</v>
          </cell>
          <cell r="G1360">
            <v>33459</v>
          </cell>
          <cell r="H1360" t="str">
            <v>Milieux de culture</v>
          </cell>
          <cell r="I1360" t="str">
            <v>APX</v>
          </cell>
          <cell r="J1360" t="str">
            <v>01</v>
          </cell>
          <cell r="K1360">
            <v>587655</v>
          </cell>
          <cell r="L1360" t="str">
            <v>CFA</v>
          </cell>
          <cell r="M1360" t="str">
            <v>2100</v>
          </cell>
        </row>
        <row r="1361">
          <cell r="E1361" t="str">
            <v>22503</v>
          </cell>
          <cell r="F1361">
            <v>33448</v>
          </cell>
          <cell r="G1361">
            <v>33631</v>
          </cell>
          <cell r="H1361" t="str">
            <v>Produits de laboratoire</v>
          </cell>
          <cell r="I1361" t="str">
            <v>APX</v>
          </cell>
          <cell r="J1361" t="str">
            <v>01</v>
          </cell>
          <cell r="K1361">
            <v>362250</v>
          </cell>
          <cell r="L1361" t="str">
            <v>CFA</v>
          </cell>
          <cell r="M1361" t="str">
            <v>2100</v>
          </cell>
        </row>
        <row r="1362">
          <cell r="E1362" t="str">
            <v>301313</v>
          </cell>
          <cell r="F1362">
            <v>33442</v>
          </cell>
          <cell r="G1362">
            <v>33676</v>
          </cell>
          <cell r="H1362" t="str">
            <v>Rechanges spectrophotomètre</v>
          </cell>
          <cell r="I1362" t="str">
            <v>WAT</v>
          </cell>
          <cell r="J1362" t="str">
            <v>01</v>
          </cell>
          <cell r="K1362">
            <v>47867</v>
          </cell>
          <cell r="L1362" t="str">
            <v>FRF</v>
          </cell>
          <cell r="M1362" t="str">
            <v>2000</v>
          </cell>
        </row>
        <row r="1363">
          <cell r="E1363" t="str">
            <v>304208</v>
          </cell>
          <cell r="F1363">
            <v>33884</v>
          </cell>
          <cell r="G1363">
            <v>33904</v>
          </cell>
          <cell r="H1363" t="str">
            <v>Mirroir d'entrée spectro DU 64</v>
          </cell>
          <cell r="I1363" t="str">
            <v>LBO</v>
          </cell>
          <cell r="J1363" t="str">
            <v>01</v>
          </cell>
          <cell r="K1363">
            <v>3491.84</v>
          </cell>
          <cell r="L1363" t="str">
            <v>FRF</v>
          </cell>
          <cell r="M1363" t="str">
            <v>2000</v>
          </cell>
        </row>
        <row r="1364">
          <cell r="E1364" t="str">
            <v>22466</v>
          </cell>
          <cell r="F1364">
            <v>33438</v>
          </cell>
          <cell r="G1364">
            <v>33495</v>
          </cell>
          <cell r="H1364" t="str">
            <v>Accessoires NIBEM FOAM STABILITY TESTER</v>
          </cell>
          <cell r="I1364" t="str">
            <v>HAF</v>
          </cell>
          <cell r="J1364" t="str">
            <v>01</v>
          </cell>
          <cell r="K1364">
            <v>478760</v>
          </cell>
          <cell r="L1364" t="str">
            <v>CFA</v>
          </cell>
          <cell r="M1364" t="str">
            <v>2000</v>
          </cell>
        </row>
        <row r="1365">
          <cell r="E1365" t="str">
            <v>7346</v>
          </cell>
          <cell r="F1365">
            <v>33470</v>
          </cell>
          <cell r="G1365">
            <v>33527</v>
          </cell>
          <cell r="H1365" t="str">
            <v>Produits de laboratoire</v>
          </cell>
          <cell r="I1365" t="str">
            <v>MCK</v>
          </cell>
          <cell r="J1365" t="str">
            <v>11</v>
          </cell>
          <cell r="K1365">
            <v>12292.4</v>
          </cell>
          <cell r="L1365" t="str">
            <v>FRF</v>
          </cell>
          <cell r="M1365" t="str">
            <v>2100</v>
          </cell>
        </row>
        <row r="1366">
          <cell r="E1366" t="str">
            <v>301388</v>
          </cell>
          <cell r="F1366">
            <v>33462</v>
          </cell>
          <cell r="G1366">
            <v>33675</v>
          </cell>
          <cell r="H1366" t="str">
            <v>2 Résistances pour alambic à eau dist.</v>
          </cell>
          <cell r="I1366" t="str">
            <v>PRO</v>
          </cell>
          <cell r="J1366" t="str">
            <v>SEMC</v>
          </cell>
          <cell r="K1366">
            <v>3100</v>
          </cell>
          <cell r="L1366" t="str">
            <v>FRF</v>
          </cell>
          <cell r="M1366" t="str">
            <v>2000</v>
          </cell>
        </row>
        <row r="1367">
          <cell r="E1367" t="str">
            <v>22228</v>
          </cell>
          <cell r="F1367">
            <v>33380</v>
          </cell>
          <cell r="G1367">
            <v>33399</v>
          </cell>
          <cell r="H1367" t="str">
            <v>10 Paquets de Rouleaux M-TORK Standard</v>
          </cell>
          <cell r="I1367" t="str">
            <v>MAN</v>
          </cell>
          <cell r="J1367" t="str">
            <v>01</v>
          </cell>
          <cell r="K1367">
            <v>0</v>
          </cell>
          <cell r="L1367" t="str">
            <v>CFA</v>
          </cell>
          <cell r="M1367" t="str">
            <v>2100</v>
          </cell>
        </row>
        <row r="1368">
          <cell r="E1368" t="str">
            <v>22611</v>
          </cell>
          <cell r="F1368">
            <v>33473</v>
          </cell>
          <cell r="G1368">
            <v>33534</v>
          </cell>
          <cell r="H1368" t="str">
            <v>4 x 200 calots simples</v>
          </cell>
          <cell r="I1368" t="str">
            <v>APX</v>
          </cell>
          <cell r="J1368" t="str">
            <v>SEMC</v>
          </cell>
          <cell r="K1368">
            <v>123200</v>
          </cell>
          <cell r="L1368" t="str">
            <v>CFA</v>
          </cell>
          <cell r="M1368" t="str">
            <v>SEMC</v>
          </cell>
        </row>
        <row r="1369">
          <cell r="E1369" t="str">
            <v>301455</v>
          </cell>
          <cell r="F1369">
            <v>33483</v>
          </cell>
          <cell r="G1369">
            <v>33439</v>
          </cell>
          <cell r="H1369" t="str">
            <v>1 Lectrodryer DEWPOINT APPARATUS</v>
          </cell>
          <cell r="I1369" t="str">
            <v>HAF</v>
          </cell>
          <cell r="J1369" t="str">
            <v>11</v>
          </cell>
          <cell r="K1369">
            <v>3175.75</v>
          </cell>
          <cell r="L1369" t="str">
            <v>FRF</v>
          </cell>
          <cell r="M1369" t="str">
            <v>P001</v>
          </cell>
        </row>
        <row r="1370">
          <cell r="E1370" t="str">
            <v>301531</v>
          </cell>
          <cell r="F1370">
            <v>33497</v>
          </cell>
          <cell r="G1370">
            <v>33543</v>
          </cell>
          <cell r="H1370" t="str">
            <v>1 Commutateur croisé BUFFALO</v>
          </cell>
          <cell r="I1370" t="str">
            <v>BUL</v>
          </cell>
          <cell r="J1370" t="str">
            <v>01</v>
          </cell>
          <cell r="K1370">
            <v>393946</v>
          </cell>
          <cell r="L1370" t="str">
            <v>CFA</v>
          </cell>
          <cell r="M1370" t="str">
            <v>2000</v>
          </cell>
        </row>
        <row r="1371">
          <cell r="E1371" t="str">
            <v>301434</v>
          </cell>
          <cell r="F1371">
            <v>33478</v>
          </cell>
          <cell r="G1371">
            <v>33543</v>
          </cell>
          <cell r="H1371" t="str">
            <v>04 Gasbox "2.5L" anaerobic jar</v>
          </cell>
          <cell r="I1371" t="str">
            <v>BIO</v>
          </cell>
          <cell r="J1371" t="str">
            <v>01</v>
          </cell>
          <cell r="K1371">
            <v>7300</v>
          </cell>
          <cell r="L1371" t="str">
            <v>FRF</v>
          </cell>
          <cell r="M1371" t="str">
            <v>2100</v>
          </cell>
        </row>
        <row r="1372">
          <cell r="E1372" t="str">
            <v>301416</v>
          </cell>
          <cell r="F1372">
            <v>33472</v>
          </cell>
          <cell r="G1372">
            <v>33648</v>
          </cell>
          <cell r="H1372" t="str">
            <v>1 Système détermination O2 in line</v>
          </cell>
          <cell r="I1372" t="str">
            <v>ORB</v>
          </cell>
          <cell r="J1372" t="str">
            <v>01</v>
          </cell>
          <cell r="K1372">
            <v>66960</v>
          </cell>
          <cell r="L1372" t="str">
            <v>FRF</v>
          </cell>
          <cell r="M1372" t="str">
            <v>P001</v>
          </cell>
        </row>
        <row r="1373">
          <cell r="E1373" t="str">
            <v>301524</v>
          </cell>
          <cell r="F1373">
            <v>33497</v>
          </cell>
          <cell r="G1373">
            <v>33637</v>
          </cell>
          <cell r="H1373" t="str">
            <v>Opacimètre + boîte ME 29 + tête mesure</v>
          </cell>
          <cell r="I1373" t="str">
            <v>NVI</v>
          </cell>
          <cell r="J1373" t="str">
            <v>01</v>
          </cell>
          <cell r="K1373">
            <v>29517.25</v>
          </cell>
          <cell r="L1373" t="str">
            <v>FRF</v>
          </cell>
          <cell r="M1373" t="str">
            <v>P001</v>
          </cell>
        </row>
        <row r="1374">
          <cell r="E1374" t="str">
            <v>301454</v>
          </cell>
          <cell r="F1374">
            <v>33480</v>
          </cell>
          <cell r="G1374">
            <v>33519</v>
          </cell>
          <cell r="H1374" t="str">
            <v>Carlsberg flask for yeast propagation (1)</v>
          </cell>
          <cell r="I1374" t="str">
            <v>SBR</v>
          </cell>
          <cell r="J1374" t="str">
            <v>06</v>
          </cell>
          <cell r="K1374">
            <v>16960</v>
          </cell>
          <cell r="L1374" t="str">
            <v>FRF</v>
          </cell>
          <cell r="M1374" t="str">
            <v>P099</v>
          </cell>
        </row>
        <row r="1375">
          <cell r="E1375" t="str">
            <v>301414</v>
          </cell>
          <cell r="F1375">
            <v>33472</v>
          </cell>
          <cell r="G1375">
            <v>33511</v>
          </cell>
          <cell r="H1375" t="str">
            <v>Polished cups/lectrodryer dewpoint app.</v>
          </cell>
          <cell r="I1375" t="str">
            <v>APX</v>
          </cell>
          <cell r="J1375" t="str">
            <v>01</v>
          </cell>
          <cell r="K1375">
            <v>0</v>
          </cell>
          <cell r="L1375">
            <v>0</v>
          </cell>
          <cell r="M1375" t="str">
            <v>2000</v>
          </cell>
        </row>
        <row r="1376">
          <cell r="E1376" t="str">
            <v>301555</v>
          </cell>
          <cell r="F1376">
            <v>33501</v>
          </cell>
          <cell r="G1376">
            <v>33577</v>
          </cell>
          <cell r="H1376" t="str">
            <v>Rechanges Planchister MLKP/DLKP</v>
          </cell>
          <cell r="I1376" t="str">
            <v>BUH</v>
          </cell>
          <cell r="J1376" t="str">
            <v>01</v>
          </cell>
          <cell r="K1376">
            <v>19362.5</v>
          </cell>
          <cell r="L1376" t="str">
            <v>FRF</v>
          </cell>
          <cell r="M1376" t="str">
            <v>2000</v>
          </cell>
        </row>
        <row r="1377">
          <cell r="E1377" t="str">
            <v>300857</v>
          </cell>
          <cell r="F1377">
            <v>33371</v>
          </cell>
          <cell r="G1377">
            <v>33444</v>
          </cell>
          <cell r="H1377" t="str">
            <v>Membranes noires 0.8µ+membranes blanches</v>
          </cell>
          <cell r="I1377" t="str">
            <v>MLP</v>
          </cell>
          <cell r="J1377" t="str">
            <v>01</v>
          </cell>
          <cell r="K1377">
            <v>4605</v>
          </cell>
          <cell r="L1377" t="str">
            <v>FRF</v>
          </cell>
          <cell r="M1377" t="str">
            <v>2100</v>
          </cell>
        </row>
        <row r="1378">
          <cell r="E1378" t="str">
            <v>30390</v>
          </cell>
          <cell r="F1378">
            <v>33511</v>
          </cell>
          <cell r="G1378">
            <v>33542</v>
          </cell>
          <cell r="H1378" t="str">
            <v>Documentation PROCEEDINGS IFBM-BIOS</v>
          </cell>
          <cell r="I1378" t="str">
            <v>IFB</v>
          </cell>
          <cell r="J1378" t="str">
            <v>01</v>
          </cell>
          <cell r="K1378">
            <v>115650</v>
          </cell>
          <cell r="L1378" t="str">
            <v>CFA</v>
          </cell>
          <cell r="M1378" t="str">
            <v>2201</v>
          </cell>
        </row>
        <row r="1379">
          <cell r="E1379" t="str">
            <v>301164</v>
          </cell>
          <cell r="F1379">
            <v>33480</v>
          </cell>
          <cell r="G1379">
            <v>33596</v>
          </cell>
          <cell r="H1379" t="str">
            <v>Normes fibres + caract. papiers buvards</v>
          </cell>
          <cell r="I1379" t="str">
            <v>AFN</v>
          </cell>
          <cell r="J1379" t="str">
            <v>01</v>
          </cell>
          <cell r="K1379">
            <v>0</v>
          </cell>
          <cell r="L1379" t="str">
            <v>FRF</v>
          </cell>
          <cell r="M1379" t="str">
            <v>2201</v>
          </cell>
        </row>
        <row r="1380">
          <cell r="E1380" t="str">
            <v>301795</v>
          </cell>
          <cell r="F1380">
            <v>33554</v>
          </cell>
          <cell r="G1380">
            <v>33637</v>
          </cell>
          <cell r="H1380" t="str">
            <v>Produits de laboratoire</v>
          </cell>
          <cell r="I1380" t="str">
            <v>OSI</v>
          </cell>
          <cell r="J1380" t="str">
            <v>01</v>
          </cell>
          <cell r="K1380">
            <v>27378.75</v>
          </cell>
          <cell r="L1380" t="str">
            <v>FRF</v>
          </cell>
          <cell r="M1380" t="str">
            <v>2100</v>
          </cell>
        </row>
        <row r="1381">
          <cell r="E1381" t="str">
            <v>22748</v>
          </cell>
          <cell r="F1381">
            <v>33515</v>
          </cell>
          <cell r="G1381">
            <v>33582</v>
          </cell>
          <cell r="H1381" t="str">
            <v>Robinets mélangeurs</v>
          </cell>
          <cell r="I1381" t="str">
            <v>APX</v>
          </cell>
          <cell r="J1381" t="str">
            <v>SEMC</v>
          </cell>
          <cell r="K1381">
            <v>301600</v>
          </cell>
          <cell r="L1381" t="str">
            <v>CFA</v>
          </cell>
          <cell r="M1381" t="str">
            <v>2000</v>
          </cell>
        </row>
        <row r="1382">
          <cell r="E1382" t="str">
            <v>301608</v>
          </cell>
          <cell r="F1382">
            <v>33515</v>
          </cell>
          <cell r="G1382">
            <v>33272</v>
          </cell>
          <cell r="H1382" t="str">
            <v>8x250 Pilules NH3/G,DPD N°4 R &amp; N</v>
          </cell>
          <cell r="I1382" t="str">
            <v>CIF</v>
          </cell>
          <cell r="J1382" t="str">
            <v>01</v>
          </cell>
          <cell r="K1382">
            <v>6008.4</v>
          </cell>
          <cell r="L1382" t="str">
            <v>FRF</v>
          </cell>
          <cell r="M1382" t="str">
            <v>2100</v>
          </cell>
        </row>
        <row r="1383">
          <cell r="E1383" t="str">
            <v>301801</v>
          </cell>
          <cell r="F1383">
            <v>33554</v>
          </cell>
          <cell r="G1383">
            <v>33637</v>
          </cell>
          <cell r="H1383" t="str">
            <v>Milieux de cultures bactériologiques</v>
          </cell>
          <cell r="I1383" t="str">
            <v>DPA</v>
          </cell>
          <cell r="J1383" t="str">
            <v>01</v>
          </cell>
          <cell r="K1383">
            <v>13546.34</v>
          </cell>
          <cell r="L1383" t="str">
            <v>FRF</v>
          </cell>
          <cell r="M1383" t="str">
            <v>2100</v>
          </cell>
        </row>
        <row r="1384">
          <cell r="E1384" t="str">
            <v>301807</v>
          </cell>
          <cell r="F1384">
            <v>33555</v>
          </cell>
          <cell r="G1384">
            <v>33722</v>
          </cell>
          <cell r="H1384" t="str">
            <v>Produits de laboratoire</v>
          </cell>
          <cell r="I1384" t="str">
            <v>PRO</v>
          </cell>
          <cell r="J1384" t="str">
            <v>01</v>
          </cell>
          <cell r="K1384">
            <v>7351.33</v>
          </cell>
          <cell r="L1384" t="str">
            <v>FRF</v>
          </cell>
          <cell r="M1384" t="str">
            <v>2100</v>
          </cell>
        </row>
        <row r="1385">
          <cell r="E1385" t="str">
            <v>301811</v>
          </cell>
          <cell r="F1385">
            <v>33584</v>
          </cell>
          <cell r="G1385">
            <v>33633</v>
          </cell>
          <cell r="H1385" t="str">
            <v>Produits de laboratoire</v>
          </cell>
          <cell r="I1385" t="str">
            <v>MCK</v>
          </cell>
          <cell r="J1385" t="str">
            <v>01</v>
          </cell>
          <cell r="K1385">
            <v>9481.6299999999992</v>
          </cell>
          <cell r="L1385" t="str">
            <v>FRF</v>
          </cell>
          <cell r="M1385" t="str">
            <v>2100</v>
          </cell>
        </row>
        <row r="1386">
          <cell r="E1386" t="str">
            <v>22466</v>
          </cell>
          <cell r="F1386">
            <v>33438</v>
          </cell>
          <cell r="G1386">
            <v>33495</v>
          </cell>
          <cell r="H1386" t="str">
            <v>12 cog-belts</v>
          </cell>
          <cell r="I1386" t="str">
            <v>LGA</v>
          </cell>
          <cell r="J1386" t="str">
            <v>01</v>
          </cell>
          <cell r="K1386">
            <v>0</v>
          </cell>
          <cell r="L1386" t="str">
            <v>CFA</v>
          </cell>
          <cell r="M1386" t="str">
            <v>2000</v>
          </cell>
        </row>
        <row r="1387">
          <cell r="E1387" t="str">
            <v>22794</v>
          </cell>
          <cell r="F1387">
            <v>33526</v>
          </cell>
          <cell r="G1387">
            <v>33547</v>
          </cell>
          <cell r="H1387" t="str">
            <v>12 Batteries pour REDPOST</v>
          </cell>
          <cell r="I1387" t="str">
            <v>SLT</v>
          </cell>
          <cell r="J1387" t="str">
            <v>01</v>
          </cell>
          <cell r="K1387">
            <v>196560</v>
          </cell>
          <cell r="L1387" t="str">
            <v>CFA</v>
          </cell>
          <cell r="M1387" t="str">
            <v>2000</v>
          </cell>
        </row>
        <row r="1388">
          <cell r="E1388" t="str">
            <v>22900</v>
          </cell>
          <cell r="F1388">
            <v>33541</v>
          </cell>
          <cell r="G1388">
            <v>33569</v>
          </cell>
          <cell r="H1388" t="str">
            <v>Sondes pour conductimètre digital</v>
          </cell>
          <cell r="I1388" t="str">
            <v>TAC</v>
          </cell>
          <cell r="J1388" t="str">
            <v>01</v>
          </cell>
          <cell r="K1388">
            <v>443250</v>
          </cell>
          <cell r="L1388" t="str">
            <v>CFA</v>
          </cell>
          <cell r="M1388" t="str">
            <v>2000</v>
          </cell>
        </row>
        <row r="1389">
          <cell r="E1389" t="str">
            <v>301950</v>
          </cell>
          <cell r="F1389">
            <v>33576</v>
          </cell>
          <cell r="G1389">
            <v>33751</v>
          </cell>
          <cell r="H1389" t="str">
            <v>10 Paquets de Rouleaux M-TORK Standard</v>
          </cell>
          <cell r="I1389" t="str">
            <v>MAN</v>
          </cell>
          <cell r="J1389" t="str">
            <v>01</v>
          </cell>
          <cell r="K1389">
            <v>0</v>
          </cell>
          <cell r="L1389" t="str">
            <v>FRF</v>
          </cell>
          <cell r="M1389" t="str">
            <v>2100</v>
          </cell>
        </row>
        <row r="1390">
          <cell r="E1390" t="str">
            <v>301816</v>
          </cell>
          <cell r="F1390">
            <v>33588</v>
          </cell>
          <cell r="G1390">
            <v>33687</v>
          </cell>
          <cell r="H1390" t="str">
            <v>Produits de laboratoire</v>
          </cell>
          <cell r="I1390" t="str">
            <v>PRO</v>
          </cell>
          <cell r="J1390" t="str">
            <v>01</v>
          </cell>
          <cell r="K1390">
            <v>13113.15</v>
          </cell>
          <cell r="L1390" t="str">
            <v>FRF</v>
          </cell>
          <cell r="M1390" t="str">
            <v>2100</v>
          </cell>
        </row>
        <row r="1391">
          <cell r="E1391" t="str">
            <v>301813</v>
          </cell>
          <cell r="F1391">
            <v>33560</v>
          </cell>
          <cell r="G1391">
            <v>33758</v>
          </cell>
          <cell r="H1391" t="str">
            <v>1 Lectrodryer DEWPOINT APPARATUS</v>
          </cell>
          <cell r="I1391" t="str">
            <v>HAF</v>
          </cell>
          <cell r="J1391" t="str">
            <v>11</v>
          </cell>
          <cell r="K1391">
            <v>3175.75</v>
          </cell>
          <cell r="L1391" t="str">
            <v>FRF</v>
          </cell>
          <cell r="M1391" t="str">
            <v>P001</v>
          </cell>
        </row>
        <row r="1392">
          <cell r="E1392" t="str">
            <v>301818</v>
          </cell>
          <cell r="F1392">
            <v>33560</v>
          </cell>
          <cell r="G1392">
            <v>33794</v>
          </cell>
          <cell r="H1392" t="str">
            <v>Produits de laboratoire</v>
          </cell>
          <cell r="I1392" t="str">
            <v>MCK</v>
          </cell>
          <cell r="J1392" t="str">
            <v>01</v>
          </cell>
          <cell r="K1392">
            <v>16770</v>
          </cell>
          <cell r="L1392" t="str">
            <v>FRF</v>
          </cell>
          <cell r="M1392" t="str">
            <v>2100</v>
          </cell>
        </row>
        <row r="1393">
          <cell r="E1393" t="str">
            <v>301818</v>
          </cell>
          <cell r="F1393">
            <v>33560</v>
          </cell>
          <cell r="G1393">
            <v>33272</v>
          </cell>
          <cell r="H1393" t="str">
            <v>Produits de laboratoire</v>
          </cell>
          <cell r="I1393" t="str">
            <v>MCK</v>
          </cell>
          <cell r="J1393" t="str">
            <v>01</v>
          </cell>
          <cell r="K1393">
            <v>10732</v>
          </cell>
          <cell r="L1393" t="str">
            <v>FRF</v>
          </cell>
          <cell r="M1393" t="str">
            <v>2100</v>
          </cell>
        </row>
        <row r="1394">
          <cell r="E1394" t="str">
            <v>301416</v>
          </cell>
          <cell r="F1394">
            <v>34731</v>
          </cell>
          <cell r="G1394">
            <v>33648</v>
          </cell>
          <cell r="H1394" t="str">
            <v>2 Cuves de paillasse</v>
          </cell>
          <cell r="I1394" t="str">
            <v>Ydé</v>
          </cell>
          <cell r="J1394" t="str">
            <v>01</v>
          </cell>
          <cell r="K1394">
            <v>500000</v>
          </cell>
          <cell r="L1394" t="str">
            <v>CFA</v>
          </cell>
          <cell r="M1394" t="str">
            <v>2100</v>
          </cell>
        </row>
        <row r="1395">
          <cell r="E1395" t="str">
            <v>311471</v>
          </cell>
          <cell r="F1395">
            <v>33497</v>
          </cell>
          <cell r="G1395">
            <v>34955</v>
          </cell>
          <cell r="H1395" t="str">
            <v>1 Imprimante Stylus Color</v>
          </cell>
          <cell r="I1395" t="str">
            <v>EPS</v>
          </cell>
          <cell r="J1395" t="str">
            <v>01</v>
          </cell>
          <cell r="K1395">
            <v>0</v>
          </cell>
          <cell r="L1395" t="str">
            <v>FRF</v>
          </cell>
          <cell r="M1395" t="str">
            <v>T002</v>
          </cell>
        </row>
        <row r="1396">
          <cell r="E1396" t="str">
            <v>301454</v>
          </cell>
          <cell r="F1396">
            <v>33480</v>
          </cell>
          <cell r="G1396">
            <v>33519</v>
          </cell>
          <cell r="H1396" t="str">
            <v>4 Batteries REDPOST</v>
          </cell>
          <cell r="I1396" t="str">
            <v>HAF</v>
          </cell>
          <cell r="J1396" t="str">
            <v>01</v>
          </cell>
          <cell r="K1396">
            <v>0</v>
          </cell>
          <cell r="L1396" t="str">
            <v>FRF</v>
          </cell>
          <cell r="M1396" t="str">
            <v>2000</v>
          </cell>
        </row>
        <row r="1397">
          <cell r="E1397" t="str">
            <v>301414</v>
          </cell>
          <cell r="F1397">
            <v>33472</v>
          </cell>
          <cell r="G1397">
            <v>33511</v>
          </cell>
          <cell r="H1397" t="str">
            <v>Rechanges centrifugeur de paillasse</v>
          </cell>
          <cell r="I1397" t="str">
            <v>APX</v>
          </cell>
          <cell r="J1397" t="str">
            <v>04</v>
          </cell>
          <cell r="K1397">
            <v>0</v>
          </cell>
          <cell r="L1397" t="str">
            <v>FRF</v>
          </cell>
          <cell r="M1397" t="str">
            <v>2000</v>
          </cell>
        </row>
        <row r="1398">
          <cell r="E1398" t="str">
            <v>31620</v>
          </cell>
          <cell r="F1398">
            <v>37846</v>
          </cell>
          <cell r="G1398">
            <v>37893</v>
          </cell>
          <cell r="H1398" t="str">
            <v>12 Sample bags CAS</v>
          </cell>
          <cell r="I1398" t="str">
            <v>HAF</v>
          </cell>
          <cell r="J1398" t="str">
            <v>01</v>
          </cell>
          <cell r="K1398">
            <v>936</v>
          </cell>
          <cell r="L1398" t="str">
            <v>EUR</v>
          </cell>
          <cell r="M1398">
            <v>2100</v>
          </cell>
        </row>
        <row r="1399">
          <cell r="E1399" t="str">
            <v>300857</v>
          </cell>
          <cell r="F1399">
            <v>33371</v>
          </cell>
          <cell r="G1399">
            <v>37776</v>
          </cell>
          <cell r="H1399" t="str">
            <v xml:space="preserve">1 Imprimante à jet d'encre couleur  </v>
          </cell>
          <cell r="I1399" t="str">
            <v>DSI</v>
          </cell>
          <cell r="J1399" t="str">
            <v>01</v>
          </cell>
          <cell r="K1399">
            <v>250000</v>
          </cell>
          <cell r="L1399" t="str">
            <v>CFA</v>
          </cell>
          <cell r="M1399" t="str">
            <v>BV031</v>
          </cell>
        </row>
        <row r="1400">
          <cell r="E1400" t="str">
            <v>30390</v>
          </cell>
          <cell r="F1400">
            <v>33511</v>
          </cell>
          <cell r="G1400">
            <v>33542</v>
          </cell>
          <cell r="H1400" t="str">
            <v>Réparation Réfractomètre PR-100</v>
          </cell>
          <cell r="I1400" t="str">
            <v>BBL</v>
          </cell>
          <cell r="J1400" t="str">
            <v>01</v>
          </cell>
          <cell r="K1400">
            <v>115650</v>
          </cell>
          <cell r="L1400" t="str">
            <v>CFA</v>
          </cell>
          <cell r="M1400">
            <v>3022</v>
          </cell>
        </row>
        <row r="1401">
          <cell r="E1401" t="str">
            <v>31622</v>
          </cell>
          <cell r="F1401">
            <v>37852</v>
          </cell>
          <cell r="G1401">
            <v>38001</v>
          </cell>
          <cell r="H1401" t="str">
            <v>Normes fibres + caract. papiers buvards</v>
          </cell>
          <cell r="I1401" t="str">
            <v>AFN</v>
          </cell>
          <cell r="J1401" t="str">
            <v>01</v>
          </cell>
          <cell r="K1401">
            <v>0</v>
          </cell>
          <cell r="L1401" t="str">
            <v>EUR</v>
          </cell>
          <cell r="M1401" t="str">
            <v>2201</v>
          </cell>
        </row>
        <row r="1402">
          <cell r="E1402" t="str">
            <v>31453</v>
          </cell>
          <cell r="F1402">
            <v>37796</v>
          </cell>
          <cell r="G1402">
            <v>37825</v>
          </cell>
          <cell r="H1402" t="str">
            <v>Produits de laboratoire</v>
          </cell>
          <cell r="I1402" t="str">
            <v>OSI</v>
          </cell>
          <cell r="J1402" t="str">
            <v>01</v>
          </cell>
          <cell r="K1402">
            <v>27378.75</v>
          </cell>
          <cell r="L1402" t="str">
            <v>FRF</v>
          </cell>
          <cell r="M1402" t="str">
            <v>2100</v>
          </cell>
        </row>
        <row r="1403">
          <cell r="E1403" t="str">
            <v>31480</v>
          </cell>
          <cell r="F1403">
            <v>37796</v>
          </cell>
          <cell r="G1403">
            <v>37908</v>
          </cell>
          <cell r="H1403" t="str">
            <v>Matériels de laboratoire</v>
          </cell>
          <cell r="I1403" t="str">
            <v>OSI</v>
          </cell>
          <cell r="J1403" t="str">
            <v>01</v>
          </cell>
          <cell r="K1403">
            <v>3210.68</v>
          </cell>
          <cell r="L1403" t="str">
            <v>EUR</v>
          </cell>
          <cell r="M1403">
            <v>2100</v>
          </cell>
        </row>
        <row r="1404">
          <cell r="E1404" t="str">
            <v>31621</v>
          </cell>
          <cell r="F1404">
            <v>37851</v>
          </cell>
          <cell r="G1404">
            <v>38007</v>
          </cell>
          <cell r="H1404" t="str">
            <v>Rechanges et accessoires pour spectrophotomètre</v>
          </cell>
          <cell r="I1404" t="str">
            <v>SPT</v>
          </cell>
          <cell r="J1404" t="str">
            <v>01</v>
          </cell>
          <cell r="K1404">
            <v>7557</v>
          </cell>
          <cell r="L1404" t="str">
            <v>EUR</v>
          </cell>
          <cell r="M1404">
            <v>2000</v>
          </cell>
        </row>
        <row r="1405">
          <cell r="E1405" t="str">
            <v>301801</v>
          </cell>
          <cell r="F1405">
            <v>33554</v>
          </cell>
          <cell r="G1405">
            <v>33637</v>
          </cell>
          <cell r="H1405" t="str">
            <v>Guide pratique du responsable du laboratoire</v>
          </cell>
          <cell r="I1405" t="str">
            <v>EDW</v>
          </cell>
          <cell r="J1405" t="str">
            <v>01</v>
          </cell>
          <cell r="K1405">
            <v>13546.34</v>
          </cell>
          <cell r="L1405" t="str">
            <v>FRF</v>
          </cell>
          <cell r="M1405">
            <v>2201</v>
          </cell>
        </row>
        <row r="1406">
          <cell r="E1406" t="str">
            <v>31469</v>
          </cell>
          <cell r="F1406">
            <v>37798</v>
          </cell>
          <cell r="G1406">
            <v>37874</v>
          </cell>
          <cell r="H1406" t="str">
            <v>2 Enregistreur 6 canaux série 5000</v>
          </cell>
          <cell r="I1406" t="str">
            <v>BBL</v>
          </cell>
          <cell r="J1406" t="str">
            <v>01</v>
          </cell>
          <cell r="K1406">
            <v>6287.62</v>
          </cell>
          <cell r="L1406" t="str">
            <v>EUR</v>
          </cell>
          <cell r="M1406" t="str">
            <v>BV036</v>
          </cell>
        </row>
        <row r="1407">
          <cell r="E1407" t="str">
            <v>301811</v>
          </cell>
          <cell r="F1407">
            <v>33584</v>
          </cell>
          <cell r="G1407">
            <v>33633</v>
          </cell>
          <cell r="H1407" t="str">
            <v>10 cartouche d'encre HP Laserjet 1200</v>
          </cell>
          <cell r="I1407" t="str">
            <v>DSI</v>
          </cell>
          <cell r="J1407" t="str">
            <v>01</v>
          </cell>
          <cell r="K1407">
            <v>9481.6299999999992</v>
          </cell>
          <cell r="L1407" t="str">
            <v>FRF</v>
          </cell>
          <cell r="M1407">
            <v>2000</v>
          </cell>
        </row>
        <row r="1408">
          <cell r="E1408" t="str">
            <v>31539</v>
          </cell>
          <cell r="F1408">
            <v>37813</v>
          </cell>
          <cell r="H1408" t="str">
            <v>Réparation sondes Ebro</v>
          </cell>
          <cell r="I1408" t="str">
            <v>EBI</v>
          </cell>
          <cell r="J1408" t="str">
            <v>01</v>
          </cell>
          <cell r="K1408" t="str">
            <v>650.76</v>
          </cell>
          <cell r="L1408" t="str">
            <v>EUR</v>
          </cell>
          <cell r="M1408" t="str">
            <v>2000</v>
          </cell>
        </row>
        <row r="1409">
          <cell r="E1409" t="str">
            <v>22794</v>
          </cell>
          <cell r="F1409">
            <v>33526</v>
          </cell>
          <cell r="G1409">
            <v>33547</v>
          </cell>
          <cell r="H1409" t="str">
            <v>1 Réabonnement à Liquides &amp; Conditionnements</v>
          </cell>
          <cell r="I1409" t="str">
            <v>PCI</v>
          </cell>
          <cell r="J1409" t="str">
            <v>01</v>
          </cell>
          <cell r="K1409">
            <v>196560</v>
          </cell>
          <cell r="L1409" t="str">
            <v>CFA</v>
          </cell>
          <cell r="M1409">
            <v>2201</v>
          </cell>
        </row>
        <row r="1410">
          <cell r="E1410" t="str">
            <v>22900</v>
          </cell>
          <cell r="F1410">
            <v>33541</v>
          </cell>
          <cell r="G1410">
            <v>33569</v>
          </cell>
          <cell r="H1410" t="str">
            <v>Carte éthernet + rallonge + flash memory</v>
          </cell>
          <cell r="I1410" t="str">
            <v>AFR</v>
          </cell>
          <cell r="J1410" t="str">
            <v>01</v>
          </cell>
          <cell r="K1410">
            <v>443250</v>
          </cell>
          <cell r="L1410" t="str">
            <v>CFA</v>
          </cell>
          <cell r="M1410">
            <v>3022</v>
          </cell>
        </row>
        <row r="1411">
          <cell r="E1411" t="str">
            <v>301950</v>
          </cell>
          <cell r="F1411">
            <v>33576</v>
          </cell>
          <cell r="G1411">
            <v>33751</v>
          </cell>
          <cell r="H1411" t="str">
            <v>Révision spectrophotomètre DUV 21</v>
          </cell>
          <cell r="I1411" t="str">
            <v>SPT</v>
          </cell>
          <cell r="J1411" t="str">
            <v>01</v>
          </cell>
          <cell r="K1411">
            <v>23580.62</v>
          </cell>
          <cell r="L1411" t="str">
            <v>FRF</v>
          </cell>
          <cell r="M1411">
            <v>3022</v>
          </cell>
        </row>
        <row r="1412">
          <cell r="E1412" t="str">
            <v>301816</v>
          </cell>
          <cell r="F1412">
            <v>33588</v>
          </cell>
          <cell r="G1412">
            <v>37769</v>
          </cell>
          <cell r="H1412" t="str">
            <v>Accessoires orbisphere</v>
          </cell>
          <cell r="I1412" t="str">
            <v>ORB</v>
          </cell>
          <cell r="J1412">
            <v>1</v>
          </cell>
          <cell r="K1412">
            <v>13113.15</v>
          </cell>
          <cell r="L1412" t="str">
            <v>FRF</v>
          </cell>
          <cell r="M1412">
            <v>2000</v>
          </cell>
        </row>
        <row r="1413">
          <cell r="E1413" t="str">
            <v>301813</v>
          </cell>
          <cell r="F1413">
            <v>33560</v>
          </cell>
          <cell r="G1413">
            <v>37704</v>
          </cell>
          <cell r="H1413" t="str">
            <v>Auto-Switch parallèle</v>
          </cell>
          <cell r="I1413" t="str">
            <v>DSI</v>
          </cell>
          <cell r="J1413" t="str">
            <v>01</v>
          </cell>
          <cell r="K1413">
            <v>13090</v>
          </cell>
          <cell r="L1413" t="str">
            <v>FRF</v>
          </cell>
          <cell r="M1413">
            <v>2100</v>
          </cell>
        </row>
        <row r="1414">
          <cell r="E1414" t="str">
            <v>31328</v>
          </cell>
          <cell r="F1414">
            <v>37712</v>
          </cell>
          <cell r="G1414">
            <v>33794</v>
          </cell>
          <cell r="H1414" t="str">
            <v>3 Sondes Ebro 270 mm</v>
          </cell>
          <cell r="I1414" t="str">
            <v>EBI</v>
          </cell>
          <cell r="J1414">
            <v>4</v>
          </cell>
          <cell r="K1414">
            <v>3914.95</v>
          </cell>
          <cell r="L1414" t="str">
            <v>EUR</v>
          </cell>
          <cell r="M1414" t="str">
            <v>1Q100-291AF1</v>
          </cell>
        </row>
        <row r="1415">
          <cell r="E1415" t="str">
            <v>31522</v>
          </cell>
          <cell r="F1415">
            <v>37803</v>
          </cell>
          <cell r="G1415">
            <v>37773</v>
          </cell>
          <cell r="H1415" t="str">
            <v>Blotters for yeasts samples</v>
          </cell>
          <cell r="I1415" t="str">
            <v>TBG</v>
          </cell>
          <cell r="J1415" t="str">
            <v>01</v>
          </cell>
          <cell r="K1415">
            <v>255.89</v>
          </cell>
          <cell r="L1415" t="str">
            <v>EUR</v>
          </cell>
          <cell r="M1415">
            <v>2100</v>
          </cell>
        </row>
        <row r="1416">
          <cell r="E1416" t="str">
            <v>31347</v>
          </cell>
          <cell r="F1416">
            <v>34731</v>
          </cell>
          <cell r="H1416" t="str">
            <v>Parts for Carlsberg Flask</v>
          </cell>
          <cell r="I1416" t="str">
            <v>SBR</v>
          </cell>
          <cell r="J1416">
            <v>1</v>
          </cell>
          <cell r="K1416">
            <v>722.34</v>
          </cell>
          <cell r="L1416" t="str">
            <v>EUR</v>
          </cell>
          <cell r="M1416">
            <v>2000</v>
          </cell>
        </row>
        <row r="1417">
          <cell r="E1417" t="str">
            <v>311471</v>
          </cell>
          <cell r="G1417">
            <v>37769</v>
          </cell>
          <cell r="H1417" t="str">
            <v>1 Digital CO2-Gehaltmeter</v>
          </cell>
          <cell r="I1417" t="str">
            <v>HAF</v>
          </cell>
          <cell r="J1417">
            <v>4</v>
          </cell>
          <cell r="K1417">
            <v>0</v>
          </cell>
          <cell r="M1417" t="str">
            <v>1Q100-291AF1</v>
          </cell>
        </row>
        <row r="1418">
          <cell r="E1418" t="str">
            <v>36905</v>
          </cell>
          <cell r="F1418">
            <v>37702</v>
          </cell>
          <cell r="H1418" t="str">
            <v>2 Catalogues SNRI</v>
          </cell>
          <cell r="I1418" t="str">
            <v>SNRI SA</v>
          </cell>
          <cell r="J1418">
            <v>1</v>
          </cell>
          <cell r="K1418">
            <v>0</v>
          </cell>
          <cell r="M1418" t="str">
            <v>2000</v>
          </cell>
        </row>
        <row r="1419">
          <cell r="G1419">
            <v>37720</v>
          </cell>
          <cell r="H1419" t="str">
            <v>Rechanges centrifugeur de paillasse</v>
          </cell>
          <cell r="I1419" t="str">
            <v>APX</v>
          </cell>
          <cell r="J1419" t="str">
            <v>04</v>
          </cell>
          <cell r="K1419">
            <v>0</v>
          </cell>
          <cell r="M1419" t="str">
            <v>2000</v>
          </cell>
        </row>
        <row r="1420">
          <cell r="E1420" t="str">
            <v>31620</v>
          </cell>
          <cell r="F1420">
            <v>37846</v>
          </cell>
          <cell r="G1420">
            <v>37802</v>
          </cell>
          <cell r="H1420" t="str">
            <v>HCl ; Isooctane ; Titriplex ; Khexacyanoferrate ; EtOH absolu</v>
          </cell>
          <cell r="I1420" t="str">
            <v>VWR</v>
          </cell>
          <cell r="J1420">
            <v>1</v>
          </cell>
          <cell r="K1420">
            <v>936</v>
          </cell>
          <cell r="L1420" t="str">
            <v>EUR</v>
          </cell>
          <cell r="M1420">
            <v>2100</v>
          </cell>
        </row>
        <row r="1421">
          <cell r="E1421" t="str">
            <v>293212</v>
          </cell>
          <cell r="F1421">
            <v>32101</v>
          </cell>
          <cell r="G1421">
            <v>37776</v>
          </cell>
          <cell r="H1421" t="str">
            <v xml:space="preserve">1 Imprimante à jet d'encre couleur  </v>
          </cell>
          <cell r="I1421" t="str">
            <v>DSI</v>
          </cell>
          <cell r="J1421" t="str">
            <v>01</v>
          </cell>
          <cell r="K1421">
            <v>250000</v>
          </cell>
          <cell r="L1421" t="str">
            <v>CFA</v>
          </cell>
          <cell r="M1421" t="str">
            <v>BV031</v>
          </cell>
        </row>
        <row r="1422">
          <cell r="E1422" t="str">
            <v>41803</v>
          </cell>
          <cell r="F1422">
            <v>33618</v>
          </cell>
          <cell r="G1422">
            <v>33659</v>
          </cell>
          <cell r="H1422" t="str">
            <v>Réparation Réfractomètre PR-100</v>
          </cell>
          <cell r="I1422" t="str">
            <v>BBL</v>
          </cell>
          <cell r="J1422" t="str">
            <v>01</v>
          </cell>
          <cell r="K1422">
            <v>313880</v>
          </cell>
          <cell r="L1422" t="str">
            <v>CFA</v>
          </cell>
          <cell r="M1422">
            <v>3022</v>
          </cell>
        </row>
        <row r="1423">
          <cell r="E1423" t="str">
            <v>321109</v>
          </cell>
          <cell r="F1423">
            <v>35895</v>
          </cell>
          <cell r="G1423">
            <v>35915</v>
          </cell>
          <cell r="H1423" t="str">
            <v>Levure type LESSE</v>
          </cell>
          <cell r="I1423" t="str">
            <v>SON</v>
          </cell>
          <cell r="J1423" t="str">
            <v>01</v>
          </cell>
          <cell r="K1423">
            <v>2510</v>
          </cell>
          <cell r="L1423" t="str">
            <v>FRF</v>
          </cell>
          <cell r="M1423" t="str">
            <v>2100</v>
          </cell>
        </row>
        <row r="1424">
          <cell r="E1424" t="str">
            <v>336130</v>
          </cell>
          <cell r="F1424">
            <v>37348</v>
          </cell>
          <cell r="G1424">
            <v>37825</v>
          </cell>
          <cell r="H1424" t="str">
            <v>Outil découpe préformes Rothenberger</v>
          </cell>
          <cell r="I1424" t="str">
            <v>AGR</v>
          </cell>
          <cell r="J1424" t="str">
            <v>01</v>
          </cell>
          <cell r="K1424">
            <v>1483.52</v>
          </cell>
          <cell r="L1424" t="str">
            <v>EUR</v>
          </cell>
          <cell r="M1424" t="str">
            <v>SVR</v>
          </cell>
        </row>
        <row r="1425">
          <cell r="E1425" t="str">
            <v>31480</v>
          </cell>
          <cell r="F1425">
            <v>37796</v>
          </cell>
          <cell r="G1425">
            <v>37908</v>
          </cell>
          <cell r="H1425" t="str">
            <v>1 Logiciel FEELANCE PLUS</v>
          </cell>
          <cell r="I1425" t="str">
            <v>DSI</v>
          </cell>
          <cell r="J1425" t="str">
            <v>01</v>
          </cell>
          <cell r="K1425">
            <v>0</v>
          </cell>
          <cell r="L1425" t="str">
            <v>EUR</v>
          </cell>
          <cell r="M1425" t="str">
            <v>P001</v>
          </cell>
        </row>
        <row r="1426">
          <cell r="E1426" t="str">
            <v>31621</v>
          </cell>
          <cell r="F1426">
            <v>37851</v>
          </cell>
          <cell r="G1426">
            <v>38007</v>
          </cell>
          <cell r="H1426" t="str">
            <v>1 Monte charge</v>
          </cell>
          <cell r="I1426" t="str">
            <v>DT</v>
          </cell>
          <cell r="J1426" t="str">
            <v>01</v>
          </cell>
          <cell r="K1426">
            <v>0</v>
          </cell>
          <cell r="L1426" t="str">
            <v>EUR</v>
          </cell>
          <cell r="M1426" t="str">
            <v>P001</v>
          </cell>
        </row>
        <row r="1427">
          <cell r="E1427" t="str">
            <v>0111</v>
          </cell>
          <cell r="F1427">
            <v>33955</v>
          </cell>
          <cell r="H1427" t="str">
            <v>Dépannage de l'onduleur</v>
          </cell>
          <cell r="I1427" t="str">
            <v>SAE</v>
          </cell>
          <cell r="J1427" t="str">
            <v>01</v>
          </cell>
          <cell r="K1427">
            <v>709594</v>
          </cell>
          <cell r="L1427" t="str">
            <v>CFA</v>
          </cell>
          <cell r="M1427">
            <v>2201</v>
          </cell>
        </row>
        <row r="1428">
          <cell r="E1428" t="str">
            <v>1000185</v>
          </cell>
          <cell r="F1428">
            <v>32444</v>
          </cell>
          <cell r="G1428">
            <v>32524</v>
          </cell>
          <cell r="H1428" t="str">
            <v>2X10X25 MENBRANES OFF/IN LINE</v>
          </cell>
          <cell r="I1428" t="str">
            <v>OSI</v>
          </cell>
          <cell r="J1428" t="str">
            <v>02</v>
          </cell>
          <cell r="K1428">
            <v>6000</v>
          </cell>
          <cell r="L1428" t="str">
            <v>FF</v>
          </cell>
          <cell r="M1428" t="str">
            <v>BV036</v>
          </cell>
        </row>
        <row r="1429">
          <cell r="E1429" t="str">
            <v>6588</v>
          </cell>
          <cell r="G1429">
            <v>32491</v>
          </cell>
          <cell r="H1429" t="str">
            <v>10 cartouche d'encre HP Laserjet 1200</v>
          </cell>
          <cell r="I1429" t="str">
            <v>DSI</v>
          </cell>
          <cell r="J1429" t="str">
            <v>01</v>
          </cell>
          <cell r="K1429">
            <v>0</v>
          </cell>
          <cell r="M1429">
            <v>2000</v>
          </cell>
        </row>
        <row r="1430">
          <cell r="E1430" t="str">
            <v>29600</v>
          </cell>
          <cell r="F1430">
            <v>32378</v>
          </cell>
          <cell r="H1430" t="str">
            <v>UBA MEDIUM DIFCO +ISO OCTANE</v>
          </cell>
          <cell r="I1430" t="str">
            <v>OSI</v>
          </cell>
          <cell r="J1430" t="str">
            <v>01</v>
          </cell>
          <cell r="K1430">
            <v>10449.6</v>
          </cell>
          <cell r="L1430" t="str">
            <v>FF</v>
          </cell>
          <cell r="M1430">
            <v>3022</v>
          </cell>
        </row>
        <row r="1431">
          <cell r="E1431" t="str">
            <v>50787</v>
          </cell>
          <cell r="F1431">
            <v>32363</v>
          </cell>
          <cell r="G1431">
            <v>32448</v>
          </cell>
          <cell r="H1431" t="str">
            <v>1 Réabonnement à Liquides &amp; Conditionnements</v>
          </cell>
          <cell r="I1431" t="str">
            <v>PCI</v>
          </cell>
          <cell r="J1431" t="str">
            <v>01</v>
          </cell>
          <cell r="K1431">
            <v>11160</v>
          </cell>
          <cell r="L1431" t="str">
            <v>FF</v>
          </cell>
          <cell r="M1431">
            <v>2201</v>
          </cell>
        </row>
        <row r="1432">
          <cell r="E1432" t="str">
            <v>6557</v>
          </cell>
          <cell r="F1432">
            <v>32431</v>
          </cell>
          <cell r="H1432" t="str">
            <v>RECHANGES POUR CARBOTEST PORTABLE+2JARRE</v>
          </cell>
          <cell r="I1432" t="str">
            <v>APX</v>
          </cell>
          <cell r="J1432" t="str">
            <v>01</v>
          </cell>
          <cell r="K1432">
            <v>0</v>
          </cell>
          <cell r="L1432">
            <v>0</v>
          </cell>
          <cell r="M1432">
            <v>3022</v>
          </cell>
        </row>
        <row r="1433">
          <cell r="E1433" t="str">
            <v>50739</v>
          </cell>
          <cell r="F1433">
            <v>32113</v>
          </cell>
          <cell r="G1433">
            <v>32141</v>
          </cell>
          <cell r="H1433" t="str">
            <v>Révision spectrophotomètre DUV 21</v>
          </cell>
          <cell r="I1433" t="str">
            <v>SPT</v>
          </cell>
          <cell r="J1433" t="str">
            <v>01</v>
          </cell>
          <cell r="K1433">
            <v>5468</v>
          </cell>
          <cell r="L1433" t="str">
            <v>FF</v>
          </cell>
          <cell r="M1433">
            <v>3022</v>
          </cell>
        </row>
        <row r="1434">
          <cell r="E1434" t="str">
            <v>50742</v>
          </cell>
          <cell r="F1434">
            <v>32156</v>
          </cell>
          <cell r="G1434">
            <v>37769</v>
          </cell>
          <cell r="H1434" t="str">
            <v>Accessoires orbisphere</v>
          </cell>
          <cell r="I1434" t="str">
            <v>ORB</v>
          </cell>
          <cell r="J1434">
            <v>1</v>
          </cell>
          <cell r="K1434">
            <v>1475</v>
          </cell>
          <cell r="L1434" t="str">
            <v>FF</v>
          </cell>
          <cell r="M1434">
            <v>2000</v>
          </cell>
        </row>
        <row r="1435">
          <cell r="E1435" t="str">
            <v>50788</v>
          </cell>
          <cell r="F1435">
            <v>32366</v>
          </cell>
          <cell r="G1435">
            <v>37704</v>
          </cell>
          <cell r="H1435" t="str">
            <v>Auto-Switch parallèle</v>
          </cell>
          <cell r="I1435" t="str">
            <v>DSI</v>
          </cell>
          <cell r="J1435" t="str">
            <v>02</v>
          </cell>
          <cell r="K1435">
            <v>30250</v>
          </cell>
          <cell r="L1435" t="str">
            <v>FF</v>
          </cell>
          <cell r="M1435">
            <v>2100</v>
          </cell>
        </row>
        <row r="1436">
          <cell r="E1436" t="str">
            <v>50802</v>
          </cell>
          <cell r="F1436">
            <v>32405</v>
          </cell>
          <cell r="H1436" t="str">
            <v>MISSION D'ENTRETIENT ET MAITENANCE</v>
          </cell>
          <cell r="I1436" t="str">
            <v>WAT</v>
          </cell>
          <cell r="J1436" t="str">
            <v>01</v>
          </cell>
          <cell r="K1436">
            <v>15000</v>
          </cell>
          <cell r="L1436" t="str">
            <v>FF</v>
          </cell>
          <cell r="M1436" t="str">
            <v>1Q100-291AF1</v>
          </cell>
        </row>
        <row r="1437">
          <cell r="E1437" t="str">
            <v>1000514</v>
          </cell>
          <cell r="F1437">
            <v>32526</v>
          </cell>
          <cell r="G1437">
            <v>37773</v>
          </cell>
          <cell r="H1437" t="str">
            <v>MANO INDU.DN65 D-1+6BAR G1/4</v>
          </cell>
          <cell r="I1437" t="str">
            <v>PRT</v>
          </cell>
          <cell r="J1437" t="str">
            <v>01</v>
          </cell>
          <cell r="K1437">
            <v>834</v>
          </cell>
          <cell r="L1437">
            <v>0</v>
          </cell>
          <cell r="M1437">
            <v>2100</v>
          </cell>
        </row>
        <row r="1438">
          <cell r="E1438" t="str">
            <v>6499</v>
          </cell>
          <cell r="F1438">
            <v>32435</v>
          </cell>
          <cell r="H1438" t="str">
            <v>50X0.5LITRE ISOOCTANE</v>
          </cell>
          <cell r="I1438" t="str">
            <v>APX</v>
          </cell>
          <cell r="J1438" t="str">
            <v>01</v>
          </cell>
          <cell r="K1438">
            <v>0</v>
          </cell>
          <cell r="L1438">
            <v>0</v>
          </cell>
          <cell r="M1438">
            <v>2000</v>
          </cell>
        </row>
        <row r="1439">
          <cell r="E1439" t="str">
            <v>50741</v>
          </cell>
          <cell r="F1439">
            <v>32119</v>
          </cell>
          <cell r="G1439">
            <v>37769</v>
          </cell>
          <cell r="H1439" t="str">
            <v>1*COMPARATEUR LOVIBOND-DISQUE-CUVETTES</v>
          </cell>
          <cell r="I1439" t="str">
            <v>CIF</v>
          </cell>
          <cell r="J1439" t="str">
            <v>05</v>
          </cell>
          <cell r="K1439">
            <v>2124</v>
          </cell>
          <cell r="L1439" t="str">
            <v>FF</v>
          </cell>
          <cell r="M1439" t="str">
            <v>1Q100-291AF1</v>
          </cell>
        </row>
        <row r="1440">
          <cell r="E1440" t="str">
            <v>50771</v>
          </cell>
          <cell r="F1440">
            <v>32296</v>
          </cell>
          <cell r="G1440">
            <v>32363</v>
          </cell>
          <cell r="H1440" t="str">
            <v>2 Catalogues SNRI</v>
          </cell>
          <cell r="I1440" t="str">
            <v>SNRI SA</v>
          </cell>
          <cell r="J1440">
            <v>1</v>
          </cell>
          <cell r="K1440">
            <v>219.5</v>
          </cell>
          <cell r="L1440" t="str">
            <v>USD</v>
          </cell>
        </row>
        <row r="1441">
          <cell r="E1441" t="str">
            <v>50755</v>
          </cell>
          <cell r="F1441">
            <v>32255</v>
          </cell>
          <cell r="G1441">
            <v>37720</v>
          </cell>
          <cell r="H1441" t="str">
            <v>MISSION D'ENTRET. &amp; MAINT. MAT. BECKMAN</v>
          </cell>
          <cell r="I1441" t="str">
            <v>WAT</v>
          </cell>
          <cell r="J1441" t="str">
            <v>01</v>
          </cell>
          <cell r="K1441">
            <v>150</v>
          </cell>
          <cell r="L1441" t="str">
            <v>FF</v>
          </cell>
        </row>
        <row r="1442">
          <cell r="E1442" t="str">
            <v>1001225</v>
          </cell>
          <cell r="G1442">
            <v>32617</v>
          </cell>
          <cell r="H1442" t="str">
            <v>Bain thermostatique + Cryoplongeur</v>
          </cell>
          <cell r="I1442" t="str">
            <v>BBL</v>
          </cell>
          <cell r="J1442" t="str">
            <v>01</v>
          </cell>
          <cell r="K1442">
            <v>0</v>
          </cell>
        </row>
        <row r="1443">
          <cell r="E1443" t="str">
            <v>1000300</v>
          </cell>
          <cell r="F1443">
            <v>32471</v>
          </cell>
          <cell r="G1443">
            <v>32133</v>
          </cell>
          <cell r="H1443" t="str">
            <v>1 LOT DE RECHANGES/ACCESSOIRES MAT.LABO.</v>
          </cell>
          <cell r="I1443" t="str">
            <v>FAG</v>
          </cell>
          <cell r="J1443" t="str">
            <v>01</v>
          </cell>
          <cell r="K1443">
            <v>176</v>
          </cell>
          <cell r="L1443" t="str">
            <v>DUS</v>
          </cell>
        </row>
        <row r="1444">
          <cell r="E1444" t="str">
            <v>29205</v>
          </cell>
          <cell r="F1444">
            <v>32405</v>
          </cell>
          <cell r="G1444">
            <v>32546</v>
          </cell>
          <cell r="H1444" t="str">
            <v>DENSIMETRE + PIECES DE RECHANGE ZAHM</v>
          </cell>
          <cell r="I1444" t="str">
            <v>TDB</v>
          </cell>
          <cell r="J1444" t="str">
            <v>06</v>
          </cell>
          <cell r="K1444">
            <v>16814</v>
          </cell>
          <cell r="L1444" t="str">
            <v>FF</v>
          </cell>
          <cell r="M1444" t="str">
            <v>2100</v>
          </cell>
        </row>
        <row r="1445">
          <cell r="E1445" t="str">
            <v>29257</v>
          </cell>
          <cell r="F1445">
            <v>32378</v>
          </cell>
          <cell r="G1445">
            <v>35915</v>
          </cell>
          <cell r="H1445" t="str">
            <v>16 SYRUP HYDROMETER</v>
          </cell>
          <cell r="I1445" t="str">
            <v>TDB</v>
          </cell>
          <cell r="J1445" t="str">
            <v>04</v>
          </cell>
          <cell r="K1445">
            <v>3414</v>
          </cell>
          <cell r="L1445" t="str">
            <v>FF</v>
          </cell>
          <cell r="M1445" t="str">
            <v>2100</v>
          </cell>
        </row>
        <row r="1446">
          <cell r="E1446" t="str">
            <v>29434</v>
          </cell>
          <cell r="F1446">
            <v>32176</v>
          </cell>
          <cell r="G1446">
            <v>32206</v>
          </cell>
          <cell r="H1446" t="str">
            <v>Outil découpe préformes Rothenberger</v>
          </cell>
          <cell r="I1446" t="str">
            <v>AGR</v>
          </cell>
          <cell r="J1446" t="str">
            <v>01</v>
          </cell>
          <cell r="K1446">
            <v>1483.52</v>
          </cell>
          <cell r="L1446" t="str">
            <v>EUR</v>
          </cell>
          <cell r="M1446" t="str">
            <v>SVR</v>
          </cell>
        </row>
        <row r="1447">
          <cell r="E1447" t="str">
            <v>29266</v>
          </cell>
          <cell r="F1447">
            <v>32071</v>
          </cell>
          <cell r="G1447">
            <v>32219</v>
          </cell>
          <cell r="H1447" t="str">
            <v>1 Logiciel FEELANCE PLUS</v>
          </cell>
          <cell r="I1447" t="str">
            <v>DSI</v>
          </cell>
          <cell r="J1447" t="str">
            <v>01</v>
          </cell>
          <cell r="K1447">
            <v>0</v>
          </cell>
          <cell r="L1447" t="str">
            <v>FF</v>
          </cell>
          <cell r="M1447" t="str">
            <v>P001</v>
          </cell>
        </row>
        <row r="1448">
          <cell r="E1448" t="str">
            <v>29305</v>
          </cell>
          <cell r="F1448">
            <v>32093</v>
          </cell>
          <cell r="G1448">
            <v>32274</v>
          </cell>
          <cell r="H1448" t="str">
            <v>1 Monte charge</v>
          </cell>
          <cell r="I1448" t="str">
            <v>DT</v>
          </cell>
          <cell r="J1448" t="str">
            <v>01</v>
          </cell>
          <cell r="K1448">
            <v>0</v>
          </cell>
          <cell r="L1448" t="str">
            <v>Frs</v>
          </cell>
          <cell r="M1448" t="str">
            <v>P001</v>
          </cell>
        </row>
        <row r="1449">
          <cell r="E1449" t="str">
            <v>29349</v>
          </cell>
          <cell r="F1449">
            <v>32154</v>
          </cell>
          <cell r="G1449">
            <v>32402</v>
          </cell>
          <cell r="H1449" t="str">
            <v>Dépannage de l'onduleur</v>
          </cell>
          <cell r="I1449" t="str">
            <v>SAE</v>
          </cell>
          <cell r="J1449" t="str">
            <v>01</v>
          </cell>
          <cell r="K1449">
            <v>709594</v>
          </cell>
          <cell r="L1449" t="str">
            <v>CFA</v>
          </cell>
          <cell r="M1449" t="str">
            <v>3300</v>
          </cell>
        </row>
        <row r="1450">
          <cell r="E1450" t="str">
            <v>299266</v>
          </cell>
          <cell r="F1450">
            <v>32014</v>
          </cell>
          <cell r="G1450">
            <v>32524</v>
          </cell>
          <cell r="H1450" t="str">
            <v>Matériels de laboratoire</v>
          </cell>
          <cell r="I1450" t="str">
            <v>OSI</v>
          </cell>
          <cell r="J1450" t="str">
            <v>04</v>
          </cell>
          <cell r="K1450">
            <v>0</v>
          </cell>
          <cell r="L1450">
            <v>0</v>
          </cell>
        </row>
        <row r="1451">
          <cell r="E1451" t="str">
            <v>29514</v>
          </cell>
          <cell r="F1451">
            <v>32098</v>
          </cell>
          <cell r="G1451">
            <v>32491</v>
          </cell>
          <cell r="H1451" t="str">
            <v>ABOUTS RACORDEMENT+RACCORD A FILETAGE</v>
          </cell>
          <cell r="I1451" t="str">
            <v>APX</v>
          </cell>
          <cell r="J1451" t="str">
            <v>01</v>
          </cell>
          <cell r="K1451">
            <v>0</v>
          </cell>
          <cell r="L1451" t="str">
            <v>Frs</v>
          </cell>
        </row>
        <row r="1452">
          <cell r="E1452" t="str">
            <v>29313</v>
          </cell>
          <cell r="F1452">
            <v>32378</v>
          </cell>
          <cell r="H1452" t="str">
            <v>PRODUITS ET REATIFS</v>
          </cell>
          <cell r="I1452" t="str">
            <v>DPA</v>
          </cell>
          <cell r="J1452" t="str">
            <v>01</v>
          </cell>
          <cell r="K1452">
            <v>0</v>
          </cell>
          <cell r="L1452" t="str">
            <v>FF</v>
          </cell>
        </row>
        <row r="1453">
          <cell r="E1453" t="str">
            <v>29314</v>
          </cell>
          <cell r="F1453">
            <v>32363</v>
          </cell>
          <cell r="G1453">
            <v>32448</v>
          </cell>
          <cell r="H1453" t="str">
            <v>Réactifs de labo</v>
          </cell>
          <cell r="I1453" t="str">
            <v>DPA</v>
          </cell>
          <cell r="J1453" t="str">
            <v>01</v>
          </cell>
          <cell r="K1453">
            <v>0</v>
          </cell>
          <cell r="L1453" t="str">
            <v>FF</v>
          </cell>
        </row>
        <row r="1454">
          <cell r="E1454" t="str">
            <v>29365</v>
          </cell>
          <cell r="F1454">
            <v>32120</v>
          </cell>
          <cell r="G1454">
            <v>32266</v>
          </cell>
          <cell r="H1454" t="str">
            <v>RECHANGES POUR CARBOTEST PORTABLE+2JARRE</v>
          </cell>
          <cell r="I1454" t="str">
            <v>APX</v>
          </cell>
          <cell r="J1454" t="str">
            <v>01</v>
          </cell>
          <cell r="K1454">
            <v>0</v>
          </cell>
          <cell r="L1454">
            <v>0</v>
          </cell>
        </row>
        <row r="1455">
          <cell r="E1455" t="str">
            <v>29344</v>
          </cell>
          <cell r="F1455">
            <v>32111</v>
          </cell>
          <cell r="G1455">
            <v>32132</v>
          </cell>
          <cell r="H1455" t="str">
            <v>2000 PILLULES DPD N°4</v>
          </cell>
          <cell r="I1455" t="str">
            <v>CIF</v>
          </cell>
          <cell r="J1455" t="str">
            <v>02</v>
          </cell>
          <cell r="K1455">
            <v>738</v>
          </cell>
          <cell r="L1455" t="str">
            <v>FF</v>
          </cell>
        </row>
        <row r="1456">
          <cell r="E1456" t="str">
            <v>29364</v>
          </cell>
          <cell r="F1456">
            <v>32120</v>
          </cell>
          <cell r="G1456">
            <v>31802</v>
          </cell>
          <cell r="H1456" t="str">
            <v>8*250ML RAUCH LIQUID</v>
          </cell>
          <cell r="I1456" t="str">
            <v>CPR</v>
          </cell>
          <cell r="J1456" t="str">
            <v>02</v>
          </cell>
          <cell r="K1456">
            <v>496</v>
          </cell>
          <cell r="L1456" t="str">
            <v>DM</v>
          </cell>
        </row>
        <row r="1457">
          <cell r="E1457" t="str">
            <v>29437</v>
          </cell>
          <cell r="F1457">
            <v>32181</v>
          </cell>
          <cell r="G1457">
            <v>32378</v>
          </cell>
          <cell r="H1457" t="str">
            <v>Matériels de laboratoire(Buse CO2)</v>
          </cell>
          <cell r="I1457" t="str">
            <v>BAG</v>
          </cell>
          <cell r="J1457" t="str">
            <v>05</v>
          </cell>
          <cell r="K1457">
            <v>1787</v>
          </cell>
          <cell r="L1457" t="str">
            <v>DM</v>
          </cell>
        </row>
        <row r="1458">
          <cell r="E1458" t="str">
            <v>29431</v>
          </cell>
          <cell r="F1458">
            <v>32176</v>
          </cell>
          <cell r="G1458">
            <v>32252</v>
          </cell>
          <cell r="H1458" t="str">
            <v>MISSION D'ENTRETIENT ET MAITENANCE</v>
          </cell>
          <cell r="I1458" t="str">
            <v>WAT</v>
          </cell>
          <cell r="J1458" t="str">
            <v>01</v>
          </cell>
          <cell r="K1458">
            <v>15000</v>
          </cell>
          <cell r="L1458" t="str">
            <v>FF</v>
          </cell>
        </row>
        <row r="1459">
          <cell r="E1459" t="str">
            <v>29338</v>
          </cell>
          <cell r="F1459">
            <v>32108</v>
          </cell>
          <cell r="G1459">
            <v>32113</v>
          </cell>
          <cell r="H1459" t="str">
            <v>MANO INDU.DN65 D-1+6BAR G1/4</v>
          </cell>
          <cell r="I1459" t="str">
            <v>PRT</v>
          </cell>
          <cell r="J1459" t="str">
            <v>01</v>
          </cell>
          <cell r="K1459">
            <v>834</v>
          </cell>
          <cell r="L1459">
            <v>0</v>
          </cell>
        </row>
        <row r="1460">
          <cell r="E1460" t="str">
            <v>29372</v>
          </cell>
          <cell r="F1460">
            <v>32157</v>
          </cell>
          <cell r="G1460">
            <v>32206</v>
          </cell>
          <cell r="H1460" t="str">
            <v>50X0.5LITRE ISOOCTANE</v>
          </cell>
          <cell r="I1460" t="str">
            <v>APX</v>
          </cell>
          <cell r="J1460" t="str">
            <v>01</v>
          </cell>
          <cell r="K1460">
            <v>0</v>
          </cell>
          <cell r="L1460">
            <v>0</v>
          </cell>
        </row>
        <row r="1461">
          <cell r="E1461" t="str">
            <v>29373</v>
          </cell>
          <cell r="F1461">
            <v>32161</v>
          </cell>
          <cell r="G1461">
            <v>32448</v>
          </cell>
          <cell r="H1461" t="str">
            <v>1*COMPARATEUR LOVIBOND-DISQUE-CUVETTES</v>
          </cell>
          <cell r="I1461" t="str">
            <v>CIF</v>
          </cell>
          <cell r="J1461" t="str">
            <v>05</v>
          </cell>
          <cell r="K1461">
            <v>2124</v>
          </cell>
          <cell r="L1461" t="str">
            <v>FF</v>
          </cell>
        </row>
        <row r="1462">
          <cell r="E1462" t="str">
            <v>29337</v>
          </cell>
          <cell r="F1462">
            <v>32108</v>
          </cell>
          <cell r="G1462">
            <v>32363</v>
          </cell>
          <cell r="H1462" t="str">
            <v>500*GOUPILONS</v>
          </cell>
          <cell r="I1462" t="str">
            <v>MCC</v>
          </cell>
          <cell r="J1462" t="str">
            <v>05</v>
          </cell>
          <cell r="K1462">
            <v>5600</v>
          </cell>
          <cell r="L1462">
            <v>0</v>
          </cell>
        </row>
        <row r="1463">
          <cell r="E1463" t="str">
            <v>11017</v>
          </cell>
          <cell r="F1463">
            <v>32182</v>
          </cell>
          <cell r="G1463">
            <v>32421</v>
          </cell>
          <cell r="H1463" t="str">
            <v>MISSION D'ENTRET. &amp; MAINT. MAT. BECKMAN</v>
          </cell>
          <cell r="I1463" t="str">
            <v>WAT</v>
          </cell>
          <cell r="J1463" t="str">
            <v>01</v>
          </cell>
          <cell r="K1463">
            <v>150</v>
          </cell>
          <cell r="L1463" t="str">
            <v>FF</v>
          </cell>
        </row>
        <row r="1464">
          <cell r="E1464" t="str">
            <v>4885</v>
          </cell>
          <cell r="G1464">
            <v>32378</v>
          </cell>
          <cell r="H1464" t="str">
            <v>Matériels de laboratoire LABORATOIRE</v>
          </cell>
          <cell r="I1464" t="str">
            <v>COK</v>
          </cell>
          <cell r="J1464" t="str">
            <v>01</v>
          </cell>
          <cell r="K1464">
            <v>0</v>
          </cell>
        </row>
        <row r="1465">
          <cell r="E1465" t="str">
            <v>4346</v>
          </cell>
          <cell r="F1465">
            <v>32471</v>
          </cell>
          <cell r="G1465">
            <v>32301</v>
          </cell>
          <cell r="H1465" t="str">
            <v>1 LOT DE RECHANGES/ACCESSOIRES MAT.LABO.</v>
          </cell>
          <cell r="I1465" t="str">
            <v>FAG</v>
          </cell>
          <cell r="J1465" t="str">
            <v>01</v>
          </cell>
          <cell r="K1465">
            <v>176</v>
          </cell>
          <cell r="L1465" t="str">
            <v>DUS</v>
          </cell>
        </row>
        <row r="1466">
          <cell r="E1466" t="str">
            <v>29428</v>
          </cell>
          <cell r="F1466">
            <v>32182</v>
          </cell>
          <cell r="G1466">
            <v>32546</v>
          </cell>
          <cell r="H1466" t="str">
            <v>4*DISPO.CENTRAGE HAZEMETER UK USI.01-06</v>
          </cell>
          <cell r="I1466" t="str">
            <v>RTS</v>
          </cell>
          <cell r="J1466" t="str">
            <v>01</v>
          </cell>
          <cell r="K1466">
            <v>6572</v>
          </cell>
          <cell r="L1466" t="str">
            <v>Frs</v>
          </cell>
        </row>
        <row r="1467">
          <cell r="E1467" t="str">
            <v>29398</v>
          </cell>
          <cell r="F1467">
            <v>32154</v>
          </cell>
          <cell r="G1467">
            <v>32219</v>
          </cell>
          <cell r="H1467" t="str">
            <v>16 SYRUP HYDROMETER</v>
          </cell>
          <cell r="I1467" t="str">
            <v>TDB</v>
          </cell>
          <cell r="J1467" t="str">
            <v>04</v>
          </cell>
          <cell r="K1467">
            <v>3414</v>
          </cell>
          <cell r="L1467" t="str">
            <v>FF</v>
          </cell>
        </row>
        <row r="1468">
          <cell r="E1468" t="str">
            <v>29397</v>
          </cell>
          <cell r="F1468">
            <v>32153</v>
          </cell>
          <cell r="G1468">
            <v>32409</v>
          </cell>
          <cell r="H1468" t="str">
            <v>160*CO.GASBOX H2 CO2+2*STAPHYSLIDE TEST</v>
          </cell>
          <cell r="I1468" t="str">
            <v>BIO</v>
          </cell>
          <cell r="J1468" t="str">
            <v>01</v>
          </cell>
          <cell r="K1468">
            <v>12248</v>
          </cell>
          <cell r="L1468" t="str">
            <v>Frs</v>
          </cell>
        </row>
        <row r="1469">
          <cell r="E1469" t="str">
            <v>29419</v>
          </cell>
          <cell r="F1469">
            <v>32168</v>
          </cell>
          <cell r="G1469">
            <v>32261</v>
          </cell>
          <cell r="H1469" t="str">
            <v>SUPPORTS FILTRES+JOINTS</v>
          </cell>
          <cell r="I1469" t="str">
            <v>STR</v>
          </cell>
          <cell r="J1469" t="str">
            <v>02</v>
          </cell>
          <cell r="K1469">
            <v>6900</v>
          </cell>
          <cell r="L1469" t="str">
            <v>FF</v>
          </cell>
        </row>
        <row r="1470">
          <cell r="E1470" t="str">
            <v>29388</v>
          </cell>
          <cell r="F1470">
            <v>32135</v>
          </cell>
          <cell r="G1470">
            <v>32190</v>
          </cell>
          <cell r="H1470" t="str">
            <v>ACCESSOIRE ET RECHANGES COULTER-COUNIER</v>
          </cell>
          <cell r="I1470" t="str">
            <v>COF</v>
          </cell>
          <cell r="J1470" t="str">
            <v>02</v>
          </cell>
          <cell r="K1470">
            <v>1706.2</v>
          </cell>
          <cell r="L1470" t="str">
            <v>FF</v>
          </cell>
        </row>
        <row r="1471">
          <cell r="E1471" t="str">
            <v>29390</v>
          </cell>
          <cell r="F1471">
            <v>32150</v>
          </cell>
          <cell r="G1471">
            <v>32219</v>
          </cell>
          <cell r="H1471" t="str">
            <v>Matériels de laboratoire(disque hellige)</v>
          </cell>
          <cell r="I1471" t="str">
            <v>HEF</v>
          </cell>
          <cell r="J1471" t="str">
            <v>02</v>
          </cell>
          <cell r="K1471">
            <v>1751</v>
          </cell>
          <cell r="L1471" t="str">
            <v>FF</v>
          </cell>
        </row>
        <row r="1472">
          <cell r="E1472" t="str">
            <v>29607</v>
          </cell>
          <cell r="F1472">
            <v>32324</v>
          </cell>
          <cell r="G1472">
            <v>32695</v>
          </cell>
          <cell r="H1472" t="str">
            <v>Matériels de laboratoire</v>
          </cell>
          <cell r="I1472" t="str">
            <v>OSI</v>
          </cell>
          <cell r="J1472" t="str">
            <v>04</v>
          </cell>
          <cell r="K1472">
            <v>0</v>
          </cell>
          <cell r="L1472">
            <v>0</v>
          </cell>
        </row>
        <row r="1473">
          <cell r="E1473" t="str">
            <v>29435</v>
          </cell>
          <cell r="F1473">
            <v>32178</v>
          </cell>
          <cell r="G1473">
            <v>32206</v>
          </cell>
          <cell r="H1473" t="str">
            <v>Matériels de laboratoire (PR distillation)</v>
          </cell>
          <cell r="I1473" t="str">
            <v>LGA</v>
          </cell>
          <cell r="J1473" t="str">
            <v>02</v>
          </cell>
          <cell r="K1473">
            <v>6748</v>
          </cell>
          <cell r="L1473" t="str">
            <v>DKr</v>
          </cell>
        </row>
        <row r="1474">
          <cell r="E1474" t="str">
            <v>29379</v>
          </cell>
          <cell r="F1474">
            <v>32102</v>
          </cell>
          <cell r="G1474">
            <v>32167</v>
          </cell>
          <cell r="H1474" t="str">
            <v>PRODUITS ET REATIFS</v>
          </cell>
          <cell r="I1474" t="str">
            <v>DPA</v>
          </cell>
          <cell r="J1474" t="str">
            <v>01</v>
          </cell>
          <cell r="K1474">
            <v>0</v>
          </cell>
          <cell r="L1474" t="str">
            <v>FF</v>
          </cell>
        </row>
        <row r="1475">
          <cell r="E1475" t="str">
            <v>29450</v>
          </cell>
          <cell r="F1475">
            <v>32202</v>
          </cell>
          <cell r="G1475">
            <v>32324</v>
          </cell>
          <cell r="H1475" t="str">
            <v>Réactifs de labo</v>
          </cell>
          <cell r="I1475" t="str">
            <v>DPA</v>
          </cell>
          <cell r="J1475" t="str">
            <v>01</v>
          </cell>
          <cell r="K1475">
            <v>0</v>
          </cell>
          <cell r="L1475" t="str">
            <v>FF</v>
          </cell>
        </row>
        <row r="1476">
          <cell r="E1476" t="str">
            <v>29468</v>
          </cell>
          <cell r="F1476">
            <v>32247</v>
          </cell>
          <cell r="G1476">
            <v>32266</v>
          </cell>
          <cell r="H1476" t="str">
            <v>Matériels de laboratoire</v>
          </cell>
          <cell r="I1476" t="str">
            <v>GBL</v>
          </cell>
          <cell r="J1476" t="str">
            <v>02</v>
          </cell>
          <cell r="K1476">
            <v>2432.85</v>
          </cell>
          <cell r="L1476" t="str">
            <v>FF</v>
          </cell>
        </row>
        <row r="1477">
          <cell r="E1477" t="str">
            <v>29499</v>
          </cell>
          <cell r="F1477">
            <v>32302</v>
          </cell>
          <cell r="G1477">
            <v>32409</v>
          </cell>
          <cell r="H1477" t="str">
            <v>Matériels de laboratoire</v>
          </cell>
          <cell r="I1477" t="str">
            <v>TDB</v>
          </cell>
          <cell r="J1477" t="str">
            <v>02</v>
          </cell>
          <cell r="K1477">
            <v>5260</v>
          </cell>
          <cell r="L1477" t="str">
            <v>F</v>
          </cell>
        </row>
        <row r="1478">
          <cell r="E1478" t="str">
            <v>29368</v>
          </cell>
          <cell r="F1478">
            <v>32122</v>
          </cell>
          <cell r="G1478">
            <v>31802</v>
          </cell>
          <cell r="H1478" t="str">
            <v>RAUCH LIQUIDE(LIQUIDE FUMOGENE)8*250ML</v>
          </cell>
          <cell r="I1478" t="str">
            <v>CPR</v>
          </cell>
          <cell r="J1478" t="str">
            <v>05</v>
          </cell>
          <cell r="K1478">
            <v>521</v>
          </cell>
          <cell r="L1478" t="str">
            <v>DM</v>
          </cell>
        </row>
        <row r="1479">
          <cell r="E1479" t="str">
            <v>29386</v>
          </cell>
          <cell r="F1479">
            <v>32147</v>
          </cell>
          <cell r="G1479">
            <v>32318</v>
          </cell>
          <cell r="H1479" t="str">
            <v>Produits de laboratoire</v>
          </cell>
          <cell r="I1479" t="str">
            <v>OSI</v>
          </cell>
          <cell r="J1479" t="str">
            <v>05</v>
          </cell>
          <cell r="K1479">
            <v>3785.51</v>
          </cell>
          <cell r="L1479" t="str">
            <v>FF</v>
          </cell>
        </row>
        <row r="1480">
          <cell r="E1480" t="str">
            <v>29409</v>
          </cell>
          <cell r="F1480">
            <v>32164</v>
          </cell>
          <cell r="G1480">
            <v>32318</v>
          </cell>
          <cell r="H1480" t="str">
            <v>Produits de laboratoire</v>
          </cell>
          <cell r="I1480" t="str">
            <v>MCK</v>
          </cell>
          <cell r="J1480" t="str">
            <v>05</v>
          </cell>
          <cell r="K1480">
            <v>14727</v>
          </cell>
          <cell r="L1480" t="str">
            <v>FF</v>
          </cell>
        </row>
        <row r="1481">
          <cell r="E1481" t="str">
            <v>29369</v>
          </cell>
          <cell r="F1481">
            <v>32122</v>
          </cell>
          <cell r="G1481">
            <v>32092</v>
          </cell>
          <cell r="H1481" t="str">
            <v>ELECTRODES COMBINEES S7 &amp; STANDARDS</v>
          </cell>
          <cell r="I1481" t="str">
            <v>BBL</v>
          </cell>
          <cell r="J1481" t="str">
            <v>05</v>
          </cell>
          <cell r="K1481">
            <v>3893</v>
          </cell>
          <cell r="L1481" t="str">
            <v>FF</v>
          </cell>
        </row>
        <row r="1482">
          <cell r="E1482" t="str">
            <v>29410</v>
          </cell>
          <cell r="F1482">
            <v>32163</v>
          </cell>
          <cell r="G1482">
            <v>32255</v>
          </cell>
          <cell r="H1482" t="str">
            <v>MATERIEL POUR POINT DE ROSEE</v>
          </cell>
          <cell r="I1482" t="str">
            <v>HAF</v>
          </cell>
          <cell r="J1482" t="str">
            <v>05</v>
          </cell>
          <cell r="K1482">
            <v>816.05</v>
          </cell>
          <cell r="L1482" t="str">
            <v>FL</v>
          </cell>
        </row>
        <row r="1483">
          <cell r="E1483" t="str">
            <v>29391</v>
          </cell>
          <cell r="F1483">
            <v>32149</v>
          </cell>
          <cell r="G1483">
            <v>32330</v>
          </cell>
          <cell r="H1483" t="str">
            <v>Matériels de laboratoire</v>
          </cell>
          <cell r="I1483" t="str">
            <v>GBL</v>
          </cell>
          <cell r="J1483" t="str">
            <v>05</v>
          </cell>
          <cell r="K1483">
            <v>3534</v>
          </cell>
          <cell r="L1483" t="str">
            <v>DM</v>
          </cell>
        </row>
        <row r="1484">
          <cell r="E1484" t="str">
            <v>29412</v>
          </cell>
          <cell r="F1484">
            <v>32163</v>
          </cell>
          <cell r="G1484">
            <v>32331</v>
          </cell>
          <cell r="H1484" t="str">
            <v>500*GOUPILONS</v>
          </cell>
          <cell r="I1484" t="str">
            <v>MCC</v>
          </cell>
          <cell r="J1484" t="str">
            <v>05</v>
          </cell>
          <cell r="K1484">
            <v>5600</v>
          </cell>
          <cell r="L1484">
            <v>0</v>
          </cell>
        </row>
        <row r="1485">
          <cell r="E1485" t="str">
            <v>29415</v>
          </cell>
          <cell r="F1485">
            <v>32153</v>
          </cell>
          <cell r="G1485">
            <v>32288</v>
          </cell>
          <cell r="H1485" t="str">
            <v>MATERIEL LABORATOIRE</v>
          </cell>
          <cell r="I1485" t="str">
            <v>OSI</v>
          </cell>
          <cell r="J1485" t="str">
            <v>05</v>
          </cell>
          <cell r="K1485">
            <v>5581.2</v>
          </cell>
          <cell r="L1485" t="str">
            <v>FF</v>
          </cell>
        </row>
        <row r="1486">
          <cell r="E1486" t="str">
            <v>29578</v>
          </cell>
          <cell r="F1486">
            <v>32281</v>
          </cell>
          <cell r="G1486">
            <v>32378</v>
          </cell>
          <cell r="H1486" t="str">
            <v>REPARATION CAL.HEWLET PACKART 97</v>
          </cell>
          <cell r="I1486" t="str">
            <v>HP</v>
          </cell>
          <cell r="J1486" t="str">
            <v>02</v>
          </cell>
          <cell r="K1486">
            <v>1350</v>
          </cell>
          <cell r="L1486" t="str">
            <v>FF</v>
          </cell>
        </row>
        <row r="1487">
          <cell r="E1487" t="str">
            <v>19626</v>
          </cell>
          <cell r="F1487">
            <v>29361</v>
          </cell>
          <cell r="G1487">
            <v>32301</v>
          </cell>
          <cell r="H1487" t="str">
            <v>REVISION CALCULATRICE PROGRAMMABLE</v>
          </cell>
          <cell r="I1487" t="str">
            <v>HP</v>
          </cell>
          <cell r="J1487" t="str">
            <v>01</v>
          </cell>
          <cell r="K1487">
            <v>0</v>
          </cell>
          <cell r="L1487">
            <v>0</v>
          </cell>
        </row>
        <row r="1488">
          <cell r="E1488" t="str">
            <v>29460</v>
          </cell>
          <cell r="F1488">
            <v>32182</v>
          </cell>
          <cell r="G1488">
            <v>32274</v>
          </cell>
          <cell r="H1488" t="str">
            <v>4*DISPO.CENTRAGE HAZEMETER UK USI.01-06</v>
          </cell>
          <cell r="I1488" t="str">
            <v>RTS</v>
          </cell>
          <cell r="J1488" t="str">
            <v>01</v>
          </cell>
          <cell r="K1488">
            <v>6572</v>
          </cell>
          <cell r="L1488" t="str">
            <v>Frs</v>
          </cell>
        </row>
        <row r="1489">
          <cell r="E1489" t="str">
            <v>29496</v>
          </cell>
          <cell r="F1489">
            <v>32154</v>
          </cell>
          <cell r="G1489">
            <v>32339</v>
          </cell>
          <cell r="H1489" t="str">
            <v>PIECE DE RECHANGE MICROBRASSIN+12CUVETTE</v>
          </cell>
          <cell r="I1489" t="str">
            <v>B&amp;H</v>
          </cell>
          <cell r="J1489" t="str">
            <v>01</v>
          </cell>
          <cell r="K1489">
            <v>0</v>
          </cell>
          <cell r="L1489" t="str">
            <v>FF</v>
          </cell>
        </row>
        <row r="1490">
          <cell r="E1490" t="str">
            <v>29397</v>
          </cell>
          <cell r="F1490">
            <v>32153</v>
          </cell>
          <cell r="G1490">
            <v>32409</v>
          </cell>
          <cell r="H1490" t="str">
            <v>8*250ml RAUCH LIQUIDE</v>
          </cell>
          <cell r="I1490" t="str">
            <v>CPR</v>
          </cell>
          <cell r="J1490" t="str">
            <v>06</v>
          </cell>
          <cell r="K1490">
            <v>0</v>
          </cell>
          <cell r="L1490" t="str">
            <v>Frs</v>
          </cell>
        </row>
        <row r="1491">
          <cell r="E1491" t="str">
            <v>29562</v>
          </cell>
          <cell r="F1491">
            <v>32349</v>
          </cell>
          <cell r="G1491">
            <v>32428</v>
          </cell>
          <cell r="H1491" t="str">
            <v>2 PENUMATIC POUR CHROMATO</v>
          </cell>
          <cell r="I1491" t="str">
            <v>HP</v>
          </cell>
          <cell r="J1491" t="str">
            <v>01</v>
          </cell>
          <cell r="K1491">
            <v>536</v>
          </cell>
          <cell r="L1491" t="str">
            <v>USD</v>
          </cell>
        </row>
        <row r="1492">
          <cell r="E1492" t="str">
            <v>29541</v>
          </cell>
          <cell r="F1492">
            <v>32328</v>
          </cell>
          <cell r="G1492">
            <v>32774</v>
          </cell>
          <cell r="H1492" t="str">
            <v>12 * 50 UNITES DE MINISART 16555K 0.45µ</v>
          </cell>
          <cell r="I1492" t="str">
            <v>STR</v>
          </cell>
          <cell r="J1492" t="str">
            <v>01</v>
          </cell>
          <cell r="K1492">
            <v>6720</v>
          </cell>
          <cell r="L1492" t="str">
            <v>FF</v>
          </cell>
        </row>
        <row r="1493">
          <cell r="E1493" t="str">
            <v>29543</v>
          </cell>
          <cell r="F1493">
            <v>32328</v>
          </cell>
          <cell r="G1493">
            <v>32402</v>
          </cell>
          <cell r="H1493" t="str">
            <v>MILIEUX DE CULTURE POUR ANALYSE BACTERIO</v>
          </cell>
          <cell r="I1493" t="str">
            <v>OSI</v>
          </cell>
          <cell r="J1493" t="str">
            <v>01</v>
          </cell>
          <cell r="K1493">
            <v>34401</v>
          </cell>
          <cell r="L1493" t="str">
            <v>FF</v>
          </cell>
        </row>
        <row r="1494">
          <cell r="E1494" t="str">
            <v>1000144</v>
          </cell>
          <cell r="F1494">
            <v>32324</v>
          </cell>
          <cell r="G1494">
            <v>32645</v>
          </cell>
          <cell r="H1494" t="str">
            <v>Matériels de laboratoire (liste)</v>
          </cell>
          <cell r="I1494" t="str">
            <v>HEF</v>
          </cell>
          <cell r="J1494" t="str">
            <v>01</v>
          </cell>
          <cell r="K1494">
            <v>74256.850000000006</v>
          </cell>
          <cell r="L1494" t="str">
            <v>FF</v>
          </cell>
        </row>
        <row r="1495">
          <cell r="E1495" t="str">
            <v>1000144</v>
          </cell>
          <cell r="F1495">
            <v>32506</v>
          </cell>
          <cell r="G1495">
            <v>32206</v>
          </cell>
          <cell r="H1495" t="str">
            <v>Matériels de laboratoire HELLIGE</v>
          </cell>
          <cell r="I1495" t="str">
            <v>HEF</v>
          </cell>
          <cell r="J1495" t="str">
            <v>01</v>
          </cell>
          <cell r="K1495">
            <v>74256.850000000006</v>
          </cell>
          <cell r="L1495" t="str">
            <v>FF</v>
          </cell>
        </row>
        <row r="1496">
          <cell r="E1496" t="str">
            <v>0185</v>
          </cell>
          <cell r="F1496">
            <v>32444</v>
          </cell>
          <cell r="G1496">
            <v>32167</v>
          </cell>
          <cell r="H1496" t="str">
            <v>Membranes systèmes Orbisphere</v>
          </cell>
          <cell r="I1496" t="str">
            <v>ORB</v>
          </cell>
          <cell r="J1496" t="str">
            <v>02</v>
          </cell>
          <cell r="K1496">
            <v>6000</v>
          </cell>
          <cell r="L1496" t="str">
            <v>FRF</v>
          </cell>
        </row>
        <row r="1497">
          <cell r="E1497" t="str">
            <v>29534</v>
          </cell>
          <cell r="F1497">
            <v>32329</v>
          </cell>
          <cell r="G1497">
            <v>32378</v>
          </cell>
          <cell r="H1497" t="str">
            <v>24 MANOMETRES 8 THERMOMETRES 01......06</v>
          </cell>
          <cell r="I1497" t="str">
            <v>HAF</v>
          </cell>
          <cell r="J1497" t="str">
            <v>01</v>
          </cell>
          <cell r="K1497">
            <v>1272</v>
          </cell>
          <cell r="L1497" t="str">
            <v>Hfl</v>
          </cell>
        </row>
        <row r="1498">
          <cell r="E1498" t="str">
            <v>29565</v>
          </cell>
          <cell r="F1498">
            <v>32247</v>
          </cell>
          <cell r="G1498">
            <v>32372</v>
          </cell>
          <cell r="H1498" t="str">
            <v>Matériels de laboratoire</v>
          </cell>
          <cell r="I1498" t="str">
            <v>GBL</v>
          </cell>
          <cell r="J1498" t="str">
            <v>02</v>
          </cell>
          <cell r="K1498">
            <v>2432.85</v>
          </cell>
          <cell r="L1498" t="str">
            <v>FF</v>
          </cell>
        </row>
        <row r="1499">
          <cell r="E1499" t="str">
            <v>29614</v>
          </cell>
          <cell r="F1499">
            <v>32399</v>
          </cell>
          <cell r="G1499">
            <v>32463</v>
          </cell>
          <cell r="H1499" t="str">
            <v>PIECES DE RECHANGE POUR SPECTROPHOMETRE</v>
          </cell>
          <cell r="I1499" t="str">
            <v>WAT</v>
          </cell>
          <cell r="J1499" t="str">
            <v>01</v>
          </cell>
          <cell r="K1499">
            <v>39221</v>
          </cell>
          <cell r="L1499" t="str">
            <v>FF</v>
          </cell>
        </row>
        <row r="1500">
          <cell r="E1500" t="str">
            <v>29583</v>
          </cell>
          <cell r="F1500">
            <v>32418</v>
          </cell>
          <cell r="G1500">
            <v>32419</v>
          </cell>
          <cell r="H1500" t="str">
            <v>ELECTRODES POUR NIBEM (3)</v>
          </cell>
          <cell r="I1500" t="str">
            <v>HAF</v>
          </cell>
          <cell r="J1500" t="str">
            <v>01</v>
          </cell>
          <cell r="K1500">
            <v>900</v>
          </cell>
          <cell r="L1500" t="str">
            <v>HFL</v>
          </cell>
        </row>
        <row r="1501">
          <cell r="E1501" t="str">
            <v>29610</v>
          </cell>
          <cell r="F1501">
            <v>32391</v>
          </cell>
          <cell r="G1501">
            <v>32318</v>
          </cell>
          <cell r="H1501" t="str">
            <v>Matériels de laboratoire</v>
          </cell>
          <cell r="I1501" t="str">
            <v>COF</v>
          </cell>
          <cell r="J1501" t="str">
            <v>02</v>
          </cell>
          <cell r="K1501">
            <v>14614.18</v>
          </cell>
          <cell r="L1501" t="str">
            <v>FF</v>
          </cell>
        </row>
        <row r="1502">
          <cell r="E1502" t="str">
            <v>29409</v>
          </cell>
          <cell r="F1502">
            <v>32164</v>
          </cell>
          <cell r="G1502">
            <v>32318</v>
          </cell>
          <cell r="H1502" t="str">
            <v>10*450g UBA MEDIUM+5*2.5L ISOOCTANE</v>
          </cell>
          <cell r="I1502" t="str">
            <v>OSI</v>
          </cell>
          <cell r="J1502" t="str">
            <v>01</v>
          </cell>
          <cell r="K1502">
            <v>0</v>
          </cell>
          <cell r="L1502" t="str">
            <v>FF</v>
          </cell>
        </row>
        <row r="1503">
          <cell r="E1503" t="str">
            <v>29598</v>
          </cell>
          <cell r="F1503">
            <v>32366</v>
          </cell>
          <cell r="G1503">
            <v>32092</v>
          </cell>
          <cell r="H1503" t="str">
            <v>ELEMENT CHAUFFANT + JOINT</v>
          </cell>
          <cell r="I1503" t="str">
            <v>CTA</v>
          </cell>
          <cell r="J1503" t="str">
            <v>04</v>
          </cell>
          <cell r="K1503">
            <v>2325</v>
          </cell>
          <cell r="L1503" t="str">
            <v>FF</v>
          </cell>
        </row>
        <row r="1504">
          <cell r="E1504" t="str">
            <v>29410</v>
          </cell>
          <cell r="F1504">
            <v>32163</v>
          </cell>
          <cell r="G1504">
            <v>32255</v>
          </cell>
          <cell r="H1504" t="str">
            <v>Matériels de laboratoire</v>
          </cell>
          <cell r="I1504" t="str">
            <v>LGA</v>
          </cell>
          <cell r="J1504" t="str">
            <v>01</v>
          </cell>
          <cell r="K1504">
            <v>0</v>
          </cell>
          <cell r="L1504" t="str">
            <v>FL</v>
          </cell>
        </row>
        <row r="1505">
          <cell r="E1505" t="str">
            <v>1000134</v>
          </cell>
          <cell r="F1505">
            <v>32440</v>
          </cell>
          <cell r="G1505">
            <v>32330</v>
          </cell>
          <cell r="H1505" t="str">
            <v>RGES APPARIEL CONTROLLE POINT DE BULLE</v>
          </cell>
          <cell r="I1505" t="str">
            <v>TAP</v>
          </cell>
          <cell r="J1505" t="str">
            <v>01</v>
          </cell>
          <cell r="K1505">
            <v>0</v>
          </cell>
          <cell r="L1505">
            <v>0</v>
          </cell>
        </row>
        <row r="1506">
          <cell r="E1506" t="str">
            <v>0134</v>
          </cell>
          <cell r="F1506">
            <v>32163</v>
          </cell>
          <cell r="G1506">
            <v>32331</v>
          </cell>
          <cell r="H1506" t="str">
            <v>Pièces de rechange.Point de bulle</v>
          </cell>
          <cell r="I1506" t="str">
            <v>TAP</v>
          </cell>
          <cell r="J1506" t="str">
            <v>01</v>
          </cell>
          <cell r="K1506">
            <v>10372.799999999999</v>
          </cell>
          <cell r="L1506" t="str">
            <v>FF</v>
          </cell>
        </row>
        <row r="1507">
          <cell r="E1507" t="str">
            <v>1000170</v>
          </cell>
          <cell r="F1507">
            <v>32443</v>
          </cell>
          <cell r="G1507">
            <v>32288</v>
          </cell>
          <cell r="H1507" t="str">
            <v>ACCESSOIRE POUR MICROSCOPE BINOCULAIRE</v>
          </cell>
          <cell r="I1507" t="str">
            <v>LTZ</v>
          </cell>
          <cell r="J1507" t="str">
            <v>01</v>
          </cell>
          <cell r="K1507">
            <v>8553.6</v>
          </cell>
          <cell r="L1507" t="str">
            <v>FF</v>
          </cell>
        </row>
        <row r="1508">
          <cell r="E1508" t="str">
            <v>1000025</v>
          </cell>
          <cell r="F1508">
            <v>32426</v>
          </cell>
          <cell r="H1508" t="str">
            <v>4VIDES TOURIES + 200TUBES A CENTRIFUGER</v>
          </cell>
          <cell r="I1508" t="str">
            <v>OSI</v>
          </cell>
          <cell r="J1508" t="str">
            <v>01</v>
          </cell>
          <cell r="K1508">
            <v>36630</v>
          </cell>
          <cell r="L1508">
            <v>0</v>
          </cell>
        </row>
        <row r="1509">
          <cell r="E1509" t="str">
            <v>1000941</v>
          </cell>
          <cell r="F1509">
            <v>32561</v>
          </cell>
          <cell r="G1509">
            <v>32608</v>
          </cell>
          <cell r="H1509" t="str">
            <v>REVISION CALCULATRICE PROGRAMMABLE</v>
          </cell>
          <cell r="I1509" t="str">
            <v>HP</v>
          </cell>
          <cell r="J1509" t="str">
            <v>01</v>
          </cell>
          <cell r="K1509">
            <v>0</v>
          </cell>
          <cell r="L1509">
            <v>0</v>
          </cell>
        </row>
        <row r="1510">
          <cell r="E1510" t="str">
            <v>0136</v>
          </cell>
          <cell r="G1510">
            <v>32274</v>
          </cell>
          <cell r="H1510" t="str">
            <v>Matériels de laboratoire</v>
          </cell>
          <cell r="I1510" t="str">
            <v>HP</v>
          </cell>
          <cell r="J1510" t="str">
            <v>01</v>
          </cell>
          <cell r="K1510">
            <v>1394</v>
          </cell>
          <cell r="L1510" t="str">
            <v>FF</v>
          </cell>
        </row>
        <row r="1511">
          <cell r="E1511" t="str">
            <v>1000274</v>
          </cell>
          <cell r="F1511">
            <v>32434</v>
          </cell>
          <cell r="G1511">
            <v>32339</v>
          </cell>
          <cell r="H1511" t="str">
            <v>PIECE DE RECHANGE MICROBRASSIN+12CUVETTE</v>
          </cell>
          <cell r="I1511" t="str">
            <v>B&amp;H</v>
          </cell>
          <cell r="J1511" t="str">
            <v>01</v>
          </cell>
          <cell r="K1511">
            <v>0</v>
          </cell>
          <cell r="L1511" t="str">
            <v>FF</v>
          </cell>
        </row>
        <row r="1512">
          <cell r="E1512" t="str">
            <v>1000463</v>
          </cell>
          <cell r="F1512">
            <v>32493</v>
          </cell>
          <cell r="G1512">
            <v>32679</v>
          </cell>
          <cell r="H1512" t="str">
            <v>8*250ml RAUCH LIQUIDE</v>
          </cell>
          <cell r="I1512" t="str">
            <v>CPR</v>
          </cell>
          <cell r="J1512" t="str">
            <v>06</v>
          </cell>
          <cell r="K1512">
            <v>0</v>
          </cell>
          <cell r="L1512" t="str">
            <v>FF</v>
          </cell>
        </row>
        <row r="1513">
          <cell r="E1513" t="str">
            <v>29562</v>
          </cell>
          <cell r="F1513">
            <v>32349</v>
          </cell>
          <cell r="G1513">
            <v>32428</v>
          </cell>
          <cell r="H1513" t="str">
            <v>FLACONS DE SUCURITE + BOUCHONS</v>
          </cell>
          <cell r="I1513" t="str">
            <v>PRO</v>
          </cell>
          <cell r="J1513" t="str">
            <v>01</v>
          </cell>
          <cell r="K1513">
            <v>0</v>
          </cell>
          <cell r="L1513" t="str">
            <v>USD</v>
          </cell>
        </row>
        <row r="1514">
          <cell r="E1514" t="str">
            <v>1000951</v>
          </cell>
          <cell r="F1514">
            <v>32561</v>
          </cell>
          <cell r="G1514">
            <v>32653</v>
          </cell>
          <cell r="H1514" t="str">
            <v>Membranes de filtration &amp; accessoires</v>
          </cell>
          <cell r="I1514" t="str">
            <v>STR</v>
          </cell>
          <cell r="J1514" t="str">
            <v>01</v>
          </cell>
          <cell r="K1514">
            <v>139737</v>
          </cell>
          <cell r="L1514" t="str">
            <v>FRF</v>
          </cell>
        </row>
        <row r="1515">
          <cell r="E1515" t="str">
            <v>1000515</v>
          </cell>
          <cell r="F1515">
            <v>32328</v>
          </cell>
          <cell r="G1515">
            <v>32622</v>
          </cell>
          <cell r="H1515" t="str">
            <v>MATE.DE LABO. A LIVRAISON ECHELONNE</v>
          </cell>
          <cell r="I1515" t="str">
            <v>STR</v>
          </cell>
          <cell r="J1515" t="str">
            <v>01</v>
          </cell>
          <cell r="K1515">
            <v>23000</v>
          </cell>
          <cell r="L1515" t="str">
            <v>FRF</v>
          </cell>
        </row>
        <row r="1516">
          <cell r="E1516" t="str">
            <v>1000144</v>
          </cell>
          <cell r="G1516">
            <v>32645</v>
          </cell>
          <cell r="H1516" t="str">
            <v>PIECES DE RECHANGE POUR CARBOTEST PORT.</v>
          </cell>
          <cell r="I1516" t="str">
            <v>FLP</v>
          </cell>
          <cell r="J1516" t="str">
            <v>01</v>
          </cell>
          <cell r="K1516">
            <v>0</v>
          </cell>
          <cell r="L1516" t="str">
            <v>FF</v>
          </cell>
        </row>
        <row r="1517">
          <cell r="E1517" t="str">
            <v>1000517</v>
          </cell>
          <cell r="F1517">
            <v>32497</v>
          </cell>
          <cell r="G1517">
            <v>32548</v>
          </cell>
          <cell r="H1517" t="str">
            <v>Matériels de laboratoire HELLIGE</v>
          </cell>
          <cell r="I1517" t="str">
            <v>HEF</v>
          </cell>
          <cell r="J1517" t="str">
            <v>01</v>
          </cell>
          <cell r="K1517">
            <v>74256.850000000006</v>
          </cell>
          <cell r="L1517" t="str">
            <v>FF</v>
          </cell>
        </row>
        <row r="1518">
          <cell r="E1518" t="str">
            <v>1000446</v>
          </cell>
          <cell r="F1518">
            <v>32493</v>
          </cell>
          <cell r="H1518" t="str">
            <v>3 PIERCING NEEDLES+48RUBBER SEALS</v>
          </cell>
          <cell r="I1518" t="str">
            <v>TDB</v>
          </cell>
          <cell r="J1518" t="str">
            <v>01</v>
          </cell>
          <cell r="K1518">
            <v>1674</v>
          </cell>
          <cell r="L1518" t="str">
            <v>FF</v>
          </cell>
        </row>
        <row r="1519">
          <cell r="E1519" t="str">
            <v>100446</v>
          </cell>
          <cell r="F1519">
            <v>32329</v>
          </cell>
          <cell r="G1519">
            <v>32610</v>
          </cell>
          <cell r="H1519" t="str">
            <v>PIECES DE RECHANGE ZAHM NEW STYLE</v>
          </cell>
          <cell r="I1519" t="str">
            <v>TDB</v>
          </cell>
          <cell r="J1519" t="str">
            <v>01</v>
          </cell>
          <cell r="K1519">
            <v>0</v>
          </cell>
          <cell r="L1519" t="str">
            <v>Hfl</v>
          </cell>
        </row>
        <row r="1520">
          <cell r="E1520" t="str">
            <v>29565</v>
          </cell>
          <cell r="G1520">
            <v>32372</v>
          </cell>
          <cell r="H1520" t="str">
            <v>MANO. DE RECHANGE POUR AUTOCLAVE VERTICA</v>
          </cell>
          <cell r="I1520" t="str">
            <v>CTA</v>
          </cell>
          <cell r="J1520" t="str">
            <v>01</v>
          </cell>
          <cell r="K1520">
            <v>0</v>
          </cell>
          <cell r="L1520" t="str">
            <v>FF</v>
          </cell>
        </row>
        <row r="1521">
          <cell r="E1521" t="str">
            <v>29614</v>
          </cell>
          <cell r="F1521">
            <v>32399</v>
          </cell>
          <cell r="G1521">
            <v>32463</v>
          </cell>
          <cell r="H1521" t="str">
            <v>9 BATTERIES POUR CALCULAT.+IMPRIMANTE HP</v>
          </cell>
          <cell r="I1521" t="str">
            <v>HP</v>
          </cell>
          <cell r="J1521" t="str">
            <v>01</v>
          </cell>
          <cell r="K1521">
            <v>0</v>
          </cell>
          <cell r="L1521" t="str">
            <v>FF</v>
          </cell>
        </row>
        <row r="1522">
          <cell r="E1522" t="str">
            <v>1000516</v>
          </cell>
          <cell r="F1522">
            <v>32500</v>
          </cell>
          <cell r="G1522">
            <v>32419</v>
          </cell>
          <cell r="H1522" t="str">
            <v>BATTERIES DE RECHANGE</v>
          </cell>
          <cell r="I1522" t="str">
            <v>HP</v>
          </cell>
          <cell r="J1522" t="str">
            <v>01</v>
          </cell>
          <cell r="K1522">
            <v>1728</v>
          </cell>
          <cell r="L1522">
            <v>0</v>
          </cell>
        </row>
        <row r="1523">
          <cell r="E1523" t="str">
            <v>1000759</v>
          </cell>
          <cell r="F1523">
            <v>32538</v>
          </cell>
          <cell r="G1523">
            <v>32577</v>
          </cell>
          <cell r="H1523" t="str">
            <v>Matériels de laboratoire</v>
          </cell>
          <cell r="I1523" t="str">
            <v>COF</v>
          </cell>
          <cell r="J1523" t="str">
            <v>02</v>
          </cell>
          <cell r="K1523">
            <v>14614.18</v>
          </cell>
          <cell r="L1523" t="str">
            <v>FF</v>
          </cell>
        </row>
        <row r="1524">
          <cell r="E1524" t="str">
            <v>1000684</v>
          </cell>
          <cell r="F1524">
            <v>32526</v>
          </cell>
          <cell r="G1524">
            <v>32589</v>
          </cell>
          <cell r="H1524" t="str">
            <v>10*450g UBA MEDIUM+5*2.5L ISOOCTANE</v>
          </cell>
          <cell r="I1524" t="str">
            <v>OSI</v>
          </cell>
          <cell r="J1524" t="str">
            <v>01</v>
          </cell>
          <cell r="K1524">
            <v>0</v>
          </cell>
          <cell r="L1524" t="str">
            <v>FRF</v>
          </cell>
        </row>
        <row r="1525">
          <cell r="E1525" t="str">
            <v>1000640</v>
          </cell>
          <cell r="F1525">
            <v>32526</v>
          </cell>
          <cell r="H1525" t="str">
            <v>Produits de laboratoire(microbiologie)</v>
          </cell>
          <cell r="I1525" t="str">
            <v>OSI</v>
          </cell>
          <cell r="J1525" t="str">
            <v>01</v>
          </cell>
          <cell r="K1525">
            <v>11220.95</v>
          </cell>
          <cell r="L1525" t="str">
            <v>FF</v>
          </cell>
        </row>
        <row r="1526">
          <cell r="H1526" t="str">
            <v>Produits de laboratoire</v>
          </cell>
          <cell r="I1526" t="str">
            <v>MCK</v>
          </cell>
          <cell r="J1526" t="str">
            <v>01</v>
          </cell>
          <cell r="K1526">
            <v>0</v>
          </cell>
        </row>
        <row r="1527">
          <cell r="E1527" t="str">
            <v>1000581</v>
          </cell>
          <cell r="F1527">
            <v>32521</v>
          </cell>
          <cell r="G1527">
            <v>32584</v>
          </cell>
          <cell r="H1527" t="str">
            <v>RGES APPARIEL CONTROLLE POINT DE BULLE</v>
          </cell>
          <cell r="I1527" t="str">
            <v>TAP</v>
          </cell>
          <cell r="J1527" t="str">
            <v>01</v>
          </cell>
          <cell r="K1527">
            <v>0</v>
          </cell>
          <cell r="L1527">
            <v>0</v>
          </cell>
        </row>
        <row r="1528">
          <cell r="E1528" t="str">
            <v>1000496</v>
          </cell>
          <cell r="F1528">
            <v>32469</v>
          </cell>
          <cell r="G1528">
            <v>32665</v>
          </cell>
          <cell r="H1528" t="str">
            <v>Pièces de rechange.Point de bulle</v>
          </cell>
          <cell r="I1528" t="str">
            <v>TAP</v>
          </cell>
          <cell r="J1528" t="str">
            <v>01</v>
          </cell>
          <cell r="K1528">
            <v>10372.799999999999</v>
          </cell>
          <cell r="L1528" t="str">
            <v>FF</v>
          </cell>
        </row>
        <row r="1529">
          <cell r="E1529" t="str">
            <v>1000170</v>
          </cell>
          <cell r="F1529">
            <v>32443</v>
          </cell>
          <cell r="H1529" t="str">
            <v>Appareils complets de contrôle air au col</v>
          </cell>
          <cell r="I1529" t="str">
            <v>RHM</v>
          </cell>
          <cell r="J1529" t="str">
            <v>01</v>
          </cell>
          <cell r="K1529">
            <v>0</v>
          </cell>
          <cell r="L1529" t="str">
            <v>FF</v>
          </cell>
        </row>
        <row r="1530">
          <cell r="E1530" t="str">
            <v>1000025</v>
          </cell>
          <cell r="F1530">
            <v>32426</v>
          </cell>
          <cell r="H1530" t="str">
            <v>28 PILE RECHARGEABLE+2 AGITATEUR MAGNET.</v>
          </cell>
          <cell r="I1530" t="str">
            <v>BBL</v>
          </cell>
          <cell r="J1530" t="str">
            <v>01</v>
          </cell>
          <cell r="K1530">
            <v>0</v>
          </cell>
          <cell r="L1530">
            <v>0</v>
          </cell>
        </row>
        <row r="1531">
          <cell r="E1531" t="str">
            <v>1000941</v>
          </cell>
          <cell r="F1531">
            <v>32561</v>
          </cell>
          <cell r="G1531">
            <v>32608</v>
          </cell>
          <cell r="H1531" t="str">
            <v>50 MINISART</v>
          </cell>
          <cell r="I1531" t="str">
            <v>STR</v>
          </cell>
          <cell r="J1531" t="str">
            <v>01</v>
          </cell>
          <cell r="K1531">
            <v>0</v>
          </cell>
          <cell r="L1531" t="str">
            <v>DEM</v>
          </cell>
        </row>
        <row r="1532">
          <cell r="E1532" t="str">
            <v>0136</v>
          </cell>
          <cell r="H1532" t="str">
            <v>BARREAUX PISSETTES FIOLES CONIQUES</v>
          </cell>
          <cell r="I1532" t="str">
            <v>KRT</v>
          </cell>
          <cell r="J1532" t="str">
            <v>01</v>
          </cell>
          <cell r="K1532">
            <v>0</v>
          </cell>
          <cell r="L1532" t="str">
            <v>FF</v>
          </cell>
        </row>
        <row r="1533">
          <cell r="E1533" t="str">
            <v>1000274</v>
          </cell>
          <cell r="F1533">
            <v>32434</v>
          </cell>
          <cell r="G1533">
            <v>32542</v>
          </cell>
          <cell r="H1533" t="str">
            <v>4X100ml PEINTURE NOIRE SP. CUVE HAZEMET.</v>
          </cell>
          <cell r="I1533" t="str">
            <v>JJA</v>
          </cell>
          <cell r="J1533" t="str">
            <v>01</v>
          </cell>
          <cell r="K1533">
            <v>0</v>
          </cell>
          <cell r="L1533" t="str">
            <v>FF</v>
          </cell>
        </row>
        <row r="1534">
          <cell r="E1534" t="str">
            <v>1000463</v>
          </cell>
          <cell r="F1534">
            <v>32493</v>
          </cell>
          <cell r="G1534">
            <v>32679</v>
          </cell>
          <cell r="H1534" t="str">
            <v>GASBOX H2 CO2+ENDO-GELOSE+STAPHISLI.TEST</v>
          </cell>
          <cell r="I1534" t="str">
            <v>BIO</v>
          </cell>
          <cell r="J1534" t="str">
            <v>01</v>
          </cell>
          <cell r="K1534">
            <v>0</v>
          </cell>
          <cell r="L1534" t="str">
            <v>FF</v>
          </cell>
        </row>
        <row r="1535">
          <cell r="H1535" t="str">
            <v>Produits de laboratoire</v>
          </cell>
          <cell r="I1535" t="str">
            <v>MCK</v>
          </cell>
          <cell r="J1535" t="str">
            <v>05</v>
          </cell>
          <cell r="K1535">
            <v>0</v>
          </cell>
        </row>
        <row r="1536">
          <cell r="E1536" t="str">
            <v>1000951</v>
          </cell>
          <cell r="F1536">
            <v>32561</v>
          </cell>
          <cell r="G1536">
            <v>32653</v>
          </cell>
          <cell r="H1536" t="str">
            <v>500 BOITE DE PETRI+12 JOINT DE REC. ZAHM</v>
          </cell>
          <cell r="I1536" t="str">
            <v>OSI</v>
          </cell>
          <cell r="J1536" t="str">
            <v>02</v>
          </cell>
          <cell r="K1536">
            <v>0</v>
          </cell>
          <cell r="L1536" t="str">
            <v>FRF</v>
          </cell>
        </row>
        <row r="1537">
          <cell r="E1537" t="str">
            <v>1000515</v>
          </cell>
          <cell r="G1537">
            <v>32622</v>
          </cell>
          <cell r="H1537" t="str">
            <v>RCHANGES POUR ENREGISTREUR PASTO GRANT</v>
          </cell>
          <cell r="I1537" t="str">
            <v>OSI</v>
          </cell>
          <cell r="J1537" t="str">
            <v>01</v>
          </cell>
          <cell r="K1537">
            <v>0</v>
          </cell>
          <cell r="L1537" t="str">
            <v>FRF</v>
          </cell>
        </row>
        <row r="1538">
          <cell r="H1538" t="str">
            <v>Matériels de laboratoire(liste)</v>
          </cell>
          <cell r="I1538" t="str">
            <v>OSI</v>
          </cell>
          <cell r="J1538" t="str">
            <v>06</v>
          </cell>
          <cell r="K1538">
            <v>0</v>
          </cell>
        </row>
        <row r="1539">
          <cell r="E1539" t="str">
            <v>1000517</v>
          </cell>
          <cell r="F1539">
            <v>32497</v>
          </cell>
          <cell r="G1539">
            <v>32548</v>
          </cell>
          <cell r="H1539" t="str">
            <v>24 TITRISOL SODIUM THIOSULFATE 0;1 mol/l</v>
          </cell>
          <cell r="I1539" t="str">
            <v>MCK</v>
          </cell>
          <cell r="J1539" t="str">
            <v>01</v>
          </cell>
          <cell r="K1539">
            <v>0</v>
          </cell>
          <cell r="L1539" t="str">
            <v>DEM</v>
          </cell>
        </row>
        <row r="1540">
          <cell r="E1540" t="str">
            <v>1000446</v>
          </cell>
          <cell r="F1540">
            <v>32493</v>
          </cell>
          <cell r="H1540" t="str">
            <v>ELECTRODE METROHM</v>
          </cell>
          <cell r="I1540" t="str">
            <v>ROU</v>
          </cell>
          <cell r="J1540" t="str">
            <v>01</v>
          </cell>
          <cell r="K1540">
            <v>0</v>
          </cell>
          <cell r="L1540" t="str">
            <v>FF</v>
          </cell>
        </row>
        <row r="1541">
          <cell r="E1541" t="str">
            <v>100446</v>
          </cell>
          <cell r="G1541">
            <v>32610</v>
          </cell>
          <cell r="H1541" t="str">
            <v>MATERIEL ET Produits de laboratoire</v>
          </cell>
          <cell r="I1541" t="str">
            <v>PRO</v>
          </cell>
          <cell r="J1541" t="str">
            <v>06</v>
          </cell>
          <cell r="K1541">
            <v>0</v>
          </cell>
        </row>
        <row r="1542">
          <cell r="H1542" t="str">
            <v>24 PAQUETS CATALYSEURS H2+CO2</v>
          </cell>
          <cell r="I1542" t="str">
            <v>BIO</v>
          </cell>
          <cell r="J1542" t="str">
            <v>05</v>
          </cell>
          <cell r="K1542">
            <v>0</v>
          </cell>
        </row>
        <row r="1543">
          <cell r="H1543" t="str">
            <v>4 ELECTRODE A ELECTROLYTE GELIFIE</v>
          </cell>
          <cell r="I1543" t="str">
            <v>BBL</v>
          </cell>
          <cell r="J1543" t="str">
            <v>06</v>
          </cell>
          <cell r="K1543">
            <v>0</v>
          </cell>
        </row>
        <row r="1544">
          <cell r="E1544" t="str">
            <v>1000516</v>
          </cell>
          <cell r="F1544">
            <v>32500</v>
          </cell>
          <cell r="H1544" t="str">
            <v>TAMIS DE RECHANGE POUR PLANCHISTER</v>
          </cell>
          <cell r="I1544" t="str">
            <v>BKU</v>
          </cell>
          <cell r="J1544" t="str">
            <v>04</v>
          </cell>
          <cell r="K1544">
            <v>0</v>
          </cell>
          <cell r="L1544">
            <v>0</v>
          </cell>
        </row>
        <row r="1545">
          <cell r="E1545" t="str">
            <v>1001172</v>
          </cell>
          <cell r="F1545">
            <v>32568</v>
          </cell>
          <cell r="G1545">
            <v>32577</v>
          </cell>
          <cell r="H1545" t="str">
            <v>4 cellules de regénération</v>
          </cell>
          <cell r="I1545" t="str">
            <v>ORB</v>
          </cell>
          <cell r="J1545" t="str">
            <v>01</v>
          </cell>
          <cell r="K1545">
            <v>5720</v>
          </cell>
          <cell r="L1545" t="str">
            <v>FRF</v>
          </cell>
        </row>
        <row r="1546">
          <cell r="E1546" t="str">
            <v>1000770</v>
          </cell>
          <cell r="F1546">
            <v>32538</v>
          </cell>
          <cell r="G1546">
            <v>32609</v>
          </cell>
          <cell r="H1546" t="str">
            <v>Réparation Réfractomètre</v>
          </cell>
          <cell r="I1546" t="str">
            <v>AVT</v>
          </cell>
          <cell r="J1546" t="str">
            <v>01</v>
          </cell>
          <cell r="K1546">
            <v>799</v>
          </cell>
          <cell r="L1546" t="str">
            <v>FF</v>
          </cell>
        </row>
        <row r="1547">
          <cell r="E1547" t="str">
            <v>1000484</v>
          </cell>
          <cell r="F1547">
            <v>32499</v>
          </cell>
          <cell r="G1547">
            <v>32654</v>
          </cell>
          <cell r="H1547" t="str">
            <v>Produits de laboratoire(microbiologie)</v>
          </cell>
          <cell r="I1547" t="str">
            <v>OSI</v>
          </cell>
          <cell r="J1547" t="str">
            <v>01</v>
          </cell>
          <cell r="K1547">
            <v>11220.95</v>
          </cell>
          <cell r="L1547" t="str">
            <v>FF</v>
          </cell>
        </row>
        <row r="1548">
          <cell r="E1548" t="str">
            <v>1000190</v>
          </cell>
          <cell r="F1548">
            <v>32239</v>
          </cell>
          <cell r="G1548">
            <v>32311</v>
          </cell>
          <cell r="H1548" t="str">
            <v>Produits de laboratoire</v>
          </cell>
          <cell r="I1548" t="str">
            <v>MCK</v>
          </cell>
          <cell r="J1548" t="str">
            <v>01</v>
          </cell>
          <cell r="K1548">
            <v>0</v>
          </cell>
          <cell r="L1548" t="str">
            <v>FF</v>
          </cell>
        </row>
        <row r="1549">
          <cell r="E1549" t="str">
            <v>1000581</v>
          </cell>
          <cell r="F1549">
            <v>32521</v>
          </cell>
          <cell r="G1549">
            <v>32584</v>
          </cell>
          <cell r="H1549" t="str">
            <v>RECHANGES POUR PH-METRE PORTABLE</v>
          </cell>
          <cell r="I1549" t="str">
            <v>BIO</v>
          </cell>
          <cell r="J1549" t="str">
            <v>TA</v>
          </cell>
          <cell r="K1549">
            <v>0</v>
          </cell>
          <cell r="L1549" t="str">
            <v>FF</v>
          </cell>
        </row>
        <row r="1550">
          <cell r="E1550" t="str">
            <v>1000315</v>
          </cell>
          <cell r="F1550">
            <v>32470</v>
          </cell>
          <cell r="G1550">
            <v>32665</v>
          </cell>
          <cell r="H1550" t="str">
            <v>1 LOT Matériels de laboratoire</v>
          </cell>
          <cell r="I1550" t="str">
            <v>BBL</v>
          </cell>
          <cell r="J1550" t="str">
            <v>01</v>
          </cell>
          <cell r="K1550">
            <v>5447.65</v>
          </cell>
          <cell r="L1550" t="str">
            <v>FF</v>
          </cell>
        </row>
        <row r="1551">
          <cell r="E1551" t="str">
            <v>29245</v>
          </cell>
          <cell r="F1551">
            <v>32171</v>
          </cell>
          <cell r="G1551">
            <v>32261</v>
          </cell>
          <cell r="H1551" t="str">
            <v>Appareils complets de contrôle air au col</v>
          </cell>
          <cell r="I1551" t="str">
            <v>RHM</v>
          </cell>
          <cell r="J1551" t="str">
            <v>01</v>
          </cell>
          <cell r="K1551">
            <v>0</v>
          </cell>
          <cell r="L1551" t="str">
            <v>FF</v>
          </cell>
        </row>
        <row r="1552">
          <cell r="E1552" t="str">
            <v>29436</v>
          </cell>
          <cell r="F1552">
            <v>32178</v>
          </cell>
          <cell r="G1552">
            <v>32261</v>
          </cell>
          <cell r="H1552" t="str">
            <v>28 PILE RECHARGEABLE+2 AGITATEUR MAGNET.</v>
          </cell>
          <cell r="I1552" t="str">
            <v>BBL</v>
          </cell>
          <cell r="J1552" t="str">
            <v>01</v>
          </cell>
          <cell r="K1552">
            <v>0</v>
          </cell>
          <cell r="L1552" t="str">
            <v>DKr</v>
          </cell>
        </row>
        <row r="1553">
          <cell r="E1553" t="str">
            <v>29387</v>
          </cell>
          <cell r="F1553">
            <v>32135</v>
          </cell>
          <cell r="H1553" t="str">
            <v>1*LAMPE LOUPE+1*PINCE DETACHABLE</v>
          </cell>
          <cell r="I1553" t="str">
            <v>BBL</v>
          </cell>
          <cell r="J1553" t="str">
            <v>06</v>
          </cell>
          <cell r="K1553">
            <v>1216</v>
          </cell>
          <cell r="L1553">
            <v>0</v>
          </cell>
        </row>
        <row r="1554">
          <cell r="E1554" t="str">
            <v>29392</v>
          </cell>
          <cell r="F1554">
            <v>32149</v>
          </cell>
          <cell r="G1554">
            <v>32154</v>
          </cell>
          <cell r="H1554" t="str">
            <v>BARREAUX PISSETTES FIOLES CONIQUES</v>
          </cell>
          <cell r="I1554" t="str">
            <v>KRT</v>
          </cell>
          <cell r="J1554" t="str">
            <v>01</v>
          </cell>
          <cell r="K1554">
            <v>0</v>
          </cell>
          <cell r="L1554" t="str">
            <v>FF</v>
          </cell>
        </row>
        <row r="1555">
          <cell r="E1555" t="str">
            <v>50748</v>
          </cell>
          <cell r="F1555">
            <v>32170</v>
          </cell>
          <cell r="G1555">
            <v>32325</v>
          </cell>
          <cell r="H1555" t="str">
            <v>4X100ml PEINTURE NOIRE SP. CUVE HAZEMET.</v>
          </cell>
          <cell r="I1555" t="str">
            <v>JJA</v>
          </cell>
          <cell r="J1555" t="str">
            <v>01</v>
          </cell>
          <cell r="K1555">
            <v>0</v>
          </cell>
          <cell r="L1555" t="str">
            <v>FF</v>
          </cell>
        </row>
        <row r="1556">
          <cell r="E1556" t="str">
            <v>50751</v>
          </cell>
          <cell r="F1556">
            <v>32199</v>
          </cell>
          <cell r="G1556">
            <v>32378</v>
          </cell>
          <cell r="H1556" t="str">
            <v>GASBOX H2 CO2+ENDO-GELOSE+STAPHISLI.TEST</v>
          </cell>
          <cell r="I1556" t="str">
            <v>BIO</v>
          </cell>
          <cell r="J1556" t="str">
            <v>01</v>
          </cell>
          <cell r="K1556">
            <v>0</v>
          </cell>
          <cell r="L1556" t="str">
            <v>HFL</v>
          </cell>
        </row>
        <row r="1557">
          <cell r="E1557" t="str">
            <v>29521</v>
          </cell>
          <cell r="F1557">
            <v>32314</v>
          </cell>
          <cell r="H1557" t="str">
            <v>ACCESSORIES &amp; SPARE PARTS FOR CHROMATO</v>
          </cell>
          <cell r="I1557" t="str">
            <v>HP</v>
          </cell>
          <cell r="J1557" t="str">
            <v>01</v>
          </cell>
          <cell r="K1557">
            <v>0</v>
          </cell>
          <cell r="L1557">
            <v>0</v>
          </cell>
        </row>
        <row r="1558">
          <cell r="E1558" t="str">
            <v>50765</v>
          </cell>
          <cell r="F1558">
            <v>32280</v>
          </cell>
          <cell r="H1558" t="str">
            <v>SPECTROPHOTOMETRE DU 64/VISIBLE</v>
          </cell>
          <cell r="I1558" t="str">
            <v>WAT</v>
          </cell>
          <cell r="J1558" t="str">
            <v>02</v>
          </cell>
          <cell r="K1558">
            <v>94290</v>
          </cell>
          <cell r="L1558">
            <v>0</v>
          </cell>
        </row>
        <row r="1559">
          <cell r="E1559" t="str">
            <v>29518</v>
          </cell>
          <cell r="G1559">
            <v>32435</v>
          </cell>
          <cell r="H1559" t="str">
            <v>RCHANGES POUR ENREGISTREUR PASTO GRANT</v>
          </cell>
          <cell r="I1559" t="str">
            <v>OSI</v>
          </cell>
          <cell r="J1559" t="str">
            <v>01</v>
          </cell>
          <cell r="K1559">
            <v>0</v>
          </cell>
        </row>
        <row r="1560">
          <cell r="H1560" t="str">
            <v>HAFFMANS/REDPOST (1)</v>
          </cell>
          <cell r="I1560" t="str">
            <v>HAF</v>
          </cell>
          <cell r="J1560" t="str">
            <v>02</v>
          </cell>
          <cell r="K1560">
            <v>0</v>
          </cell>
        </row>
        <row r="1561">
          <cell r="H1561" t="str">
            <v>1 Etuve Chopin 0/250°</v>
          </cell>
          <cell r="I1561" t="str">
            <v>TPR</v>
          </cell>
          <cell r="J1561" t="str">
            <v>01</v>
          </cell>
          <cell r="K1561">
            <v>0</v>
          </cell>
        </row>
        <row r="1562">
          <cell r="E1562" t="str">
            <v>50785</v>
          </cell>
          <cell r="F1562">
            <v>32363</v>
          </cell>
          <cell r="H1562" t="str">
            <v>Incubateur bacteriologique caisson inox</v>
          </cell>
          <cell r="I1562" t="str">
            <v>BBL</v>
          </cell>
          <cell r="J1562" t="str">
            <v>02</v>
          </cell>
          <cell r="K1562">
            <v>5169</v>
          </cell>
          <cell r="L1562" t="str">
            <v>FF</v>
          </cell>
        </row>
        <row r="1563">
          <cell r="E1563" t="str">
            <v>50786</v>
          </cell>
          <cell r="F1563">
            <v>32363</v>
          </cell>
          <cell r="H1563" t="str">
            <v>Incubateur bacteriologique caisson inox</v>
          </cell>
          <cell r="I1563" t="str">
            <v>BBL</v>
          </cell>
          <cell r="J1563" t="str">
            <v>05</v>
          </cell>
          <cell r="K1563">
            <v>5169</v>
          </cell>
          <cell r="L1563" t="str">
            <v>FF</v>
          </cell>
        </row>
        <row r="1564">
          <cell r="H1564" t="str">
            <v>MATERIEL DE LABO</v>
          </cell>
          <cell r="I1564" t="str">
            <v>STR</v>
          </cell>
          <cell r="J1564" t="str">
            <v>02</v>
          </cell>
          <cell r="K1564">
            <v>0</v>
          </cell>
        </row>
        <row r="1565">
          <cell r="E1565" t="str">
            <v>50793</v>
          </cell>
          <cell r="F1565">
            <v>32378</v>
          </cell>
          <cell r="G1565">
            <v>32448</v>
          </cell>
          <cell r="H1565" t="str">
            <v>4 ELECTRODE A ELECTROLYTE GELIFIE</v>
          </cell>
          <cell r="I1565" t="str">
            <v>BBL</v>
          </cell>
          <cell r="J1565" t="str">
            <v>06</v>
          </cell>
          <cell r="K1565">
            <v>0</v>
          </cell>
          <cell r="L1565" t="str">
            <v>FF</v>
          </cell>
        </row>
        <row r="1566">
          <cell r="E1566" t="str">
            <v>50789</v>
          </cell>
          <cell r="F1566">
            <v>32366</v>
          </cell>
          <cell r="G1566">
            <v>32463</v>
          </cell>
          <cell r="H1566" t="str">
            <v>TAMIS DE RECHANGE POUR PLANCHISTER</v>
          </cell>
          <cell r="I1566" t="str">
            <v>BKU</v>
          </cell>
          <cell r="J1566" t="str">
            <v>04</v>
          </cell>
          <cell r="K1566">
            <v>0</v>
          </cell>
          <cell r="L1566" t="str">
            <v>FRF</v>
          </cell>
        </row>
        <row r="1567">
          <cell r="E1567" t="str">
            <v>50791</v>
          </cell>
          <cell r="F1567">
            <v>32199</v>
          </cell>
          <cell r="H1567" t="str">
            <v>CO2-GEHALT (2) 4THERMOMETRES 12MANOMETRES</v>
          </cell>
          <cell r="I1567" t="str">
            <v>HAF</v>
          </cell>
          <cell r="J1567" t="str">
            <v>01</v>
          </cell>
          <cell r="K1567">
            <v>20157</v>
          </cell>
          <cell r="L1567" t="str">
            <v>HFL</v>
          </cell>
        </row>
        <row r="1568">
          <cell r="E1568" t="str">
            <v>50799</v>
          </cell>
          <cell r="F1568">
            <v>32395</v>
          </cell>
          <cell r="G1568">
            <v>32609</v>
          </cell>
          <cell r="H1568" t="str">
            <v>ENREGIST.PASTEURISATION +SONDE +CONTAINE</v>
          </cell>
          <cell r="I1568" t="str">
            <v>OSI</v>
          </cell>
          <cell r="J1568" t="str">
            <v>02</v>
          </cell>
          <cell r="K1568">
            <v>13177.76</v>
          </cell>
          <cell r="L1568" t="str">
            <v>FF</v>
          </cell>
        </row>
        <row r="1569">
          <cell r="E1569" t="str">
            <v>100020</v>
          </cell>
          <cell r="F1569">
            <v>32423</v>
          </cell>
          <cell r="G1569">
            <v>32489</v>
          </cell>
          <cell r="H1569" t="str">
            <v>1 PC LG AUTOMATIC SHAKING APPARATUS</v>
          </cell>
          <cell r="I1569" t="str">
            <v>TBG</v>
          </cell>
          <cell r="J1569" t="str">
            <v>01</v>
          </cell>
          <cell r="K1569">
            <v>5928</v>
          </cell>
          <cell r="L1569" t="str">
            <v>DKK</v>
          </cell>
        </row>
        <row r="1570">
          <cell r="E1570" t="str">
            <v>1000020</v>
          </cell>
          <cell r="F1570">
            <v>32423</v>
          </cell>
          <cell r="G1570">
            <v>32489</v>
          </cell>
          <cell r="H1570" t="str">
            <v xml:space="preserve"> 1 PC LG AUTOMATIC SHAKING APPARATUS</v>
          </cell>
          <cell r="I1570" t="str">
            <v>TBG</v>
          </cell>
          <cell r="J1570" t="str">
            <v>01</v>
          </cell>
          <cell r="K1570">
            <v>5928</v>
          </cell>
          <cell r="L1570" t="str">
            <v>DKK</v>
          </cell>
        </row>
        <row r="1571">
          <cell r="H1571" t="str">
            <v>Réfractomètre+pièces de rechange</v>
          </cell>
          <cell r="I1571" t="str">
            <v>GBL</v>
          </cell>
          <cell r="J1571" t="str">
            <v>02</v>
          </cell>
          <cell r="K1571">
            <v>0</v>
          </cell>
        </row>
        <row r="1572">
          <cell r="E1572" t="str">
            <v>1000341</v>
          </cell>
          <cell r="F1572">
            <v>32476</v>
          </cell>
          <cell r="H1572" t="str">
            <v>REFRACTOMETRE+ACCESSOIRES</v>
          </cell>
          <cell r="I1572" t="str">
            <v>CGP</v>
          </cell>
          <cell r="J1572" t="str">
            <v>01</v>
          </cell>
          <cell r="K1572">
            <v>9841</v>
          </cell>
          <cell r="L1572">
            <v>0</v>
          </cell>
        </row>
        <row r="1573">
          <cell r="E1573" t="str">
            <v>1000225</v>
          </cell>
          <cell r="F1573">
            <v>32461</v>
          </cell>
          <cell r="G1573">
            <v>32261</v>
          </cell>
          <cell r="H1573" t="str">
            <v>1 THERMOSTAT+1CUVE INOX+1CRYOPLONGEUR</v>
          </cell>
          <cell r="I1573" t="str">
            <v>BBL</v>
          </cell>
          <cell r="J1573" t="str">
            <v>02</v>
          </cell>
          <cell r="K1573">
            <v>11594</v>
          </cell>
          <cell r="L1573" t="str">
            <v>FF</v>
          </cell>
        </row>
        <row r="1574">
          <cell r="E1574" t="str">
            <v>1000834</v>
          </cell>
          <cell r="F1574">
            <v>32546</v>
          </cell>
          <cell r="G1574">
            <v>32897</v>
          </cell>
          <cell r="H1574" t="str">
            <v>EQUIPEMENT POUR DETERMINATION DIACETYLE</v>
          </cell>
          <cell r="I1574" t="str">
            <v>TBG</v>
          </cell>
          <cell r="J1574" t="str">
            <v>06</v>
          </cell>
          <cell r="K1574">
            <v>17269</v>
          </cell>
          <cell r="L1574" t="str">
            <v>DKR</v>
          </cell>
        </row>
        <row r="1575">
          <cell r="E1575" t="str">
            <v>29387</v>
          </cell>
          <cell r="F1575">
            <v>32135</v>
          </cell>
          <cell r="H1575" t="str">
            <v>EQUIPEMENT POUR DETERMINATION VDK</v>
          </cell>
          <cell r="I1575" t="str">
            <v>LGA</v>
          </cell>
          <cell r="J1575" t="str">
            <v>06</v>
          </cell>
          <cell r="K1575">
            <v>0</v>
          </cell>
          <cell r="L1575">
            <v>0</v>
          </cell>
        </row>
        <row r="1576">
          <cell r="E1576" t="str">
            <v>1000418</v>
          </cell>
          <cell r="F1576">
            <v>32490</v>
          </cell>
          <cell r="G1576">
            <v>32532</v>
          </cell>
          <cell r="H1576" t="str">
            <v>LAMPE LOUPE+PINCE OUVERTURE+TUBE CIRCUL.</v>
          </cell>
          <cell r="I1576" t="str">
            <v>BBL</v>
          </cell>
          <cell r="J1576" t="str">
            <v>01</v>
          </cell>
          <cell r="K1576">
            <v>2914</v>
          </cell>
          <cell r="L1576" t="str">
            <v>FRF</v>
          </cell>
        </row>
        <row r="1577">
          <cell r="E1577" t="str">
            <v>50748</v>
          </cell>
          <cell r="F1577">
            <v>32170</v>
          </cell>
          <cell r="G1577">
            <v>32325</v>
          </cell>
          <cell r="H1577" t="str">
            <v>2 LAMPES LOUPE+2 PINCES+4 TUBES DE RECHANGE</v>
          </cell>
          <cell r="I1577" t="str">
            <v>BBL</v>
          </cell>
          <cell r="J1577" t="str">
            <v>01</v>
          </cell>
          <cell r="K1577">
            <v>0</v>
          </cell>
          <cell r="L1577" t="str">
            <v>FF</v>
          </cell>
        </row>
        <row r="1578">
          <cell r="E1578" t="str">
            <v>50751</v>
          </cell>
          <cell r="F1578">
            <v>32199</v>
          </cell>
          <cell r="G1578">
            <v>32378</v>
          </cell>
          <cell r="H1578" t="str">
            <v>4 HAFFMANS/REDPOST</v>
          </cell>
          <cell r="I1578" t="str">
            <v>HAF</v>
          </cell>
          <cell r="J1578" t="str">
            <v>01</v>
          </cell>
          <cell r="K1578">
            <v>0</v>
          </cell>
          <cell r="L1578" t="str">
            <v>HFL</v>
          </cell>
        </row>
        <row r="1579">
          <cell r="E1579" t="str">
            <v>29521</v>
          </cell>
          <cell r="F1579">
            <v>32314</v>
          </cell>
          <cell r="H1579" t="str">
            <v>DOSEURS OPTIFIX</v>
          </cell>
          <cell r="I1579" t="str">
            <v>GRS</v>
          </cell>
          <cell r="J1579" t="str">
            <v>01</v>
          </cell>
          <cell r="K1579">
            <v>0</v>
          </cell>
          <cell r="L1579">
            <v>0</v>
          </cell>
        </row>
        <row r="1580">
          <cell r="E1580" t="str">
            <v>1001054</v>
          </cell>
          <cell r="F1580">
            <v>32575</v>
          </cell>
          <cell r="G1580">
            <v>32610</v>
          </cell>
          <cell r="H1580" t="str">
            <v>SPECTROPHOTOMETRE DU 64/VISIBLE</v>
          </cell>
          <cell r="I1580" t="str">
            <v>WAT</v>
          </cell>
          <cell r="J1580" t="str">
            <v>02</v>
          </cell>
          <cell r="K1580">
            <v>94290</v>
          </cell>
          <cell r="L1580">
            <v>0</v>
          </cell>
        </row>
        <row r="1581">
          <cell r="E1581" t="str">
            <v>1001055</v>
          </cell>
          <cell r="F1581">
            <v>32575</v>
          </cell>
          <cell r="G1581">
            <v>32435</v>
          </cell>
          <cell r="H1581" t="str">
            <v>MATERIEL LABO (Thermographe redpost)</v>
          </cell>
          <cell r="I1581" t="str">
            <v>HAF</v>
          </cell>
          <cell r="J1581" t="str">
            <v>02</v>
          </cell>
          <cell r="K1581">
            <v>0</v>
          </cell>
          <cell r="L1581" t="str">
            <v>FRF</v>
          </cell>
        </row>
        <row r="1582">
          <cell r="E1582" t="str">
            <v>1001463</v>
          </cell>
          <cell r="F1582">
            <v>32625</v>
          </cell>
          <cell r="G1582">
            <v>32717</v>
          </cell>
          <cell r="H1582" t="str">
            <v>HAFFMANS/REDPOST (1)</v>
          </cell>
          <cell r="I1582" t="str">
            <v>HAF</v>
          </cell>
          <cell r="J1582" t="str">
            <v>02</v>
          </cell>
          <cell r="K1582">
            <v>0</v>
          </cell>
          <cell r="L1582" t="str">
            <v>FRF</v>
          </cell>
        </row>
        <row r="1583">
          <cell r="E1583" t="str">
            <v>1001464</v>
          </cell>
          <cell r="F1583">
            <v>32625</v>
          </cell>
          <cell r="H1583" t="str">
            <v>Matériel de laboratoire</v>
          </cell>
          <cell r="I1583" t="str">
            <v>OSI</v>
          </cell>
          <cell r="J1583" t="str">
            <v>02</v>
          </cell>
          <cell r="K1583">
            <v>41570.519999999997</v>
          </cell>
          <cell r="L1583" t="str">
            <v>FRF</v>
          </cell>
        </row>
        <row r="1584">
          <cell r="E1584" t="str">
            <v>1001465</v>
          </cell>
          <cell r="F1584">
            <v>32625</v>
          </cell>
          <cell r="G1584">
            <v>32854</v>
          </cell>
          <cell r="H1584" t="str">
            <v>Incubateur bacteriologique caisson inox</v>
          </cell>
          <cell r="I1584" t="str">
            <v>BBL</v>
          </cell>
          <cell r="J1584" t="str">
            <v>02</v>
          </cell>
          <cell r="K1584">
            <v>5169</v>
          </cell>
          <cell r="L1584" t="str">
            <v>FF</v>
          </cell>
        </row>
        <row r="1585">
          <cell r="E1585" t="str">
            <v>1001466</v>
          </cell>
          <cell r="F1585">
            <v>32625</v>
          </cell>
          <cell r="H1585" t="str">
            <v>500 bouteilles système + 12 lampes Na</v>
          </cell>
          <cell r="I1585" t="str">
            <v>GBL</v>
          </cell>
          <cell r="J1585" t="str">
            <v>01</v>
          </cell>
          <cell r="K1585">
            <v>3435.1</v>
          </cell>
          <cell r="L1585" t="str">
            <v>DEM</v>
          </cell>
        </row>
        <row r="1586">
          <cell r="E1586" t="str">
            <v>1001467</v>
          </cell>
          <cell r="F1586">
            <v>32625</v>
          </cell>
          <cell r="G1586">
            <v>32665</v>
          </cell>
          <cell r="H1586" t="str">
            <v>MATERIEL DE LABO</v>
          </cell>
          <cell r="I1586" t="str">
            <v>STR</v>
          </cell>
          <cell r="J1586" t="str">
            <v>02</v>
          </cell>
          <cell r="K1586">
            <v>0</v>
          </cell>
          <cell r="L1586" t="str">
            <v>DEM</v>
          </cell>
        </row>
        <row r="1587">
          <cell r="E1587" t="str">
            <v>1001356</v>
          </cell>
          <cell r="F1587">
            <v>32612</v>
          </cell>
          <cell r="G1587">
            <v>32709</v>
          </cell>
          <cell r="H1587" t="str">
            <v>50 Minisart Sartorius</v>
          </cell>
          <cell r="I1587" t="str">
            <v>STR</v>
          </cell>
          <cell r="J1587" t="str">
            <v>01</v>
          </cell>
          <cell r="K1587">
            <v>520</v>
          </cell>
          <cell r="L1587" t="str">
            <v>FRF</v>
          </cell>
        </row>
        <row r="1588">
          <cell r="E1588" t="str">
            <v>1001399</v>
          </cell>
          <cell r="F1588">
            <v>32617</v>
          </cell>
          <cell r="G1588">
            <v>32710</v>
          </cell>
          <cell r="H1588" t="str">
            <v>Produits de laboratoire</v>
          </cell>
          <cell r="I1588" t="str">
            <v>MCK</v>
          </cell>
          <cell r="J1588" t="str">
            <v>05</v>
          </cell>
          <cell r="K1588">
            <v>14127.85</v>
          </cell>
          <cell r="L1588" t="str">
            <v>FRF</v>
          </cell>
        </row>
        <row r="1589">
          <cell r="E1589" t="str">
            <v>1001248</v>
          </cell>
          <cell r="F1589">
            <v>32590</v>
          </cell>
          <cell r="G1589">
            <v>32762</v>
          </cell>
          <cell r="H1589" t="str">
            <v>CO2-GEHALT (2) 4THERMOMETRES 12MANOMETRES</v>
          </cell>
          <cell r="I1589" t="str">
            <v>HAF</v>
          </cell>
          <cell r="J1589" t="str">
            <v>01</v>
          </cell>
          <cell r="K1589">
            <v>20157</v>
          </cell>
          <cell r="L1589" t="str">
            <v>HFL</v>
          </cell>
        </row>
        <row r="1590">
          <cell r="E1590" t="str">
            <v>1001138</v>
          </cell>
          <cell r="F1590">
            <v>32584</v>
          </cell>
          <cell r="G1590">
            <v>32659</v>
          </cell>
          <cell r="H1590" t="str">
            <v>ENREGIST.PASTEURISATION +SONDE +CONTAINE</v>
          </cell>
          <cell r="I1590" t="str">
            <v>OSI</v>
          </cell>
          <cell r="J1590" t="str">
            <v>02</v>
          </cell>
          <cell r="K1590">
            <v>13177.76</v>
          </cell>
          <cell r="L1590" t="str">
            <v>FF</v>
          </cell>
        </row>
        <row r="1591">
          <cell r="E1591" t="str">
            <v>1001152</v>
          </cell>
          <cell r="F1591">
            <v>32587</v>
          </cell>
          <cell r="G1591">
            <v>32652</v>
          </cell>
          <cell r="H1591" t="str">
            <v>6 + 2 pH mètres de poche</v>
          </cell>
          <cell r="I1591" t="str">
            <v>TBG</v>
          </cell>
          <cell r="J1591" t="str">
            <v>02</v>
          </cell>
          <cell r="K1591">
            <v>3800</v>
          </cell>
          <cell r="L1591" t="str">
            <v>DKR</v>
          </cell>
        </row>
        <row r="1592">
          <cell r="E1592" t="str">
            <v>1001170</v>
          </cell>
          <cell r="F1592">
            <v>32589</v>
          </cell>
          <cell r="G1592">
            <v>32489</v>
          </cell>
          <cell r="H1592" t="str">
            <v>2000 Pillules DPD + 500 Pillules NH3</v>
          </cell>
          <cell r="I1592" t="str">
            <v>CIF</v>
          </cell>
          <cell r="J1592" t="str">
            <v>01</v>
          </cell>
          <cell r="K1592">
            <v>954</v>
          </cell>
          <cell r="L1592" t="str">
            <v>FRF</v>
          </cell>
        </row>
        <row r="1593">
          <cell r="E1593" t="str">
            <v>1001193</v>
          </cell>
          <cell r="F1593">
            <v>32590</v>
          </cell>
          <cell r="G1593">
            <v>32806</v>
          </cell>
          <cell r="H1593" t="str">
            <v>Réfractomètre+pièces de rechange</v>
          </cell>
          <cell r="I1593" t="str">
            <v>GBL</v>
          </cell>
          <cell r="J1593" t="str">
            <v>02</v>
          </cell>
          <cell r="K1593">
            <v>0</v>
          </cell>
          <cell r="L1593" t="str">
            <v>FRF</v>
          </cell>
        </row>
        <row r="1594">
          <cell r="E1594" t="str">
            <v>1001053</v>
          </cell>
          <cell r="F1594">
            <v>32587</v>
          </cell>
          <cell r="G1594">
            <v>32686</v>
          </cell>
          <cell r="H1594" t="str">
            <v>REFRACTOMETRE+ACCESSOIRES</v>
          </cell>
          <cell r="I1594" t="str">
            <v>CGP</v>
          </cell>
          <cell r="J1594" t="str">
            <v>01</v>
          </cell>
          <cell r="K1594">
            <v>9841</v>
          </cell>
          <cell r="L1594">
            <v>0</v>
          </cell>
        </row>
        <row r="1595">
          <cell r="E1595" t="str">
            <v>1001243</v>
          </cell>
          <cell r="F1595">
            <v>32612</v>
          </cell>
          <cell r="G1595">
            <v>32652</v>
          </cell>
          <cell r="H1595" t="str">
            <v>1 THERMOSTAT+1CUVE INOX+1CRYOPLONGEUR</v>
          </cell>
          <cell r="I1595" t="str">
            <v>BBL</v>
          </cell>
          <cell r="J1595" t="str">
            <v>02</v>
          </cell>
          <cell r="K1595">
            <v>11594</v>
          </cell>
          <cell r="L1595" t="str">
            <v>FF</v>
          </cell>
        </row>
        <row r="1596">
          <cell r="E1596" t="str">
            <v>1001223</v>
          </cell>
          <cell r="F1596">
            <v>32597</v>
          </cell>
          <cell r="G1596">
            <v>32729</v>
          </cell>
          <cell r="H1596" t="str">
            <v>3 CO2 Gehaltmeters</v>
          </cell>
          <cell r="I1596" t="str">
            <v>HAF</v>
          </cell>
          <cell r="J1596" t="str">
            <v>01</v>
          </cell>
          <cell r="K1596">
            <v>9880</v>
          </cell>
          <cell r="L1596" t="str">
            <v>Hfl</v>
          </cell>
        </row>
        <row r="1597">
          <cell r="E1597" t="str">
            <v>1001263</v>
          </cell>
          <cell r="F1597">
            <v>32604</v>
          </cell>
          <cell r="G1597">
            <v>32652</v>
          </cell>
          <cell r="H1597" t="str">
            <v>EQUIPEMENT POUR DETERMINATION VDK</v>
          </cell>
          <cell r="I1597" t="str">
            <v>LGA</v>
          </cell>
          <cell r="J1597" t="str">
            <v>06</v>
          </cell>
          <cell r="K1597">
            <v>0</v>
          </cell>
          <cell r="L1597" t="str">
            <v>FRF</v>
          </cell>
        </row>
        <row r="1598">
          <cell r="E1598" t="str">
            <v>1001199</v>
          </cell>
          <cell r="F1598">
            <v>32591</v>
          </cell>
          <cell r="G1598">
            <v>32897</v>
          </cell>
          <cell r="H1598" t="str">
            <v>Réfractos électroniques + adapt + accus</v>
          </cell>
          <cell r="I1598" t="str">
            <v>BBL</v>
          </cell>
          <cell r="J1598" t="str">
            <v>02</v>
          </cell>
          <cell r="K1598">
            <v>30847.5</v>
          </cell>
          <cell r="L1598" t="str">
            <v>FRF</v>
          </cell>
        </row>
        <row r="1599">
          <cell r="E1599" t="str">
            <v>1001323</v>
          </cell>
          <cell r="F1599">
            <v>32609</v>
          </cell>
          <cell r="G1599">
            <v>32695</v>
          </cell>
          <cell r="H1599" t="str">
            <v>2 LAMPES LOUPE+2 PINCES+4 TUBES DE RECHANGE</v>
          </cell>
          <cell r="I1599" t="str">
            <v>BBL</v>
          </cell>
          <cell r="J1599" t="str">
            <v>01</v>
          </cell>
          <cell r="K1599">
            <v>0</v>
          </cell>
          <cell r="L1599" t="str">
            <v>FRF</v>
          </cell>
        </row>
        <row r="1600">
          <cell r="E1600" t="str">
            <v>1001324</v>
          </cell>
          <cell r="F1600">
            <v>32609</v>
          </cell>
          <cell r="H1600" t="str">
            <v>12*250 Pillules NH/3 Glycine</v>
          </cell>
          <cell r="I1600" t="str">
            <v>CIF</v>
          </cell>
          <cell r="J1600" t="str">
            <v>04</v>
          </cell>
          <cell r="K1600">
            <v>1188</v>
          </cell>
          <cell r="L1600" t="str">
            <v>FRF</v>
          </cell>
        </row>
        <row r="1601">
          <cell r="E1601" t="str">
            <v>1001325</v>
          </cell>
          <cell r="F1601">
            <v>32609</v>
          </cell>
          <cell r="G1601">
            <v>32665</v>
          </cell>
          <cell r="H1601" t="str">
            <v>DOSEURS OPTIFIX</v>
          </cell>
          <cell r="I1601" t="str">
            <v>GRS</v>
          </cell>
          <cell r="J1601" t="str">
            <v>01</v>
          </cell>
          <cell r="K1601">
            <v>0</v>
          </cell>
          <cell r="L1601" t="str">
            <v>FRF</v>
          </cell>
        </row>
        <row r="1602">
          <cell r="E1602" t="str">
            <v>1001106</v>
          </cell>
          <cell r="F1602">
            <v>32582</v>
          </cell>
          <cell r="G1602">
            <v>32854</v>
          </cell>
          <cell r="H1602" t="str">
            <v>Pipettes Carlsberg + Verrerie</v>
          </cell>
          <cell r="I1602" t="str">
            <v>TBG</v>
          </cell>
          <cell r="J1602" t="str">
            <v>01</v>
          </cell>
          <cell r="K1602">
            <v>53307</v>
          </cell>
          <cell r="L1602" t="str">
            <v>DKR</v>
          </cell>
        </row>
        <row r="1603">
          <cell r="E1603" t="str">
            <v>1001088</v>
          </cell>
          <cell r="F1603">
            <v>32580</v>
          </cell>
          <cell r="G1603">
            <v>32686</v>
          </cell>
          <cell r="H1603" t="str">
            <v>200 Goupillons à main</v>
          </cell>
          <cell r="I1603" t="str">
            <v>MCC</v>
          </cell>
          <cell r="J1603" t="str">
            <v>05</v>
          </cell>
          <cell r="K1603">
            <v>2800</v>
          </cell>
          <cell r="L1603" t="str">
            <v>FRF</v>
          </cell>
        </row>
        <row r="1604">
          <cell r="E1604" t="str">
            <v>1001326</v>
          </cell>
          <cell r="F1604">
            <v>32609</v>
          </cell>
          <cell r="G1604">
            <v>32652</v>
          </cell>
          <cell r="H1604" t="str">
            <v>12 Electrodes pH mètre Métrohm</v>
          </cell>
          <cell r="I1604" t="str">
            <v>ROU</v>
          </cell>
          <cell r="J1604" t="str">
            <v>01</v>
          </cell>
          <cell r="K1604">
            <v>7264</v>
          </cell>
          <cell r="L1604" t="str">
            <v>FRF</v>
          </cell>
        </row>
        <row r="1605">
          <cell r="E1605" t="str">
            <v>1001327</v>
          </cell>
          <cell r="F1605">
            <v>32609</v>
          </cell>
          <cell r="G1605">
            <v>32652</v>
          </cell>
          <cell r="H1605" t="str">
            <v>Matériel de laboratoire</v>
          </cell>
          <cell r="I1605" t="str">
            <v>OSI</v>
          </cell>
          <cell r="J1605" t="str">
            <v>02</v>
          </cell>
          <cell r="K1605">
            <v>41570.519999999997</v>
          </cell>
          <cell r="L1605" t="str">
            <v>FRF</v>
          </cell>
        </row>
        <row r="1606">
          <cell r="E1606" t="str">
            <v>1001328</v>
          </cell>
          <cell r="F1606">
            <v>32609</v>
          </cell>
          <cell r="G1606">
            <v>32854</v>
          </cell>
          <cell r="H1606" t="str">
            <v>4 Electrodes à gel</v>
          </cell>
          <cell r="I1606" t="str">
            <v>BBL</v>
          </cell>
          <cell r="J1606" t="str">
            <v>06</v>
          </cell>
          <cell r="K1606">
            <v>1793</v>
          </cell>
          <cell r="L1606" t="str">
            <v>FRF</v>
          </cell>
        </row>
        <row r="1607">
          <cell r="E1607" t="str">
            <v>1001348</v>
          </cell>
          <cell r="F1607">
            <v>32611</v>
          </cell>
          <cell r="G1607">
            <v>32652</v>
          </cell>
          <cell r="H1607" t="str">
            <v>500 bouteilles système + 12 lampes Na</v>
          </cell>
          <cell r="I1607" t="str">
            <v>GBL</v>
          </cell>
          <cell r="J1607" t="str">
            <v>01</v>
          </cell>
          <cell r="K1607">
            <v>3435.1</v>
          </cell>
          <cell r="L1607" t="str">
            <v>DEM</v>
          </cell>
        </row>
        <row r="1608">
          <cell r="E1608" t="str">
            <v>1001349</v>
          </cell>
          <cell r="F1608">
            <v>32611</v>
          </cell>
          <cell r="G1608">
            <v>32686</v>
          </cell>
          <cell r="H1608" t="str">
            <v>2*50 ml EMS</v>
          </cell>
          <cell r="I1608" t="str">
            <v>OSI</v>
          </cell>
          <cell r="J1608" t="str">
            <v>01</v>
          </cell>
          <cell r="K1608">
            <v>852</v>
          </cell>
          <cell r="L1608" t="str">
            <v>FRF</v>
          </cell>
        </row>
        <row r="1609">
          <cell r="E1609" t="str">
            <v>1001350</v>
          </cell>
          <cell r="F1609">
            <v>32611</v>
          </cell>
          <cell r="G1609">
            <v>32847</v>
          </cell>
          <cell r="H1609" t="str">
            <v>12 Sondes Grant</v>
          </cell>
          <cell r="I1609" t="str">
            <v>OSI</v>
          </cell>
          <cell r="J1609" t="str">
            <v>01</v>
          </cell>
          <cell r="K1609">
            <v>8106</v>
          </cell>
          <cell r="L1609" t="str">
            <v>FRF</v>
          </cell>
        </row>
        <row r="1610">
          <cell r="E1610" t="str">
            <v>1001351</v>
          </cell>
          <cell r="F1610">
            <v>32611</v>
          </cell>
          <cell r="G1610">
            <v>32687</v>
          </cell>
          <cell r="H1610" t="str">
            <v>Papiers filtres + entonnoirs</v>
          </cell>
          <cell r="I1610" t="str">
            <v>OSI</v>
          </cell>
          <cell r="J1610" t="str">
            <v>01</v>
          </cell>
          <cell r="K1610">
            <v>1696.24</v>
          </cell>
          <cell r="L1610" t="str">
            <v>FRF</v>
          </cell>
        </row>
        <row r="1611">
          <cell r="E1611" t="str">
            <v>1001352</v>
          </cell>
          <cell r="F1611">
            <v>32611</v>
          </cell>
          <cell r="G1611">
            <v>32779</v>
          </cell>
          <cell r="H1611" t="str">
            <v>Matériels de laboratoire</v>
          </cell>
          <cell r="I1611" t="str">
            <v>TDB</v>
          </cell>
          <cell r="J1611" t="str">
            <v>02</v>
          </cell>
          <cell r="K1611">
            <v>42222.62</v>
          </cell>
          <cell r="L1611" t="str">
            <v>FRF</v>
          </cell>
        </row>
        <row r="1612">
          <cell r="E1612" t="str">
            <v>1000309</v>
          </cell>
          <cell r="F1612">
            <v>32470</v>
          </cell>
          <cell r="G1612">
            <v>32659</v>
          </cell>
          <cell r="H1612" t="str">
            <v>Test tubes 5 ml Taylor</v>
          </cell>
          <cell r="I1612" t="str">
            <v>FAG</v>
          </cell>
          <cell r="J1612" t="str">
            <v>01</v>
          </cell>
          <cell r="K1612">
            <v>176</v>
          </cell>
          <cell r="L1612" t="str">
            <v>USD</v>
          </cell>
        </row>
        <row r="1613">
          <cell r="E1613" t="str">
            <v>1000217</v>
          </cell>
          <cell r="F1613">
            <v>32509</v>
          </cell>
          <cell r="G1613">
            <v>32652</v>
          </cell>
          <cell r="H1613" t="str">
            <v>Mission de Maintenance Wat-Beckman</v>
          </cell>
          <cell r="I1613" t="str">
            <v>TBG</v>
          </cell>
          <cell r="J1613" t="str">
            <v>02</v>
          </cell>
          <cell r="K1613">
            <v>0</v>
          </cell>
          <cell r="L1613">
            <v>0</v>
          </cell>
        </row>
        <row r="1614">
          <cell r="E1614" t="str">
            <v>1001582</v>
          </cell>
          <cell r="F1614">
            <v>32647</v>
          </cell>
          <cell r="H1614" t="str">
            <v>Doseurs FORTUNA OPTIFIX</v>
          </cell>
          <cell r="I1614" t="str">
            <v>GRS</v>
          </cell>
          <cell r="J1614" t="str">
            <v>06</v>
          </cell>
          <cell r="K1614">
            <v>36895.440000000002</v>
          </cell>
          <cell r="L1614" t="str">
            <v>FRF</v>
          </cell>
        </row>
        <row r="1615">
          <cell r="E1615" t="str">
            <v>1001577</v>
          </cell>
          <cell r="F1615">
            <v>32653</v>
          </cell>
          <cell r="G1615">
            <v>32825</v>
          </cell>
          <cell r="H1615" t="str">
            <v>Produits de laboratoire</v>
          </cell>
          <cell r="I1615" t="str">
            <v>OSI</v>
          </cell>
          <cell r="J1615" t="str">
            <v>02</v>
          </cell>
          <cell r="K1615">
            <v>45016.78</v>
          </cell>
          <cell r="L1615" t="str">
            <v>FRF</v>
          </cell>
        </row>
        <row r="1616">
          <cell r="E1616" t="str">
            <v>1001578</v>
          </cell>
          <cell r="F1616">
            <v>32658</v>
          </cell>
          <cell r="G1616">
            <v>32686</v>
          </cell>
          <cell r="H1616" t="str">
            <v>Matériel de laboratoire</v>
          </cell>
          <cell r="I1616" t="str">
            <v>OSI</v>
          </cell>
          <cell r="J1616" t="str">
            <v>05</v>
          </cell>
          <cell r="K1616">
            <v>13504.61</v>
          </cell>
          <cell r="L1616" t="str">
            <v>FRF</v>
          </cell>
        </row>
        <row r="1617">
          <cell r="E1617" t="str">
            <v>1001702</v>
          </cell>
          <cell r="F1617">
            <v>32665</v>
          </cell>
          <cell r="G1617">
            <v>32800</v>
          </cell>
          <cell r="H1617" t="str">
            <v>Matériels de laboratoire</v>
          </cell>
          <cell r="I1617" t="str">
            <v>WAT</v>
          </cell>
          <cell r="J1617" t="str">
            <v>01</v>
          </cell>
          <cell r="K1617">
            <v>33784</v>
          </cell>
          <cell r="L1617" t="str">
            <v>FRF</v>
          </cell>
        </row>
        <row r="1618">
          <cell r="E1618" t="str">
            <v>1001703</v>
          </cell>
          <cell r="F1618">
            <v>32665</v>
          </cell>
          <cell r="G1618">
            <v>32721</v>
          </cell>
          <cell r="H1618" t="str">
            <v>Matériel Labo,KARTELL</v>
          </cell>
          <cell r="I1618" t="str">
            <v>ATC</v>
          </cell>
          <cell r="J1618" t="str">
            <v>01</v>
          </cell>
          <cell r="K1618">
            <v>5006.3500000000004</v>
          </cell>
          <cell r="L1618" t="str">
            <v>FRF</v>
          </cell>
        </row>
        <row r="1619">
          <cell r="E1619" t="str">
            <v>1001704</v>
          </cell>
          <cell r="F1619">
            <v>32665</v>
          </cell>
          <cell r="G1619">
            <v>32790</v>
          </cell>
          <cell r="H1619" t="str">
            <v>Tamis de planchister</v>
          </cell>
          <cell r="I1619" t="str">
            <v>BKU</v>
          </cell>
          <cell r="J1619" t="str">
            <v>04</v>
          </cell>
          <cell r="K1619">
            <v>1906</v>
          </cell>
          <cell r="L1619" t="str">
            <v>DEM</v>
          </cell>
        </row>
        <row r="1620">
          <cell r="E1620" t="str">
            <v>1001701</v>
          </cell>
          <cell r="F1620">
            <v>32665</v>
          </cell>
          <cell r="G1620">
            <v>32736</v>
          </cell>
          <cell r="H1620" t="str">
            <v>Produits et Matériels de laboratoire</v>
          </cell>
          <cell r="I1620" t="str">
            <v>PRO</v>
          </cell>
          <cell r="J1620" t="str">
            <v>06</v>
          </cell>
          <cell r="K1620">
            <v>8337.75</v>
          </cell>
          <cell r="L1620" t="str">
            <v>FRF</v>
          </cell>
        </row>
        <row r="1621">
          <cell r="E1621" t="str">
            <v>1001826</v>
          </cell>
          <cell r="F1621">
            <v>32681</v>
          </cell>
          <cell r="G1621">
            <v>32849</v>
          </cell>
          <cell r="H1621" t="str">
            <v>500 Boites de pétri + 12 joints Zahm</v>
          </cell>
          <cell r="I1621" t="str">
            <v>OSI</v>
          </cell>
          <cell r="J1621" t="str">
            <v>02</v>
          </cell>
          <cell r="K1621">
            <v>14314.6</v>
          </cell>
          <cell r="L1621" t="str">
            <v>FRF</v>
          </cell>
        </row>
        <row r="1622">
          <cell r="E1622" t="str">
            <v>1001936</v>
          </cell>
          <cell r="F1622">
            <v>32701</v>
          </cell>
          <cell r="G1622">
            <v>32758</v>
          </cell>
          <cell r="H1622" t="str">
            <v>12*250 Pillules NH/3 Glycine</v>
          </cell>
          <cell r="I1622" t="str">
            <v>CIF</v>
          </cell>
          <cell r="J1622" t="str">
            <v>04</v>
          </cell>
          <cell r="K1622">
            <v>1188</v>
          </cell>
          <cell r="L1622" t="str">
            <v>FRF</v>
          </cell>
        </row>
        <row r="1623">
          <cell r="E1623" t="str">
            <v>1001937</v>
          </cell>
          <cell r="F1623">
            <v>32701</v>
          </cell>
          <cell r="G1623">
            <v>32729</v>
          </cell>
          <cell r="H1623" t="str">
            <v>Additifs Institut Pasteur</v>
          </cell>
          <cell r="I1623" t="str">
            <v>DPA</v>
          </cell>
          <cell r="J1623" t="str">
            <v>01</v>
          </cell>
          <cell r="K1623">
            <v>2084</v>
          </cell>
          <cell r="L1623" t="str">
            <v>FRF</v>
          </cell>
        </row>
        <row r="1624">
          <cell r="E1624" t="str">
            <v>1001833</v>
          </cell>
          <cell r="F1624">
            <v>32686</v>
          </cell>
          <cell r="G1624">
            <v>32723</v>
          </cell>
          <cell r="H1624" t="str">
            <v>RECHARGES POUR CO2-GEHALTMETER</v>
          </cell>
          <cell r="I1624" t="str">
            <v>HAF</v>
          </cell>
          <cell r="J1624" t="str">
            <v>01</v>
          </cell>
          <cell r="K1624">
            <v>2065</v>
          </cell>
          <cell r="L1624" t="str">
            <v>HFL</v>
          </cell>
        </row>
        <row r="1625">
          <cell r="E1625" t="str">
            <v>1001989</v>
          </cell>
          <cell r="F1625">
            <v>32710</v>
          </cell>
          <cell r="G1625">
            <v>32686</v>
          </cell>
          <cell r="H1625" t="str">
            <v>3 BURETTES ABSORPTION BUSE</v>
          </cell>
          <cell r="I1625" t="str">
            <v>BAG</v>
          </cell>
          <cell r="J1625" t="str">
            <v>06</v>
          </cell>
          <cell r="K1625">
            <v>2058</v>
          </cell>
          <cell r="L1625" t="str">
            <v>DEM</v>
          </cell>
        </row>
        <row r="1626">
          <cell r="E1626" t="str">
            <v>1002051</v>
          </cell>
          <cell r="F1626">
            <v>32721</v>
          </cell>
          <cell r="G1626">
            <v>32756</v>
          </cell>
          <cell r="H1626" t="str">
            <v>1 BOITE DE 100 ECOUVILLONS STERILES</v>
          </cell>
          <cell r="I1626" t="str">
            <v>BIO</v>
          </cell>
          <cell r="J1626" t="str">
            <v>01</v>
          </cell>
          <cell r="K1626">
            <v>231</v>
          </cell>
          <cell r="L1626" t="str">
            <v>FRF</v>
          </cell>
        </row>
        <row r="1627">
          <cell r="E1627" t="str">
            <v>1002216</v>
          </cell>
          <cell r="F1627">
            <v>32744</v>
          </cell>
          <cell r="G1627">
            <v>32652</v>
          </cell>
          <cell r="H1627" t="str">
            <v>2 PROBES FOR DIGITAL ANAMEL RATER</v>
          </cell>
          <cell r="I1627" t="str">
            <v>TBG</v>
          </cell>
          <cell r="J1627" t="str">
            <v>02</v>
          </cell>
          <cell r="K1627">
            <v>800</v>
          </cell>
          <cell r="L1627" t="str">
            <v>SEK</v>
          </cell>
        </row>
        <row r="1628">
          <cell r="E1628" t="str">
            <v>1002214</v>
          </cell>
          <cell r="F1628">
            <v>32744</v>
          </cell>
          <cell r="G1628">
            <v>32797</v>
          </cell>
          <cell r="H1628" t="str">
            <v>4 Electrodes à gel</v>
          </cell>
          <cell r="I1628" t="str">
            <v>BBL</v>
          </cell>
          <cell r="J1628" t="str">
            <v>06</v>
          </cell>
          <cell r="K1628">
            <v>1793</v>
          </cell>
          <cell r="L1628" t="str">
            <v>FRF</v>
          </cell>
        </row>
        <row r="1629">
          <cell r="E1629" t="str">
            <v>1001870</v>
          </cell>
          <cell r="F1629">
            <v>32689</v>
          </cell>
          <cell r="G1629">
            <v>32854</v>
          </cell>
          <cell r="H1629" t="str">
            <v>Shaker LG-automatic</v>
          </cell>
          <cell r="I1629" t="str">
            <v>LGA</v>
          </cell>
          <cell r="J1629" t="str">
            <v>06</v>
          </cell>
          <cell r="K1629">
            <v>6805</v>
          </cell>
          <cell r="L1629" t="str">
            <v>DKR</v>
          </cell>
        </row>
        <row r="1630">
          <cell r="E1630" t="str">
            <v>1002277</v>
          </cell>
          <cell r="F1630">
            <v>32752</v>
          </cell>
          <cell r="G1630">
            <v>32788</v>
          </cell>
          <cell r="H1630" t="str">
            <v>10 * 500g Gelose Standard PCA</v>
          </cell>
          <cell r="I1630" t="str">
            <v>DPA</v>
          </cell>
          <cell r="J1630" t="str">
            <v>01</v>
          </cell>
          <cell r="K1630">
            <v>4754.5</v>
          </cell>
          <cell r="L1630" t="str">
            <v>FRF</v>
          </cell>
        </row>
        <row r="1631">
          <cell r="E1631" t="str">
            <v>1002276</v>
          </cell>
          <cell r="F1631">
            <v>32752</v>
          </cell>
          <cell r="G1631">
            <v>32788</v>
          </cell>
          <cell r="H1631" t="str">
            <v>Milieux de cultures bactériologiques</v>
          </cell>
          <cell r="I1631" t="str">
            <v>DPA</v>
          </cell>
          <cell r="J1631" t="str">
            <v>01</v>
          </cell>
          <cell r="K1631">
            <v>4544.3500000000004</v>
          </cell>
          <cell r="L1631" t="str">
            <v>FRF</v>
          </cell>
        </row>
        <row r="1632">
          <cell r="E1632" t="str">
            <v>1002275</v>
          </cell>
          <cell r="F1632">
            <v>32752</v>
          </cell>
          <cell r="G1632">
            <v>32849</v>
          </cell>
          <cell r="H1632" t="str">
            <v>12 burettes 25 ml + 12 Burettes 10 ml</v>
          </cell>
          <cell r="I1632" t="str">
            <v>OSI</v>
          </cell>
          <cell r="J1632" t="str">
            <v>04</v>
          </cell>
          <cell r="K1632">
            <v>5144</v>
          </cell>
          <cell r="L1632" t="str">
            <v>FRF</v>
          </cell>
        </row>
        <row r="1633">
          <cell r="E1633" t="str">
            <v>1002152</v>
          </cell>
          <cell r="F1633">
            <v>32737</v>
          </cell>
          <cell r="G1633">
            <v>32821</v>
          </cell>
          <cell r="H1633" t="str">
            <v>Verrerie pour appareils air-col</v>
          </cell>
          <cell r="I1633" t="str">
            <v>RHM</v>
          </cell>
          <cell r="J1633" t="str">
            <v>01</v>
          </cell>
          <cell r="K1633">
            <v>3567.1</v>
          </cell>
          <cell r="L1633" t="str">
            <v>DEM</v>
          </cell>
        </row>
        <row r="1634">
          <cell r="E1634" t="str">
            <v>1001860</v>
          </cell>
          <cell r="F1634">
            <v>32749</v>
          </cell>
          <cell r="G1634">
            <v>32806</v>
          </cell>
          <cell r="H1634" t="str">
            <v>Test tubes 5 ml Taylor</v>
          </cell>
          <cell r="I1634" t="str">
            <v>FAG</v>
          </cell>
          <cell r="J1634" t="str">
            <v>06</v>
          </cell>
          <cell r="K1634">
            <v>176</v>
          </cell>
          <cell r="L1634" t="str">
            <v>USD</v>
          </cell>
        </row>
        <row r="1635">
          <cell r="E1635" t="str">
            <v>1002334</v>
          </cell>
          <cell r="F1635">
            <v>32759</v>
          </cell>
          <cell r="G1635">
            <v>32854</v>
          </cell>
          <cell r="H1635" t="str">
            <v>Mission de Maintenance Wat-Beckman</v>
          </cell>
          <cell r="I1635" t="str">
            <v>MCC</v>
          </cell>
          <cell r="J1635" t="str">
            <v>04</v>
          </cell>
          <cell r="K1635">
            <v>0</v>
          </cell>
          <cell r="L1635">
            <v>0</v>
          </cell>
        </row>
        <row r="1636">
          <cell r="E1636" t="str">
            <v>1002393</v>
          </cell>
          <cell r="F1636">
            <v>32772</v>
          </cell>
          <cell r="G1636">
            <v>32841</v>
          </cell>
          <cell r="H1636" t="str">
            <v>Doseurs FORTUNA OPTIFIX</v>
          </cell>
          <cell r="I1636" t="str">
            <v>GRS</v>
          </cell>
          <cell r="J1636" t="str">
            <v>06</v>
          </cell>
          <cell r="K1636">
            <v>36895.440000000002</v>
          </cell>
          <cell r="L1636" t="str">
            <v>FRF</v>
          </cell>
        </row>
        <row r="1637">
          <cell r="E1637" t="str">
            <v>1002391</v>
          </cell>
          <cell r="F1637">
            <v>32770</v>
          </cell>
          <cell r="G1637">
            <v>32841</v>
          </cell>
          <cell r="H1637" t="str">
            <v>7 Lampes Loupe</v>
          </cell>
          <cell r="I1637" t="str">
            <v>BBL</v>
          </cell>
          <cell r="J1637" t="str">
            <v>01</v>
          </cell>
          <cell r="K1637">
            <v>12784.18</v>
          </cell>
          <cell r="L1637" t="str">
            <v>FRF</v>
          </cell>
        </row>
        <row r="1638">
          <cell r="E1638" t="str">
            <v>1002398</v>
          </cell>
          <cell r="F1638">
            <v>32770</v>
          </cell>
          <cell r="G1638">
            <v>32806</v>
          </cell>
          <cell r="H1638" t="str">
            <v>Matériel de laboratoire</v>
          </cell>
          <cell r="I1638" t="str">
            <v>OSI</v>
          </cell>
          <cell r="J1638" t="str">
            <v>05</v>
          </cell>
          <cell r="K1638">
            <v>13504.61</v>
          </cell>
          <cell r="L1638" t="str">
            <v>FRF</v>
          </cell>
        </row>
        <row r="1639">
          <cell r="E1639" t="str">
            <v>1002435</v>
          </cell>
          <cell r="F1639">
            <v>32777</v>
          </cell>
          <cell r="G1639">
            <v>32800</v>
          </cell>
          <cell r="H1639" t="str">
            <v>Matériels pour montage(noix,statifs,etc)</v>
          </cell>
          <cell r="I1639" t="str">
            <v>PRO</v>
          </cell>
          <cell r="J1639" t="str">
            <v>01</v>
          </cell>
          <cell r="K1639">
            <v>12024</v>
          </cell>
          <cell r="L1639" t="str">
            <v>FRF</v>
          </cell>
        </row>
        <row r="1640">
          <cell r="E1640" t="str">
            <v>1002439</v>
          </cell>
          <cell r="F1640">
            <v>32777</v>
          </cell>
          <cell r="G1640">
            <v>32721</v>
          </cell>
          <cell r="H1640" t="str">
            <v>15 AMPOULES OSRAM pour microscope</v>
          </cell>
          <cell r="I1640" t="str">
            <v>CEF</v>
          </cell>
          <cell r="J1640" t="str">
            <v>05</v>
          </cell>
          <cell r="K1640">
            <v>1060.5</v>
          </cell>
          <cell r="L1640" t="str">
            <v>FRF</v>
          </cell>
        </row>
        <row r="1641">
          <cell r="E1641" t="str">
            <v>1002469</v>
          </cell>
          <cell r="F1641">
            <v>32778</v>
          </cell>
          <cell r="G1641">
            <v>32955</v>
          </cell>
          <cell r="H1641" t="str">
            <v>Accessoires orbisphere</v>
          </cell>
          <cell r="I1641" t="str">
            <v>ORB</v>
          </cell>
          <cell r="J1641" t="str">
            <v>01</v>
          </cell>
          <cell r="K1641">
            <v>124521</v>
          </cell>
          <cell r="L1641" t="str">
            <v>FRF</v>
          </cell>
        </row>
        <row r="1642">
          <cell r="E1642" t="str">
            <v>1002369</v>
          </cell>
          <cell r="F1642">
            <v>32665</v>
          </cell>
          <cell r="G1642">
            <v>32800</v>
          </cell>
          <cell r="H1642" t="str">
            <v>Diviseur à rèfles + Sondes bateaux+sacs</v>
          </cell>
          <cell r="I1642" t="str">
            <v>TPR</v>
          </cell>
          <cell r="J1642" t="str">
            <v>01</v>
          </cell>
          <cell r="K1642">
            <v>0</v>
          </cell>
          <cell r="L1642" t="str">
            <v>FRF</v>
          </cell>
        </row>
        <row r="1643">
          <cell r="E1643" t="str">
            <v>1002370</v>
          </cell>
          <cell r="F1643">
            <v>32681</v>
          </cell>
          <cell r="G1643">
            <v>32800</v>
          </cell>
          <cell r="H1643" t="str">
            <v>Sondes prélèvements céréales sacs+bateau</v>
          </cell>
          <cell r="I1643" t="str">
            <v>TPR</v>
          </cell>
          <cell r="J1643" t="str">
            <v>02</v>
          </cell>
          <cell r="K1643">
            <v>0</v>
          </cell>
          <cell r="L1643" t="str">
            <v>FRF</v>
          </cell>
        </row>
        <row r="1644">
          <cell r="E1644" t="str">
            <v>1003218</v>
          </cell>
          <cell r="F1644">
            <v>32891</v>
          </cell>
          <cell r="G1644">
            <v>32973</v>
          </cell>
          <cell r="H1644" t="str">
            <v>Cuves spectro + Ballons 500 + toiles mét</v>
          </cell>
          <cell r="I1644" t="str">
            <v>OSI</v>
          </cell>
          <cell r="J1644" t="str">
            <v>01</v>
          </cell>
          <cell r="K1644">
            <v>8742.4</v>
          </cell>
          <cell r="L1644" t="str">
            <v>FRF</v>
          </cell>
        </row>
        <row r="1645">
          <cell r="E1645" t="str">
            <v>1003087</v>
          </cell>
          <cell r="F1645">
            <v>32877</v>
          </cell>
          <cell r="G1645">
            <v>32912</v>
          </cell>
          <cell r="H1645" t="str">
            <v>Bagues O d'étanchéité CO2 Gehaltmeter</v>
          </cell>
          <cell r="I1645" t="str">
            <v>HAF</v>
          </cell>
          <cell r="J1645" t="str">
            <v>01</v>
          </cell>
          <cell r="K1645">
            <v>1052</v>
          </cell>
          <cell r="L1645" t="str">
            <v>NLG</v>
          </cell>
        </row>
        <row r="1646">
          <cell r="E1646" t="str">
            <v>1002998</v>
          </cell>
          <cell r="F1646">
            <v>32857</v>
          </cell>
          <cell r="G1646">
            <v>32919</v>
          </cell>
          <cell r="H1646" t="str">
            <v>32 * 250 ml Rauschliquid</v>
          </cell>
          <cell r="I1646" t="str">
            <v>CPR</v>
          </cell>
          <cell r="J1646" t="str">
            <v>01</v>
          </cell>
          <cell r="K1646">
            <v>2134</v>
          </cell>
          <cell r="L1646" t="str">
            <v>DEM</v>
          </cell>
        </row>
        <row r="1647">
          <cell r="E1647" t="str">
            <v>1003090</v>
          </cell>
          <cell r="F1647">
            <v>32877</v>
          </cell>
          <cell r="G1647">
            <v>32911</v>
          </cell>
          <cell r="H1647" t="str">
            <v>3 BURETTES ABSORPTION BUSE</v>
          </cell>
          <cell r="I1647" t="str">
            <v>BAG</v>
          </cell>
          <cell r="J1647" t="str">
            <v>06</v>
          </cell>
          <cell r="K1647">
            <v>2058</v>
          </cell>
          <cell r="L1647" t="str">
            <v>DEM</v>
          </cell>
        </row>
        <row r="1648">
          <cell r="E1648" t="str">
            <v>1003063</v>
          </cell>
          <cell r="F1648">
            <v>32864</v>
          </cell>
          <cell r="G1648">
            <v>33022</v>
          </cell>
          <cell r="H1648" t="str">
            <v>2 Appareils REDPOST</v>
          </cell>
          <cell r="I1648" t="str">
            <v>HAF</v>
          </cell>
          <cell r="J1648" t="str">
            <v>01</v>
          </cell>
          <cell r="K1648">
            <v>21622</v>
          </cell>
          <cell r="L1648" t="str">
            <v>NLG</v>
          </cell>
        </row>
        <row r="1649">
          <cell r="E1649" t="str">
            <v>1003133</v>
          </cell>
          <cell r="F1649">
            <v>32883</v>
          </cell>
          <cell r="G1649">
            <v>32988</v>
          </cell>
          <cell r="H1649" t="str">
            <v>2 PROBES FOR DIGITAL ANAMEL RATER</v>
          </cell>
          <cell r="I1649" t="str">
            <v>TBG</v>
          </cell>
          <cell r="J1649" t="str">
            <v>02</v>
          </cell>
          <cell r="K1649">
            <v>800</v>
          </cell>
          <cell r="L1649" t="str">
            <v>SEK</v>
          </cell>
        </row>
        <row r="1650">
          <cell r="E1650" t="str">
            <v>1003064</v>
          </cell>
          <cell r="F1650">
            <v>32864</v>
          </cell>
          <cell r="G1650">
            <v>33022</v>
          </cell>
          <cell r="H1650" t="str">
            <v>3 Hazemeters "VOS 4000"</v>
          </cell>
          <cell r="I1650" t="str">
            <v>HAF</v>
          </cell>
          <cell r="J1650" t="str">
            <v>01</v>
          </cell>
          <cell r="K1650">
            <v>42342</v>
          </cell>
          <cell r="L1650" t="str">
            <v>NLG</v>
          </cell>
        </row>
        <row r="1651">
          <cell r="E1651" t="str">
            <v>1003089</v>
          </cell>
          <cell r="F1651">
            <v>32877</v>
          </cell>
          <cell r="G1651">
            <v>33022</v>
          </cell>
          <cell r="H1651" t="str">
            <v>3 Thermomètres portatifs résistant à eau</v>
          </cell>
          <cell r="I1651" t="str">
            <v>PRO</v>
          </cell>
          <cell r="J1651" t="str">
            <v>01</v>
          </cell>
          <cell r="K1651">
            <v>9421</v>
          </cell>
          <cell r="L1651" t="str">
            <v>FRF</v>
          </cell>
        </row>
        <row r="1652">
          <cell r="E1652" t="str">
            <v>1002969</v>
          </cell>
          <cell r="F1652">
            <v>32855</v>
          </cell>
          <cell r="G1652">
            <v>33022</v>
          </cell>
          <cell r="H1652" t="str">
            <v>3 pH-mètrs de paillasse Métrohm</v>
          </cell>
          <cell r="I1652" t="str">
            <v>ROU</v>
          </cell>
          <cell r="J1652" t="str">
            <v>01</v>
          </cell>
          <cell r="K1652">
            <v>23502.5</v>
          </cell>
          <cell r="L1652" t="str">
            <v>FRF</v>
          </cell>
        </row>
        <row r="1653">
          <cell r="E1653" t="str">
            <v>1003012</v>
          </cell>
          <cell r="F1653">
            <v>32860</v>
          </cell>
          <cell r="G1653">
            <v>32968</v>
          </cell>
          <cell r="H1653" t="str">
            <v>1 Etuve bactériologique</v>
          </cell>
          <cell r="I1653" t="str">
            <v>BBL</v>
          </cell>
          <cell r="J1653" t="str">
            <v>08</v>
          </cell>
          <cell r="K1653">
            <v>8530.5</v>
          </cell>
          <cell r="L1653" t="str">
            <v>FRF</v>
          </cell>
        </row>
        <row r="1654">
          <cell r="E1654" t="str">
            <v>1003061</v>
          </cell>
          <cell r="F1654">
            <v>32864</v>
          </cell>
          <cell r="G1654">
            <v>32988</v>
          </cell>
          <cell r="H1654" t="str">
            <v>3 CO2 Gehaltmeters</v>
          </cell>
          <cell r="I1654" t="str">
            <v>HAF</v>
          </cell>
          <cell r="J1654" t="str">
            <v>01</v>
          </cell>
          <cell r="K1654">
            <v>9728</v>
          </cell>
          <cell r="L1654" t="str">
            <v>NLG</v>
          </cell>
        </row>
        <row r="1655">
          <cell r="E1655" t="str">
            <v>1003197</v>
          </cell>
          <cell r="F1655">
            <v>32897</v>
          </cell>
          <cell r="G1655">
            <v>32821</v>
          </cell>
          <cell r="H1655" t="str">
            <v>4 Zahm New - style</v>
          </cell>
          <cell r="I1655" t="str">
            <v>TRS</v>
          </cell>
          <cell r="J1655" t="str">
            <v>01</v>
          </cell>
          <cell r="K1655">
            <v>2355.27</v>
          </cell>
          <cell r="L1655" t="str">
            <v>USD</v>
          </cell>
        </row>
        <row r="1656">
          <cell r="E1656" t="str">
            <v>1003392</v>
          </cell>
          <cell r="F1656">
            <v>32885</v>
          </cell>
          <cell r="G1656">
            <v>33102</v>
          </cell>
          <cell r="H1656" t="str">
            <v>1 Autoclave vertical standard</v>
          </cell>
          <cell r="I1656" t="str">
            <v>OSI</v>
          </cell>
          <cell r="J1656" t="str">
            <v>02</v>
          </cell>
          <cell r="K1656">
            <v>22670</v>
          </cell>
          <cell r="L1656" t="str">
            <v>FRF</v>
          </cell>
        </row>
        <row r="1657">
          <cell r="E1657" t="str">
            <v>1002999</v>
          </cell>
          <cell r="F1657">
            <v>32857</v>
          </cell>
          <cell r="G1657">
            <v>33095</v>
          </cell>
          <cell r="H1657" t="str">
            <v>Appareils détermination pureté CO2</v>
          </cell>
          <cell r="I1657" t="str">
            <v>GLX</v>
          </cell>
          <cell r="J1657" t="str">
            <v>01</v>
          </cell>
          <cell r="K1657">
            <v>13000</v>
          </cell>
          <cell r="L1657" t="str">
            <v>FRF</v>
          </cell>
        </row>
        <row r="1658">
          <cell r="E1658" t="str">
            <v>1002991</v>
          </cell>
          <cell r="F1658">
            <v>32857</v>
          </cell>
          <cell r="G1658">
            <v>32947</v>
          </cell>
          <cell r="H1658" t="str">
            <v>Burettes de Schilling 5ml+10ml</v>
          </cell>
          <cell r="I1658" t="str">
            <v>ATC</v>
          </cell>
          <cell r="J1658" t="str">
            <v>01</v>
          </cell>
          <cell r="K1658">
            <v>10367.57</v>
          </cell>
          <cell r="L1658" t="str">
            <v>FRF</v>
          </cell>
        </row>
        <row r="1659">
          <cell r="E1659" t="str">
            <v>1002917</v>
          </cell>
          <cell r="F1659">
            <v>32846</v>
          </cell>
          <cell r="G1659">
            <v>32841</v>
          </cell>
          <cell r="H1659" t="str">
            <v>1 Balance analytique AE 240</v>
          </cell>
          <cell r="I1659" t="str">
            <v>MTL</v>
          </cell>
          <cell r="J1659" t="str">
            <v>01</v>
          </cell>
          <cell r="K1659">
            <v>23578</v>
          </cell>
          <cell r="L1659" t="str">
            <v>FRF</v>
          </cell>
        </row>
        <row r="1660">
          <cell r="E1660" t="str">
            <v>1002941</v>
          </cell>
          <cell r="F1660">
            <v>32849</v>
          </cell>
          <cell r="G1660">
            <v>32902</v>
          </cell>
          <cell r="H1660" t="str">
            <v>2 Thermomètres gradués -105 à +30°C</v>
          </cell>
          <cell r="I1660" t="str">
            <v>OSI</v>
          </cell>
          <cell r="J1660" t="str">
            <v>04</v>
          </cell>
          <cell r="K1660">
            <v>521.20000000000005</v>
          </cell>
          <cell r="L1660" t="str">
            <v>FRF</v>
          </cell>
        </row>
        <row r="1661">
          <cell r="E1661" t="str">
            <v>1002919</v>
          </cell>
          <cell r="F1661">
            <v>32846</v>
          </cell>
          <cell r="H1661" t="str">
            <v>Réparation balance analytique P4600</v>
          </cell>
          <cell r="I1661" t="str">
            <v>MTL</v>
          </cell>
          <cell r="J1661" t="str">
            <v>02</v>
          </cell>
          <cell r="K1661">
            <v>3090</v>
          </cell>
          <cell r="L1661" t="str">
            <v>FRF</v>
          </cell>
        </row>
        <row r="1662">
          <cell r="E1662" t="str">
            <v>1003083</v>
          </cell>
          <cell r="F1662">
            <v>32877</v>
          </cell>
          <cell r="G1662">
            <v>33095</v>
          </cell>
          <cell r="H1662" t="str">
            <v>15 AMPOULES OSRAM pour microscope</v>
          </cell>
          <cell r="I1662" t="str">
            <v>CEF</v>
          </cell>
          <cell r="J1662" t="str">
            <v>05</v>
          </cell>
          <cell r="K1662">
            <v>1060.5</v>
          </cell>
          <cell r="L1662" t="str">
            <v>FRF</v>
          </cell>
        </row>
        <row r="1663">
          <cell r="E1663" t="str">
            <v>1003106</v>
          </cell>
          <cell r="F1663">
            <v>32881</v>
          </cell>
          <cell r="G1663">
            <v>33067</v>
          </cell>
          <cell r="H1663" t="str">
            <v>1 Calibro angolo corona</v>
          </cell>
          <cell r="I1663" t="str">
            <v>SAC</v>
          </cell>
          <cell r="J1663" t="str">
            <v>01</v>
          </cell>
          <cell r="K1663">
            <v>649300</v>
          </cell>
          <cell r="L1663" t="str">
            <v>ITL</v>
          </cell>
        </row>
        <row r="1664">
          <cell r="E1664" t="str">
            <v>1003253</v>
          </cell>
          <cell r="F1664">
            <v>32895</v>
          </cell>
          <cell r="G1664">
            <v>32800</v>
          </cell>
          <cell r="H1664" t="str">
            <v>Diviseur à rèfles + Sondes bateaux+sacs</v>
          </cell>
          <cell r="I1664" t="str">
            <v>TPR</v>
          </cell>
          <cell r="J1664" t="str">
            <v>01</v>
          </cell>
          <cell r="K1664">
            <v>0</v>
          </cell>
          <cell r="L1664" t="str">
            <v>FRF</v>
          </cell>
        </row>
        <row r="1665">
          <cell r="E1665" t="str">
            <v>1003189</v>
          </cell>
          <cell r="F1665">
            <v>32891</v>
          </cell>
          <cell r="G1665">
            <v>32800</v>
          </cell>
          <cell r="H1665" t="str">
            <v>Rchges Zahm+ pureyé CO2+Hydromètres</v>
          </cell>
          <cell r="I1665" t="str">
            <v>TRS</v>
          </cell>
          <cell r="J1665" t="str">
            <v>07</v>
          </cell>
          <cell r="K1665">
            <v>0</v>
          </cell>
          <cell r="L1665" t="str">
            <v>USD</v>
          </cell>
        </row>
        <row r="1666">
          <cell r="E1666" t="str">
            <v>1003102</v>
          </cell>
          <cell r="F1666">
            <v>32881</v>
          </cell>
          <cell r="G1666">
            <v>32945</v>
          </cell>
          <cell r="H1666" t="str">
            <v>Verrerie de laboratoire</v>
          </cell>
          <cell r="I1666" t="str">
            <v>OSI</v>
          </cell>
          <cell r="J1666" t="str">
            <v>07</v>
          </cell>
          <cell r="K1666">
            <v>4984.5</v>
          </cell>
          <cell r="L1666" t="str">
            <v>FRF</v>
          </cell>
        </row>
        <row r="1667">
          <cell r="E1667" t="str">
            <v>1003166</v>
          </cell>
          <cell r="F1667">
            <v>32885</v>
          </cell>
          <cell r="G1667">
            <v>32912</v>
          </cell>
          <cell r="H1667" t="str">
            <v>2 Nuancier PANTONE</v>
          </cell>
          <cell r="I1667" t="str">
            <v>BCH</v>
          </cell>
          <cell r="J1667" t="str">
            <v>01</v>
          </cell>
          <cell r="K1667">
            <v>590</v>
          </cell>
          <cell r="L1667" t="str">
            <v>FRF</v>
          </cell>
        </row>
        <row r="1668">
          <cell r="E1668" t="str">
            <v>1003198</v>
          </cell>
          <cell r="F1668">
            <v>32890</v>
          </cell>
          <cell r="G1668">
            <v>33080</v>
          </cell>
          <cell r="H1668" t="str">
            <v>2 Zahm Piercing d.,Dead weight .,CO2 pur</v>
          </cell>
          <cell r="I1668" t="str">
            <v>TRS</v>
          </cell>
          <cell r="J1668" t="str">
            <v>07</v>
          </cell>
          <cell r="K1668">
            <v>2885.45</v>
          </cell>
          <cell r="L1668" t="str">
            <v>USD</v>
          </cell>
        </row>
        <row r="1669">
          <cell r="E1669" t="str">
            <v>1003252</v>
          </cell>
          <cell r="F1669">
            <v>32895</v>
          </cell>
          <cell r="G1669">
            <v>33015</v>
          </cell>
          <cell r="H1669" t="str">
            <v>Agitateur monoposte + pH mètre de poche</v>
          </cell>
          <cell r="I1669" t="str">
            <v>BBL</v>
          </cell>
          <cell r="J1669" t="str">
            <v>07</v>
          </cell>
          <cell r="K1669">
            <v>4846.26</v>
          </cell>
          <cell r="L1669" t="str">
            <v>FRF</v>
          </cell>
        </row>
        <row r="1670">
          <cell r="E1670" t="str">
            <v>1003215</v>
          </cell>
          <cell r="F1670">
            <v>32891</v>
          </cell>
          <cell r="G1670">
            <v>32919</v>
          </cell>
          <cell r="H1670" t="str">
            <v>1 Pied à coulisse à lecture digitale JOC</v>
          </cell>
          <cell r="I1670" t="str">
            <v>OSI</v>
          </cell>
          <cell r="J1670" t="str">
            <v>01</v>
          </cell>
          <cell r="K1670">
            <v>207</v>
          </cell>
          <cell r="L1670" t="str">
            <v>FRF</v>
          </cell>
        </row>
        <row r="1671">
          <cell r="E1671" t="str">
            <v>1002925</v>
          </cell>
          <cell r="F1671">
            <v>32826</v>
          </cell>
          <cell r="G1671">
            <v>32843</v>
          </cell>
          <cell r="H1671" t="str">
            <v>Milieux de culture Pasteur</v>
          </cell>
          <cell r="I1671" t="str">
            <v>DPA</v>
          </cell>
          <cell r="J1671" t="str">
            <v>01</v>
          </cell>
          <cell r="K1671">
            <v>4715</v>
          </cell>
          <cell r="L1671" t="str">
            <v>FRF</v>
          </cell>
        </row>
        <row r="1672">
          <cell r="E1672" t="str">
            <v>1003245</v>
          </cell>
          <cell r="F1672">
            <v>32895</v>
          </cell>
          <cell r="G1672">
            <v>33108</v>
          </cell>
          <cell r="H1672" t="str">
            <v>Rechanges spectrophotomètres</v>
          </cell>
          <cell r="I1672" t="str">
            <v>WAT</v>
          </cell>
          <cell r="J1672" t="str">
            <v>01</v>
          </cell>
          <cell r="K1672">
            <v>56136</v>
          </cell>
          <cell r="L1672" t="str">
            <v>FRF</v>
          </cell>
        </row>
        <row r="1673">
          <cell r="E1673" t="str">
            <v>1003109</v>
          </cell>
          <cell r="F1673">
            <v>32516</v>
          </cell>
          <cell r="G1673">
            <v>32947</v>
          </cell>
          <cell r="H1673" t="str">
            <v>pH Mètres de poche + Agitateur Monoposte</v>
          </cell>
          <cell r="I1673" t="str">
            <v>BBL</v>
          </cell>
          <cell r="J1673" t="str">
            <v>01</v>
          </cell>
          <cell r="K1673">
            <v>12114.36</v>
          </cell>
          <cell r="L1673" t="str">
            <v>FRF</v>
          </cell>
        </row>
        <row r="1674">
          <cell r="E1674" t="str">
            <v>1003140</v>
          </cell>
          <cell r="F1674">
            <v>32884</v>
          </cell>
          <cell r="G1674">
            <v>33000</v>
          </cell>
          <cell r="H1674" t="str">
            <v>1 Enregistreur potentiométrique</v>
          </cell>
          <cell r="I1674" t="str">
            <v>CHS</v>
          </cell>
          <cell r="J1674" t="str">
            <v>01</v>
          </cell>
          <cell r="K1674">
            <v>12000</v>
          </cell>
          <cell r="L1674" t="str">
            <v>FRF</v>
          </cell>
        </row>
        <row r="1675">
          <cell r="E1675" t="str">
            <v>1003199</v>
          </cell>
          <cell r="F1675">
            <v>32890</v>
          </cell>
          <cell r="G1675">
            <v>33088</v>
          </cell>
          <cell r="H1675" t="str">
            <v>7 Zahm piercing device + 2 Superchlorim.</v>
          </cell>
          <cell r="I1675" t="str">
            <v>TRS</v>
          </cell>
          <cell r="J1675" t="str">
            <v>01</v>
          </cell>
          <cell r="K1675">
            <v>3755.36</v>
          </cell>
          <cell r="L1675" t="str">
            <v>USD</v>
          </cell>
        </row>
        <row r="1676">
          <cell r="E1676" t="str">
            <v>1003167</v>
          </cell>
          <cell r="F1676">
            <v>32885</v>
          </cell>
          <cell r="G1676">
            <v>32988</v>
          </cell>
          <cell r="H1676" t="str">
            <v>Comparateur Hellige UBG</v>
          </cell>
          <cell r="I1676" t="str">
            <v>HEF</v>
          </cell>
          <cell r="J1676" t="str">
            <v>04</v>
          </cell>
          <cell r="K1676">
            <v>26374.92</v>
          </cell>
          <cell r="L1676" t="str">
            <v>FRF</v>
          </cell>
        </row>
        <row r="1677">
          <cell r="E1677" t="str">
            <v>1003349</v>
          </cell>
          <cell r="F1677">
            <v>32913</v>
          </cell>
          <cell r="G1677">
            <v>33095</v>
          </cell>
          <cell r="H1677" t="str">
            <v>4 Zahm New - style</v>
          </cell>
          <cell r="I1677" t="str">
            <v>TRS</v>
          </cell>
          <cell r="J1677" t="str">
            <v>01</v>
          </cell>
          <cell r="K1677">
            <v>2355.27</v>
          </cell>
          <cell r="L1677" t="str">
            <v>USD</v>
          </cell>
        </row>
        <row r="1678">
          <cell r="E1678" t="str">
            <v>1003268</v>
          </cell>
          <cell r="F1678">
            <v>32897</v>
          </cell>
          <cell r="G1678">
            <v>33022</v>
          </cell>
          <cell r="H1678" t="str">
            <v>Etuve + Rampe filtration + Réfract. num</v>
          </cell>
          <cell r="I1678" t="str">
            <v>BBL</v>
          </cell>
          <cell r="J1678" t="str">
            <v>04</v>
          </cell>
          <cell r="K1678">
            <v>25816</v>
          </cell>
          <cell r="L1678" t="str">
            <v>FRF</v>
          </cell>
        </row>
        <row r="1679">
          <cell r="E1679" t="str">
            <v>1003214</v>
          </cell>
          <cell r="F1679">
            <v>32891</v>
          </cell>
          <cell r="G1679">
            <v>33022</v>
          </cell>
          <cell r="H1679" t="str">
            <v>Matériel de Laboratoire</v>
          </cell>
          <cell r="I1679" t="str">
            <v>OSI</v>
          </cell>
          <cell r="J1679" t="str">
            <v>05</v>
          </cell>
          <cell r="K1679">
            <v>6208</v>
          </cell>
          <cell r="L1679" t="str">
            <v>FRF</v>
          </cell>
        </row>
        <row r="1680">
          <cell r="E1680" t="str">
            <v>1003196</v>
          </cell>
          <cell r="F1680">
            <v>32890</v>
          </cell>
          <cell r="G1680">
            <v>32919</v>
          </cell>
          <cell r="H1680" t="str">
            <v>10000 Tubes à Hémolyse 5ml+500 de 35ml</v>
          </cell>
          <cell r="I1680" t="str">
            <v>LES</v>
          </cell>
          <cell r="J1680" t="str">
            <v>01</v>
          </cell>
          <cell r="K1680">
            <v>4584</v>
          </cell>
          <cell r="L1680" t="str">
            <v>FRF</v>
          </cell>
        </row>
        <row r="1681">
          <cell r="E1681" t="str">
            <v>1003235</v>
          </cell>
          <cell r="F1681">
            <v>32895</v>
          </cell>
          <cell r="H1681" t="str">
            <v>Spare parts for beverage testing equipmt</v>
          </cell>
          <cell r="I1681" t="str">
            <v>TRS</v>
          </cell>
          <cell r="J1681" t="str">
            <v>01</v>
          </cell>
          <cell r="K1681">
            <v>8090.16</v>
          </cell>
          <cell r="L1681" t="str">
            <v>USD</v>
          </cell>
        </row>
        <row r="1682">
          <cell r="E1682" t="str">
            <v>1003134</v>
          </cell>
          <cell r="F1682">
            <v>32883</v>
          </cell>
          <cell r="G1682">
            <v>32902</v>
          </cell>
          <cell r="H1682" t="str">
            <v>Produits de laboratoire</v>
          </cell>
          <cell r="I1682" t="str">
            <v>MCK</v>
          </cell>
          <cell r="J1682" t="str">
            <v>01</v>
          </cell>
          <cell r="K1682">
            <v>20191.599999999999</v>
          </cell>
          <cell r="L1682" t="str">
            <v>FRF</v>
          </cell>
        </row>
        <row r="1683">
          <cell r="E1683" t="str">
            <v>1003135</v>
          </cell>
          <cell r="F1683">
            <v>32883</v>
          </cell>
          <cell r="G1683">
            <v>33050</v>
          </cell>
          <cell r="H1683" t="str">
            <v>Réparation balance analytique P4600</v>
          </cell>
          <cell r="I1683" t="str">
            <v>MTL</v>
          </cell>
          <cell r="J1683" t="str">
            <v>02</v>
          </cell>
          <cell r="K1683">
            <v>3090</v>
          </cell>
          <cell r="L1683" t="str">
            <v>FRF</v>
          </cell>
        </row>
        <row r="1684">
          <cell r="E1684" t="str">
            <v>1003213</v>
          </cell>
          <cell r="F1684">
            <v>32891</v>
          </cell>
          <cell r="G1684">
            <v>33023</v>
          </cell>
          <cell r="H1684" t="str">
            <v>Matériel de Laboratoire</v>
          </cell>
          <cell r="I1684" t="str">
            <v>OSI</v>
          </cell>
          <cell r="J1684" t="str">
            <v>05</v>
          </cell>
          <cell r="K1684">
            <v>5892.7</v>
          </cell>
          <cell r="L1684" t="str">
            <v>FRF</v>
          </cell>
        </row>
        <row r="1685">
          <cell r="E1685" t="str">
            <v>1003011</v>
          </cell>
          <cell r="F1685">
            <v>32860</v>
          </cell>
          <cell r="G1685">
            <v>33067</v>
          </cell>
          <cell r="H1685" t="str">
            <v>1 Sonde CS U V1C 230 mm</v>
          </cell>
          <cell r="I1685" t="str">
            <v>OSI</v>
          </cell>
          <cell r="J1685" t="str">
            <v>01</v>
          </cell>
          <cell r="K1685">
            <v>865.5</v>
          </cell>
          <cell r="L1685" t="str">
            <v>FRF</v>
          </cell>
        </row>
        <row r="1686">
          <cell r="E1686" t="str">
            <v>1003117</v>
          </cell>
          <cell r="F1686">
            <v>32882</v>
          </cell>
          <cell r="G1686">
            <v>32902</v>
          </cell>
          <cell r="H1686" t="str">
            <v>1 Contrôleur humidité Dickey John</v>
          </cell>
          <cell r="I1686" t="str">
            <v>TPR</v>
          </cell>
          <cell r="J1686" t="str">
            <v>01</v>
          </cell>
          <cell r="K1686">
            <v>3420</v>
          </cell>
          <cell r="L1686" t="str">
            <v>FRF</v>
          </cell>
        </row>
        <row r="1687">
          <cell r="E1687" t="str">
            <v>1002738</v>
          </cell>
          <cell r="F1687">
            <v>32891</v>
          </cell>
          <cell r="G1687">
            <v>32882</v>
          </cell>
          <cell r="H1687" t="str">
            <v>Rchges Zahm+ pureyé CO2+Hydromètres</v>
          </cell>
          <cell r="I1687" t="str">
            <v>TRS</v>
          </cell>
          <cell r="J1687" t="str">
            <v>07</v>
          </cell>
          <cell r="K1687">
            <v>937.16</v>
          </cell>
          <cell r="L1687" t="str">
            <v>USD</v>
          </cell>
        </row>
        <row r="1688">
          <cell r="E1688" t="str">
            <v>1003221</v>
          </cell>
          <cell r="F1688">
            <v>32891</v>
          </cell>
          <cell r="G1688">
            <v>33059</v>
          </cell>
          <cell r="H1688" t="str">
            <v>libellé commun avec 1003189 (partagé)</v>
          </cell>
          <cell r="I1688" t="str">
            <v>FSH</v>
          </cell>
          <cell r="J1688" t="str">
            <v>07</v>
          </cell>
          <cell r="K1688">
            <v>1380</v>
          </cell>
          <cell r="L1688" t="str">
            <v>DEM</v>
          </cell>
        </row>
        <row r="1689">
          <cell r="E1689" t="str">
            <v>1003149</v>
          </cell>
          <cell r="F1689">
            <v>32917</v>
          </cell>
          <cell r="G1689">
            <v>32954</v>
          </cell>
          <cell r="H1689" t="str">
            <v>2 Nuancier PANTONE</v>
          </cell>
          <cell r="I1689" t="str">
            <v>BCH</v>
          </cell>
          <cell r="J1689" t="str">
            <v>01</v>
          </cell>
          <cell r="K1689">
            <v>590</v>
          </cell>
          <cell r="L1689" t="str">
            <v>FRF</v>
          </cell>
        </row>
        <row r="1690">
          <cell r="E1690" t="str">
            <v>1003228</v>
          </cell>
          <cell r="F1690">
            <v>32896</v>
          </cell>
          <cell r="G1690">
            <v>33187</v>
          </cell>
          <cell r="H1690" t="str">
            <v>Contrat  maintenance spectrophotomètres</v>
          </cell>
          <cell r="I1690" t="str">
            <v>WAT</v>
          </cell>
          <cell r="J1690" t="str">
            <v>01</v>
          </cell>
          <cell r="K1690">
            <v>25352</v>
          </cell>
          <cell r="L1690" t="str">
            <v>FRF</v>
          </cell>
        </row>
        <row r="1691">
          <cell r="E1691" t="str">
            <v>1003269</v>
          </cell>
          <cell r="F1691">
            <v>32897</v>
          </cell>
          <cell r="G1691">
            <v>33015</v>
          </cell>
          <cell r="H1691" t="str">
            <v>4 Zahm New-style + accessoires</v>
          </cell>
          <cell r="I1691" t="str">
            <v>TRS</v>
          </cell>
          <cell r="J1691" t="str">
            <v>01</v>
          </cell>
          <cell r="K1691">
            <v>2355.27</v>
          </cell>
          <cell r="L1691" t="str">
            <v>USD</v>
          </cell>
        </row>
        <row r="1692">
          <cell r="E1692" t="str">
            <v>1003515</v>
          </cell>
          <cell r="F1692">
            <v>32948</v>
          </cell>
          <cell r="G1692">
            <v>33000</v>
          </cell>
          <cell r="H1692" t="str">
            <v>12 Sondes Redpost 230 mm</v>
          </cell>
          <cell r="I1692" t="str">
            <v>HAF</v>
          </cell>
          <cell r="J1692" t="str">
            <v>01</v>
          </cell>
          <cell r="K1692">
            <v>4533</v>
          </cell>
          <cell r="L1692" t="str">
            <v>NLG</v>
          </cell>
        </row>
        <row r="1693">
          <cell r="E1693" t="str">
            <v>1003539</v>
          </cell>
          <cell r="F1693">
            <v>32952</v>
          </cell>
          <cell r="G1693">
            <v>32843</v>
          </cell>
          <cell r="H1693" t="str">
            <v>6 Gasbox anaerobic jars 2.5 L</v>
          </cell>
          <cell r="I1693" t="str">
            <v>BIO</v>
          </cell>
          <cell r="J1693" t="str">
            <v>01</v>
          </cell>
          <cell r="K1693">
            <v>8004</v>
          </cell>
          <cell r="L1693" t="str">
            <v>FRF</v>
          </cell>
        </row>
        <row r="1694">
          <cell r="E1694" t="str">
            <v>1003589</v>
          </cell>
          <cell r="F1694">
            <v>32960</v>
          </cell>
          <cell r="G1694">
            <v>33136</v>
          </cell>
          <cell r="H1694" t="str">
            <v>1 Glass column 2mx1/4"x2mm</v>
          </cell>
          <cell r="I1694" t="str">
            <v>CPK</v>
          </cell>
          <cell r="J1694" t="str">
            <v>01</v>
          </cell>
          <cell r="K1694">
            <v>1307</v>
          </cell>
          <cell r="L1694" t="str">
            <v>FRF</v>
          </cell>
        </row>
        <row r="1695">
          <cell r="E1695" t="str">
            <v>1003109</v>
          </cell>
          <cell r="F1695">
            <v>32516</v>
          </cell>
          <cell r="G1695">
            <v>32947</v>
          </cell>
          <cell r="H1695" t="str">
            <v>5 Débitmètres à bulles  10ml&amp;100ml</v>
          </cell>
          <cell r="I1695" t="str">
            <v>HP</v>
          </cell>
          <cell r="J1695" t="str">
            <v>01</v>
          </cell>
          <cell r="K1695">
            <v>0</v>
          </cell>
          <cell r="L1695" t="str">
            <v>FRF</v>
          </cell>
        </row>
        <row r="1696">
          <cell r="E1696" t="str">
            <v>1003140</v>
          </cell>
          <cell r="F1696">
            <v>32884</v>
          </cell>
          <cell r="G1696">
            <v>33000</v>
          </cell>
          <cell r="H1696" t="str">
            <v>3 volumes aviculture,porc,ruminants</v>
          </cell>
          <cell r="I1696" t="str">
            <v>LAV</v>
          </cell>
          <cell r="J1696" t="str">
            <v>01</v>
          </cell>
          <cell r="K1696">
            <v>0</v>
          </cell>
          <cell r="L1696" t="str">
            <v>FRF</v>
          </cell>
        </row>
        <row r="1697">
          <cell r="E1697" t="str">
            <v>1003607</v>
          </cell>
          <cell r="F1697">
            <v>32967</v>
          </cell>
          <cell r="G1697">
            <v>33088</v>
          </cell>
          <cell r="H1697" t="str">
            <v>Verrerie de laboratoire</v>
          </cell>
          <cell r="I1697" t="str">
            <v>OSI</v>
          </cell>
          <cell r="J1697" t="str">
            <v>04</v>
          </cell>
          <cell r="K1697">
            <v>24834.799999999999</v>
          </cell>
          <cell r="L1697" t="str">
            <v>FRF</v>
          </cell>
        </row>
        <row r="1698">
          <cell r="E1698" t="str">
            <v>1003537</v>
          </cell>
          <cell r="F1698">
            <v>32952</v>
          </cell>
          <cell r="H1698" t="str">
            <v>Cuvettes,Disques et ampoules Hellige</v>
          </cell>
          <cell r="I1698" t="str">
            <v>HEF</v>
          </cell>
          <cell r="J1698" t="str">
            <v>04</v>
          </cell>
          <cell r="K1698">
            <v>19482.68</v>
          </cell>
          <cell r="L1698" t="str">
            <v>FRF</v>
          </cell>
        </row>
        <row r="1699">
          <cell r="E1699" t="str">
            <v>1003640</v>
          </cell>
          <cell r="F1699">
            <v>32973</v>
          </cell>
          <cell r="G1699">
            <v>33119</v>
          </cell>
          <cell r="H1699" t="str">
            <v>Produits de laboratoire</v>
          </cell>
          <cell r="I1699" t="str">
            <v>MCK</v>
          </cell>
          <cell r="J1699" t="str">
            <v>01</v>
          </cell>
          <cell r="K1699">
            <v>18428.099999999999</v>
          </cell>
          <cell r="L1699" t="str">
            <v>FRF</v>
          </cell>
        </row>
        <row r="1700">
          <cell r="E1700" t="str">
            <v>1003495</v>
          </cell>
          <cell r="F1700">
            <v>32947</v>
          </cell>
          <cell r="G1700">
            <v>33059</v>
          </cell>
          <cell r="H1700" t="str">
            <v>Rampe filtration sous vide</v>
          </cell>
          <cell r="I1700" t="str">
            <v>BBL</v>
          </cell>
          <cell r="J1700" t="str">
            <v>SEMC</v>
          </cell>
          <cell r="K1700">
            <v>23905.58</v>
          </cell>
          <cell r="L1700" t="str">
            <v>FRF</v>
          </cell>
        </row>
        <row r="1701">
          <cell r="E1701" t="str">
            <v>1003538</v>
          </cell>
          <cell r="F1701">
            <v>32952</v>
          </cell>
          <cell r="G1701">
            <v>33050</v>
          </cell>
          <cell r="H1701" t="str">
            <v>Pompe à vide rotative</v>
          </cell>
          <cell r="I1701" t="str">
            <v>OSI</v>
          </cell>
          <cell r="J1701" t="str">
            <v>05</v>
          </cell>
          <cell r="K1701">
            <v>15280</v>
          </cell>
          <cell r="L1701" t="str">
            <v>FRF</v>
          </cell>
        </row>
        <row r="1702">
          <cell r="E1702" t="str">
            <v>1003639</v>
          </cell>
          <cell r="F1702">
            <v>32973</v>
          </cell>
          <cell r="G1702">
            <v>33095</v>
          </cell>
          <cell r="H1702" t="str">
            <v>1 Micromètre avec contact à pointe</v>
          </cell>
          <cell r="I1702" t="str">
            <v>OML</v>
          </cell>
          <cell r="J1702" t="str">
            <v>01</v>
          </cell>
          <cell r="K1702">
            <v>1061.5</v>
          </cell>
          <cell r="L1702" t="str">
            <v>FRF</v>
          </cell>
        </row>
        <row r="1703">
          <cell r="E1703" t="str">
            <v>610</v>
          </cell>
          <cell r="F1703">
            <v>33128</v>
          </cell>
          <cell r="G1703">
            <v>33193</v>
          </cell>
          <cell r="H1703" t="str">
            <v>Spare parts for beverage testing equipmt</v>
          </cell>
          <cell r="I1703" t="str">
            <v>TRS</v>
          </cell>
          <cell r="J1703" t="str">
            <v>01</v>
          </cell>
          <cell r="K1703">
            <v>8090.16</v>
          </cell>
          <cell r="L1703" t="str">
            <v>USD</v>
          </cell>
        </row>
        <row r="1704">
          <cell r="E1704" t="str">
            <v>1003637</v>
          </cell>
          <cell r="F1704">
            <v>32973</v>
          </cell>
          <cell r="G1704">
            <v>33000</v>
          </cell>
          <cell r="H1704" t="str">
            <v>Produits de laboratoire</v>
          </cell>
          <cell r="I1704" t="str">
            <v>MCK</v>
          </cell>
          <cell r="J1704" t="str">
            <v>01</v>
          </cell>
          <cell r="K1704">
            <v>20191.599999999999</v>
          </cell>
          <cell r="L1704" t="str">
            <v>FRF</v>
          </cell>
        </row>
        <row r="1705">
          <cell r="E1705" t="str">
            <v>1003600</v>
          </cell>
          <cell r="F1705">
            <v>32965</v>
          </cell>
          <cell r="G1705">
            <v>33319</v>
          </cell>
          <cell r="H1705" t="str">
            <v>2 Polystats + accessoires filtres s/vide</v>
          </cell>
          <cell r="I1705" t="str">
            <v>BBL</v>
          </cell>
          <cell r="J1705" t="str">
            <v>01</v>
          </cell>
          <cell r="K1705">
            <v>19568.71</v>
          </cell>
          <cell r="L1705" t="str">
            <v>FRF</v>
          </cell>
        </row>
        <row r="1706">
          <cell r="E1706" t="str">
            <v>1003213</v>
          </cell>
          <cell r="F1706">
            <v>32891</v>
          </cell>
          <cell r="G1706">
            <v>33023</v>
          </cell>
          <cell r="H1706" t="str">
            <v>Joints rotor de Centrifugeuse</v>
          </cell>
          <cell r="I1706" t="str">
            <v>PRO</v>
          </cell>
          <cell r="J1706" t="str">
            <v>04</v>
          </cell>
          <cell r="K1706">
            <v>0</v>
          </cell>
          <cell r="L1706" t="str">
            <v>FRF</v>
          </cell>
        </row>
        <row r="1707">
          <cell r="E1707" t="str">
            <v>204</v>
          </cell>
          <cell r="F1707">
            <v>33004</v>
          </cell>
          <cell r="G1707">
            <v>33126</v>
          </cell>
          <cell r="H1707" t="str">
            <v>1 Sonde CS U V1C 230 mm</v>
          </cell>
          <cell r="I1707" t="str">
            <v>OSI</v>
          </cell>
          <cell r="J1707" t="str">
            <v>01</v>
          </cell>
          <cell r="K1707">
            <v>865.5</v>
          </cell>
          <cell r="L1707" t="str">
            <v>FRF</v>
          </cell>
        </row>
        <row r="1708">
          <cell r="E1708" t="str">
            <v>199</v>
          </cell>
          <cell r="F1708">
            <v>32882</v>
          </cell>
          <cell r="G1708">
            <v>33095</v>
          </cell>
          <cell r="H1708" t="str">
            <v>1 pH mètre à microprocesseur</v>
          </cell>
          <cell r="I1708" t="str">
            <v>BBL</v>
          </cell>
          <cell r="J1708" t="str">
            <v>TN</v>
          </cell>
          <cell r="K1708">
            <v>0</v>
          </cell>
          <cell r="L1708" t="str">
            <v>FRF</v>
          </cell>
        </row>
        <row r="1709">
          <cell r="E1709" t="str">
            <v>1002738</v>
          </cell>
          <cell r="G1709">
            <v>32882</v>
          </cell>
          <cell r="H1709" t="str">
            <v>Ouvrage sécurité laboratoire</v>
          </cell>
          <cell r="I1709" t="str">
            <v>LAV</v>
          </cell>
          <cell r="J1709" t="str">
            <v>01</v>
          </cell>
          <cell r="K1709">
            <v>0</v>
          </cell>
        </row>
        <row r="1710">
          <cell r="E1710" t="str">
            <v>1003624</v>
          </cell>
          <cell r="F1710">
            <v>32969</v>
          </cell>
          <cell r="G1710">
            <v>33059</v>
          </cell>
          <cell r="H1710" t="str">
            <v>80 Gasbox + indicateurs + staphyslide</v>
          </cell>
          <cell r="I1710" t="str">
            <v>BIO</v>
          </cell>
          <cell r="J1710" t="str">
            <v>01</v>
          </cell>
          <cell r="K1710">
            <v>7016</v>
          </cell>
          <cell r="L1710" t="str">
            <v>FRF</v>
          </cell>
        </row>
        <row r="1711">
          <cell r="E1711" t="str">
            <v>117</v>
          </cell>
          <cell r="F1711">
            <v>32988</v>
          </cell>
          <cell r="G1711">
            <v>33147</v>
          </cell>
          <cell r="H1711" t="str">
            <v>Verrerie de laboratoire</v>
          </cell>
          <cell r="I1711" t="str">
            <v>OSI</v>
          </cell>
          <cell r="J1711" t="str">
            <v>01</v>
          </cell>
          <cell r="K1711">
            <v>32863.699999999997</v>
          </cell>
          <cell r="L1711" t="str">
            <v>FRF</v>
          </cell>
        </row>
        <row r="1712">
          <cell r="E1712" t="str">
            <v>1003621</v>
          </cell>
          <cell r="F1712">
            <v>32969</v>
          </cell>
          <cell r="G1712">
            <v>33182</v>
          </cell>
          <cell r="H1712" t="str">
            <v>Capsules sartofluor</v>
          </cell>
          <cell r="I1712" t="str">
            <v>STR</v>
          </cell>
          <cell r="J1712" t="str">
            <v>01</v>
          </cell>
          <cell r="K1712">
            <v>50600</v>
          </cell>
          <cell r="L1712" t="str">
            <v>FRF</v>
          </cell>
        </row>
        <row r="1713">
          <cell r="E1713" t="str">
            <v>139</v>
          </cell>
          <cell r="F1713">
            <v>32897</v>
          </cell>
          <cell r="G1713">
            <v>33078</v>
          </cell>
          <cell r="H1713" t="str">
            <v>4 Zahm New-style + accessoires</v>
          </cell>
          <cell r="I1713" t="str">
            <v>TRS</v>
          </cell>
          <cell r="J1713" t="str">
            <v>01</v>
          </cell>
          <cell r="K1713">
            <v>2355.27</v>
          </cell>
          <cell r="L1713" t="str">
            <v>USD</v>
          </cell>
        </row>
        <row r="1714">
          <cell r="E1714" t="str">
            <v>369</v>
          </cell>
          <cell r="F1714">
            <v>33050</v>
          </cell>
          <cell r="G1714">
            <v>33000</v>
          </cell>
          <cell r="H1714" t="str">
            <v>Tamis de rechange planchister</v>
          </cell>
          <cell r="I1714" t="str">
            <v>BKH</v>
          </cell>
          <cell r="J1714" t="str">
            <v>05</v>
          </cell>
          <cell r="K1714">
            <v>164</v>
          </cell>
          <cell r="L1714" t="str">
            <v>DEM</v>
          </cell>
        </row>
        <row r="1715">
          <cell r="E1715" t="str">
            <v>274</v>
          </cell>
          <cell r="F1715">
            <v>33024</v>
          </cell>
          <cell r="G1715">
            <v>33182</v>
          </cell>
          <cell r="H1715" t="str">
            <v>6 Gasbox anaerobic jars 2.5 L</v>
          </cell>
          <cell r="I1715" t="str">
            <v>BIO</v>
          </cell>
          <cell r="J1715" t="str">
            <v>01</v>
          </cell>
          <cell r="K1715">
            <v>8004</v>
          </cell>
          <cell r="L1715" t="str">
            <v>FRF</v>
          </cell>
        </row>
        <row r="1716">
          <cell r="E1716" t="str">
            <v>352</v>
          </cell>
          <cell r="F1716">
            <v>33044</v>
          </cell>
          <cell r="G1716">
            <v>33136</v>
          </cell>
          <cell r="H1716" t="str">
            <v>Filtres + bleu de méthyl + hydroxylam.Cl</v>
          </cell>
          <cell r="I1716" t="str">
            <v>PRO</v>
          </cell>
          <cell r="J1716" t="str">
            <v>01</v>
          </cell>
          <cell r="K1716">
            <v>15950.65</v>
          </cell>
          <cell r="L1716" t="str">
            <v>FRF</v>
          </cell>
        </row>
        <row r="1717">
          <cell r="E1717" t="str">
            <v>1003636</v>
          </cell>
          <cell r="F1717">
            <v>32973</v>
          </cell>
          <cell r="G1717">
            <v>33000</v>
          </cell>
          <cell r="H1717" t="str">
            <v>5 Débitmètres à bulles  10ml&amp;100ml</v>
          </cell>
          <cell r="I1717" t="str">
            <v>HP</v>
          </cell>
          <cell r="J1717" t="str">
            <v>01</v>
          </cell>
          <cell r="K1717">
            <v>0</v>
          </cell>
          <cell r="L1717" t="str">
            <v>FRF</v>
          </cell>
        </row>
        <row r="1718">
          <cell r="E1718" t="str">
            <v>1003645</v>
          </cell>
          <cell r="F1718">
            <v>32976</v>
          </cell>
          <cell r="G1718">
            <v>33136</v>
          </cell>
          <cell r="H1718" t="str">
            <v>3 volumes aviculture,porc,ruminants</v>
          </cell>
          <cell r="I1718" t="str">
            <v>LAV</v>
          </cell>
          <cell r="J1718" t="str">
            <v>01</v>
          </cell>
          <cell r="K1718">
            <v>0</v>
          </cell>
          <cell r="L1718" t="str">
            <v>FRF</v>
          </cell>
        </row>
        <row r="1719">
          <cell r="E1719" t="str">
            <v>276</v>
          </cell>
          <cell r="F1719">
            <v>33024</v>
          </cell>
          <cell r="G1719">
            <v>33088</v>
          </cell>
          <cell r="H1719" t="str">
            <v>Verrerie de laboratoire</v>
          </cell>
          <cell r="I1719" t="str">
            <v>OSI</v>
          </cell>
          <cell r="J1719" t="str">
            <v>04</v>
          </cell>
          <cell r="K1719">
            <v>24834.799999999999</v>
          </cell>
          <cell r="L1719" t="str">
            <v>FRF</v>
          </cell>
        </row>
        <row r="1720">
          <cell r="E1720" t="str">
            <v>351</v>
          </cell>
          <cell r="F1720">
            <v>33044</v>
          </cell>
          <cell r="G1720">
            <v>33176</v>
          </cell>
          <cell r="H1720" t="str">
            <v>Cuvettes,Disques et ampoules Hellige</v>
          </cell>
          <cell r="I1720" t="str">
            <v>HEF</v>
          </cell>
          <cell r="J1720" t="str">
            <v>04</v>
          </cell>
          <cell r="K1720">
            <v>19482.68</v>
          </cell>
          <cell r="L1720" t="str">
            <v>FRF</v>
          </cell>
        </row>
        <row r="1721">
          <cell r="E1721" t="str">
            <v>275</v>
          </cell>
          <cell r="F1721">
            <v>33024</v>
          </cell>
          <cell r="G1721">
            <v>33088</v>
          </cell>
          <cell r="H1721" t="str">
            <v>1 Rampe de filtration sous vide</v>
          </cell>
          <cell r="I1721" t="str">
            <v>BBL</v>
          </cell>
          <cell r="J1721" t="str">
            <v>12</v>
          </cell>
          <cell r="K1721">
            <v>10746.11</v>
          </cell>
          <cell r="L1721" t="str">
            <v>FRF</v>
          </cell>
        </row>
        <row r="1722">
          <cell r="E1722" t="str">
            <v>315</v>
          </cell>
          <cell r="F1722">
            <v>33032</v>
          </cell>
          <cell r="G1722">
            <v>32957</v>
          </cell>
          <cell r="H1722" t="str">
            <v>Néo-Comparateur + accessoires divers</v>
          </cell>
          <cell r="I1722" t="str">
            <v>HEF</v>
          </cell>
          <cell r="J1722" t="str">
            <v>12</v>
          </cell>
          <cell r="K1722">
            <v>40572.639999999999</v>
          </cell>
          <cell r="L1722" t="str">
            <v>FRF</v>
          </cell>
        </row>
        <row r="1723">
          <cell r="E1723" t="str">
            <v>253</v>
          </cell>
          <cell r="F1723">
            <v>33021</v>
          </cell>
          <cell r="G1723">
            <v>33172</v>
          </cell>
          <cell r="H1723" t="str">
            <v>1 Balance PM2000</v>
          </cell>
          <cell r="I1723" t="str">
            <v>MTL</v>
          </cell>
          <cell r="J1723" t="str">
            <v>07</v>
          </cell>
          <cell r="K1723">
            <v>14883</v>
          </cell>
          <cell r="L1723" t="str">
            <v>FRF</v>
          </cell>
        </row>
        <row r="1724">
          <cell r="E1724" t="str">
            <v>415</v>
          </cell>
          <cell r="F1724">
            <v>33015</v>
          </cell>
          <cell r="G1724">
            <v>33182</v>
          </cell>
          <cell r="H1724" t="str">
            <v>1 Alambic + 2 autoclaves de table</v>
          </cell>
          <cell r="I1724" t="str">
            <v>PRO</v>
          </cell>
          <cell r="J1724" t="str">
            <v>07</v>
          </cell>
          <cell r="K1724">
            <v>17817</v>
          </cell>
          <cell r="L1724" t="str">
            <v>FRF</v>
          </cell>
        </row>
        <row r="1725">
          <cell r="E1725" t="str">
            <v>636</v>
          </cell>
          <cell r="F1725">
            <v>33133</v>
          </cell>
          <cell r="G1725">
            <v>33193</v>
          </cell>
          <cell r="H1725" t="str">
            <v>Rechanges systèmes Orbisphere</v>
          </cell>
          <cell r="I1725" t="str">
            <v>ORB</v>
          </cell>
          <cell r="J1725" t="str">
            <v>01</v>
          </cell>
          <cell r="K1725">
            <v>35975</v>
          </cell>
          <cell r="L1725" t="str">
            <v>FRF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1"/>
      <sheetName val="REM RIST"/>
      <sheetName val="XMCONSO"/>
      <sheetName val="VTEST1"/>
      <sheetName val="RESt1"/>
      <sheetName val="CHARGES"/>
      <sheetName val="COMPARCAV"/>
      <sheetName val="COMPARAISONS"/>
      <sheetName val="COMPARCDC"/>
    </sheetNames>
    <sheetDataSet>
      <sheetData sheetId="0" refreshError="1"/>
      <sheetData sheetId="1" refreshError="1"/>
      <sheetData sheetId="2" refreshError="1">
        <row r="1">
          <cell r="A1" t="str">
            <v>BUDGET ANNEE 2005</v>
          </cell>
        </row>
        <row r="3">
          <cell r="C3" t="str">
            <v>CONSO CDC-CAVINEX REVISE</v>
          </cell>
          <cell r="E3" t="str">
            <v>CDC</v>
          </cell>
          <cell r="G3" t="str">
            <v>CAVINEX</v>
          </cell>
          <cell r="I3" t="str">
            <v xml:space="preserve"> Probable 93/94</v>
          </cell>
          <cell r="K3" t="str">
            <v xml:space="preserve"> CDC-CAVINEX INITIAL</v>
          </cell>
          <cell r="M3" t="str">
            <v>ECART Révisé/Initial</v>
          </cell>
        </row>
        <row r="4">
          <cell r="A4" t="str">
            <v>Elements statistiques</v>
          </cell>
          <cell r="C4" t="str">
            <v>Fabric.</v>
          </cell>
          <cell r="D4" t="str">
            <v>Ventes</v>
          </cell>
          <cell r="E4" t="str">
            <v>Achats</v>
          </cell>
          <cell r="F4" t="str">
            <v>Ventes</v>
          </cell>
          <cell r="G4" t="str">
            <v>Fabric.</v>
          </cell>
          <cell r="H4" t="str">
            <v>Ventes</v>
          </cell>
          <cell r="I4" t="str">
            <v>Fabric.</v>
          </cell>
          <cell r="J4" t="str">
            <v>Ventes</v>
          </cell>
          <cell r="K4" t="str">
            <v>Fabric.</v>
          </cell>
          <cell r="L4" t="str">
            <v>Ventes</v>
          </cell>
          <cell r="M4" t="str">
            <v>Ventes</v>
          </cell>
          <cell r="N4" t="str">
            <v>%</v>
          </cell>
        </row>
        <row r="5">
          <cell r="A5" t="str">
            <v>AA  1 Quantites totales</v>
          </cell>
          <cell r="C5">
            <v>32235.845400000002</v>
          </cell>
          <cell r="D5">
            <v>34890</v>
          </cell>
          <cell r="E5">
            <v>35012.114999999998</v>
          </cell>
          <cell r="F5">
            <v>34890</v>
          </cell>
          <cell r="G5">
            <v>32235.845400000002</v>
          </cell>
          <cell r="H5">
            <v>32034.730499999998</v>
          </cell>
          <cell r="I5" t="e">
            <v>#REF!</v>
          </cell>
          <cell r="J5" t="e">
            <v>#REF!</v>
          </cell>
          <cell r="K5">
            <v>35817.505019999997</v>
          </cell>
          <cell r="L5">
            <v>38436.9</v>
          </cell>
          <cell r="M5">
            <v>-3581.6596199999949</v>
          </cell>
          <cell r="N5">
            <v>-9.3182843049257222</v>
          </cell>
        </row>
        <row r="6">
          <cell r="A6" t="str">
            <v>AB  2 Dont HL VINS CAVINEX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AC  3 Dont HL ALCOOLMIX</v>
          </cell>
          <cell r="C7">
            <v>32235.845400000002</v>
          </cell>
          <cell r="D7">
            <v>31923</v>
          </cell>
          <cell r="E7">
            <v>32034.730499999998</v>
          </cell>
          <cell r="F7">
            <v>31923</v>
          </cell>
          <cell r="G7">
            <v>32235.845400000002</v>
          </cell>
          <cell r="H7">
            <v>32034.730499999998</v>
          </cell>
          <cell r="I7" t="e">
            <v>#REF!</v>
          </cell>
          <cell r="J7" t="e">
            <v>#REF!</v>
          </cell>
          <cell r="K7">
            <v>35817.505019999997</v>
          </cell>
          <cell r="L7">
            <v>35469.9</v>
          </cell>
          <cell r="M7">
            <v>-3581.6596199999949</v>
          </cell>
          <cell r="N7">
            <v>-10.097743777118048</v>
          </cell>
        </row>
        <row r="8">
          <cell r="A8" t="str">
            <v>AC  3 Dont HL ALCOOLMIX EXPORT</v>
          </cell>
          <cell r="M8">
            <v>0</v>
          </cell>
        </row>
        <row r="9">
          <cell r="A9" t="str">
            <v>AC  3 Dont HL AOC</v>
          </cell>
          <cell r="D9">
            <v>2967</v>
          </cell>
          <cell r="E9">
            <v>2977.3845000000001</v>
          </cell>
          <cell r="F9">
            <v>2967</v>
          </cell>
          <cell r="J9" t="e">
            <v>#REF!</v>
          </cell>
          <cell r="L9">
            <v>2967</v>
          </cell>
          <cell r="M9">
            <v>0</v>
          </cell>
          <cell r="N9">
            <v>0</v>
          </cell>
        </row>
        <row r="10">
          <cell r="A10" t="str">
            <v>Compte d'exploitation</v>
          </cell>
          <cell r="C10" t="str">
            <v>En MF</v>
          </cell>
          <cell r="D10" t="str">
            <v>En F/HL</v>
          </cell>
          <cell r="E10" t="str">
            <v>En MF</v>
          </cell>
          <cell r="F10" t="str">
            <v>En F/HL</v>
          </cell>
          <cell r="G10" t="str">
            <v>En MF</v>
          </cell>
          <cell r="H10" t="str">
            <v>En F/HL</v>
          </cell>
          <cell r="I10" t="str">
            <v>En MF</v>
          </cell>
          <cell r="J10" t="str">
            <v>En F/HL</v>
          </cell>
          <cell r="K10" t="str">
            <v>En MF</v>
          </cell>
          <cell r="L10" t="str">
            <v>En F/HL</v>
          </cell>
          <cell r="M10" t="str">
            <v>En MF</v>
          </cell>
          <cell r="N10" t="str">
            <v>En F/HL</v>
          </cell>
        </row>
        <row r="11">
          <cell r="A11" t="str">
            <v>BA  4 Chiffre d'affaires TTC</v>
          </cell>
          <cell r="C11">
            <v>2741.9108740509155</v>
          </cell>
          <cell r="D11">
            <v>85891.390973621397</v>
          </cell>
          <cell r="E11">
            <v>2741.9108740509155</v>
          </cell>
          <cell r="F11">
            <v>85891.390973621397</v>
          </cell>
          <cell r="G11">
            <v>2548.0321363105336</v>
          </cell>
          <cell r="H11">
            <v>79539.67761054002</v>
          </cell>
          <cell r="I11" t="e">
            <v>#REF!</v>
          </cell>
          <cell r="J11" t="e">
            <v>#REF!</v>
          </cell>
          <cell r="K11">
            <v>2857.4790117855277</v>
          </cell>
          <cell r="L11">
            <v>80560.672902532213</v>
          </cell>
          <cell r="M11">
            <v>-115.56813773461226</v>
          </cell>
          <cell r="N11">
            <v>-4.0444089793120908</v>
          </cell>
        </row>
        <row r="12">
          <cell r="A12" t="str">
            <v>BA  4 Ventes en l'état</v>
          </cell>
          <cell r="C12">
            <v>1718.4174508784872</v>
          </cell>
          <cell r="D12">
            <v>579176.76133417164</v>
          </cell>
          <cell r="E12">
            <v>1718.4174508784872</v>
          </cell>
          <cell r="F12">
            <v>579176.76133417164</v>
          </cell>
          <cell r="H12">
            <v>0</v>
          </cell>
          <cell r="I12" t="e">
            <v>#REF!</v>
          </cell>
          <cell r="J12" t="e">
            <v>#REF!</v>
          </cell>
          <cell r="K12">
            <v>1625.0041028159199</v>
          </cell>
          <cell r="L12">
            <v>547692.6534600337</v>
          </cell>
          <cell r="M12">
            <v>93.413348062567366</v>
          </cell>
          <cell r="N12">
            <v>5.748499213060092</v>
          </cell>
        </row>
        <row r="13">
          <cell r="A13" t="str">
            <v>BA  4 Chiffres d'affaires ventes diverses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 t="e">
            <v>#REF!</v>
          </cell>
          <cell r="J13" t="e">
            <v>#REF!</v>
          </cell>
          <cell r="M13">
            <v>0</v>
          </cell>
        </row>
        <row r="14">
          <cell r="A14" t="str">
            <v>BB  5 Remises et ristournes</v>
          </cell>
          <cell r="C14">
            <v>-67.376731790901559</v>
          </cell>
          <cell r="D14">
            <v>-2110.6015033330686</v>
          </cell>
          <cell r="E14">
            <v>-67.376731790901559</v>
          </cell>
          <cell r="F14">
            <v>-2110.6015033330686</v>
          </cell>
          <cell r="H14">
            <v>0</v>
          </cell>
          <cell r="I14" t="e">
            <v>#REF!</v>
          </cell>
          <cell r="J14" t="e">
            <v>#REF!</v>
          </cell>
          <cell r="K14">
            <v>-74.862361111111127</v>
          </cell>
          <cell r="L14">
            <v>-2110.5884457275361</v>
          </cell>
          <cell r="M14">
            <v>7.4856293202095685</v>
          </cell>
          <cell r="N14">
            <v>-9.9991894579698819</v>
          </cell>
        </row>
        <row r="15">
          <cell r="A15" t="str">
            <v xml:space="preserve">BF  6 TVA </v>
          </cell>
          <cell r="C15">
            <v>-678.33545021532473</v>
          </cell>
          <cell r="D15">
            <v>-19442.116658507446</v>
          </cell>
          <cell r="E15">
            <v>-678.33545021532473</v>
          </cell>
          <cell r="F15">
            <v>-19442.116658507446</v>
          </cell>
          <cell r="G15">
            <v>-408.60356958511704</v>
          </cell>
          <cell r="H15">
            <v>-12755.018169580577</v>
          </cell>
          <cell r="I15" t="e">
            <v>#REF!</v>
          </cell>
          <cell r="J15" t="e">
            <v>#REF!</v>
          </cell>
          <cell r="K15">
            <v>-663.28372097585873</v>
          </cell>
          <cell r="L15">
            <v>-17256.431215208788</v>
          </cell>
          <cell r="M15">
            <v>-15.051729239465999</v>
          </cell>
          <cell r="N15">
            <v>2.2692746351924762</v>
          </cell>
        </row>
        <row r="16">
          <cell r="A16" t="str">
            <v>BF  6 Droit d'accises</v>
          </cell>
          <cell r="C16">
            <v>-430.34803159543287</v>
          </cell>
          <cell r="D16">
            <v>-12334.423376194694</v>
          </cell>
          <cell r="G16">
            <v>-430.34803159543287</v>
          </cell>
          <cell r="H16">
            <v>-13433.795910829745</v>
          </cell>
          <cell r="I16" t="e">
            <v>#REF!</v>
          </cell>
          <cell r="J16" t="e">
            <v>#REF!</v>
          </cell>
          <cell r="K16">
            <v>-356.25633039031248</v>
          </cell>
          <cell r="L16">
            <v>-9268.6020566255993</v>
          </cell>
          <cell r="M16">
            <v>-74.091701205120387</v>
          </cell>
          <cell r="N16">
            <v>20.797300955732052</v>
          </cell>
        </row>
        <row r="17">
          <cell r="A17" t="str">
            <v>BF  6 Prélèvement</v>
          </cell>
          <cell r="C17">
            <v>-179.49007343780292</v>
          </cell>
          <cell r="D17">
            <v>-5144.4561031184558</v>
          </cell>
          <cell r="E17">
            <v>-179.49007343780292</v>
          </cell>
          <cell r="F17">
            <v>-5144.4561031184558</v>
          </cell>
          <cell r="G17">
            <v>-16.81262082870408</v>
          </cell>
          <cell r="H17">
            <v>-524.82479378760752</v>
          </cell>
          <cell r="I17" t="e">
            <v>#REF!</v>
          </cell>
          <cell r="J17" t="e">
            <v>#REF!</v>
          </cell>
          <cell r="K17">
            <v>-181.1836343816268</v>
          </cell>
          <cell r="L17">
            <v>-4713.7941504550781</v>
          </cell>
          <cell r="M17">
            <v>1.6935609438238828</v>
          </cell>
          <cell r="N17">
            <v>-0.93472070455145972</v>
          </cell>
        </row>
        <row r="18">
          <cell r="A18" t="str">
            <v>BG  7 Chiffre d'affaires HT</v>
          </cell>
          <cell r="C18">
            <v>3104.7780378899406</v>
          </cell>
          <cell r="D18">
            <v>88987.61931470166</v>
          </cell>
          <cell r="E18">
            <v>3535.1260694853736</v>
          </cell>
          <cell r="F18">
            <v>101322.04269089634</v>
          </cell>
          <cell r="G18">
            <v>1692.2679143012797</v>
          </cell>
          <cell r="H18">
            <v>52826.038736342103</v>
          </cell>
          <cell r="I18" t="e">
            <v>#REF!</v>
          </cell>
          <cell r="J18" t="e">
            <v>#REF!</v>
          </cell>
          <cell r="K18">
            <v>3206.8970677425382</v>
          </cell>
          <cell r="L18">
            <v>83432.770794276803</v>
          </cell>
          <cell r="M18">
            <v>-102.11902985259758</v>
          </cell>
          <cell r="N18">
            <v>-3.1843563324744686</v>
          </cell>
        </row>
        <row r="19">
          <cell r="A19" t="str">
            <v>CA  8 Var. stock (fabr.-vtes)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e">
            <v>#REF!</v>
          </cell>
          <cell r="J19" t="e">
            <v>#REF!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CA  9 Var. stock casses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e">
            <v>#REF!</v>
          </cell>
          <cell r="J20" t="e">
            <v>#REF!</v>
          </cell>
          <cell r="M20">
            <v>0</v>
          </cell>
        </row>
        <row r="21">
          <cell r="A21" t="str">
            <v>DA 10 Production courante</v>
          </cell>
          <cell r="C21">
            <v>3104.7780378899406</v>
          </cell>
          <cell r="D21">
            <v>96314.459861813972</v>
          </cell>
          <cell r="E21">
            <v>3535.1260694853736</v>
          </cell>
          <cell r="F21">
            <v>100968.6524074702</v>
          </cell>
          <cell r="G21">
            <v>1692.2679143012797</v>
          </cell>
          <cell r="H21">
            <v>52496.464519626948</v>
          </cell>
          <cell r="I21" t="e">
            <v>#REF!</v>
          </cell>
          <cell r="J21" t="e">
            <v>#REF!</v>
          </cell>
          <cell r="K21">
            <v>3206.89706774254</v>
          </cell>
          <cell r="L21">
            <v>89534.351037344764</v>
          </cell>
          <cell r="M21">
            <v>-102.1190298525994</v>
          </cell>
          <cell r="N21">
            <v>-3.1843563324745241</v>
          </cell>
        </row>
        <row r="22">
          <cell r="A22" t="str">
            <v>EA 11 Cons. pour revente etat</v>
          </cell>
          <cell r="B22" t="str">
            <v>C</v>
          </cell>
          <cell r="C22">
            <v>1175.5773305808566</v>
          </cell>
          <cell r="D22">
            <v>396217.50272357819</v>
          </cell>
          <cell r="E22">
            <v>3298.1932764775688</v>
          </cell>
          <cell r="F22">
            <v>94531.191644527615</v>
          </cell>
          <cell r="H22">
            <v>0</v>
          </cell>
          <cell r="I22" t="e">
            <v>#REF!</v>
          </cell>
          <cell r="J22" t="e">
            <v>#REF!</v>
          </cell>
          <cell r="K22">
            <v>1117</v>
          </cell>
          <cell r="L22">
            <v>376345.13</v>
          </cell>
          <cell r="M22">
            <v>58.577330580856596</v>
          </cell>
          <cell r="N22">
            <v>5.2441656742038134</v>
          </cell>
        </row>
        <row r="23">
          <cell r="A23" t="str">
            <v>EA 11 Dont alcool_mix</v>
          </cell>
          <cell r="B23" t="str">
            <v>C</v>
          </cell>
          <cell r="D23">
            <v>0</v>
          </cell>
          <cell r="E23">
            <v>2122.6159458967122</v>
          </cell>
          <cell r="F23">
            <v>66491.744068436936</v>
          </cell>
          <cell r="H23">
            <v>0</v>
          </cell>
          <cell r="I23" t="e">
            <v>#REF!</v>
          </cell>
          <cell r="J23" t="e">
            <v>#REF!</v>
          </cell>
          <cell r="L23">
            <v>0</v>
          </cell>
          <cell r="M23">
            <v>0</v>
          </cell>
        </row>
        <row r="24">
          <cell r="A24" t="str">
            <v>EA 11 Dont AOC</v>
          </cell>
          <cell r="B24" t="str">
            <v>C</v>
          </cell>
          <cell r="D24">
            <v>0</v>
          </cell>
          <cell r="E24">
            <v>1175.5773305808566</v>
          </cell>
          <cell r="F24">
            <v>396217.50272357819</v>
          </cell>
          <cell r="H24">
            <v>0</v>
          </cell>
          <cell r="I24" t="e">
            <v>#REF!</v>
          </cell>
          <cell r="J24" t="e">
            <v>#REF!</v>
          </cell>
        </row>
        <row r="25">
          <cell r="A25" t="str">
            <v>EB 12 Cons. MP+MC fabrication</v>
          </cell>
          <cell r="B25" t="str">
            <v>C</v>
          </cell>
          <cell r="C25">
            <v>767.52528946058339</v>
          </cell>
          <cell r="D25">
            <v>23809.683907361814</v>
          </cell>
          <cell r="F25">
            <v>0</v>
          </cell>
          <cell r="G25">
            <v>767.52528946058339</v>
          </cell>
          <cell r="H25">
            <v>23809.683907361814</v>
          </cell>
          <cell r="I25" t="e">
            <v>#REF!</v>
          </cell>
          <cell r="J25" t="e">
            <v>#REF!</v>
          </cell>
          <cell r="K25">
            <v>845.73958642738705</v>
          </cell>
          <cell r="L25">
            <v>23612.46507692643</v>
          </cell>
          <cell r="M25">
            <v>-78.214296966803659</v>
          </cell>
        </row>
        <row r="26">
          <cell r="A26" t="str">
            <v>EC 13 Eau,elect.,comb.,carb.</v>
          </cell>
          <cell r="B26" t="str">
            <v>C</v>
          </cell>
          <cell r="C26">
            <v>14.748749999999999</v>
          </cell>
          <cell r="D26">
            <v>457.52639079228243</v>
          </cell>
          <cell r="E26">
            <v>14.748749999999999</v>
          </cell>
          <cell r="F26">
            <v>421.24704548696934</v>
          </cell>
          <cell r="G26">
            <v>0</v>
          </cell>
          <cell r="H26">
            <v>0</v>
          </cell>
          <cell r="I26" t="e">
            <v>#REF!</v>
          </cell>
          <cell r="J26" t="e">
            <v>#REF!</v>
          </cell>
          <cell r="K26">
            <v>15.525</v>
          </cell>
          <cell r="L26">
            <v>433.44727644572271</v>
          </cell>
          <cell r="M26">
            <v>-0.77625000000000099</v>
          </cell>
          <cell r="N26">
            <v>-5.0000000000000062</v>
          </cell>
        </row>
        <row r="27">
          <cell r="A27" t="str">
            <v>ED 14 Cons. pieces de rechange</v>
          </cell>
          <cell r="D27">
            <v>0</v>
          </cell>
          <cell r="F27">
            <v>0</v>
          </cell>
          <cell r="H27">
            <v>0</v>
          </cell>
          <cell r="I27" t="e">
            <v>#REF!</v>
          </cell>
          <cell r="J27" t="e">
            <v>#REF!</v>
          </cell>
          <cell r="M27">
            <v>0</v>
          </cell>
        </row>
        <row r="28">
          <cell r="A28" t="str">
            <v>EE 15 Cons. emballages</v>
          </cell>
          <cell r="B28" t="str">
            <v>C</v>
          </cell>
          <cell r="C28">
            <v>9.1373750000000005</v>
          </cell>
          <cell r="D28">
            <v>283.4538659252907</v>
          </cell>
          <cell r="E28">
            <v>8.6940000000000008</v>
          </cell>
          <cell r="F28">
            <v>248.31404786600297</v>
          </cell>
          <cell r="G28">
            <v>0.44337500000000002</v>
          </cell>
          <cell r="H28">
            <v>13.754098721418982</v>
          </cell>
          <cell r="I28" t="e">
            <v>#REF!</v>
          </cell>
          <cell r="J28" t="e">
            <v>#REF!</v>
          </cell>
          <cell r="K28">
            <v>9.1373750000000005</v>
          </cell>
          <cell r="L28">
            <v>255.10919855801839</v>
          </cell>
          <cell r="M28">
            <v>0</v>
          </cell>
          <cell r="N28">
            <v>0</v>
          </cell>
        </row>
        <row r="29">
          <cell r="A29" t="str">
            <v>EF 16 Autres consommations</v>
          </cell>
          <cell r="C29">
            <v>3.8250000000000002</v>
          </cell>
          <cell r="D29">
            <v>118.6567298774798</v>
          </cell>
          <cell r="E29">
            <v>3.3250000000000002</v>
          </cell>
          <cell r="F29">
            <v>94.967127807046225</v>
          </cell>
          <cell r="G29">
            <v>0.5</v>
          </cell>
          <cell r="I29" t="e">
            <v>#REF!</v>
          </cell>
          <cell r="J29" t="e">
            <v>#REF!</v>
          </cell>
          <cell r="K29">
            <v>4</v>
          </cell>
          <cell r="L29">
            <v>111.67723708746479</v>
          </cell>
          <cell r="M29">
            <v>-0.17499999999999982</v>
          </cell>
          <cell r="N29">
            <v>-4.3749999999999956</v>
          </cell>
        </row>
        <row r="30">
          <cell r="A30" t="str">
            <v>EG     17 Total consommations</v>
          </cell>
          <cell r="C30">
            <v>1970.8137450414399</v>
          </cell>
          <cell r="D30">
            <v>61137.33704162261</v>
          </cell>
          <cell r="E30">
            <v>3324.9610264775688</v>
          </cell>
          <cell r="F30">
            <v>94966.014663140711</v>
          </cell>
          <cell r="G30">
            <v>768.46866446058334</v>
          </cell>
          <cell r="H30">
            <v>23988.610251008147</v>
          </cell>
          <cell r="I30" t="e">
            <v>#REF!</v>
          </cell>
          <cell r="J30" t="e">
            <v>#REF!</v>
          </cell>
          <cell r="K30">
            <v>1991.0179614273873</v>
          </cell>
          <cell r="L30">
            <v>55587.846230931791</v>
          </cell>
          <cell r="M30">
            <v>-20.204216385947348</v>
          </cell>
          <cell r="N30">
            <v>-1.014768162687125</v>
          </cell>
        </row>
        <row r="31">
          <cell r="A31" t="str">
            <v>FA 18 Marge brute (10-17)</v>
          </cell>
          <cell r="C31">
            <v>1133.9642928485007</v>
          </cell>
          <cell r="D31">
            <v>35177.122820191362</v>
          </cell>
          <cell r="E31">
            <v>210.1650430078048</v>
          </cell>
          <cell r="F31">
            <v>6002.6377443294932</v>
          </cell>
          <cell r="G31">
            <v>923.79924984069635</v>
          </cell>
          <cell r="H31">
            <v>28837.428485333952</v>
          </cell>
          <cell r="I31" t="e">
            <v>#REF!</v>
          </cell>
          <cell r="J31" t="e">
            <v>#REF!</v>
          </cell>
          <cell r="K31">
            <v>1215.8791063151509</v>
          </cell>
          <cell r="L31">
            <v>33946.504806412981</v>
          </cell>
          <cell r="M31">
            <v>-81.91481346665023</v>
          </cell>
          <cell r="N31">
            <v>-6.7370853764320087</v>
          </cell>
        </row>
        <row r="32">
          <cell r="A32" t="str">
            <v xml:space="preserve">   19 En % de 10</v>
          </cell>
          <cell r="C32">
            <v>0.36523200016551327</v>
          </cell>
          <cell r="E32">
            <v>5.9450508659907454E-2</v>
          </cell>
          <cell r="G32">
            <v>0.545894206250506</v>
          </cell>
          <cell r="I32" t="e">
            <v>#REF!</v>
          </cell>
          <cell r="K32">
            <v>0.37914503666033045</v>
          </cell>
          <cell r="M32">
            <v>-1.3913036494817177E-2</v>
          </cell>
          <cell r="N32">
            <v>-3.6695815979470749</v>
          </cell>
        </row>
        <row r="33">
          <cell r="A33" t="str">
            <v>GA 20 Transports</v>
          </cell>
          <cell r="B33" t="str">
            <v>C</v>
          </cell>
          <cell r="C33">
            <v>94.928160800000001</v>
          </cell>
          <cell r="D33">
            <v>2720.7842017770135</v>
          </cell>
          <cell r="E33">
            <v>94.813160799999991</v>
          </cell>
          <cell r="F33">
            <v>2717.4881284035541</v>
          </cell>
          <cell r="G33">
            <v>0.115</v>
          </cell>
          <cell r="H33">
            <v>3.589853830672932</v>
          </cell>
          <cell r="I33" t="e">
            <v>#REF!</v>
          </cell>
          <cell r="J33" t="e">
            <v>#REF!</v>
          </cell>
          <cell r="K33">
            <v>97.938317999999995</v>
          </cell>
          <cell r="L33">
            <v>2548.0285350795721</v>
          </cell>
          <cell r="M33">
            <v>-3.0101571999999948</v>
          </cell>
          <cell r="N33">
            <v>-3.0735234803603579</v>
          </cell>
        </row>
        <row r="34">
          <cell r="A34" t="str">
            <v>GB 21 Publicite</v>
          </cell>
          <cell r="C34">
            <v>116.507857</v>
          </cell>
          <cell r="D34">
            <v>3614.2330239615803</v>
          </cell>
          <cell r="E34">
            <v>116.507857</v>
          </cell>
          <cell r="F34">
            <v>3327.6440740583653</v>
          </cell>
          <cell r="H34">
            <v>0</v>
          </cell>
          <cell r="I34" t="e">
            <v>#REF!</v>
          </cell>
          <cell r="J34" t="e">
            <v>#REF!</v>
          </cell>
          <cell r="K34">
            <v>116.507857</v>
          </cell>
          <cell r="L34">
            <v>3252.8188921853612</v>
          </cell>
          <cell r="M34">
            <v>0</v>
          </cell>
          <cell r="N34">
            <v>0</v>
          </cell>
        </row>
        <row r="35">
          <cell r="A35" t="str">
            <v>GB 22 Autres Services</v>
          </cell>
          <cell r="C35">
            <v>327.99824118464784</v>
          </cell>
          <cell r="D35">
            <v>10174.953909682414</v>
          </cell>
          <cell r="E35">
            <v>112.46421000000001</v>
          </cell>
          <cell r="F35">
            <v>3212.1512796356351</v>
          </cell>
          <cell r="G35">
            <v>215.5340311846478</v>
          </cell>
          <cell r="H35">
            <v>6686.160344491781</v>
          </cell>
          <cell r="I35" t="e">
            <v>#REF!</v>
          </cell>
          <cell r="J35" t="e">
            <v>#REF!</v>
          </cell>
          <cell r="K35">
            <v>356.27688471734803</v>
          </cell>
          <cell r="L35">
            <v>9947.0045308406588</v>
          </cell>
          <cell r="M35">
            <v>-28.278643532700187</v>
          </cell>
          <cell r="N35">
            <v>-7.9372658585849676</v>
          </cell>
        </row>
        <row r="36">
          <cell r="A36" t="str">
            <v>GC     23 Sous total (21 a 22)</v>
          </cell>
          <cell r="C36">
            <v>539.43425898464784</v>
          </cell>
          <cell r="D36">
            <v>16733.988275816952</v>
          </cell>
          <cell r="E36">
            <v>323.78522780000003</v>
          </cell>
          <cell r="F36">
            <v>9247.805446771783</v>
          </cell>
          <cell r="G36">
            <v>215.64903118464781</v>
          </cell>
          <cell r="H36">
            <v>6689.7278017299268</v>
          </cell>
          <cell r="I36" t="e">
            <v>#REF!</v>
          </cell>
          <cell r="J36" t="e">
            <v>#REF!</v>
          </cell>
          <cell r="K36">
            <v>570.72305971734795</v>
          </cell>
          <cell r="L36">
            <v>15934.193612834399</v>
          </cell>
          <cell r="M36">
            <v>-31.288800732700111</v>
          </cell>
          <cell r="N36">
            <v>-5.4823088361272747</v>
          </cell>
        </row>
        <row r="37">
          <cell r="A37" t="str">
            <v>HA 24 Valeur ajoutee (18-23)</v>
          </cell>
          <cell r="C37">
            <v>594.53003386385285</v>
          </cell>
          <cell r="D37">
            <v>18443.134544374407</v>
          </cell>
          <cell r="E37">
            <v>-113.62018479219523</v>
          </cell>
          <cell r="F37">
            <v>-3245.1677024422902</v>
          </cell>
          <cell r="G37">
            <v>708.15021865604854</v>
          </cell>
          <cell r="H37">
            <v>21967.788028169674</v>
          </cell>
          <cell r="I37" t="e">
            <v>#REF!</v>
          </cell>
          <cell r="J37" t="e">
            <v>#REF!</v>
          </cell>
          <cell r="K37">
            <v>645.15604659780297</v>
          </cell>
          <cell r="L37">
            <v>18012.311193578582</v>
          </cell>
          <cell r="M37">
            <v>-50.62601273395012</v>
          </cell>
          <cell r="N37">
            <v>-7.84709575317844</v>
          </cell>
        </row>
        <row r="38">
          <cell r="A38" t="str">
            <v xml:space="preserve">   25 En % de 10</v>
          </cell>
          <cell r="C38">
            <v>0.19148873980953093</v>
          </cell>
          <cell r="E38">
            <v>-3.2140348762366912E-2</v>
          </cell>
          <cell r="G38">
            <v>0.41846223796569271</v>
          </cell>
          <cell r="I38" t="e">
            <v>#REF!</v>
          </cell>
          <cell r="K38">
            <v>0.20117765957856384</v>
          </cell>
          <cell r="M38">
            <v>-9.688919769032911E-3</v>
          </cell>
          <cell r="N38">
            <v>-4.8161012456997971</v>
          </cell>
        </row>
        <row r="39">
          <cell r="A39" t="str">
            <v>IA 26 Redevances</v>
          </cell>
          <cell r="B39" t="str">
            <v>C</v>
          </cell>
          <cell r="D39">
            <v>0</v>
          </cell>
          <cell r="F39">
            <v>0</v>
          </cell>
          <cell r="H39">
            <v>0</v>
          </cell>
          <cell r="I39" t="e">
            <v>#REF!</v>
          </cell>
          <cell r="J39" t="e">
            <v>#REF!</v>
          </cell>
          <cell r="L39">
            <v>0</v>
          </cell>
          <cell r="M39">
            <v>0</v>
          </cell>
        </row>
        <row r="40">
          <cell r="A40" t="str">
            <v>IB 27 Autres charges diverses</v>
          </cell>
          <cell r="C40">
            <v>14.227619999999998</v>
          </cell>
          <cell r="D40">
            <v>441.36022565736704</v>
          </cell>
          <cell r="E40">
            <v>8.1362439999999996</v>
          </cell>
          <cell r="F40">
            <v>232.38367633603397</v>
          </cell>
          <cell r="G40">
            <v>6.0913760000000003</v>
          </cell>
          <cell r="H40">
            <v>188.96281218670939</v>
          </cell>
          <cell r="I40" t="e">
            <v>#REF!</v>
          </cell>
          <cell r="J40" t="e">
            <v>#REF!</v>
          </cell>
          <cell r="K40">
            <v>14.227619999999998</v>
          </cell>
          <cell r="L40">
            <v>397.22532298258892</v>
          </cell>
          <cell r="M40">
            <v>0</v>
          </cell>
          <cell r="N40">
            <v>0</v>
          </cell>
        </row>
        <row r="41">
          <cell r="A41" t="str">
            <v>IC 28 Frais de personnel</v>
          </cell>
          <cell r="C41">
            <v>50.264829999999996</v>
          </cell>
          <cell r="D41">
            <v>1559.2837531104426</v>
          </cell>
          <cell r="E41">
            <v>34.540920999999997</v>
          </cell>
          <cell r="F41">
            <v>986.54197268574046</v>
          </cell>
          <cell r="G41">
            <v>15.723908999999999</v>
          </cell>
          <cell r="H41">
            <v>487.77715629570542</v>
          </cell>
          <cell r="I41" t="e">
            <v>#REF!</v>
          </cell>
          <cell r="J41" t="e">
            <v>#REF!</v>
          </cell>
          <cell r="K41">
            <v>50.264829999999996</v>
          </cell>
          <cell r="L41">
            <v>1403.3593342677782</v>
          </cell>
          <cell r="M41">
            <v>0</v>
          </cell>
          <cell r="N41">
            <v>0</v>
          </cell>
        </row>
        <row r="42">
          <cell r="A42" t="str">
            <v>ID 29 Impôts et taxes</v>
          </cell>
          <cell r="C42">
            <v>51.943743999999995</v>
          </cell>
          <cell r="D42">
            <v>1611.3659609497938</v>
          </cell>
          <cell r="E42">
            <v>35.273499999999999</v>
          </cell>
          <cell r="F42">
            <v>1007.4655587073217</v>
          </cell>
          <cell r="G42">
            <v>16.670244</v>
          </cell>
          <cell r="H42">
            <v>517.13376190841268</v>
          </cell>
          <cell r="I42" t="e">
            <v>#REF!</v>
          </cell>
          <cell r="J42" t="e">
            <v>#REF!</v>
          </cell>
          <cell r="K42">
            <v>53.800243999999999</v>
          </cell>
          <cell r="L42">
            <v>1502.0656511378638</v>
          </cell>
          <cell r="M42">
            <v>-1.856500000000004</v>
          </cell>
          <cell r="N42">
            <v>-3.4507278442826466</v>
          </cell>
        </row>
        <row r="43">
          <cell r="A43" t="str">
            <v>IE      30 Sous total (26 a 29)</v>
          </cell>
          <cell r="C43">
            <v>116.43619399999999</v>
          </cell>
          <cell r="D43">
            <v>3612.0099397176032</v>
          </cell>
          <cell r="E43">
            <v>77.950664999999987</v>
          </cell>
          <cell r="F43">
            <v>2226.3912077290956</v>
          </cell>
          <cell r="G43">
            <v>38.485529</v>
          </cell>
          <cell r="H43">
            <v>1193.8737303908276</v>
          </cell>
          <cell r="I43" t="e">
            <v>#REF!</v>
          </cell>
          <cell r="J43" t="e">
            <v>#REF!</v>
          </cell>
          <cell r="K43">
            <v>118.29269399999998</v>
          </cell>
          <cell r="L43">
            <v>3302.6503083882303</v>
          </cell>
          <cell r="M43">
            <v>-1.8564999999999969</v>
          </cell>
          <cell r="N43">
            <v>-1.5694122242240907</v>
          </cell>
        </row>
        <row r="44">
          <cell r="A44" t="str">
            <v>JA 31 Produit brut (24-30)</v>
          </cell>
          <cell r="C44">
            <v>478.09383986385285</v>
          </cell>
          <cell r="D44">
            <v>14831.124604656803</v>
          </cell>
          <cell r="E44">
            <v>-191.57084979219522</v>
          </cell>
          <cell r="F44">
            <v>-5471.5589101713858</v>
          </cell>
          <cell r="G44">
            <v>669.66468965604849</v>
          </cell>
          <cell r="H44">
            <v>20773.914297778847</v>
          </cell>
          <cell r="I44" t="e">
            <v>#REF!</v>
          </cell>
          <cell r="J44" t="e">
            <v>#REF!</v>
          </cell>
          <cell r="K44">
            <v>526.86335259780299</v>
          </cell>
          <cell r="L44">
            <v>14709.660885190351</v>
          </cell>
          <cell r="M44">
            <v>-48.769512733950137</v>
          </cell>
          <cell r="N44">
            <v>-9.256577154869948</v>
          </cell>
        </row>
        <row r="45">
          <cell r="A45" t="str">
            <v xml:space="preserve">   32 En % de 10</v>
          </cell>
          <cell r="C45">
            <v>0.15398647955805997</v>
          </cell>
          <cell r="E45">
            <v>-5.4190669873361311E-2</v>
          </cell>
          <cell r="G45">
            <v>0.39572025445660375</v>
          </cell>
          <cell r="I45" t="e">
            <v>#REF!</v>
          </cell>
          <cell r="K45">
            <v>0.16429069641723268</v>
          </cell>
          <cell r="M45">
            <v>-1.030421685917271E-2</v>
          </cell>
          <cell r="N45">
            <v>-6.2719417982160834</v>
          </cell>
        </row>
        <row r="46">
          <cell r="A46" t="str">
            <v>KA 33 Autres produits</v>
          </cell>
          <cell r="C46">
            <v>1.5</v>
          </cell>
          <cell r="D46">
            <v>46.532050932345022</v>
          </cell>
          <cell r="E46">
            <v>1.5</v>
          </cell>
          <cell r="F46">
            <v>42.842313296411831</v>
          </cell>
          <cell r="G46">
            <v>0</v>
          </cell>
          <cell r="H46">
            <v>0</v>
          </cell>
          <cell r="I46" t="e">
            <v>#REF!</v>
          </cell>
          <cell r="J46" t="e">
            <v>#REF!</v>
          </cell>
          <cell r="K46">
            <v>1.5</v>
          </cell>
          <cell r="L46">
            <v>41.878963907799296</v>
          </cell>
          <cell r="M46">
            <v>0</v>
          </cell>
          <cell r="N46">
            <v>0</v>
          </cell>
        </row>
        <row r="47">
          <cell r="A47" t="str">
            <v>KB 34 Dotation amortissements</v>
          </cell>
          <cell r="B47" t="str">
            <v>A</v>
          </cell>
          <cell r="C47">
            <v>25.362794999999998</v>
          </cell>
          <cell r="D47">
            <v>786.7885791510837</v>
          </cell>
          <cell r="E47">
            <v>19.976279999999999</v>
          </cell>
          <cell r="F47">
            <v>570.55336417123044</v>
          </cell>
          <cell r="G47">
            <v>5.3865150000000002</v>
          </cell>
          <cell r="H47">
            <v>167.0970602185603</v>
          </cell>
          <cell r="I47" t="e">
            <v>#REF!</v>
          </cell>
          <cell r="J47" t="e">
            <v>#REF!</v>
          </cell>
          <cell r="K47">
            <v>25.362794999999998</v>
          </cell>
          <cell r="L47">
            <v>708.11171760394166</v>
          </cell>
          <cell r="M47">
            <v>0</v>
          </cell>
          <cell r="N47">
            <v>0</v>
          </cell>
        </row>
        <row r="48">
          <cell r="A48" t="str">
            <v>KD 35 Prov. actif circ.</v>
          </cell>
          <cell r="C48">
            <v>6</v>
          </cell>
          <cell r="D48">
            <v>186.12820372938009</v>
          </cell>
          <cell r="E48">
            <v>6</v>
          </cell>
          <cell r="F48">
            <v>171.36925318564732</v>
          </cell>
          <cell r="G48">
            <v>0</v>
          </cell>
          <cell r="H48">
            <v>0</v>
          </cell>
          <cell r="I48" t="e">
            <v>#REF!</v>
          </cell>
          <cell r="J48" t="e">
            <v>#REF!</v>
          </cell>
          <cell r="K48">
            <v>6</v>
          </cell>
          <cell r="L48">
            <v>167.51585563119718</v>
          </cell>
          <cell r="M48">
            <v>0</v>
          </cell>
          <cell r="N48">
            <v>0</v>
          </cell>
        </row>
        <row r="49">
          <cell r="A49" t="str">
            <v>KD 35  Rep Prov. actif circ.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e">
            <v>#REF!</v>
          </cell>
          <cell r="J49" t="e">
            <v>#REF!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KE 36 Dotation provision L.T.</v>
          </cell>
          <cell r="B50" t="str">
            <v>A</v>
          </cell>
          <cell r="C50">
            <v>3.1</v>
          </cell>
          <cell r="D50">
            <v>96.166238593513043</v>
          </cell>
          <cell r="E50">
            <v>1</v>
          </cell>
          <cell r="F50">
            <v>28.561542197607888</v>
          </cell>
          <cell r="G50">
            <v>2.1</v>
          </cell>
          <cell r="H50">
            <v>65.144871305283033</v>
          </cell>
          <cell r="I50" t="e">
            <v>#REF!</v>
          </cell>
          <cell r="J50" t="e">
            <v>#REF!</v>
          </cell>
          <cell r="K50">
            <v>3.1</v>
          </cell>
          <cell r="L50">
            <v>86.549858742785219</v>
          </cell>
          <cell r="M50">
            <v>0</v>
          </cell>
          <cell r="N50">
            <v>0</v>
          </cell>
        </row>
        <row r="51">
          <cell r="A51" t="str">
            <v>KE 36 Reprise provision L.T.</v>
          </cell>
          <cell r="B51" t="str">
            <v>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 xml:space="preserve">      37 Sous total (34 a 36)-33</v>
          </cell>
          <cell r="C52">
            <v>32.962795</v>
          </cell>
          <cell r="D52">
            <v>1022.5509705416318</v>
          </cell>
          <cell r="E52">
            <v>25.476279999999999</v>
          </cell>
          <cell r="F52">
            <v>727.64184625807388</v>
          </cell>
          <cell r="G52">
            <v>7.4865150000000007</v>
          </cell>
          <cell r="H52">
            <v>232.24193152384333</v>
          </cell>
          <cell r="I52" t="e">
            <v>#REF!</v>
          </cell>
          <cell r="J52" t="e">
            <v>#REF!</v>
          </cell>
          <cell r="K52">
            <v>32.962795</v>
          </cell>
          <cell r="L52">
            <v>920.29846807012473</v>
          </cell>
          <cell r="M52">
            <v>0</v>
          </cell>
          <cell r="N52">
            <v>0</v>
          </cell>
        </row>
        <row r="53">
          <cell r="A53" t="str">
            <v>MA 38 Frais financiers</v>
          </cell>
          <cell r="C53">
            <v>11.97</v>
          </cell>
          <cell r="D53">
            <v>371.32576644011323</v>
          </cell>
          <cell r="E53">
            <v>7.22</v>
          </cell>
          <cell r="F53">
            <v>206.21433466672894</v>
          </cell>
          <cell r="G53">
            <v>4.75</v>
          </cell>
          <cell r="H53">
            <v>147.35149461909256</v>
          </cell>
          <cell r="I53" t="e">
            <v>#REF!</v>
          </cell>
          <cell r="J53" t="e">
            <v>#REF!</v>
          </cell>
          <cell r="K53">
            <v>13</v>
          </cell>
          <cell r="L53">
            <v>362.95102053426058</v>
          </cell>
          <cell r="M53">
            <v>-1.0299999999999994</v>
          </cell>
          <cell r="N53">
            <v>-7.9230769230769189</v>
          </cell>
        </row>
        <row r="54">
          <cell r="A54" t="str">
            <v>MB 39 Produits financiers</v>
          </cell>
          <cell r="I54" t="e">
            <v>#REF!</v>
          </cell>
          <cell r="J54" t="e">
            <v>#REF!</v>
          </cell>
          <cell r="M54">
            <v>0</v>
          </cell>
        </row>
        <row r="55">
          <cell r="A55" t="str">
            <v xml:space="preserve">   40 Total produits (10+33+39)</v>
          </cell>
          <cell r="C55">
            <v>3106.2780378899406</v>
          </cell>
          <cell r="D55">
            <v>96360.991912746322</v>
          </cell>
          <cell r="E55">
            <v>3536.6260694853736</v>
          </cell>
          <cell r="F55">
            <v>101011.49472076661</v>
          </cell>
          <cell r="G55">
            <v>1692.2679143012797</v>
          </cell>
          <cell r="H55">
            <v>52496.464519626948</v>
          </cell>
          <cell r="I55" t="e">
            <v>#REF!</v>
          </cell>
          <cell r="J55" t="e">
            <v>#REF!</v>
          </cell>
          <cell r="K55">
            <v>3208.3970677425382</v>
          </cell>
          <cell r="L55">
            <v>89576.230001252567</v>
          </cell>
          <cell r="M55">
            <v>-102.11902985259758</v>
          </cell>
          <cell r="N55">
            <v>-3.1828675720754727</v>
          </cell>
        </row>
        <row r="56">
          <cell r="A56" t="str">
            <v xml:space="preserve">   41 Total des charges</v>
          </cell>
          <cell r="C56">
            <v>2673.1169930260876</v>
          </cell>
          <cell r="D56">
            <v>82923.74404507126</v>
          </cell>
          <cell r="E56">
            <v>3760.8931992775683</v>
          </cell>
          <cell r="F56">
            <v>107416.9098118628</v>
          </cell>
          <cell r="G56">
            <v>1034.8397396452312</v>
          </cell>
          <cell r="H56">
            <v>32102.143647991041</v>
          </cell>
          <cell r="I56" t="e">
            <v>#REF!</v>
          </cell>
          <cell r="J56" t="e">
            <v>#REF!</v>
          </cell>
          <cell r="K56">
            <v>2727.4965101447347</v>
          </cell>
          <cell r="L56">
            <v>76149.818604666594</v>
          </cell>
          <cell r="M56">
            <v>-54.379517118647072</v>
          </cell>
          <cell r="N56">
            <v>-1.9937520329131941</v>
          </cell>
        </row>
        <row r="57">
          <cell r="A57" t="str">
            <v>NA 42 Result. exploit. (40-41)</v>
          </cell>
          <cell r="C57">
            <v>433.16104486385302</v>
          </cell>
          <cell r="D57">
            <v>13437.247867675063</v>
          </cell>
          <cell r="E57">
            <v>-224.26712979219474</v>
          </cell>
          <cell r="F57">
            <v>-6405.4150910961744</v>
          </cell>
          <cell r="G57">
            <v>657.42817465604844</v>
          </cell>
          <cell r="H57">
            <v>20394.320871635908</v>
          </cell>
          <cell r="I57" t="e">
            <v>#REF!</v>
          </cell>
          <cell r="J57" t="e">
            <v>#REF!</v>
          </cell>
          <cell r="K57">
            <v>480.90055759780353</v>
          </cell>
          <cell r="L57">
            <v>13426.411396585981</v>
          </cell>
          <cell r="M57">
            <v>-47.739512733950505</v>
          </cell>
          <cell r="N57">
            <v>-9.9271069620753014</v>
          </cell>
        </row>
        <row r="58">
          <cell r="A58" t="str">
            <v xml:space="preserve">   43 En % de 10</v>
          </cell>
          <cell r="C58">
            <v>0.13951433551051415</v>
          </cell>
          <cell r="E58">
            <v>-6.3439641298235927E-2</v>
          </cell>
          <cell r="G58">
            <v>0.3884894165398709</v>
          </cell>
          <cell r="I58" t="e">
            <v>#REF!</v>
          </cell>
          <cell r="K58">
            <v>0.1499582142610921</v>
          </cell>
          <cell r="M58">
            <v>-1.0443878750577951E-2</v>
          </cell>
          <cell r="N58">
            <v>-6.9645259528058414</v>
          </cell>
        </row>
        <row r="59">
          <cell r="A59" t="str">
            <v xml:space="preserve">   44 En % de 41</v>
          </cell>
          <cell r="C59">
            <v>0.16204342944731925</v>
          </cell>
          <cell r="E59">
            <v>-5.9631347637118311E-2</v>
          </cell>
          <cell r="G59">
            <v>0.63529467362881831</v>
          </cell>
          <cell r="I59" t="e">
            <v>#REF!</v>
          </cell>
          <cell r="K59">
            <v>0.17631573709045167</v>
          </cell>
          <cell r="M59">
            <v>-1.427230764313242E-2</v>
          </cell>
          <cell r="N59">
            <v>-8.0947440532835646</v>
          </cell>
        </row>
        <row r="60">
          <cell r="A60" t="str">
            <v>OE 45 Produits hors exploit.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e">
            <v>#REF!</v>
          </cell>
          <cell r="J60" t="e">
            <v>#REF!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OF 46 Charges hors exploit.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e">
            <v>#REF!</v>
          </cell>
          <cell r="J61" t="e">
            <v>#REF!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OF 46 Impôts hors exploitation</v>
          </cell>
          <cell r="B62" t="str">
            <v>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e">
            <v>#REF!</v>
          </cell>
          <cell r="J62" t="e">
            <v>#REF!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OF 47 Dot. amort. HE</v>
          </cell>
          <cell r="B63" t="str">
            <v>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e">
            <v>#REF!</v>
          </cell>
          <cell r="J63" t="e">
            <v>#REF!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OA 48 Dot. prov. HE L.T.</v>
          </cell>
          <cell r="B64" t="str">
            <v>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e">
            <v>#REF!</v>
          </cell>
          <cell r="J64" t="e">
            <v>#REF!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OB 49 Reprise prov. HE L.T.</v>
          </cell>
          <cell r="B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e">
            <v>#REF!</v>
          </cell>
          <cell r="J65" t="e">
            <v>#REF!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OF 50 + ou - values / immob.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e">
            <v>#REF!</v>
          </cell>
          <cell r="J66" t="e">
            <v>#REF!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 xml:space="preserve">      51 Sous total (45 a 50)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e">
            <v>#REF!</v>
          </cell>
          <cell r="J67" t="e">
            <v>#REF!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 xml:space="preserve">   52 Resultat avant impôts</v>
          </cell>
          <cell r="C68">
            <v>433.16104486385302</v>
          </cell>
          <cell r="D68">
            <v>13437.247867675063</v>
          </cell>
          <cell r="E68">
            <v>-224.26712979219474</v>
          </cell>
          <cell r="F68">
            <v>-6405.4150910961744</v>
          </cell>
          <cell r="G68">
            <v>657.42817465604844</v>
          </cell>
          <cell r="H68">
            <v>20394.320871635908</v>
          </cell>
          <cell r="I68" t="e">
            <v>#REF!</v>
          </cell>
          <cell r="J68" t="e">
            <v>#REF!</v>
          </cell>
          <cell r="K68">
            <v>480.90055759780353</v>
          </cell>
          <cell r="L68">
            <v>13426.411396585981</v>
          </cell>
          <cell r="M68">
            <v>-47.739512733950505</v>
          </cell>
          <cell r="N68">
            <v>-9.9271069620753014</v>
          </cell>
        </row>
        <row r="69">
          <cell r="A69" t="str">
            <v>OH 53 Impôts</v>
          </cell>
          <cell r="C69">
            <v>292.80473400691767</v>
          </cell>
          <cell r="D69">
            <v>9083.2031973610847</v>
          </cell>
          <cell r="E69">
            <v>38.886386764339115</v>
          </cell>
          <cell r="F69">
            <v>1110.6551764821725</v>
          </cell>
          <cell r="G69">
            <v>253.91834724257859</v>
          </cell>
          <cell r="H69">
            <v>7876.8943110323571</v>
          </cell>
          <cell r="I69" t="e">
            <v>#REF!</v>
          </cell>
          <cell r="J69" t="e">
            <v>#REF!</v>
          </cell>
          <cell r="K69">
            <v>188.65021467515413</v>
          </cell>
          <cell r="L69">
            <v>5266.9836877195794</v>
          </cell>
          <cell r="M69">
            <v>104.15451933176354</v>
          </cell>
          <cell r="N69">
            <v>55.21039003910608</v>
          </cell>
        </row>
        <row r="70">
          <cell r="A70" t="str">
            <v>PA 54 Resultat net</v>
          </cell>
          <cell r="B70" t="str">
            <v>A</v>
          </cell>
          <cell r="C70">
            <v>140.35631085693535</v>
          </cell>
          <cell r="D70">
            <v>4354.0446703139778</v>
          </cell>
          <cell r="E70">
            <v>-263.15351655653387</v>
          </cell>
          <cell r="F70">
            <v>-7516.0702675783477</v>
          </cell>
          <cell r="G70">
            <v>403.50982741346985</v>
          </cell>
          <cell r="H70">
            <v>12517.426560603551</v>
          </cell>
          <cell r="I70" t="e">
            <v>#REF!</v>
          </cell>
          <cell r="J70" t="e">
            <v>#REF!</v>
          </cell>
          <cell r="K70">
            <v>292.25034292264939</v>
          </cell>
          <cell r="L70">
            <v>8159.4277088664012</v>
          </cell>
          <cell r="M70">
            <v>-151.89403206571404</v>
          </cell>
          <cell r="N70">
            <v>-51.973944853818764</v>
          </cell>
        </row>
        <row r="71">
          <cell r="A71" t="str">
            <v>QA 55 Cash-flow (somme des A)</v>
          </cell>
          <cell r="C71">
            <v>168.81910585693535</v>
          </cell>
          <cell r="D71">
            <v>5236.9994880585746</v>
          </cell>
          <cell r="E71">
            <v>-242.17723655653387</v>
          </cell>
          <cell r="F71">
            <v>-6916.9553612095096</v>
          </cell>
          <cell r="G71">
            <v>410.99634241346985</v>
          </cell>
          <cell r="H71">
            <v>12749.668492127395</v>
          </cell>
          <cell r="I71" t="e">
            <v>#REF!</v>
          </cell>
          <cell r="J71" t="e">
            <v>#REF!</v>
          </cell>
          <cell r="K71">
            <v>320.71313792264942</v>
          </cell>
          <cell r="L71">
            <v>8954.0892852131292</v>
          </cell>
          <cell r="M71">
            <v>-151.89403206571407</v>
          </cell>
          <cell r="N71">
            <v>-47.361337627006826</v>
          </cell>
        </row>
        <row r="72">
          <cell r="A72" t="str">
            <v xml:space="preserve">   56 Contribution standard (10-C)</v>
          </cell>
          <cell r="C72">
            <v>1042.8611320485006</v>
          </cell>
          <cell r="D72">
            <v>32350.978207895878</v>
          </cell>
          <cell r="E72">
            <v>118.67688220780479</v>
          </cell>
          <cell r="F72">
            <v>3389.5947790587575</v>
          </cell>
          <cell r="G72">
            <v>924.18424984069634</v>
          </cell>
          <cell r="H72">
            <v>28669.459056305572</v>
          </cell>
          <cell r="I72" t="e">
            <v>#REF!</v>
          </cell>
          <cell r="J72" t="e">
            <v>#REF!</v>
          </cell>
          <cell r="K72">
            <v>1121.9407883151509</v>
          </cell>
          <cell r="L72">
            <v>31323.811853692067</v>
          </cell>
          <cell r="M72">
            <v>-79.079656266650318</v>
          </cell>
          <cell r="N72">
            <v>-7.0484696777453282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F9">
            <v>43598</v>
          </cell>
        </row>
        <row r="12">
          <cell r="F12">
            <v>28664</v>
          </cell>
        </row>
        <row r="17">
          <cell r="F17">
            <v>80573506.938999996</v>
          </cell>
        </row>
        <row r="24">
          <cell r="F24">
            <v>349285498</v>
          </cell>
        </row>
        <row r="32">
          <cell r="F32">
            <v>6985709.96</v>
          </cell>
        </row>
        <row r="62">
          <cell r="F62">
            <v>192306205</v>
          </cell>
        </row>
        <row r="67">
          <cell r="F67">
            <v>9615310.25</v>
          </cell>
        </row>
        <row r="88">
          <cell r="F88">
            <v>835114543</v>
          </cell>
        </row>
        <row r="111">
          <cell r="F11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G"/>
      <sheetName val="Bilan"/>
      <sheetName val="Détails_Actif"/>
      <sheetName val="Détails_Passif"/>
      <sheetName val="Bal_Bilan"/>
      <sheetName val="Détails_XMQ"/>
      <sheetName val="Bal Xmq"/>
      <sheetName val="Pres"/>
    </sheetNames>
    <sheetDataSet>
      <sheetData sheetId="0"/>
      <sheetData sheetId="1"/>
      <sheetData sheetId="2"/>
      <sheetData sheetId="3"/>
      <sheetData sheetId="4" refreshError="1">
        <row r="5">
          <cell r="D5">
            <v>0</v>
          </cell>
          <cell r="E5">
            <v>1558230000</v>
          </cell>
        </row>
        <row r="6">
          <cell r="D6">
            <v>0</v>
          </cell>
          <cell r="E6">
            <v>86897144</v>
          </cell>
        </row>
        <row r="7">
          <cell r="D7">
            <v>0</v>
          </cell>
          <cell r="E7">
            <v>311646000</v>
          </cell>
        </row>
        <row r="8">
          <cell r="D8">
            <v>0</v>
          </cell>
          <cell r="E8">
            <v>562997706</v>
          </cell>
        </row>
        <row r="9">
          <cell r="D9">
            <v>0</v>
          </cell>
          <cell r="E9">
            <v>158247000</v>
          </cell>
        </row>
        <row r="10">
          <cell r="D10">
            <v>0</v>
          </cell>
          <cell r="E10">
            <v>6475606551</v>
          </cell>
        </row>
        <row r="11">
          <cell r="D11">
            <v>0</v>
          </cell>
          <cell r="E11">
            <v>2429024196</v>
          </cell>
        </row>
        <row r="12">
          <cell r="D12">
            <v>0</v>
          </cell>
          <cell r="E12">
            <v>600000000</v>
          </cell>
        </row>
        <row r="13">
          <cell r="D13">
            <v>0</v>
          </cell>
          <cell r="E13">
            <v>210676887</v>
          </cell>
        </row>
        <row r="14">
          <cell r="D14">
            <v>0</v>
          </cell>
          <cell r="E14">
            <v>1295359065</v>
          </cell>
        </row>
        <row r="15">
          <cell r="D15">
            <v>0</v>
          </cell>
          <cell r="E15">
            <v>1602153346</v>
          </cell>
        </row>
        <row r="16">
          <cell r="D16">
            <v>0</v>
          </cell>
          <cell r="E16">
            <v>2233854445</v>
          </cell>
        </row>
        <row r="17">
          <cell r="D17">
            <v>0</v>
          </cell>
          <cell r="E17">
            <v>16027325</v>
          </cell>
        </row>
        <row r="18">
          <cell r="D18">
            <v>0</v>
          </cell>
          <cell r="E18">
            <v>600000000</v>
          </cell>
        </row>
        <row r="19">
          <cell r="E19">
            <v>18140719665</v>
          </cell>
        </row>
        <row r="20">
          <cell r="D20">
            <v>4390000000</v>
          </cell>
          <cell r="E20">
            <v>0</v>
          </cell>
        </row>
        <row r="21">
          <cell r="D21">
            <v>547502517</v>
          </cell>
          <cell r="E21">
            <v>0</v>
          </cell>
        </row>
        <row r="22">
          <cell r="D22">
            <v>50014479</v>
          </cell>
          <cell r="E22">
            <v>0</v>
          </cell>
        </row>
        <row r="23">
          <cell r="D23">
            <v>40000000</v>
          </cell>
          <cell r="E23">
            <v>0</v>
          </cell>
        </row>
        <row r="24">
          <cell r="D24">
            <v>330041313</v>
          </cell>
          <cell r="E24">
            <v>0</v>
          </cell>
        </row>
        <row r="25">
          <cell r="D25">
            <v>2478835072</v>
          </cell>
          <cell r="E25">
            <v>0</v>
          </cell>
        </row>
        <row r="26">
          <cell r="D26">
            <v>2556816354</v>
          </cell>
          <cell r="E26">
            <v>0</v>
          </cell>
        </row>
        <row r="27">
          <cell r="D27">
            <v>337633766</v>
          </cell>
          <cell r="E27">
            <v>0</v>
          </cell>
        </row>
        <row r="28">
          <cell r="D28">
            <v>437811360</v>
          </cell>
          <cell r="E28">
            <v>0</v>
          </cell>
        </row>
        <row r="29">
          <cell r="D29">
            <v>894683164</v>
          </cell>
          <cell r="E29">
            <v>0</v>
          </cell>
        </row>
        <row r="30">
          <cell r="D30">
            <v>349150092</v>
          </cell>
          <cell r="E30">
            <v>0</v>
          </cell>
        </row>
        <row r="31">
          <cell r="D31">
            <v>1379133901</v>
          </cell>
          <cell r="E31">
            <v>0</v>
          </cell>
        </row>
        <row r="32">
          <cell r="D32">
            <v>981212953</v>
          </cell>
          <cell r="E32">
            <v>0</v>
          </cell>
        </row>
        <row r="33">
          <cell r="D33">
            <v>108695815</v>
          </cell>
          <cell r="E33">
            <v>0</v>
          </cell>
        </row>
        <row r="34">
          <cell r="D34">
            <v>4810462266</v>
          </cell>
          <cell r="E34">
            <v>0</v>
          </cell>
        </row>
        <row r="35">
          <cell r="D35">
            <v>1914712202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8418797061</v>
          </cell>
          <cell r="E37">
            <v>0</v>
          </cell>
        </row>
        <row r="38">
          <cell r="D38">
            <v>3495606790</v>
          </cell>
          <cell r="E38">
            <v>0</v>
          </cell>
        </row>
        <row r="39">
          <cell r="D39">
            <v>17350423788</v>
          </cell>
          <cell r="E39">
            <v>0</v>
          </cell>
        </row>
        <row r="40">
          <cell r="D40">
            <v>5363890201</v>
          </cell>
          <cell r="E40">
            <v>0</v>
          </cell>
        </row>
        <row r="41">
          <cell r="D41">
            <v>454218972</v>
          </cell>
          <cell r="E41">
            <v>0</v>
          </cell>
        </row>
        <row r="42">
          <cell r="D42">
            <v>500719195</v>
          </cell>
          <cell r="E42">
            <v>0</v>
          </cell>
        </row>
        <row r="43">
          <cell r="D43">
            <v>1103651494</v>
          </cell>
          <cell r="E43">
            <v>0</v>
          </cell>
        </row>
        <row r="44">
          <cell r="D44">
            <v>2003723976</v>
          </cell>
          <cell r="E44">
            <v>0</v>
          </cell>
        </row>
        <row r="45">
          <cell r="D45">
            <v>771392278</v>
          </cell>
          <cell r="E45">
            <v>0</v>
          </cell>
        </row>
        <row r="46">
          <cell r="D46">
            <v>152768013</v>
          </cell>
          <cell r="E46">
            <v>0</v>
          </cell>
        </row>
        <row r="47">
          <cell r="D47">
            <v>106905259</v>
          </cell>
          <cell r="E47">
            <v>0</v>
          </cell>
        </row>
        <row r="48">
          <cell r="D48">
            <v>1407957436</v>
          </cell>
          <cell r="E48">
            <v>0</v>
          </cell>
        </row>
        <row r="49">
          <cell r="D49">
            <v>743157000</v>
          </cell>
          <cell r="E49">
            <v>0</v>
          </cell>
        </row>
        <row r="50">
          <cell r="D50">
            <v>360254750</v>
          </cell>
          <cell r="E50">
            <v>0</v>
          </cell>
        </row>
        <row r="51">
          <cell r="D51">
            <v>476958730</v>
          </cell>
          <cell r="E51">
            <v>0</v>
          </cell>
        </row>
        <row r="52">
          <cell r="D52">
            <v>230807552</v>
          </cell>
          <cell r="E52">
            <v>0</v>
          </cell>
        </row>
        <row r="53">
          <cell r="D53">
            <v>1274560431</v>
          </cell>
          <cell r="E53">
            <v>0</v>
          </cell>
        </row>
        <row r="54">
          <cell r="D54">
            <v>52086668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661482350</v>
          </cell>
          <cell r="E56">
            <v>0</v>
          </cell>
        </row>
        <row r="57">
          <cell r="D57">
            <v>565900000</v>
          </cell>
          <cell r="E57">
            <v>0</v>
          </cell>
        </row>
        <row r="58">
          <cell r="D58">
            <v>1500000</v>
          </cell>
          <cell r="E58">
            <v>0</v>
          </cell>
        </row>
        <row r="59">
          <cell r="D59">
            <v>51626827</v>
          </cell>
          <cell r="E59">
            <v>0</v>
          </cell>
        </row>
        <row r="60">
          <cell r="D60">
            <v>5850000</v>
          </cell>
          <cell r="E60">
            <v>0</v>
          </cell>
        </row>
        <row r="61">
          <cell r="D61">
            <v>2640000</v>
          </cell>
          <cell r="E61">
            <v>0</v>
          </cell>
        </row>
        <row r="62">
          <cell r="D62">
            <v>400000</v>
          </cell>
          <cell r="E62">
            <v>0</v>
          </cell>
        </row>
        <row r="63">
          <cell r="D63">
            <v>12397576</v>
          </cell>
          <cell r="E63">
            <v>0</v>
          </cell>
        </row>
        <row r="64">
          <cell r="D64">
            <v>0</v>
          </cell>
          <cell r="E64">
            <v>0</v>
          </cell>
        </row>
        <row r="65">
          <cell r="D65">
            <v>500000000</v>
          </cell>
          <cell r="E65">
            <v>0</v>
          </cell>
        </row>
        <row r="66">
          <cell r="D66">
            <v>0</v>
          </cell>
          <cell r="E66">
            <v>0</v>
          </cell>
        </row>
        <row r="67">
          <cell r="D67">
            <v>130317019</v>
          </cell>
          <cell r="E67">
            <v>0</v>
          </cell>
        </row>
        <row r="68">
          <cell r="D68">
            <v>0</v>
          </cell>
          <cell r="E68">
            <v>329051988</v>
          </cell>
        </row>
        <row r="69">
          <cell r="D69">
            <v>0</v>
          </cell>
          <cell r="E69">
            <v>49992191</v>
          </cell>
        </row>
        <row r="70">
          <cell r="D70">
            <v>0</v>
          </cell>
          <cell r="E70">
            <v>2531361840</v>
          </cell>
        </row>
        <row r="71">
          <cell r="D71">
            <v>0</v>
          </cell>
          <cell r="E71">
            <v>335949116</v>
          </cell>
        </row>
        <row r="72">
          <cell r="D72">
            <v>0</v>
          </cell>
          <cell r="E72">
            <v>414754743</v>
          </cell>
        </row>
        <row r="73">
          <cell r="D73">
            <v>0</v>
          </cell>
          <cell r="E73">
            <v>2435304075</v>
          </cell>
        </row>
        <row r="74">
          <cell r="D74">
            <v>0</v>
          </cell>
          <cell r="E74">
            <v>764483686</v>
          </cell>
        </row>
        <row r="75">
          <cell r="D75">
            <v>0</v>
          </cell>
          <cell r="E75">
            <v>277807510</v>
          </cell>
        </row>
        <row r="76">
          <cell r="D76">
            <v>0</v>
          </cell>
          <cell r="E76">
            <v>872079821</v>
          </cell>
        </row>
        <row r="77">
          <cell r="D77">
            <v>0</v>
          </cell>
          <cell r="E77">
            <v>607506172</v>
          </cell>
        </row>
        <row r="78">
          <cell r="D78">
            <v>0</v>
          </cell>
          <cell r="E78">
            <v>95784224</v>
          </cell>
        </row>
        <row r="79">
          <cell r="D79">
            <v>0</v>
          </cell>
          <cell r="E79">
            <v>4069826144</v>
          </cell>
        </row>
        <row r="80">
          <cell r="D80">
            <v>0</v>
          </cell>
          <cell r="E80">
            <v>1404065225</v>
          </cell>
        </row>
        <row r="81">
          <cell r="D81">
            <v>0</v>
          </cell>
          <cell r="E81">
            <v>8408542912</v>
          </cell>
        </row>
        <row r="82">
          <cell r="D82">
            <v>0</v>
          </cell>
          <cell r="E82">
            <v>1755024148</v>
          </cell>
        </row>
        <row r="83">
          <cell r="D83">
            <v>0</v>
          </cell>
          <cell r="E83">
            <v>3411090976</v>
          </cell>
        </row>
        <row r="84">
          <cell r="D84">
            <v>0</v>
          </cell>
          <cell r="E84">
            <v>14283801868</v>
          </cell>
        </row>
        <row r="85">
          <cell r="D85">
            <v>0</v>
          </cell>
          <cell r="E85">
            <v>4658503704</v>
          </cell>
        </row>
        <row r="86">
          <cell r="D86">
            <v>0</v>
          </cell>
          <cell r="E86">
            <v>495549056</v>
          </cell>
        </row>
        <row r="87">
          <cell r="D87">
            <v>0</v>
          </cell>
          <cell r="E87">
            <v>992712479</v>
          </cell>
        </row>
        <row r="88">
          <cell r="D88">
            <v>0</v>
          </cell>
          <cell r="E88">
            <v>622413858</v>
          </cell>
        </row>
        <row r="89">
          <cell r="D89">
            <v>0</v>
          </cell>
          <cell r="E89">
            <v>99558653</v>
          </cell>
        </row>
        <row r="90">
          <cell r="D90">
            <v>0</v>
          </cell>
          <cell r="E90">
            <v>91153931</v>
          </cell>
        </row>
        <row r="91">
          <cell r="D91">
            <v>0</v>
          </cell>
          <cell r="E91">
            <v>1280002653</v>
          </cell>
        </row>
        <row r="92">
          <cell r="D92">
            <v>0</v>
          </cell>
          <cell r="E92">
            <v>691081639</v>
          </cell>
        </row>
        <row r="93">
          <cell r="D93">
            <v>0</v>
          </cell>
          <cell r="E93">
            <v>310311283</v>
          </cell>
        </row>
        <row r="94">
          <cell r="D94">
            <v>0</v>
          </cell>
          <cell r="E94">
            <v>423612867</v>
          </cell>
        </row>
        <row r="95">
          <cell r="D95">
            <v>0</v>
          </cell>
          <cell r="E95">
            <v>183509126</v>
          </cell>
        </row>
        <row r="96">
          <cell r="D96">
            <v>0</v>
          </cell>
          <cell r="E96">
            <v>946790361</v>
          </cell>
        </row>
        <row r="97">
          <cell r="D97">
            <v>0</v>
          </cell>
          <cell r="E97">
            <v>402121976</v>
          </cell>
        </row>
        <row r="98">
          <cell r="D98">
            <v>0</v>
          </cell>
          <cell r="E98">
            <v>4032000</v>
          </cell>
        </row>
        <row r="99">
          <cell r="D99">
            <v>67806698620</v>
          </cell>
          <cell r="E99">
            <v>53247780225</v>
          </cell>
        </row>
        <row r="100">
          <cell r="D100">
            <v>182790135</v>
          </cell>
          <cell r="E100">
            <v>0</v>
          </cell>
        </row>
        <row r="101">
          <cell r="D101">
            <v>1330368503</v>
          </cell>
          <cell r="E101">
            <v>0</v>
          </cell>
        </row>
        <row r="102">
          <cell r="D102">
            <v>62256028</v>
          </cell>
          <cell r="E102">
            <v>0</v>
          </cell>
        </row>
        <row r="103">
          <cell r="D103">
            <v>1325477757</v>
          </cell>
          <cell r="E103">
            <v>0</v>
          </cell>
        </row>
        <row r="104">
          <cell r="D104">
            <v>448540339</v>
          </cell>
          <cell r="E104">
            <v>0</v>
          </cell>
        </row>
        <row r="105">
          <cell r="D105">
            <v>77813065</v>
          </cell>
          <cell r="E105">
            <v>0</v>
          </cell>
        </row>
        <row r="106">
          <cell r="D106">
            <v>59214228</v>
          </cell>
          <cell r="E106">
            <v>0</v>
          </cell>
        </row>
        <row r="107">
          <cell r="D107">
            <v>2710903189</v>
          </cell>
          <cell r="E107">
            <v>0</v>
          </cell>
        </row>
        <row r="108">
          <cell r="D108">
            <v>541857540</v>
          </cell>
          <cell r="E108">
            <v>0</v>
          </cell>
        </row>
        <row r="109">
          <cell r="D109">
            <v>261304500</v>
          </cell>
          <cell r="E109">
            <v>0</v>
          </cell>
        </row>
        <row r="110">
          <cell r="D110">
            <v>294502746</v>
          </cell>
          <cell r="E110">
            <v>0</v>
          </cell>
        </row>
        <row r="111">
          <cell r="D111">
            <v>1930018680</v>
          </cell>
          <cell r="E111">
            <v>0</v>
          </cell>
        </row>
        <row r="112">
          <cell r="D112">
            <v>156050638</v>
          </cell>
          <cell r="E112">
            <v>0</v>
          </cell>
        </row>
        <row r="113">
          <cell r="D113">
            <v>0</v>
          </cell>
          <cell r="E113">
            <v>21768740</v>
          </cell>
        </row>
        <row r="114">
          <cell r="D114">
            <v>2914052</v>
          </cell>
          <cell r="E114">
            <v>0</v>
          </cell>
        </row>
        <row r="115">
          <cell r="D115">
            <v>0</v>
          </cell>
          <cell r="E115">
            <v>607441</v>
          </cell>
        </row>
        <row r="116">
          <cell r="D116">
            <v>1950324</v>
          </cell>
          <cell r="E116">
            <v>0</v>
          </cell>
        </row>
        <row r="117">
          <cell r="D117">
            <v>0</v>
          </cell>
          <cell r="E117">
            <v>86930780</v>
          </cell>
        </row>
        <row r="118">
          <cell r="D118">
            <v>9385961724</v>
          </cell>
          <cell r="E118">
            <v>109306961</v>
          </cell>
        </row>
        <row r="119">
          <cell r="E119">
            <v>2325493000</v>
          </cell>
        </row>
        <row r="120">
          <cell r="D120">
            <v>177348621</v>
          </cell>
        </row>
        <row r="121">
          <cell r="D121">
            <v>0</v>
          </cell>
          <cell r="E121">
            <v>1110000000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2925000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35072477</v>
          </cell>
        </row>
        <row r="128">
          <cell r="D128">
            <v>7012418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330000</v>
          </cell>
        </row>
        <row r="131">
          <cell r="D131">
            <v>0</v>
          </cell>
          <cell r="E131">
            <v>4333350</v>
          </cell>
        </row>
        <row r="132">
          <cell r="D132">
            <v>9045582</v>
          </cell>
          <cell r="E132">
            <v>0</v>
          </cell>
        </row>
        <row r="133">
          <cell r="D133">
            <v>0</v>
          </cell>
          <cell r="E133">
            <v>1593148</v>
          </cell>
        </row>
        <row r="134">
          <cell r="D134">
            <v>0</v>
          </cell>
          <cell r="E134">
            <v>0</v>
          </cell>
        </row>
        <row r="135">
          <cell r="D135">
            <v>1899962572</v>
          </cell>
          <cell r="E135">
            <v>0</v>
          </cell>
        </row>
        <row r="136">
          <cell r="D136">
            <v>126794645</v>
          </cell>
          <cell r="E136">
            <v>0</v>
          </cell>
        </row>
        <row r="137">
          <cell r="D137">
            <v>479113192</v>
          </cell>
          <cell r="E137">
            <v>0</v>
          </cell>
        </row>
        <row r="138">
          <cell r="D138">
            <v>276202540</v>
          </cell>
          <cell r="E138">
            <v>0</v>
          </cell>
        </row>
        <row r="139">
          <cell r="D139">
            <v>295428618</v>
          </cell>
          <cell r="E139">
            <v>0</v>
          </cell>
        </row>
        <row r="140">
          <cell r="D140">
            <v>56010747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98661150</v>
          </cell>
        </row>
        <row r="143">
          <cell r="D143">
            <v>0</v>
          </cell>
          <cell r="E143">
            <v>0</v>
          </cell>
        </row>
        <row r="144">
          <cell r="D144">
            <v>38627024</v>
          </cell>
          <cell r="E144">
            <v>0</v>
          </cell>
        </row>
        <row r="145">
          <cell r="D145">
            <v>77874673</v>
          </cell>
        </row>
        <row r="146">
          <cell r="D146">
            <v>39644486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E148">
            <v>177886509</v>
          </cell>
        </row>
        <row r="149">
          <cell r="D149">
            <v>0</v>
          </cell>
          <cell r="E149">
            <v>30713533</v>
          </cell>
        </row>
        <row r="150">
          <cell r="D150">
            <v>0</v>
          </cell>
          <cell r="E150">
            <v>213703997</v>
          </cell>
        </row>
        <row r="151">
          <cell r="D151">
            <v>0</v>
          </cell>
          <cell r="E151">
            <v>1545382196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441436851</v>
          </cell>
        </row>
        <row r="154">
          <cell r="D154">
            <v>0</v>
          </cell>
          <cell r="E154">
            <v>9521071</v>
          </cell>
        </row>
        <row r="155">
          <cell r="D155">
            <v>0</v>
          </cell>
          <cell r="E155">
            <v>0</v>
          </cell>
        </row>
        <row r="156">
          <cell r="D156">
            <v>58445078</v>
          </cell>
          <cell r="E156">
            <v>0</v>
          </cell>
        </row>
        <row r="157">
          <cell r="D157">
            <v>8103729</v>
          </cell>
          <cell r="E157">
            <v>0</v>
          </cell>
        </row>
        <row r="158">
          <cell r="D158">
            <v>0</v>
          </cell>
          <cell r="E158">
            <v>3288960</v>
          </cell>
        </row>
        <row r="159">
          <cell r="D159">
            <v>0</v>
          </cell>
          <cell r="E159">
            <v>46313075</v>
          </cell>
        </row>
        <row r="160">
          <cell r="D160">
            <v>0</v>
          </cell>
          <cell r="E160">
            <v>78673555</v>
          </cell>
        </row>
        <row r="161">
          <cell r="D161">
            <v>0</v>
          </cell>
          <cell r="E161">
            <v>7236000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E165">
            <v>208599865</v>
          </cell>
        </row>
        <row r="166">
          <cell r="D166">
            <v>0</v>
          </cell>
          <cell r="E166">
            <v>412173252</v>
          </cell>
        </row>
        <row r="167">
          <cell r="D167">
            <v>10250</v>
          </cell>
          <cell r="E167">
            <v>0</v>
          </cell>
        </row>
        <row r="168">
          <cell r="D168">
            <v>84371671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1434061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24436613</v>
          </cell>
        </row>
        <row r="174">
          <cell r="D174">
            <v>0</v>
          </cell>
          <cell r="E174">
            <v>16262441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1658112</v>
          </cell>
        </row>
        <row r="183">
          <cell r="D183">
            <v>0</v>
          </cell>
          <cell r="E183">
            <v>656591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1104138220</v>
          </cell>
        </row>
        <row r="201">
          <cell r="E201">
            <v>2155589</v>
          </cell>
        </row>
        <row r="202">
          <cell r="D202">
            <v>2126000000</v>
          </cell>
          <cell r="E202">
            <v>0</v>
          </cell>
        </row>
        <row r="203">
          <cell r="D203">
            <v>21568799</v>
          </cell>
          <cell r="E203">
            <v>0</v>
          </cell>
        </row>
        <row r="204">
          <cell r="D204">
            <v>0</v>
          </cell>
          <cell r="E204">
            <v>101298737</v>
          </cell>
        </row>
        <row r="205">
          <cell r="D205">
            <v>0</v>
          </cell>
          <cell r="E205">
            <v>1129203</v>
          </cell>
        </row>
        <row r="206">
          <cell r="D206">
            <v>0</v>
          </cell>
          <cell r="E206">
            <v>3235610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1612119</v>
          </cell>
        </row>
        <row r="210">
          <cell r="D210">
            <v>0</v>
          </cell>
          <cell r="E210">
            <v>27420267</v>
          </cell>
        </row>
        <row r="211">
          <cell r="D211">
            <v>0</v>
          </cell>
          <cell r="E211">
            <v>6410090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20878314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4831123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3536317</v>
          </cell>
        </row>
        <row r="226">
          <cell r="D226">
            <v>0</v>
          </cell>
          <cell r="E226">
            <v>14755468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8266667</v>
          </cell>
        </row>
        <row r="230">
          <cell r="D230">
            <v>0</v>
          </cell>
          <cell r="E230">
            <v>33434820</v>
          </cell>
        </row>
        <row r="231">
          <cell r="D231">
            <v>0</v>
          </cell>
          <cell r="E231">
            <v>2159763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9000000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862500</v>
          </cell>
          <cell r="E236">
            <v>0</v>
          </cell>
        </row>
        <row r="237">
          <cell r="D237">
            <v>0</v>
          </cell>
          <cell r="E237">
            <v>25983710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3000000</v>
          </cell>
        </row>
        <row r="240">
          <cell r="D240">
            <v>2550000</v>
          </cell>
          <cell r="E240">
            <v>0</v>
          </cell>
        </row>
        <row r="241">
          <cell r="D241">
            <v>10057000</v>
          </cell>
          <cell r="E241">
            <v>0</v>
          </cell>
        </row>
        <row r="242">
          <cell r="D242">
            <v>90447581</v>
          </cell>
          <cell r="E242">
            <v>0</v>
          </cell>
        </row>
        <row r="243">
          <cell r="D243">
            <v>0</v>
          </cell>
          <cell r="E243">
            <v>14480776</v>
          </cell>
        </row>
        <row r="244">
          <cell r="D244">
            <v>0</v>
          </cell>
          <cell r="E244">
            <v>14000000</v>
          </cell>
        </row>
        <row r="245">
          <cell r="D245">
            <v>0</v>
          </cell>
          <cell r="E245">
            <v>1097470402</v>
          </cell>
        </row>
        <row r="246">
          <cell r="D246">
            <v>0</v>
          </cell>
          <cell r="E246">
            <v>15947500</v>
          </cell>
        </row>
        <row r="247">
          <cell r="D247">
            <v>0</v>
          </cell>
          <cell r="E247">
            <v>566000000</v>
          </cell>
        </row>
        <row r="248">
          <cell r="D248">
            <v>0</v>
          </cell>
          <cell r="E248">
            <v>957885973</v>
          </cell>
        </row>
        <row r="249">
          <cell r="D249">
            <v>6991054007</v>
          </cell>
          <cell r="E249">
            <v>9731243194</v>
          </cell>
        </row>
        <row r="250">
          <cell r="D250">
            <v>3087969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276972197</v>
          </cell>
          <cell r="E252">
            <v>0</v>
          </cell>
        </row>
        <row r="253">
          <cell r="D253">
            <v>750976</v>
          </cell>
          <cell r="E253">
            <v>0</v>
          </cell>
        </row>
        <row r="254">
          <cell r="D254">
            <v>7904046</v>
          </cell>
          <cell r="E254">
            <v>0</v>
          </cell>
        </row>
        <row r="255">
          <cell r="D255">
            <v>17675755</v>
          </cell>
          <cell r="E255">
            <v>0</v>
          </cell>
        </row>
        <row r="256">
          <cell r="D256">
            <v>19699151</v>
          </cell>
          <cell r="E256">
            <v>0</v>
          </cell>
        </row>
        <row r="257">
          <cell r="D257">
            <v>61421067</v>
          </cell>
          <cell r="E257">
            <v>0</v>
          </cell>
        </row>
        <row r="258">
          <cell r="D258">
            <v>37157036</v>
          </cell>
          <cell r="E258">
            <v>0</v>
          </cell>
        </row>
        <row r="259">
          <cell r="D259">
            <v>533612660</v>
          </cell>
          <cell r="E259">
            <v>0</v>
          </cell>
        </row>
        <row r="260">
          <cell r="D260">
            <v>32954199</v>
          </cell>
          <cell r="E260">
            <v>0</v>
          </cell>
        </row>
        <row r="261">
          <cell r="D261">
            <v>42195057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21035600</v>
          </cell>
          <cell r="E263">
            <v>0</v>
          </cell>
        </row>
        <row r="264">
          <cell r="D264">
            <v>43555813</v>
          </cell>
          <cell r="E264">
            <v>0</v>
          </cell>
        </row>
        <row r="265">
          <cell r="D265">
            <v>105203208</v>
          </cell>
          <cell r="E265">
            <v>0</v>
          </cell>
        </row>
        <row r="266">
          <cell r="D266">
            <v>49560392</v>
          </cell>
          <cell r="E266">
            <v>0</v>
          </cell>
        </row>
        <row r="267">
          <cell r="D267">
            <v>1815123</v>
          </cell>
          <cell r="E267">
            <v>0</v>
          </cell>
        </row>
        <row r="268">
          <cell r="D268">
            <v>162478995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1417079244</v>
          </cell>
          <cell r="E271">
            <v>0</v>
          </cell>
        </row>
        <row r="273">
          <cell r="D273">
            <v>85600793595</v>
          </cell>
          <cell r="E273">
            <v>81229050045</v>
          </cell>
        </row>
        <row r="275">
          <cell r="D275" t="str">
            <v>Résultat net</v>
          </cell>
          <cell r="E275">
            <v>4371743550</v>
          </cell>
        </row>
      </sheetData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Actions"/>
      <sheetName val="Hypothèses"/>
      <sheetName val="Synth_Act "/>
      <sheetName val="Autres Hypothèses"/>
      <sheetName val="Titre Résultats"/>
      <sheetName val="Commentaires "/>
      <sheetName val="XMQ_Cumul "/>
      <sheetName val="XMQ_Cumul  (2)"/>
      <sheetName val="XMQ_Mensuel"/>
      <sheetName val="TER "/>
      <sheetName val="Evol  volumes et marges"/>
      <sheetName val="Base MB à l'hl "/>
      <sheetName val="Evol Marges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FICHES MP"/>
      <sheetName val="Gratuits"/>
      <sheetName val="Titre Fiches Produits"/>
      <sheetName val="Tableaux annexes"/>
      <sheetName val="Conso Indicative  MPC"/>
      <sheetName val="Conso Indicative  MPC (3)"/>
      <sheetName val="Conso Indicative  MPC (2)"/>
      <sheetName val="récapFP"/>
      <sheetName val="récap Marque"/>
      <sheetName val="récap Cond"/>
      <sheetName val="récap Site"/>
      <sheetName val="récap Format"/>
      <sheetName val="récapFPlocal"/>
      <sheetName val="récapFPnégoce"/>
      <sheetName val="Coût Produit"/>
      <sheetName val="Marges-cols"/>
      <sheetName val="Marges-HL"/>
      <sheetName val="la.béninoise"/>
      <sheetName val="la.béninoise.prk"/>
      <sheetName val="castel"/>
      <sheetName val="castel.prk"/>
      <sheetName val="beaufort"/>
      <sheetName val="beaufort.prk"/>
      <sheetName val="flag"/>
      <sheetName val="pelforth"/>
      <sheetName val="beaufort.Light"/>
      <sheetName val="Doppel"/>
      <sheetName val="33export"/>
      <sheetName val="33export.prk"/>
      <sheetName val="whisky"/>
      <sheetName val="gin"/>
      <sheetName val="eku"/>
      <sheetName val="guinness"/>
      <sheetName val="guinness.prk"/>
      <sheetName val="y.moka"/>
      <sheetName val="y.moka.prk"/>
      <sheetName val="y.tonic"/>
      <sheetName val="y.tonic.prk"/>
      <sheetName val="y.cocktail"/>
      <sheetName val="y.cocktail.prk"/>
      <sheetName val="y.pampl"/>
      <sheetName val="Youki Soda Water"/>
      <sheetName val="y.pampl.prk"/>
      <sheetName val="XXL"/>
      <sheetName val="XXL.prk"/>
      <sheetName val="youki sport actif"/>
      <sheetName val="y.pompom"/>
      <sheetName val="Judor"/>
      <sheetName val="y.pompom.prk"/>
      <sheetName val="y.Ananas"/>
      <sheetName val="y.Ananas.prk"/>
      <sheetName val="PulpUp"/>
      <sheetName val="judor  pet"/>
      <sheetName val="PulpUp.prk"/>
      <sheetName val="PulpUppet"/>
      <sheetName val="XXLpet"/>
      <sheetName val="y.ananaspet"/>
      <sheetName val="youkisportactifpet"/>
      <sheetName val="pompompet"/>
      <sheetName val="y.mokapet"/>
      <sheetName val="y.cocktailpet"/>
      <sheetName val="y.pamplempet"/>
      <sheetName val="y.tonicpet"/>
      <sheetName val="coca"/>
      <sheetName val="Fantaorange"/>
      <sheetName val="Fantacitron"/>
      <sheetName val="fanta mandarine"/>
      <sheetName val="sprite"/>
      <sheetName val="cocapet"/>
      <sheetName val="fantapet"/>
      <sheetName val="fantacitronpet"/>
      <sheetName val="fanta mandarine pet "/>
      <sheetName val="spritepet"/>
      <sheetName val="Malta.guinness"/>
      <sheetName val="emp"/>
      <sheetName val="emg"/>
      <sheetName val="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Feuil6"/>
      <sheetName val="Conso"/>
      <sheetName val="COUTS COMPLETS"/>
      <sheetName val="Conso Mensuelle"/>
      <sheetName val="Feuil1"/>
      <sheetName val="Feuil3"/>
      <sheetName val="Sobebra Budget 2015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"/>
      <sheetName val="XMQ_Cumul__(2)"/>
      <sheetName val="TER_"/>
      <sheetName val="Evol__volumes_et_marges"/>
      <sheetName val="Base_MB_à_l'hl_"/>
      <sheetName val="Evol_Marge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FICHES_MP"/>
      <sheetName val="Titre_Fiches_Produits"/>
      <sheetName val="Tableaux_annexes"/>
      <sheetName val="Conso_Indicative__MPC"/>
      <sheetName val="Conso_Indicative__MPC_(3)"/>
      <sheetName val="Conso_Indicative__MPC_(2)"/>
      <sheetName val="récap_Marque"/>
      <sheetName val="récap_Cond"/>
      <sheetName val="récap_Site"/>
      <sheetName val="récap_Format"/>
      <sheetName val="Coût_Produit"/>
      <sheetName val="la_béninoise"/>
      <sheetName val="la_béninoise_prk"/>
      <sheetName val="castel_prk"/>
      <sheetName val="beaufort_prk"/>
      <sheetName val="beaufort_Light"/>
      <sheetName val="33export_prk"/>
      <sheetName val="guinness_prk"/>
      <sheetName val="y_moka"/>
      <sheetName val="y_moka_prk"/>
      <sheetName val="y_tonic"/>
      <sheetName val="y_tonic_prk"/>
      <sheetName val="y_cocktail"/>
      <sheetName val="y_cocktail_prk"/>
      <sheetName val="y_pampl"/>
      <sheetName val="Youki_Soda_Water"/>
      <sheetName val="y_pampl_prk"/>
      <sheetName val="XXL_prk"/>
      <sheetName val="youki_sport_actif"/>
      <sheetName val="y_pompom"/>
      <sheetName val="y_pompom_prk"/>
      <sheetName val="y_Ananas"/>
      <sheetName val="y_Ananas_prk"/>
      <sheetName val="judor__pet"/>
      <sheetName val="PulpUp_prk"/>
      <sheetName val="y_ananaspet"/>
      <sheetName val="y_mokapet"/>
      <sheetName val="y_cocktailpet"/>
      <sheetName val="y_pamplempet"/>
      <sheetName val="y_tonicpet"/>
      <sheetName val="fanta_mandarine"/>
      <sheetName val="fanta_mandarine_pet_"/>
      <sheetName val="Malta_guinness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UTS_COMPLETS"/>
      <sheetName val="Conso_Mensuelle"/>
      <sheetName val="Sobebra_Budget_2015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1"/>
      <sheetName val="XMQ_Cumul__(2)1"/>
      <sheetName val="TER_1"/>
      <sheetName val="Evol__volumes_et_marges1"/>
      <sheetName val="Base_MB_à_l'hl_1"/>
      <sheetName val="Evol_Marge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FICHES_MP1"/>
      <sheetName val="Titre_Fiches_Produits1"/>
      <sheetName val="Tableaux_annexes1"/>
      <sheetName val="Conso_Indicative__MPC1"/>
      <sheetName val="Conso_Indicative__MPC_(3)1"/>
      <sheetName val="Conso_Indicative__MPC_(2)1"/>
      <sheetName val="récap_Marque1"/>
      <sheetName val="récap_Cond1"/>
      <sheetName val="récap_Site1"/>
      <sheetName val="récap_Format1"/>
      <sheetName val="Coût_Produit1"/>
      <sheetName val="la_béninoise1"/>
      <sheetName val="la_béninoise_prk1"/>
      <sheetName val="castel_prk1"/>
      <sheetName val="beaufort_prk1"/>
      <sheetName val="beaufort_Light1"/>
      <sheetName val="33export_prk1"/>
      <sheetName val="guinness_prk1"/>
      <sheetName val="y_moka1"/>
      <sheetName val="y_moka_prk1"/>
      <sheetName val="y_tonic1"/>
      <sheetName val="y_tonic_prk1"/>
      <sheetName val="y_cocktail1"/>
      <sheetName val="y_cocktail_prk1"/>
      <sheetName val="y_pampl1"/>
      <sheetName val="Youki_Soda_Water1"/>
      <sheetName val="y_pampl_prk1"/>
      <sheetName val="XXL_prk1"/>
      <sheetName val="youki_sport_actif1"/>
      <sheetName val="y_pompom1"/>
      <sheetName val="y_pompom_prk1"/>
      <sheetName val="y_Ananas1"/>
      <sheetName val="y_Ananas_prk1"/>
      <sheetName val="judor__pet1"/>
      <sheetName val="PulpUp_prk1"/>
      <sheetName val="y_ananaspet1"/>
      <sheetName val="y_mokapet1"/>
      <sheetName val="y_cocktailpet1"/>
      <sheetName val="y_pamplempet1"/>
      <sheetName val="y_tonicpet1"/>
      <sheetName val="fanta_mandarine1"/>
      <sheetName val="fanta_mandarine_pet_1"/>
      <sheetName val="Malta_guinness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UTS_COMPLETS1"/>
      <sheetName val="Conso_Mensuelle1"/>
      <sheetName val="Sobebra_Budget_2015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2"/>
      <sheetName val="XMQ_Cumul__(2)2"/>
      <sheetName val="TER_2"/>
      <sheetName val="Evol__volumes_et_marges2"/>
      <sheetName val="Base_MB_à_l'hl_2"/>
      <sheetName val="Evol_Marge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FICHES_MP2"/>
      <sheetName val="Titre_Fiches_Produits2"/>
      <sheetName val="Tableaux_annexes2"/>
      <sheetName val="Conso_Indicative__MPC2"/>
      <sheetName val="Conso_Indicative__MPC_(3)2"/>
      <sheetName val="Conso_Indicative__MPC_(2)2"/>
      <sheetName val="récap_Marque2"/>
      <sheetName val="récap_Cond2"/>
      <sheetName val="récap_Site2"/>
      <sheetName val="récap_Format2"/>
      <sheetName val="Coût_Produit2"/>
      <sheetName val="la_béninoise2"/>
      <sheetName val="la_béninoise_prk2"/>
      <sheetName val="castel_prk2"/>
      <sheetName val="beaufort_prk2"/>
      <sheetName val="beaufort_Light2"/>
      <sheetName val="33export_prk2"/>
      <sheetName val="guinness_prk2"/>
      <sheetName val="y_moka2"/>
      <sheetName val="y_moka_prk2"/>
      <sheetName val="y_tonic2"/>
      <sheetName val="y_tonic_prk2"/>
      <sheetName val="y_cocktail2"/>
      <sheetName val="y_cocktail_prk2"/>
      <sheetName val="y_pampl2"/>
      <sheetName val="Youki_Soda_Water2"/>
      <sheetName val="y_pampl_prk2"/>
      <sheetName val="XXL_prk2"/>
      <sheetName val="youki_sport_actif2"/>
      <sheetName val="y_pompom2"/>
      <sheetName val="y_pompom_prk2"/>
      <sheetName val="y_Ananas2"/>
      <sheetName val="y_Ananas_prk2"/>
      <sheetName val="judor__pet2"/>
      <sheetName val="PulpUp_prk2"/>
      <sheetName val="y_ananaspet2"/>
      <sheetName val="y_mokapet2"/>
      <sheetName val="y_cocktailpet2"/>
      <sheetName val="y_pamplempet2"/>
      <sheetName val="y_tonicpet2"/>
      <sheetName val="fanta_mandarine2"/>
      <sheetName val="fanta_mandarine_pet_2"/>
      <sheetName val="Malta_guinness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UTS_COMPLETS2"/>
      <sheetName val="Conso_Mensuelle2"/>
      <sheetName val="Sobebra_Budget_20152"/>
      <sheetName val="Page_de_garde4"/>
      <sheetName val="Liste_documents_4"/>
      <sheetName val="Titre_Présentation_4"/>
      <sheetName val="Perspectives_commerciales4"/>
      <sheetName val="Synth_Act_4"/>
      <sheetName val="Autres_Hypothèses4"/>
      <sheetName val="Titre_Résultats4"/>
      <sheetName val="Commentaires_4"/>
      <sheetName val="XMQ_Cumul_4"/>
      <sheetName val="XMQ_Cumul__(2)4"/>
      <sheetName val="TER_4"/>
      <sheetName val="Evol__volumes_et_marges4"/>
      <sheetName val="Base_MB_à_l'hl_4"/>
      <sheetName val="Evol_Marge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_4"/>
      <sheetName val="Hors_Exploitation4"/>
      <sheetName val="Titre_Invest__&amp;_Cessions4"/>
      <sheetName val="Investissements_4"/>
      <sheetName val="Titre_Effectifs4"/>
      <sheetName val="Effectif_4"/>
      <sheetName val="Masse_salariale4"/>
      <sheetName val="Titre_Production4"/>
      <sheetName val="FICHES_MP4"/>
      <sheetName val="Titre_Fiches_Produits4"/>
      <sheetName val="Tableaux_annexes4"/>
      <sheetName val="Conso_Indicative__MPC4"/>
      <sheetName val="Conso_Indicative__MPC_(3)4"/>
      <sheetName val="Conso_Indicative__MPC_(2)4"/>
      <sheetName val="récap_Marque4"/>
      <sheetName val="récap_Cond4"/>
      <sheetName val="récap_Site4"/>
      <sheetName val="récap_Format4"/>
      <sheetName val="Coût_Produit4"/>
      <sheetName val="la_béninoise4"/>
      <sheetName val="la_béninoise_prk4"/>
      <sheetName val="castel_prk4"/>
      <sheetName val="beaufort_prk4"/>
      <sheetName val="beaufort_Light4"/>
      <sheetName val="33export_prk4"/>
      <sheetName val="guinness_prk4"/>
      <sheetName val="y_moka4"/>
      <sheetName val="y_moka_prk4"/>
      <sheetName val="y_tonic4"/>
      <sheetName val="y_tonic_prk4"/>
      <sheetName val="y_cocktail4"/>
      <sheetName val="y_cocktail_prk4"/>
      <sheetName val="y_pampl4"/>
      <sheetName val="Youki_Soda_Water4"/>
      <sheetName val="y_pampl_prk4"/>
      <sheetName val="XXL_prk4"/>
      <sheetName val="youki_sport_actif4"/>
      <sheetName val="y_pompom4"/>
      <sheetName val="y_pompom_prk4"/>
      <sheetName val="y_Ananas4"/>
      <sheetName val="y_Ananas_prk4"/>
      <sheetName val="judor__pet4"/>
      <sheetName val="PulpUp_prk4"/>
      <sheetName val="y_ananaspet4"/>
      <sheetName val="y_mokapet4"/>
      <sheetName val="y_cocktailpet4"/>
      <sheetName val="y_pamplempet4"/>
      <sheetName val="y_tonicpet4"/>
      <sheetName val="fanta_mandarine4"/>
      <sheetName val="fanta_mandarine_pet_4"/>
      <sheetName val="Malta_guinness4"/>
      <sheetName val="castel_canette4"/>
      <sheetName val="33_export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sprite_canette4"/>
      <sheetName val="pompom_canette4"/>
      <sheetName val="cocktail_canette4"/>
      <sheetName val="pamplem_canette4"/>
      <sheetName val="sport_actif_canette4"/>
      <sheetName val="schweppes_tonic4"/>
      <sheetName val="malta_tonic_canette4"/>
      <sheetName val="malta_canette_4"/>
      <sheetName val="malta_guiness_canette4"/>
      <sheetName val="COUTS_COMPLETS4"/>
      <sheetName val="Conso_Mensuelle4"/>
      <sheetName val="Sobebra_Budget_20154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3"/>
      <sheetName val="XMQ_Cumul__(2)3"/>
      <sheetName val="TER_3"/>
      <sheetName val="Evol__volumes_et_marges3"/>
      <sheetName val="Base_MB_à_l'hl_3"/>
      <sheetName val="Evol_Marge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FICHES_MP3"/>
      <sheetName val="Titre_Fiches_Produits3"/>
      <sheetName val="Tableaux_annexes3"/>
      <sheetName val="Conso_Indicative__MPC3"/>
      <sheetName val="Conso_Indicative__MPC_(3)3"/>
      <sheetName val="Conso_Indicative__MPC_(2)3"/>
      <sheetName val="récap_Marque3"/>
      <sheetName val="récap_Cond3"/>
      <sheetName val="récap_Site3"/>
      <sheetName val="récap_Format3"/>
      <sheetName val="Coût_Produit3"/>
      <sheetName val="la_béninoise3"/>
      <sheetName val="la_béninoise_prk3"/>
      <sheetName val="castel_prk3"/>
      <sheetName val="beaufort_prk3"/>
      <sheetName val="beaufort_Light3"/>
      <sheetName val="33export_prk3"/>
      <sheetName val="guinness_prk3"/>
      <sheetName val="y_moka3"/>
      <sheetName val="y_moka_prk3"/>
      <sheetName val="y_tonic3"/>
      <sheetName val="y_tonic_prk3"/>
      <sheetName val="y_cocktail3"/>
      <sheetName val="y_cocktail_prk3"/>
      <sheetName val="y_pampl3"/>
      <sheetName val="Youki_Soda_Water3"/>
      <sheetName val="y_pampl_prk3"/>
      <sheetName val="XXL_prk3"/>
      <sheetName val="youki_sport_actif3"/>
      <sheetName val="y_pompom3"/>
      <sheetName val="y_pompom_prk3"/>
      <sheetName val="y_Ananas3"/>
      <sheetName val="y_Ananas_prk3"/>
      <sheetName val="judor__pet3"/>
      <sheetName val="PulpUp_prk3"/>
      <sheetName val="y_ananaspet3"/>
      <sheetName val="y_mokapet3"/>
      <sheetName val="y_cocktailpet3"/>
      <sheetName val="y_pamplempet3"/>
      <sheetName val="y_tonicpet3"/>
      <sheetName val="fanta_mandarine3"/>
      <sheetName val="fanta_mandarine_pet_3"/>
      <sheetName val="Malta_guinness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UTS_COMPLETS3"/>
      <sheetName val="Conso_Mensuelle3"/>
      <sheetName val="Sobebra_Budget_20153"/>
      <sheetName val="Page_de_garde5"/>
      <sheetName val="Liste_documents_5"/>
      <sheetName val="Titre_Présentation_5"/>
      <sheetName val="Perspectives_commerciales5"/>
      <sheetName val="Synth_Act_5"/>
      <sheetName val="Autres_Hypothèses5"/>
      <sheetName val="Titre_Résultats5"/>
      <sheetName val="Commentaires_5"/>
      <sheetName val="XMQ_Cumul_5"/>
      <sheetName val="XMQ_Cumul__(2)5"/>
      <sheetName val="TER_5"/>
      <sheetName val="Evol__volumes_et_marges5"/>
      <sheetName val="Base_MB_à_l'hl_5"/>
      <sheetName val="Evol_Marge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_5"/>
      <sheetName val="Hors_Exploitation5"/>
      <sheetName val="Titre_Invest__&amp;_Cessions5"/>
      <sheetName val="Investissements_5"/>
      <sheetName val="Titre_Effectifs5"/>
      <sheetName val="Effectif_5"/>
      <sheetName val="Masse_salariale5"/>
      <sheetName val="Titre_Production5"/>
      <sheetName val="FICHES_MP5"/>
      <sheetName val="Titre_Fiches_Produits5"/>
      <sheetName val="Tableaux_annexes5"/>
      <sheetName val="Conso_Indicative__MPC5"/>
      <sheetName val="Conso_Indicative__MPC_(3)5"/>
      <sheetName val="Conso_Indicative__MPC_(2)5"/>
      <sheetName val="récap_Marque5"/>
      <sheetName val="récap_Cond5"/>
      <sheetName val="récap_Site5"/>
      <sheetName val="récap_Format5"/>
      <sheetName val="Coût_Produit5"/>
      <sheetName val="la_béninoise5"/>
      <sheetName val="la_béninoise_prk5"/>
      <sheetName val="castel_prk5"/>
      <sheetName val="beaufort_prk5"/>
      <sheetName val="beaufort_Light5"/>
      <sheetName val="33export_prk5"/>
      <sheetName val="guinness_prk5"/>
      <sheetName val="y_moka5"/>
      <sheetName val="y_moka_prk5"/>
      <sheetName val="y_tonic5"/>
      <sheetName val="y_tonic_prk5"/>
      <sheetName val="y_cocktail5"/>
      <sheetName val="y_cocktail_prk5"/>
      <sheetName val="y_pampl5"/>
      <sheetName val="Youki_Soda_Water5"/>
      <sheetName val="y_pampl_prk5"/>
      <sheetName val="XXL_prk5"/>
      <sheetName val="youki_sport_actif5"/>
      <sheetName val="y_pompom5"/>
      <sheetName val="y_pompom_prk5"/>
      <sheetName val="y_Ananas5"/>
      <sheetName val="y_Ananas_prk5"/>
      <sheetName val="judor__pet5"/>
      <sheetName val="PulpUp_prk5"/>
      <sheetName val="y_ananaspet5"/>
      <sheetName val="y_mokapet5"/>
      <sheetName val="y_cocktailpet5"/>
      <sheetName val="y_pamplempet5"/>
      <sheetName val="y_tonicpet5"/>
      <sheetName val="fanta_mandarine5"/>
      <sheetName val="fanta_mandarine_pet_5"/>
      <sheetName val="Malta_guinness5"/>
      <sheetName val="castel_canette5"/>
      <sheetName val="33_export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sprite_canette5"/>
      <sheetName val="pompom_canette5"/>
      <sheetName val="cocktail_canette5"/>
      <sheetName val="pamplem_canette5"/>
      <sheetName val="sport_actif_canette5"/>
      <sheetName val="schweppes_tonic5"/>
      <sheetName val="malta_tonic_canette5"/>
      <sheetName val="malta_canette_5"/>
      <sheetName val="malta_guiness_canette5"/>
      <sheetName val="COUTS_COMPLETS5"/>
      <sheetName val="Conso_Mensuelle5"/>
      <sheetName val="Sobebra_Budget_20155"/>
      <sheetName val="Page_de_garde6"/>
      <sheetName val="Liste_documents_6"/>
      <sheetName val="Titre_Présentation_6"/>
      <sheetName val="Perspectives_commerciales6"/>
      <sheetName val="Synth_Act_6"/>
      <sheetName val="Autres_Hypothèses6"/>
      <sheetName val="Titre_Résultats6"/>
      <sheetName val="Commentaires_6"/>
      <sheetName val="XMQ_Cumul_6"/>
      <sheetName val="XMQ_Cumul__(2)6"/>
      <sheetName val="TER_6"/>
      <sheetName val="Evol__volumes_et_marges6"/>
      <sheetName val="Base_MB_à_l'hl_6"/>
      <sheetName val="Evol_Marge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_6"/>
      <sheetName val="Hors_Exploitation6"/>
      <sheetName val="Titre_Invest__&amp;_Cessions6"/>
      <sheetName val="Investissements_6"/>
      <sheetName val="Titre_Effectifs6"/>
      <sheetName val="Effectif_6"/>
      <sheetName val="Masse_salariale6"/>
      <sheetName val="Titre_Production6"/>
      <sheetName val="FICHES_MP6"/>
      <sheetName val="Titre_Fiches_Produits6"/>
      <sheetName val="Tableaux_annexes6"/>
      <sheetName val="Conso_Indicative__MPC6"/>
      <sheetName val="Conso_Indicative__MPC_(3)6"/>
      <sheetName val="Conso_Indicative__MPC_(2)6"/>
      <sheetName val="récap_Marque6"/>
      <sheetName val="récap_Cond6"/>
      <sheetName val="récap_Site6"/>
      <sheetName val="récap_Format6"/>
      <sheetName val="Coût_Produit6"/>
      <sheetName val="la_béninoise6"/>
      <sheetName val="la_béninoise_prk6"/>
      <sheetName val="castel_prk6"/>
      <sheetName val="beaufort_prk6"/>
      <sheetName val="beaufort_Light6"/>
      <sheetName val="33export_prk6"/>
      <sheetName val="guinness_prk6"/>
      <sheetName val="y_moka6"/>
      <sheetName val="y_moka_prk6"/>
      <sheetName val="y_tonic6"/>
      <sheetName val="y_tonic_prk6"/>
      <sheetName val="y_cocktail6"/>
      <sheetName val="y_cocktail_prk6"/>
      <sheetName val="y_pampl6"/>
      <sheetName val="Youki_Soda_Water6"/>
      <sheetName val="y_pampl_prk6"/>
      <sheetName val="XXL_prk6"/>
      <sheetName val="youki_sport_actif6"/>
      <sheetName val="y_pompom6"/>
      <sheetName val="y_pompom_prk6"/>
      <sheetName val="y_Ananas6"/>
      <sheetName val="y_Ananas_prk6"/>
      <sheetName val="judor__pet6"/>
      <sheetName val="PulpUp_prk6"/>
      <sheetName val="y_ananaspet6"/>
      <sheetName val="y_mokapet6"/>
      <sheetName val="y_cocktailpet6"/>
      <sheetName val="y_pamplempet6"/>
      <sheetName val="y_tonicpet6"/>
      <sheetName val="fanta_mandarine6"/>
      <sheetName val="fanta_mandarine_pet_6"/>
      <sheetName val="Malta_guinness6"/>
      <sheetName val="castel_canette6"/>
      <sheetName val="33_export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sprite_canette6"/>
      <sheetName val="pompom_canette6"/>
      <sheetName val="cocktail_canette6"/>
      <sheetName val="pamplem_canette6"/>
      <sheetName val="sport_actif_canette6"/>
      <sheetName val="schweppes_tonic6"/>
      <sheetName val="malta_tonic_canette6"/>
      <sheetName val="malta_canette_6"/>
      <sheetName val="malta_guiness_canette6"/>
      <sheetName val="COUTS_COMPLETS6"/>
      <sheetName val="Conso_Mensuelle6"/>
      <sheetName val="Sobebra_Budget_20156"/>
      <sheetName val="Page_de_garde7"/>
      <sheetName val="Liste_documents_7"/>
      <sheetName val="Titre_Présentation_7"/>
      <sheetName val="Perspectives_commerciales7"/>
      <sheetName val="Synth_Act_7"/>
      <sheetName val="Autres_Hypothèses7"/>
      <sheetName val="Titre_Résultats7"/>
      <sheetName val="Commentaires_7"/>
      <sheetName val="XMQ_Cumul_7"/>
      <sheetName val="XMQ_Cumul__(2)7"/>
      <sheetName val="TER_7"/>
      <sheetName val="Evol__volumes_et_marges7"/>
      <sheetName val="Base_MB_à_l'hl_7"/>
      <sheetName val="Evol_Marge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_7"/>
      <sheetName val="Hors_Exploitation7"/>
      <sheetName val="Titre_Invest__&amp;_Cessions7"/>
      <sheetName val="Investissements_7"/>
      <sheetName val="Titre_Effectifs7"/>
      <sheetName val="Effectif_7"/>
      <sheetName val="Masse_salariale7"/>
      <sheetName val="Titre_Production7"/>
      <sheetName val="FICHES_MP7"/>
      <sheetName val="Titre_Fiches_Produits7"/>
      <sheetName val="Tableaux_annexes7"/>
      <sheetName val="Conso_Indicative__MPC7"/>
      <sheetName val="Conso_Indicative__MPC_(3)7"/>
      <sheetName val="Conso_Indicative__MPC_(2)7"/>
      <sheetName val="récap_Marque7"/>
      <sheetName val="récap_Cond7"/>
      <sheetName val="récap_Site7"/>
      <sheetName val="récap_Format7"/>
      <sheetName val="Coût_Produit7"/>
      <sheetName val="la_béninoise7"/>
      <sheetName val="la_béninoise_prk7"/>
      <sheetName val="castel_prk7"/>
      <sheetName val="beaufort_prk7"/>
      <sheetName val="beaufort_Light7"/>
      <sheetName val="33export_prk7"/>
      <sheetName val="guinness_prk7"/>
      <sheetName val="y_moka7"/>
      <sheetName val="y_moka_prk7"/>
      <sheetName val="y_tonic7"/>
      <sheetName val="y_tonic_prk7"/>
      <sheetName val="y_cocktail7"/>
      <sheetName val="y_cocktail_prk7"/>
      <sheetName val="y_pampl7"/>
      <sheetName val="Youki_Soda_Water7"/>
      <sheetName val="y_pampl_prk7"/>
      <sheetName val="XXL_prk7"/>
      <sheetName val="youki_sport_actif7"/>
      <sheetName val="y_pompom7"/>
      <sheetName val="y_pompom_prk7"/>
      <sheetName val="y_Ananas7"/>
      <sheetName val="y_Ananas_prk7"/>
      <sheetName val="judor__pet7"/>
      <sheetName val="PulpUp_prk7"/>
      <sheetName val="y_ananaspet7"/>
      <sheetName val="y_mokapet7"/>
      <sheetName val="y_cocktailpet7"/>
      <sheetName val="y_pamplempet7"/>
      <sheetName val="y_tonicpet7"/>
      <sheetName val="fanta_mandarine7"/>
      <sheetName val="fanta_mandarine_pet_7"/>
      <sheetName val="Malta_guinness7"/>
      <sheetName val="castel_canette7"/>
      <sheetName val="33_export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sprite_canette7"/>
      <sheetName val="pompom_canette7"/>
      <sheetName val="cocktail_canette7"/>
      <sheetName val="pamplem_canette7"/>
      <sheetName val="sport_actif_canette7"/>
      <sheetName val="schweppes_tonic7"/>
      <sheetName val="malta_tonic_canette7"/>
      <sheetName val="malta_canette_7"/>
      <sheetName val="malta_guiness_canette7"/>
      <sheetName val="COUTS_COMPLETS7"/>
      <sheetName val="Conso_Mensuelle7"/>
      <sheetName val="Sobebra_Budget_20157"/>
      <sheetName val="Page_de_garde8"/>
      <sheetName val="Liste_documents_8"/>
      <sheetName val="Titre_Présentation_8"/>
      <sheetName val="Perspectives_commerciales8"/>
      <sheetName val="Synth_Act_8"/>
      <sheetName val="Autres_Hypothèses8"/>
      <sheetName val="Titre_Résultats8"/>
      <sheetName val="Commentaires_8"/>
      <sheetName val="XMQ_Cumul_8"/>
      <sheetName val="XMQ_Cumul__(2)8"/>
      <sheetName val="TER_8"/>
      <sheetName val="Evol__volumes_et_marges8"/>
      <sheetName val="Base_MB_à_l'hl_8"/>
      <sheetName val="Evol_Marge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_8"/>
      <sheetName val="Hors_Exploitation8"/>
      <sheetName val="Titre_Invest__&amp;_Cessions8"/>
      <sheetName val="Investissements_8"/>
      <sheetName val="Titre_Effectifs8"/>
      <sheetName val="Effectif_8"/>
      <sheetName val="Masse_salariale8"/>
      <sheetName val="Titre_Production8"/>
      <sheetName val="FICHES_MP8"/>
      <sheetName val="Titre_Fiches_Produits8"/>
      <sheetName val="Tableaux_annexes8"/>
      <sheetName val="Conso_Indicative__MPC8"/>
      <sheetName val="Conso_Indicative__MPC_(3)8"/>
      <sheetName val="Conso_Indicative__MPC_(2)8"/>
      <sheetName val="récap_Marque8"/>
      <sheetName val="récap_Cond8"/>
      <sheetName val="récap_Site8"/>
      <sheetName val="récap_Format8"/>
      <sheetName val="Coût_Produit8"/>
      <sheetName val="la_béninoise8"/>
      <sheetName val="la_béninoise_prk8"/>
      <sheetName val="castel_prk8"/>
      <sheetName val="beaufort_prk8"/>
      <sheetName val="beaufort_Light8"/>
      <sheetName val="33export_prk8"/>
      <sheetName val="guinness_prk8"/>
      <sheetName val="y_moka8"/>
      <sheetName val="y_moka_prk8"/>
      <sheetName val="y_tonic8"/>
      <sheetName val="y_tonic_prk8"/>
      <sheetName val="y_cocktail8"/>
      <sheetName val="y_cocktail_prk8"/>
      <sheetName val="y_pampl8"/>
      <sheetName val="Youki_Soda_Water8"/>
      <sheetName val="y_pampl_prk8"/>
      <sheetName val="XXL_prk8"/>
      <sheetName val="youki_sport_actif8"/>
      <sheetName val="y_pompom8"/>
      <sheetName val="y_pompom_prk8"/>
      <sheetName val="y_Ananas8"/>
      <sheetName val="y_Ananas_prk8"/>
      <sheetName val="judor__pet8"/>
      <sheetName val="PulpUp_prk8"/>
      <sheetName val="y_ananaspet8"/>
      <sheetName val="y_mokapet8"/>
      <sheetName val="y_cocktailpet8"/>
      <sheetName val="y_pamplempet8"/>
      <sheetName val="y_tonicpet8"/>
      <sheetName val="fanta_mandarine8"/>
      <sheetName val="fanta_mandarine_pet_8"/>
      <sheetName val="Malta_guinness8"/>
      <sheetName val="castel_canette8"/>
      <sheetName val="33_export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sprite_canette8"/>
      <sheetName val="pompom_canette8"/>
      <sheetName val="cocktail_canette8"/>
      <sheetName val="pamplem_canette8"/>
      <sheetName val="sport_actif_canette8"/>
      <sheetName val="schweppes_tonic8"/>
      <sheetName val="malta_tonic_canette8"/>
      <sheetName val="malta_canette_8"/>
      <sheetName val="malta_guiness_canette8"/>
      <sheetName val="COUTS_COMPLETS8"/>
      <sheetName val="Conso_Mensuelle8"/>
      <sheetName val="Sobebra_Budget_20158"/>
      <sheetName val="Page_de_garde9"/>
      <sheetName val="Liste_documents_9"/>
      <sheetName val="Titre_Présentation_9"/>
      <sheetName val="Perspectives_commerciales9"/>
      <sheetName val="Synth_Act_9"/>
      <sheetName val="Autres_Hypothèses9"/>
      <sheetName val="Titre_Résultats9"/>
      <sheetName val="Commentaires_9"/>
      <sheetName val="XMQ_Cumul_9"/>
      <sheetName val="XMQ_Cumul__(2)9"/>
      <sheetName val="TER_9"/>
      <sheetName val="Evol__volumes_et_marges9"/>
      <sheetName val="Base_MB_à_l'hl_9"/>
      <sheetName val="Evol_Marge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_9"/>
      <sheetName val="Hors_Exploitation9"/>
      <sheetName val="Titre_Invest__&amp;_Cessions9"/>
      <sheetName val="Investissements_9"/>
      <sheetName val="Titre_Effectifs9"/>
      <sheetName val="Effectif_9"/>
      <sheetName val="Masse_salariale9"/>
      <sheetName val="Titre_Production9"/>
      <sheetName val="FICHES_MP9"/>
      <sheetName val="Titre_Fiches_Produits9"/>
      <sheetName val="Tableaux_annexes9"/>
      <sheetName val="Conso_Indicative__MPC9"/>
      <sheetName val="Conso_Indicative__MPC_(3)9"/>
      <sheetName val="Conso_Indicative__MPC_(2)9"/>
      <sheetName val="récap_Marque9"/>
      <sheetName val="récap_Cond9"/>
      <sheetName val="récap_Site9"/>
      <sheetName val="récap_Format9"/>
      <sheetName val="Coût_Produit9"/>
      <sheetName val="la_béninoise9"/>
      <sheetName val="la_béninoise_prk9"/>
      <sheetName val="castel_prk9"/>
      <sheetName val="beaufort_prk9"/>
      <sheetName val="beaufort_Light9"/>
      <sheetName val="33export_prk9"/>
      <sheetName val="guinness_prk9"/>
      <sheetName val="y_moka9"/>
      <sheetName val="y_moka_prk9"/>
      <sheetName val="y_tonic9"/>
      <sheetName val="y_tonic_prk9"/>
      <sheetName val="y_cocktail9"/>
      <sheetName val="y_cocktail_prk9"/>
      <sheetName val="y_pampl9"/>
      <sheetName val="Youki_Soda_Water9"/>
      <sheetName val="y_pampl_prk9"/>
      <sheetName val="XXL_prk9"/>
      <sheetName val="youki_sport_actif9"/>
      <sheetName val="y_pompom9"/>
      <sheetName val="y_pompom_prk9"/>
      <sheetName val="y_Ananas9"/>
      <sheetName val="y_Ananas_prk9"/>
      <sheetName val="judor__pet9"/>
      <sheetName val="PulpUp_prk9"/>
      <sheetName val="y_ananaspet9"/>
      <sheetName val="y_mokapet9"/>
      <sheetName val="y_cocktailpet9"/>
      <sheetName val="y_pamplempet9"/>
      <sheetName val="y_tonicpet9"/>
      <sheetName val="fanta_mandarine9"/>
      <sheetName val="fanta_mandarine_pet_9"/>
      <sheetName val="Malta_guinness9"/>
      <sheetName val="castel_canette9"/>
      <sheetName val="33_export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sprite_canette9"/>
      <sheetName val="pompom_canette9"/>
      <sheetName val="cocktail_canette9"/>
      <sheetName val="pamplem_canette9"/>
      <sheetName val="sport_actif_canette9"/>
      <sheetName val="schweppes_tonic9"/>
      <sheetName val="malta_tonic_canette9"/>
      <sheetName val="malta_canette_9"/>
      <sheetName val="malta_guiness_canette9"/>
      <sheetName val="COUTS_COMPLETS9"/>
      <sheetName val="Conso_Mensuelle9"/>
      <sheetName val="Sobebra_Budget_20159"/>
      <sheetName val="Page_de_garde10"/>
      <sheetName val="Liste_documents_10"/>
      <sheetName val="Titre_Présentation_10"/>
      <sheetName val="Perspectives_commerciales10"/>
      <sheetName val="Synth_Act_10"/>
      <sheetName val="Autres_Hypothèses10"/>
      <sheetName val="Titre_Résultats10"/>
      <sheetName val="Commentaires_10"/>
      <sheetName val="XMQ_Cumul_10"/>
      <sheetName val="XMQ_Cumul__(2)10"/>
      <sheetName val="TER_10"/>
      <sheetName val="Evol__volumes_et_marges10"/>
      <sheetName val="Base_MB_à_l'hl_10"/>
      <sheetName val="Evol_Marge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_10"/>
      <sheetName val="Hors_Exploitation10"/>
      <sheetName val="Titre_Invest__&amp;_Cessions10"/>
      <sheetName val="Investissements_10"/>
      <sheetName val="Titre_Effectifs10"/>
      <sheetName val="Effectif_10"/>
      <sheetName val="Masse_salariale10"/>
      <sheetName val="Titre_Production10"/>
      <sheetName val="FICHES_MP10"/>
      <sheetName val="Titre_Fiches_Produits10"/>
      <sheetName val="Tableaux_annexes10"/>
      <sheetName val="Conso_Indicative__MPC10"/>
      <sheetName val="Conso_Indicative__MPC_(3)10"/>
      <sheetName val="Conso_Indicative__MPC_(2)10"/>
      <sheetName val="récap_Marque10"/>
      <sheetName val="récap_Cond10"/>
      <sheetName val="récap_Site10"/>
      <sheetName val="récap_Format10"/>
      <sheetName val="Coût_Produit10"/>
      <sheetName val="la_béninoise10"/>
      <sheetName val="la_béninoise_prk10"/>
      <sheetName val="castel_prk10"/>
      <sheetName val="beaufort_prk10"/>
      <sheetName val="beaufort_Light10"/>
      <sheetName val="33export_prk10"/>
      <sheetName val="guinness_prk10"/>
      <sheetName val="y_moka10"/>
      <sheetName val="y_moka_prk10"/>
      <sheetName val="y_tonic10"/>
      <sheetName val="y_tonic_prk10"/>
      <sheetName val="y_cocktail10"/>
      <sheetName val="y_cocktail_prk10"/>
      <sheetName val="y_pampl10"/>
      <sheetName val="Youki_Soda_Water10"/>
      <sheetName val="y_pampl_prk10"/>
      <sheetName val="XXL_prk10"/>
      <sheetName val="youki_sport_actif10"/>
      <sheetName val="y_pompom10"/>
      <sheetName val="y_pompom_prk10"/>
      <sheetName val="y_Ananas10"/>
      <sheetName val="y_Ananas_prk10"/>
      <sheetName val="judor__pet10"/>
      <sheetName val="PulpUp_prk10"/>
      <sheetName val="y_ananaspet10"/>
      <sheetName val="y_mokapet10"/>
      <sheetName val="y_cocktailpet10"/>
      <sheetName val="y_pamplempet10"/>
      <sheetName val="y_tonicpet10"/>
      <sheetName val="fanta_mandarine10"/>
      <sheetName val="fanta_mandarine_pet_10"/>
      <sheetName val="Malta_guinness10"/>
      <sheetName val="castel_canette10"/>
      <sheetName val="33_export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sprite_canette10"/>
      <sheetName val="pompom_canette10"/>
      <sheetName val="cocktail_canette10"/>
      <sheetName val="pamplem_canette10"/>
      <sheetName val="sport_actif_canette10"/>
      <sheetName val="schweppes_tonic10"/>
      <sheetName val="malta_tonic_canette10"/>
      <sheetName val="malta_canette_10"/>
      <sheetName val="malta_guiness_canette10"/>
      <sheetName val="COUTS_COMPLETS10"/>
      <sheetName val="Conso_Mensuelle10"/>
      <sheetName val="Sobebra_Budget_201510"/>
      <sheetName val="Page_de_garde11"/>
      <sheetName val="Liste_documents_11"/>
      <sheetName val="Titre_Présentation_11"/>
      <sheetName val="Perspectives_commerciales11"/>
      <sheetName val="Synth_Act_11"/>
      <sheetName val="Autres_Hypothèses11"/>
      <sheetName val="Titre_Résultats11"/>
      <sheetName val="Commentaires_11"/>
      <sheetName val="XMQ_Cumul_11"/>
      <sheetName val="XMQ_Cumul__(2)11"/>
      <sheetName val="TER_11"/>
      <sheetName val="Evol__volumes_et_marges11"/>
      <sheetName val="Base_MB_à_l'hl_11"/>
      <sheetName val="Evol_Marge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_11"/>
      <sheetName val="Hors_Exploitation11"/>
      <sheetName val="Titre_Invest__&amp;_Cessions11"/>
      <sheetName val="Investissements_11"/>
      <sheetName val="Titre_Effectifs11"/>
      <sheetName val="Effectif_11"/>
      <sheetName val="Masse_salariale11"/>
      <sheetName val="Titre_Production11"/>
      <sheetName val="FICHES_MP11"/>
      <sheetName val="Titre_Fiches_Produits11"/>
      <sheetName val="Tableaux_annexes11"/>
      <sheetName val="Conso_Indicative__MPC11"/>
      <sheetName val="Conso_Indicative__MPC_(3)11"/>
      <sheetName val="Conso_Indicative__MPC_(2)11"/>
      <sheetName val="récap_Marque11"/>
      <sheetName val="récap_Cond11"/>
      <sheetName val="récap_Site11"/>
      <sheetName val="récap_Format11"/>
      <sheetName val="Coût_Produit11"/>
      <sheetName val="la_béninoise11"/>
      <sheetName val="la_béninoise_prk11"/>
      <sheetName val="castel_prk11"/>
      <sheetName val="beaufort_prk11"/>
      <sheetName val="beaufort_Light11"/>
      <sheetName val="33export_prk11"/>
      <sheetName val="guinness_prk11"/>
      <sheetName val="y_moka11"/>
      <sheetName val="y_moka_prk11"/>
      <sheetName val="y_tonic11"/>
      <sheetName val="y_tonic_prk11"/>
      <sheetName val="y_cocktail11"/>
      <sheetName val="y_cocktail_prk11"/>
      <sheetName val="y_pampl11"/>
      <sheetName val="Youki_Soda_Water11"/>
      <sheetName val="y_pampl_prk11"/>
      <sheetName val="XXL_prk11"/>
      <sheetName val="youki_sport_actif11"/>
      <sheetName val="y_pompom11"/>
      <sheetName val="y_pompom_prk11"/>
      <sheetName val="y_Ananas11"/>
      <sheetName val="y_Ananas_prk11"/>
      <sheetName val="judor__pet11"/>
      <sheetName val="PulpUp_prk11"/>
      <sheetName val="y_ananaspet11"/>
      <sheetName val="y_mokapet11"/>
      <sheetName val="y_cocktailpet11"/>
      <sheetName val="y_pamplempet11"/>
      <sheetName val="y_tonicpet11"/>
      <sheetName val="fanta_mandarine11"/>
      <sheetName val="fanta_mandarine_pet_11"/>
      <sheetName val="Malta_guinness11"/>
      <sheetName val="castel_canette11"/>
      <sheetName val="33_export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sprite_canette11"/>
      <sheetName val="pompom_canette11"/>
      <sheetName val="cocktail_canette11"/>
      <sheetName val="pamplem_canette11"/>
      <sheetName val="sport_actif_canette11"/>
      <sheetName val="schweppes_tonic11"/>
      <sheetName val="malta_tonic_canette11"/>
      <sheetName val="malta_canette_11"/>
      <sheetName val="malta_guiness_canette11"/>
      <sheetName val="COUTS_COMPLETS11"/>
      <sheetName val="Conso_Mensuelle11"/>
      <sheetName val="Sobebra_Budget_201511"/>
      <sheetName val="Page_de_garde12"/>
      <sheetName val="Liste_documents_12"/>
      <sheetName val="Titre_Présentation_12"/>
      <sheetName val="Perspectives_commerciales12"/>
      <sheetName val="Synth_Act_12"/>
      <sheetName val="Autres_Hypothèses12"/>
      <sheetName val="Titre_Résultats12"/>
      <sheetName val="Commentaires_12"/>
      <sheetName val="XMQ_Cumul_12"/>
      <sheetName val="XMQ_Cumul__(2)12"/>
      <sheetName val="TER_12"/>
      <sheetName val="Evol__volumes_et_marges12"/>
      <sheetName val="Base_MB_à_l'hl_12"/>
      <sheetName val="Evol_Marge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_12"/>
      <sheetName val="Hors_Exploitation12"/>
      <sheetName val="Titre_Invest__&amp;_Cessions12"/>
      <sheetName val="Investissements_12"/>
      <sheetName val="Titre_Effectifs12"/>
      <sheetName val="Effectif_12"/>
      <sheetName val="Masse_salariale12"/>
      <sheetName val="Titre_Production12"/>
      <sheetName val="FICHES_MP12"/>
      <sheetName val="Titre_Fiches_Produits12"/>
      <sheetName val="Tableaux_annexes12"/>
      <sheetName val="Conso_Indicative__MPC12"/>
      <sheetName val="Conso_Indicative__MPC_(3)12"/>
      <sheetName val="Conso_Indicative__MPC_(2)12"/>
      <sheetName val="récap_Marque12"/>
      <sheetName val="récap_Cond12"/>
      <sheetName val="récap_Site12"/>
      <sheetName val="récap_Format12"/>
      <sheetName val="Coût_Produit12"/>
      <sheetName val="la_béninoise12"/>
      <sheetName val="la_béninoise_prk12"/>
      <sheetName val="castel_prk12"/>
      <sheetName val="beaufort_prk12"/>
      <sheetName val="beaufort_Light12"/>
      <sheetName val="33export_prk12"/>
      <sheetName val="guinness_prk12"/>
      <sheetName val="y_moka12"/>
      <sheetName val="y_moka_prk12"/>
      <sheetName val="y_tonic12"/>
      <sheetName val="y_tonic_prk12"/>
      <sheetName val="y_cocktail12"/>
      <sheetName val="y_cocktail_prk12"/>
      <sheetName val="y_pampl12"/>
      <sheetName val="Youki_Soda_Water12"/>
      <sheetName val="y_pampl_prk12"/>
      <sheetName val="XXL_prk12"/>
      <sheetName val="youki_sport_actif12"/>
      <sheetName val="y_pompom12"/>
      <sheetName val="y_pompom_prk12"/>
      <sheetName val="y_Ananas12"/>
      <sheetName val="y_Ananas_prk12"/>
      <sheetName val="judor__pet12"/>
      <sheetName val="PulpUp_prk12"/>
      <sheetName val="y_ananaspet12"/>
      <sheetName val="y_mokapet12"/>
      <sheetName val="y_cocktailpet12"/>
      <sheetName val="y_pamplempet12"/>
      <sheetName val="y_tonicpet12"/>
      <sheetName val="fanta_mandarine12"/>
      <sheetName val="fanta_mandarine_pet_12"/>
      <sheetName val="Malta_guinness12"/>
      <sheetName val="castel_canette12"/>
      <sheetName val="33_export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sprite_canette12"/>
      <sheetName val="pompom_canette12"/>
      <sheetName val="cocktail_canette12"/>
      <sheetName val="pamplem_canette12"/>
      <sheetName val="sport_actif_canette12"/>
      <sheetName val="schweppes_tonic12"/>
      <sheetName val="malta_tonic_canette12"/>
      <sheetName val="malta_canette_12"/>
      <sheetName val="malta_guiness_canette12"/>
      <sheetName val="COUTS_COMPLETS12"/>
      <sheetName val="Conso_Mensuelle12"/>
      <sheetName val="Sobebra_Budget_201512"/>
      <sheetName val="Page_de_garde13"/>
      <sheetName val="Liste_documents_13"/>
      <sheetName val="Titre_Présentation_13"/>
      <sheetName val="Perspectives_commerciales13"/>
      <sheetName val="Synth_Act_13"/>
      <sheetName val="Autres_Hypothèses13"/>
      <sheetName val="Titre_Résultats13"/>
      <sheetName val="Commentaires_13"/>
      <sheetName val="XMQ_Cumul_13"/>
      <sheetName val="XMQ_Cumul__(2)13"/>
      <sheetName val="TER_13"/>
      <sheetName val="Evol__volumes_et_marges13"/>
      <sheetName val="Base_MB_à_l'hl_13"/>
      <sheetName val="Evol_Marge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_13"/>
      <sheetName val="Hors_Exploitation13"/>
      <sheetName val="Titre_Invest__&amp;_Cessions13"/>
      <sheetName val="Investissements_13"/>
      <sheetName val="Titre_Effectifs13"/>
      <sheetName val="Effectif_13"/>
      <sheetName val="Masse_salariale13"/>
      <sheetName val="Titre_Production13"/>
      <sheetName val="FICHES_MP13"/>
      <sheetName val="Titre_Fiches_Produits13"/>
      <sheetName val="Tableaux_annexes13"/>
      <sheetName val="Conso_Indicative__MPC13"/>
      <sheetName val="Conso_Indicative__MPC_(3)13"/>
      <sheetName val="Conso_Indicative__MPC_(2)13"/>
      <sheetName val="récap_Marque13"/>
      <sheetName val="récap_Cond13"/>
      <sheetName val="récap_Site13"/>
      <sheetName val="récap_Format13"/>
      <sheetName val="Coût_Produit13"/>
      <sheetName val="la_béninoise13"/>
      <sheetName val="la_béninoise_prk13"/>
      <sheetName val="castel_prk13"/>
      <sheetName val="beaufort_prk13"/>
      <sheetName val="beaufort_Light13"/>
      <sheetName val="33export_prk13"/>
      <sheetName val="guinness_prk13"/>
      <sheetName val="y_moka13"/>
      <sheetName val="y_moka_prk13"/>
      <sheetName val="y_tonic13"/>
      <sheetName val="y_tonic_prk13"/>
      <sheetName val="y_cocktail13"/>
      <sheetName val="y_cocktail_prk13"/>
      <sheetName val="y_pampl13"/>
      <sheetName val="Youki_Soda_Water13"/>
      <sheetName val="y_pampl_prk13"/>
      <sheetName val="XXL_prk13"/>
      <sheetName val="youki_sport_actif13"/>
      <sheetName val="y_pompom13"/>
      <sheetName val="y_pompom_prk13"/>
      <sheetName val="y_Ananas13"/>
      <sheetName val="y_Ananas_prk13"/>
      <sheetName val="judor__pet13"/>
      <sheetName val="PulpUp_prk13"/>
      <sheetName val="y_ananaspet13"/>
      <sheetName val="y_mokapet13"/>
      <sheetName val="y_cocktailpet13"/>
      <sheetName val="y_pamplempet13"/>
      <sheetName val="y_tonicpet13"/>
      <sheetName val="fanta_mandarine13"/>
      <sheetName val="fanta_mandarine_pet_13"/>
      <sheetName val="Malta_guinness13"/>
      <sheetName val="castel_canette13"/>
      <sheetName val="33_export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sprite_canette13"/>
      <sheetName val="pompom_canette13"/>
      <sheetName val="cocktail_canette13"/>
      <sheetName val="pamplem_canette13"/>
      <sheetName val="sport_actif_canette13"/>
      <sheetName val="schweppes_tonic13"/>
      <sheetName val="malta_tonic_canette13"/>
      <sheetName val="malta_canette_13"/>
      <sheetName val="malta_guiness_canette13"/>
      <sheetName val="COUTS_COMPLETS13"/>
      <sheetName val="Conso_Mensuelle13"/>
      <sheetName val="Sobebra_Budget_201513"/>
      <sheetName val="Page_de_garde14"/>
      <sheetName val="Liste_documents_14"/>
      <sheetName val="Titre_Présentation_14"/>
      <sheetName val="Perspectives_commerciales14"/>
      <sheetName val="Synth_Act_14"/>
      <sheetName val="Autres_Hypothèses14"/>
      <sheetName val="Titre_Résultats14"/>
      <sheetName val="Commentaires_14"/>
      <sheetName val="XMQ_Cumul_14"/>
      <sheetName val="XMQ_Cumul__(2)14"/>
      <sheetName val="TER_14"/>
      <sheetName val="Evol__volumes_et_marges14"/>
      <sheetName val="Base_MB_à_l'hl_14"/>
      <sheetName val="Evol_Marge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_14"/>
      <sheetName val="Hors_Exploitation14"/>
      <sheetName val="Titre_Invest__&amp;_Cessions14"/>
      <sheetName val="Investissements_14"/>
      <sheetName val="Titre_Effectifs14"/>
      <sheetName val="Effectif_14"/>
      <sheetName val="Masse_salariale14"/>
      <sheetName val="Titre_Production14"/>
      <sheetName val="FICHES_MP14"/>
      <sheetName val="Titre_Fiches_Produits14"/>
      <sheetName val="Tableaux_annexes14"/>
      <sheetName val="Conso_Indicative__MPC14"/>
      <sheetName val="Conso_Indicative__MPC_(3)14"/>
      <sheetName val="Conso_Indicative__MPC_(2)14"/>
      <sheetName val="récap_Marque14"/>
      <sheetName val="récap_Cond14"/>
      <sheetName val="récap_Site14"/>
      <sheetName val="récap_Format14"/>
      <sheetName val="Coût_Produit14"/>
      <sheetName val="la_béninoise14"/>
      <sheetName val="la_béninoise_prk14"/>
      <sheetName val="castel_prk14"/>
      <sheetName val="beaufort_prk14"/>
      <sheetName val="beaufort_Light14"/>
      <sheetName val="33export_prk14"/>
      <sheetName val="guinness_prk14"/>
      <sheetName val="y_moka14"/>
      <sheetName val="y_moka_prk14"/>
      <sheetName val="y_tonic14"/>
      <sheetName val="y_tonic_prk14"/>
      <sheetName val="y_cocktail14"/>
      <sheetName val="y_cocktail_prk14"/>
      <sheetName val="y_pampl14"/>
      <sheetName val="Youki_Soda_Water14"/>
      <sheetName val="y_pampl_prk14"/>
      <sheetName val="XXL_prk14"/>
      <sheetName val="youki_sport_actif14"/>
      <sheetName val="y_pompom14"/>
      <sheetName val="y_pompom_prk14"/>
      <sheetName val="y_Ananas14"/>
      <sheetName val="y_Ananas_prk14"/>
      <sheetName val="judor__pet14"/>
      <sheetName val="PulpUp_prk14"/>
      <sheetName val="y_ananaspet14"/>
      <sheetName val="y_mokapet14"/>
      <sheetName val="y_cocktailpet14"/>
      <sheetName val="y_pamplempet14"/>
      <sheetName val="y_tonicpet14"/>
      <sheetName val="fanta_mandarine14"/>
      <sheetName val="fanta_mandarine_pet_14"/>
      <sheetName val="Malta_guinness14"/>
      <sheetName val="castel_canette14"/>
      <sheetName val="33_export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sprite_canette14"/>
      <sheetName val="pompom_canette14"/>
      <sheetName val="cocktail_canette14"/>
      <sheetName val="pamplem_canette14"/>
      <sheetName val="sport_actif_canette14"/>
      <sheetName val="schweppes_tonic14"/>
      <sheetName val="malta_tonic_canette14"/>
      <sheetName val="malta_canette_14"/>
      <sheetName val="malta_guiness_canette14"/>
      <sheetName val="COUTS_COMPLETS14"/>
      <sheetName val="Conso_Mensuelle14"/>
      <sheetName val="Sobebra_Budget_201514"/>
      <sheetName val="Page_de_garde15"/>
      <sheetName val="Liste_documents_15"/>
      <sheetName val="Titre_Présentation_15"/>
      <sheetName val="Perspectives_commerciales15"/>
      <sheetName val="Synth_Act_15"/>
      <sheetName val="Autres_Hypothèses15"/>
      <sheetName val="Titre_Résultats15"/>
      <sheetName val="Commentaires_15"/>
      <sheetName val="XMQ_Cumul_15"/>
      <sheetName val="XMQ_Cumul__(2)15"/>
      <sheetName val="TER_15"/>
      <sheetName val="Evol__volumes_et_marges15"/>
      <sheetName val="Base_MB_à_l'hl_15"/>
      <sheetName val="Evol_Marge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_15"/>
      <sheetName val="Hors_Exploitation15"/>
      <sheetName val="Titre_Invest__&amp;_Cessions15"/>
      <sheetName val="Investissements_15"/>
      <sheetName val="Titre_Effectifs15"/>
      <sheetName val="Effectif_15"/>
      <sheetName val="Masse_salariale15"/>
      <sheetName val="Titre_Production15"/>
      <sheetName val="FICHES_MP15"/>
      <sheetName val="Titre_Fiches_Produits15"/>
      <sheetName val="Tableaux_annexes15"/>
      <sheetName val="Conso_Indicative__MPC15"/>
      <sheetName val="Conso_Indicative__MPC_(3)15"/>
      <sheetName val="Conso_Indicative__MPC_(2)15"/>
      <sheetName val="récap_Marque15"/>
      <sheetName val="récap_Cond15"/>
      <sheetName val="récap_Site15"/>
      <sheetName val="récap_Format15"/>
      <sheetName val="Coût_Produit15"/>
      <sheetName val="la_béninoise15"/>
      <sheetName val="la_béninoise_prk15"/>
      <sheetName val="castel_prk15"/>
      <sheetName val="beaufort_prk15"/>
      <sheetName val="beaufort_Light15"/>
      <sheetName val="33export_prk15"/>
      <sheetName val="guinness_prk15"/>
      <sheetName val="y_moka15"/>
      <sheetName val="y_moka_prk15"/>
      <sheetName val="y_tonic15"/>
      <sheetName val="y_tonic_prk15"/>
      <sheetName val="y_cocktail15"/>
      <sheetName val="y_cocktail_prk15"/>
      <sheetName val="y_pampl15"/>
      <sheetName val="Youki_Soda_Water15"/>
      <sheetName val="y_pampl_prk15"/>
      <sheetName val="XXL_prk15"/>
      <sheetName val="youki_sport_actif15"/>
      <sheetName val="y_pompom15"/>
      <sheetName val="y_pompom_prk15"/>
      <sheetName val="y_Ananas15"/>
      <sheetName val="y_Ananas_prk15"/>
      <sheetName val="judor__pet15"/>
      <sheetName val="PulpUp_prk15"/>
      <sheetName val="y_ananaspet15"/>
      <sheetName val="y_mokapet15"/>
      <sheetName val="y_cocktailpet15"/>
      <sheetName val="y_pamplempet15"/>
      <sheetName val="y_tonicpet15"/>
      <sheetName val="fanta_mandarine15"/>
      <sheetName val="fanta_mandarine_pet_15"/>
      <sheetName val="Malta_guinness15"/>
      <sheetName val="castel_canette15"/>
      <sheetName val="33_export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sprite_canette15"/>
      <sheetName val="pompom_canette15"/>
      <sheetName val="cocktail_canette15"/>
      <sheetName val="pamplem_canette15"/>
      <sheetName val="sport_actif_canette15"/>
      <sheetName val="schweppes_tonic15"/>
      <sheetName val="malta_tonic_canette15"/>
      <sheetName val="malta_canette_15"/>
      <sheetName val="malta_guiness_canette15"/>
      <sheetName val="COUTS_COMPLETS15"/>
      <sheetName val="Conso_Mensuelle15"/>
      <sheetName val="Sobebra_Budget_201515"/>
      <sheetName val="Page_de_garde16"/>
      <sheetName val="Liste_documents_16"/>
      <sheetName val="Titre_Présentation_16"/>
      <sheetName val="Perspectives_commerciales16"/>
      <sheetName val="Synth_Act_16"/>
      <sheetName val="Autres_Hypothèses16"/>
      <sheetName val="Titre_Résultats16"/>
      <sheetName val="Commentaires_16"/>
      <sheetName val="XMQ_Cumul_16"/>
      <sheetName val="XMQ_Cumul__(2)16"/>
      <sheetName val="TER_16"/>
      <sheetName val="Evol__volumes_et_marges16"/>
      <sheetName val="Base_MB_à_l'hl_16"/>
      <sheetName val="Evol_Marge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_16"/>
      <sheetName val="Hors_Exploitation16"/>
      <sheetName val="Titre_Invest__&amp;_Cessions16"/>
      <sheetName val="Investissements_16"/>
      <sheetName val="Titre_Effectifs16"/>
      <sheetName val="Effectif_16"/>
      <sheetName val="Masse_salariale16"/>
      <sheetName val="Titre_Production16"/>
      <sheetName val="FICHES_MP16"/>
      <sheetName val="Titre_Fiches_Produits16"/>
      <sheetName val="Tableaux_annexes16"/>
      <sheetName val="Conso_Indicative__MPC16"/>
      <sheetName val="Conso_Indicative__MPC_(3)16"/>
      <sheetName val="Conso_Indicative__MPC_(2)16"/>
      <sheetName val="récap_Marque16"/>
      <sheetName val="récap_Cond16"/>
      <sheetName val="récap_Site16"/>
      <sheetName val="récap_Format16"/>
      <sheetName val="Coût_Produit16"/>
      <sheetName val="la_béninoise16"/>
      <sheetName val="la_béninoise_prk16"/>
      <sheetName val="castel_prk16"/>
      <sheetName val="beaufort_prk16"/>
      <sheetName val="beaufort_Light16"/>
      <sheetName val="33export_prk16"/>
      <sheetName val="guinness_prk16"/>
      <sheetName val="y_moka16"/>
      <sheetName val="y_moka_prk16"/>
      <sheetName val="y_tonic16"/>
      <sheetName val="y_tonic_prk16"/>
      <sheetName val="y_cocktail16"/>
      <sheetName val="y_cocktail_prk16"/>
      <sheetName val="y_pampl16"/>
      <sheetName val="Youki_Soda_Water16"/>
      <sheetName val="y_pampl_prk16"/>
      <sheetName val="XXL_prk16"/>
      <sheetName val="youki_sport_actif16"/>
      <sheetName val="y_pompom16"/>
      <sheetName val="y_pompom_prk16"/>
      <sheetName val="y_Ananas16"/>
      <sheetName val="y_Ananas_prk16"/>
      <sheetName val="judor__pet16"/>
      <sheetName val="PulpUp_prk16"/>
      <sheetName val="y_ananaspet16"/>
      <sheetName val="y_mokapet16"/>
      <sheetName val="y_cocktailpet16"/>
      <sheetName val="y_pamplempet16"/>
      <sheetName val="y_tonicpet16"/>
      <sheetName val="fanta_mandarine16"/>
      <sheetName val="fanta_mandarine_pet_16"/>
      <sheetName val="Malta_guinness16"/>
      <sheetName val="castel_canette16"/>
      <sheetName val="33_export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sprite_canette16"/>
      <sheetName val="pompom_canette16"/>
      <sheetName val="cocktail_canette16"/>
      <sheetName val="pamplem_canette16"/>
      <sheetName val="sport_actif_canette16"/>
      <sheetName val="schweppes_tonic16"/>
      <sheetName val="malta_tonic_canette16"/>
      <sheetName val="malta_canette_16"/>
      <sheetName val="malta_guiness_canette16"/>
      <sheetName val="COUTS_COMPLETS16"/>
      <sheetName val="Conso_Mensuelle16"/>
      <sheetName val="Sobebra_Budget_201516"/>
      <sheetName val="Page_de_garde17"/>
      <sheetName val="Liste_documents_17"/>
      <sheetName val="Titre_Présentation_17"/>
      <sheetName val="Perspectives_commerciales17"/>
      <sheetName val="Synth_Act_17"/>
      <sheetName val="Autres_Hypothèses17"/>
      <sheetName val="Titre_Résultats17"/>
      <sheetName val="Commentaires_17"/>
      <sheetName val="XMQ_Cumul_17"/>
      <sheetName val="XMQ_Cumul__(2)17"/>
      <sheetName val="TER_17"/>
      <sheetName val="Evol__volumes_et_marges17"/>
      <sheetName val="Base_MB_à_l'hl_17"/>
      <sheetName val="Evol_Marge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_17"/>
      <sheetName val="Hors_Exploitation17"/>
      <sheetName val="Titre_Invest__&amp;_Cessions17"/>
      <sheetName val="Investissements_17"/>
      <sheetName val="Titre_Effectifs17"/>
      <sheetName val="Effectif_17"/>
      <sheetName val="Masse_salariale17"/>
      <sheetName val="Titre_Production17"/>
      <sheetName val="FICHES_MP17"/>
      <sheetName val="Titre_Fiches_Produits17"/>
      <sheetName val="Tableaux_annexes17"/>
      <sheetName val="Conso_Indicative__MPC17"/>
      <sheetName val="Conso_Indicative__MPC_(3)17"/>
      <sheetName val="Conso_Indicative__MPC_(2)17"/>
      <sheetName val="récap_Marque17"/>
      <sheetName val="récap_Cond17"/>
      <sheetName val="récap_Site17"/>
      <sheetName val="récap_Format17"/>
      <sheetName val="Coût_Produit17"/>
      <sheetName val="la_béninoise17"/>
      <sheetName val="la_béninoise_prk17"/>
      <sheetName val="castel_prk17"/>
      <sheetName val="beaufort_prk17"/>
      <sheetName val="beaufort_Light17"/>
      <sheetName val="33export_prk17"/>
      <sheetName val="guinness_prk17"/>
      <sheetName val="y_moka17"/>
      <sheetName val="y_moka_prk17"/>
      <sheetName val="y_tonic17"/>
      <sheetName val="y_tonic_prk17"/>
      <sheetName val="y_cocktail17"/>
      <sheetName val="y_cocktail_prk17"/>
      <sheetName val="y_pampl17"/>
      <sheetName val="Youki_Soda_Water17"/>
      <sheetName val="y_pampl_prk17"/>
      <sheetName val="XXL_prk17"/>
      <sheetName val="youki_sport_actif17"/>
      <sheetName val="y_pompom17"/>
      <sheetName val="y_pompom_prk17"/>
      <sheetName val="y_Ananas17"/>
      <sheetName val="y_Ananas_prk17"/>
      <sheetName val="judor__pet17"/>
      <sheetName val="PulpUp_prk17"/>
      <sheetName val="y_ananaspet17"/>
      <sheetName val="y_mokapet17"/>
      <sheetName val="y_cocktailpet17"/>
      <sheetName val="y_pamplempet17"/>
      <sheetName val="y_tonicpet17"/>
      <sheetName val="fanta_mandarine17"/>
      <sheetName val="fanta_mandarine_pet_17"/>
      <sheetName val="Malta_guinness17"/>
      <sheetName val="castel_canette17"/>
      <sheetName val="33_export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sprite_canette17"/>
      <sheetName val="pompom_canette17"/>
      <sheetName val="cocktail_canette17"/>
      <sheetName val="pamplem_canette17"/>
      <sheetName val="sport_actif_canette17"/>
      <sheetName val="schweppes_tonic17"/>
      <sheetName val="malta_tonic_canette17"/>
      <sheetName val="malta_canette_17"/>
      <sheetName val="malta_guiness_canette17"/>
      <sheetName val="COUTS_COMPLETS17"/>
      <sheetName val="Conso_Mensuelle17"/>
      <sheetName val="Sobebra_Budget_2015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1.5814725316093823E-2</v>
          </cell>
        </row>
        <row r="10">
          <cell r="E10">
            <v>4.8558908503508968E-2</v>
          </cell>
        </row>
        <row r="36">
          <cell r="E36">
            <v>1.4999999999999999E-2</v>
          </cell>
          <cell r="F36">
            <v>6.4399999999999999E-2</v>
          </cell>
        </row>
        <row r="37">
          <cell r="E37">
            <v>1.9400000000000001E-2</v>
          </cell>
          <cell r="F37">
            <v>2.6599999999999999E-2</v>
          </cell>
          <cell r="G37">
            <v>0.03</v>
          </cell>
        </row>
        <row r="38">
          <cell r="E38">
            <v>2.6599999999999999E-2</v>
          </cell>
          <cell r="F38">
            <v>3.4099999999999998E-2</v>
          </cell>
          <cell r="G38">
            <v>0.03</v>
          </cell>
        </row>
        <row r="41">
          <cell r="E41">
            <v>6.5000000000000002E-2</v>
          </cell>
          <cell r="F41">
            <v>7.8299999999999995E-2</v>
          </cell>
        </row>
        <row r="42">
          <cell r="E42">
            <v>2.2200000000000001E-2</v>
          </cell>
          <cell r="F42">
            <v>3.4299999999999997E-2</v>
          </cell>
          <cell r="G42">
            <v>0.03</v>
          </cell>
        </row>
        <row r="50">
          <cell r="E50">
            <v>0.02</v>
          </cell>
        </row>
      </sheetData>
      <sheetData sheetId="9"/>
      <sheetData sheetId="10"/>
      <sheetData sheetId="11"/>
      <sheetData sheetId="12"/>
      <sheetData sheetId="13">
        <row r="72">
          <cell r="E72">
            <v>-419.25981001721357</v>
          </cell>
        </row>
      </sheetData>
      <sheetData sheetId="14">
        <row r="1">
          <cell r="D1" t="str">
            <v>BUDGET  2015</v>
          </cell>
        </row>
      </sheetData>
      <sheetData sheetId="15"/>
      <sheetData sheetId="16">
        <row r="5">
          <cell r="B5">
            <v>2015</v>
          </cell>
        </row>
      </sheetData>
      <sheetData sheetId="17"/>
      <sheetData sheetId="18"/>
      <sheetData sheetId="19">
        <row r="9">
          <cell r="A9" t="str">
            <v>P11BEN</v>
          </cell>
        </row>
      </sheetData>
      <sheetData sheetId="20">
        <row r="2">
          <cell r="I2" t="str">
            <v>BUDGET  2015</v>
          </cell>
        </row>
      </sheetData>
      <sheetData sheetId="21">
        <row r="9">
          <cell r="AC9" t="str">
            <v>1033C</v>
          </cell>
        </row>
      </sheetData>
      <sheetData sheetId="22"/>
      <sheetData sheetId="23"/>
      <sheetData sheetId="24">
        <row r="9">
          <cell r="AC9" t="str">
            <v>1033C</v>
          </cell>
        </row>
      </sheetData>
      <sheetData sheetId="25">
        <row r="2">
          <cell r="J2" t="str">
            <v>BUDGET  2015</v>
          </cell>
        </row>
      </sheetData>
      <sheetData sheetId="26"/>
      <sheetData sheetId="27">
        <row r="8">
          <cell r="B8">
            <v>702110</v>
          </cell>
        </row>
      </sheetData>
      <sheetData sheetId="28">
        <row r="25">
          <cell r="G25">
            <v>1876774971.625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34">
          <cell r="D34" t="str">
            <v>I.S</v>
          </cell>
        </row>
      </sheetData>
      <sheetData sheetId="37"/>
      <sheetData sheetId="38">
        <row r="112">
          <cell r="C112" t="str">
            <v>Module de gestion  M3</v>
          </cell>
        </row>
      </sheetData>
      <sheetData sheetId="39"/>
      <sheetData sheetId="40"/>
      <sheetData sheetId="41"/>
      <sheetData sheetId="42"/>
      <sheetData sheetId="43">
        <row r="2">
          <cell r="F2" t="str">
            <v>BUDGET  2015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0">
          <cell r="A30" t="str">
            <v>B007001</v>
          </cell>
        </row>
      </sheetData>
      <sheetData sheetId="53"/>
      <sheetData sheetId="54"/>
      <sheetData sheetId="55"/>
      <sheetData sheetId="56"/>
      <sheetData sheetId="57"/>
      <sheetData sheetId="58">
        <row r="67">
          <cell r="W67">
            <v>17342034878.405087</v>
          </cell>
        </row>
      </sheetData>
      <sheetData sheetId="59">
        <row r="42">
          <cell r="D42">
            <v>237017184.45365104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17">
          <cell r="M117">
            <v>119.52079185367548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9">
          <cell r="A9" t="str">
            <v>1066c</v>
          </cell>
        </row>
      </sheetData>
      <sheetData sheetId="147">
        <row r="357">
          <cell r="H357">
            <v>1446243575.2403185</v>
          </cell>
        </row>
      </sheetData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>
        <row r="10">
          <cell r="E10">
            <v>4.8558908503508968E-2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112">
          <cell r="C112" t="str">
            <v>Module de gestion  M3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0">
          <cell r="E10">
            <v>4.8558908503508968E-2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112">
          <cell r="C112" t="str">
            <v>Module de gestion  M3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10">
          <cell r="E10">
            <v>4.8558908503508968E-2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12">
          <cell r="C112" t="str">
            <v>Module de gestion  M3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0">
          <cell r="E10">
            <v>4.8558908503508968E-2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112">
          <cell r="C112" t="str">
            <v>Module de gestion  M3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10">
          <cell r="E10">
            <v>4.8558908503508968E-2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112">
          <cell r="C112" t="str">
            <v>Module de gestion  M3</v>
          </cell>
        </row>
      </sheetData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0">
          <cell r="E10">
            <v>4.8558908503508968E-2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12">
          <cell r="C112" t="str">
            <v>Module de gestion  M3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8">
          <cell r="E8">
            <v>1.5814725316093823E-2</v>
          </cell>
        </row>
      </sheetData>
      <sheetData sheetId="745"/>
      <sheetData sheetId="746"/>
      <sheetData sheetId="747"/>
      <sheetData sheetId="748"/>
      <sheetData sheetId="749">
        <row r="1">
          <cell r="D1" t="str">
            <v>BUDGET  2015</v>
          </cell>
        </row>
      </sheetData>
      <sheetData sheetId="750"/>
      <sheetData sheetId="751">
        <row r="5">
          <cell r="B5">
            <v>2015</v>
          </cell>
        </row>
      </sheetData>
      <sheetData sheetId="752"/>
      <sheetData sheetId="753"/>
      <sheetData sheetId="754">
        <row r="9">
          <cell r="A9" t="str">
            <v>P11BEN</v>
          </cell>
        </row>
      </sheetData>
      <sheetData sheetId="755">
        <row r="2">
          <cell r="I2" t="str">
            <v>BUDGET  2015</v>
          </cell>
        </row>
      </sheetData>
      <sheetData sheetId="756">
        <row r="9">
          <cell r="AC9" t="str">
            <v>1033C</v>
          </cell>
        </row>
      </sheetData>
      <sheetData sheetId="757"/>
      <sheetData sheetId="758"/>
      <sheetData sheetId="759">
        <row r="9">
          <cell r="AC9" t="str">
            <v>1033C</v>
          </cell>
        </row>
      </sheetData>
      <sheetData sheetId="760">
        <row r="2">
          <cell r="J2" t="str">
            <v>BUDGET  2015</v>
          </cell>
        </row>
      </sheetData>
      <sheetData sheetId="761"/>
      <sheetData sheetId="762">
        <row r="25">
          <cell r="G25">
            <v>1876774971.625</v>
          </cell>
        </row>
      </sheetData>
      <sheetData sheetId="763"/>
      <sheetData sheetId="764"/>
      <sheetData sheetId="765"/>
      <sheetData sheetId="766">
        <row r="112">
          <cell r="C112" t="str">
            <v>Module de gestion  M3</v>
          </cell>
        </row>
      </sheetData>
      <sheetData sheetId="767"/>
      <sheetData sheetId="768"/>
      <sheetData sheetId="769">
        <row r="2">
          <cell r="F2" t="str">
            <v>BUDGET  2015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>
        <row r="30">
          <cell r="A30" t="str">
            <v>B007001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9">
          <cell r="A9" t="str">
            <v>1066c</v>
          </cell>
        </row>
      </sheetData>
      <sheetData sheetId="835">
        <row r="357">
          <cell r="H357">
            <v>1446243575.2403185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>
        <row r="8">
          <cell r="E8">
            <v>1.5814725316093823E-2</v>
          </cell>
        </row>
      </sheetData>
      <sheetData sheetId="843"/>
      <sheetData sheetId="844"/>
      <sheetData sheetId="845"/>
      <sheetData sheetId="846"/>
      <sheetData sheetId="847">
        <row r="1">
          <cell r="D1" t="str">
            <v>BUDGET  2015</v>
          </cell>
        </row>
      </sheetData>
      <sheetData sheetId="848"/>
      <sheetData sheetId="849">
        <row r="5">
          <cell r="B5">
            <v>2015</v>
          </cell>
        </row>
      </sheetData>
      <sheetData sheetId="850"/>
      <sheetData sheetId="851"/>
      <sheetData sheetId="852">
        <row r="9">
          <cell r="A9" t="str">
            <v>P11BEN</v>
          </cell>
        </row>
      </sheetData>
      <sheetData sheetId="853">
        <row r="2">
          <cell r="I2" t="str">
            <v>BUDGET  2015</v>
          </cell>
        </row>
      </sheetData>
      <sheetData sheetId="854">
        <row r="9">
          <cell r="AC9" t="str">
            <v>1033C</v>
          </cell>
        </row>
      </sheetData>
      <sheetData sheetId="855"/>
      <sheetData sheetId="856"/>
      <sheetData sheetId="857">
        <row r="9">
          <cell r="AC9" t="str">
            <v>1033C</v>
          </cell>
        </row>
      </sheetData>
      <sheetData sheetId="858">
        <row r="2">
          <cell r="J2" t="str">
            <v>BUDGET  2015</v>
          </cell>
        </row>
      </sheetData>
      <sheetData sheetId="859"/>
      <sheetData sheetId="860">
        <row r="25">
          <cell r="G25">
            <v>1876774971.625</v>
          </cell>
        </row>
      </sheetData>
      <sheetData sheetId="861"/>
      <sheetData sheetId="862"/>
      <sheetData sheetId="863"/>
      <sheetData sheetId="864">
        <row r="112">
          <cell r="C112" t="str">
            <v>Module de gestion  M3</v>
          </cell>
        </row>
      </sheetData>
      <sheetData sheetId="865"/>
      <sheetData sheetId="866"/>
      <sheetData sheetId="867">
        <row r="2">
          <cell r="F2" t="str">
            <v>BUDGET  2015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>
        <row r="30">
          <cell r="A30" t="str">
            <v>B007001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9">
          <cell r="A9" t="str">
            <v>1066c</v>
          </cell>
        </row>
      </sheetData>
      <sheetData sheetId="933">
        <row r="357">
          <cell r="H357">
            <v>1446243575.2403185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8">
          <cell r="E8">
            <v>1.5814725316093823E-2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>
        <row r="5">
          <cell r="B5">
            <v>2015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112">
          <cell r="C112" t="str">
            <v>Module de gestion  M3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9">
          <cell r="A9" t="str">
            <v>1066c</v>
          </cell>
        </row>
      </sheetData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8">
          <cell r="E8">
            <v>1.5814725316093823E-2</v>
          </cell>
        </row>
      </sheetData>
      <sheetData sheetId="1039"/>
      <sheetData sheetId="1040"/>
      <sheetData sheetId="1041"/>
      <sheetData sheetId="1042"/>
      <sheetData sheetId="1043">
        <row r="1">
          <cell r="D1" t="str">
            <v>BUDGET  2015</v>
          </cell>
        </row>
      </sheetData>
      <sheetData sheetId="1044"/>
      <sheetData sheetId="1045">
        <row r="5">
          <cell r="B5">
            <v>2015</v>
          </cell>
        </row>
      </sheetData>
      <sheetData sheetId="1046"/>
      <sheetData sheetId="1047"/>
      <sheetData sheetId="1048">
        <row r="9">
          <cell r="A9" t="str">
            <v>P11BEN</v>
          </cell>
        </row>
      </sheetData>
      <sheetData sheetId="1049">
        <row r="2">
          <cell r="I2" t="str">
            <v>BUDGET  2015</v>
          </cell>
        </row>
      </sheetData>
      <sheetData sheetId="1050">
        <row r="9">
          <cell r="AC9" t="str">
            <v>1033C</v>
          </cell>
        </row>
      </sheetData>
      <sheetData sheetId="1051"/>
      <sheetData sheetId="1052"/>
      <sheetData sheetId="1053">
        <row r="9">
          <cell r="AC9" t="str">
            <v>1033C</v>
          </cell>
        </row>
      </sheetData>
      <sheetData sheetId="1054">
        <row r="2">
          <cell r="J2" t="str">
            <v>BUDGET  2015</v>
          </cell>
        </row>
      </sheetData>
      <sheetData sheetId="1055"/>
      <sheetData sheetId="1056">
        <row r="25">
          <cell r="G25">
            <v>1876774971.625</v>
          </cell>
        </row>
      </sheetData>
      <sheetData sheetId="1057"/>
      <sheetData sheetId="1058"/>
      <sheetData sheetId="1059"/>
      <sheetData sheetId="1060">
        <row r="112">
          <cell r="C112" t="str">
            <v>Module de gestion  M3</v>
          </cell>
        </row>
      </sheetData>
      <sheetData sheetId="1061"/>
      <sheetData sheetId="1062"/>
      <sheetData sheetId="1063">
        <row r="2">
          <cell r="F2" t="str">
            <v>BUDGET  2015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>
        <row r="30">
          <cell r="A30" t="str">
            <v>B007001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>
        <row r="9">
          <cell r="A9" t="str">
            <v>1066c</v>
          </cell>
        </row>
      </sheetData>
      <sheetData sheetId="1129">
        <row r="357">
          <cell r="H357">
            <v>1446243575.2403185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1.5814725316093823E-2</v>
          </cell>
        </row>
      </sheetData>
      <sheetData sheetId="1137"/>
      <sheetData sheetId="1138"/>
      <sheetData sheetId="1139"/>
      <sheetData sheetId="1140"/>
      <sheetData sheetId="1141">
        <row r="1">
          <cell r="D1" t="str">
            <v>BUDGET  2015</v>
          </cell>
        </row>
      </sheetData>
      <sheetData sheetId="1142"/>
      <sheetData sheetId="1143">
        <row r="5">
          <cell r="B5">
            <v>2015</v>
          </cell>
        </row>
      </sheetData>
      <sheetData sheetId="1144"/>
      <sheetData sheetId="1145"/>
      <sheetData sheetId="1146">
        <row r="9">
          <cell r="A9" t="str">
            <v>P11BEN</v>
          </cell>
        </row>
      </sheetData>
      <sheetData sheetId="1147">
        <row r="2">
          <cell r="I2" t="str">
            <v>BUDGET  2015</v>
          </cell>
        </row>
      </sheetData>
      <sheetData sheetId="1148">
        <row r="9">
          <cell r="AC9" t="str">
            <v>1033C</v>
          </cell>
        </row>
      </sheetData>
      <sheetData sheetId="1149"/>
      <sheetData sheetId="1150"/>
      <sheetData sheetId="1151">
        <row r="9">
          <cell r="AC9" t="str">
            <v>1033C</v>
          </cell>
        </row>
      </sheetData>
      <sheetData sheetId="1152">
        <row r="2">
          <cell r="J2" t="str">
            <v>BUDGET  2015</v>
          </cell>
        </row>
      </sheetData>
      <sheetData sheetId="1153"/>
      <sheetData sheetId="1154">
        <row r="25">
          <cell r="G25">
            <v>1876774971.625</v>
          </cell>
        </row>
      </sheetData>
      <sheetData sheetId="1155"/>
      <sheetData sheetId="1156"/>
      <sheetData sheetId="1157"/>
      <sheetData sheetId="1158">
        <row r="112">
          <cell r="C112" t="str">
            <v>Module de gestion  M3</v>
          </cell>
        </row>
      </sheetData>
      <sheetData sheetId="1159"/>
      <sheetData sheetId="1160"/>
      <sheetData sheetId="1161">
        <row r="2">
          <cell r="F2" t="str">
            <v>BUDGET  2015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>
        <row r="30">
          <cell r="A30" t="str">
            <v>B007001</v>
          </cell>
        </row>
      </sheetData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>
        <row r="9">
          <cell r="A9" t="str">
            <v>1066c</v>
          </cell>
        </row>
      </sheetData>
      <sheetData sheetId="1227">
        <row r="357">
          <cell r="H357">
            <v>1446243575.2403185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>
        <row r="8">
          <cell r="E8">
            <v>1.5814725316093823E-2</v>
          </cell>
        </row>
      </sheetData>
      <sheetData sheetId="1235"/>
      <sheetData sheetId="1236"/>
      <sheetData sheetId="1237"/>
      <sheetData sheetId="1238"/>
      <sheetData sheetId="1239">
        <row r="1">
          <cell r="D1" t="str">
            <v>BUDGET  2015</v>
          </cell>
        </row>
      </sheetData>
      <sheetData sheetId="1240"/>
      <sheetData sheetId="1241">
        <row r="5">
          <cell r="B5">
            <v>2015</v>
          </cell>
        </row>
      </sheetData>
      <sheetData sheetId="1242"/>
      <sheetData sheetId="1243"/>
      <sheetData sheetId="1244">
        <row r="9">
          <cell r="A9" t="str">
            <v>P11BEN</v>
          </cell>
        </row>
      </sheetData>
      <sheetData sheetId="1245">
        <row r="2">
          <cell r="I2" t="str">
            <v>BUDGET  2015</v>
          </cell>
        </row>
      </sheetData>
      <sheetData sheetId="1246">
        <row r="9">
          <cell r="AC9" t="str">
            <v>1033C</v>
          </cell>
        </row>
      </sheetData>
      <sheetData sheetId="1247"/>
      <sheetData sheetId="1248"/>
      <sheetData sheetId="1249">
        <row r="9">
          <cell r="AC9" t="str">
            <v>1033C</v>
          </cell>
        </row>
      </sheetData>
      <sheetData sheetId="1250">
        <row r="2">
          <cell r="J2" t="str">
            <v>BUDGET  2015</v>
          </cell>
        </row>
      </sheetData>
      <sheetData sheetId="1251"/>
      <sheetData sheetId="1252">
        <row r="25">
          <cell r="G25">
            <v>1876774971.625</v>
          </cell>
        </row>
      </sheetData>
      <sheetData sheetId="1253"/>
      <sheetData sheetId="1254"/>
      <sheetData sheetId="1255"/>
      <sheetData sheetId="1256">
        <row r="112">
          <cell r="C112" t="str">
            <v>Module de gestion  M3</v>
          </cell>
        </row>
      </sheetData>
      <sheetData sheetId="1257"/>
      <sheetData sheetId="1258"/>
      <sheetData sheetId="1259">
        <row r="2">
          <cell r="F2" t="str">
            <v>BUDGET  2015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>
        <row r="30">
          <cell r="A30" t="str">
            <v>B007001</v>
          </cell>
        </row>
      </sheetData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9">
          <cell r="A9" t="str">
            <v>1066c</v>
          </cell>
        </row>
      </sheetData>
      <sheetData sheetId="1325">
        <row r="357">
          <cell r="H357">
            <v>1446243575.2403185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>
        <row r="8">
          <cell r="E8">
            <v>1.5814725316093823E-2</v>
          </cell>
        </row>
      </sheetData>
      <sheetData sheetId="1333"/>
      <sheetData sheetId="1334"/>
      <sheetData sheetId="1335"/>
      <sheetData sheetId="1336"/>
      <sheetData sheetId="1337">
        <row r="1">
          <cell r="D1" t="str">
            <v>BUDGET  2015</v>
          </cell>
        </row>
      </sheetData>
      <sheetData sheetId="1338"/>
      <sheetData sheetId="1339">
        <row r="5">
          <cell r="B5">
            <v>2015</v>
          </cell>
        </row>
      </sheetData>
      <sheetData sheetId="1340"/>
      <sheetData sheetId="1341"/>
      <sheetData sheetId="1342">
        <row r="9">
          <cell r="A9" t="str">
            <v>P11BEN</v>
          </cell>
        </row>
      </sheetData>
      <sheetData sheetId="1343">
        <row r="2">
          <cell r="I2" t="str">
            <v>BUDGET  2015</v>
          </cell>
        </row>
      </sheetData>
      <sheetData sheetId="1344">
        <row r="9">
          <cell r="AC9" t="str">
            <v>1033C</v>
          </cell>
        </row>
      </sheetData>
      <sheetData sheetId="1345"/>
      <sheetData sheetId="1346"/>
      <sheetData sheetId="1347">
        <row r="9">
          <cell r="AC9" t="str">
            <v>1033C</v>
          </cell>
        </row>
      </sheetData>
      <sheetData sheetId="1348">
        <row r="2">
          <cell r="J2" t="str">
            <v>BUDGET  2015</v>
          </cell>
        </row>
      </sheetData>
      <sheetData sheetId="1349"/>
      <sheetData sheetId="1350">
        <row r="25">
          <cell r="G25">
            <v>1876774971.625</v>
          </cell>
        </row>
      </sheetData>
      <sheetData sheetId="1351"/>
      <sheetData sheetId="1352"/>
      <sheetData sheetId="1353"/>
      <sheetData sheetId="1354">
        <row r="112">
          <cell r="C112" t="str">
            <v>Module de gestion  M3</v>
          </cell>
        </row>
      </sheetData>
      <sheetData sheetId="1355"/>
      <sheetData sheetId="1356"/>
      <sheetData sheetId="1357">
        <row r="2">
          <cell r="F2" t="str">
            <v>BUDGET  2015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30">
          <cell r="A30" t="str">
            <v>B007001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9">
          <cell r="A9" t="str">
            <v>1066c</v>
          </cell>
        </row>
      </sheetData>
      <sheetData sheetId="1423">
        <row r="357">
          <cell r="H357">
            <v>1446243575.2403185</v>
          </cell>
        </row>
      </sheetData>
      <sheetData sheetId="1424"/>
      <sheetData sheetId="1425"/>
      <sheetData sheetId="1426"/>
      <sheetData sheetId="1427"/>
      <sheetData sheetId="1428"/>
      <sheetData sheetId="1429"/>
      <sheetData sheetId="1430">
        <row r="8">
          <cell r="E8">
            <v>1.5814725316093823E-2</v>
          </cell>
        </row>
      </sheetData>
      <sheetData sheetId="1431"/>
      <sheetData sheetId="1432"/>
      <sheetData sheetId="1433"/>
      <sheetData sheetId="1434"/>
      <sheetData sheetId="1435">
        <row r="1">
          <cell r="D1" t="str">
            <v>BUDGET  2015</v>
          </cell>
        </row>
      </sheetData>
      <sheetData sheetId="1436"/>
      <sheetData sheetId="1437">
        <row r="5">
          <cell r="B5">
            <v>2015</v>
          </cell>
        </row>
      </sheetData>
      <sheetData sheetId="1438"/>
      <sheetData sheetId="1439"/>
      <sheetData sheetId="1440">
        <row r="9">
          <cell r="A9" t="str">
            <v>P11BEN</v>
          </cell>
        </row>
      </sheetData>
      <sheetData sheetId="1441">
        <row r="2">
          <cell r="I2" t="str">
            <v>BUDGET  2015</v>
          </cell>
        </row>
      </sheetData>
      <sheetData sheetId="1442">
        <row r="9">
          <cell r="AC9" t="str">
            <v>1033C</v>
          </cell>
        </row>
      </sheetData>
      <sheetData sheetId="1443"/>
      <sheetData sheetId="1444"/>
      <sheetData sheetId="1445">
        <row r="9">
          <cell r="AC9" t="str">
            <v>1033C</v>
          </cell>
        </row>
      </sheetData>
      <sheetData sheetId="1446">
        <row r="2">
          <cell r="J2" t="str">
            <v>BUDGET  2015</v>
          </cell>
        </row>
      </sheetData>
      <sheetData sheetId="1447"/>
      <sheetData sheetId="1448">
        <row r="25">
          <cell r="G25">
            <v>1876774971.625</v>
          </cell>
        </row>
      </sheetData>
      <sheetData sheetId="1449"/>
      <sheetData sheetId="1450"/>
      <sheetData sheetId="1451"/>
      <sheetData sheetId="1452">
        <row r="112">
          <cell r="C112" t="str">
            <v>Module de gestion  M3</v>
          </cell>
        </row>
      </sheetData>
      <sheetData sheetId="1453"/>
      <sheetData sheetId="1454"/>
      <sheetData sheetId="1455">
        <row r="2">
          <cell r="F2" t="str">
            <v>BUDGET  2015</v>
          </cell>
        </row>
      </sheetData>
      <sheetData sheetId="1456"/>
      <sheetData sheetId="1457"/>
      <sheetData sheetId="1458"/>
      <sheetData sheetId="1459"/>
      <sheetData sheetId="1460"/>
      <sheetData sheetId="1461"/>
      <sheetData sheetId="1462">
        <row r="30">
          <cell r="A30" t="str">
            <v>B007001</v>
          </cell>
        </row>
      </sheetData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9">
          <cell r="A9" t="str">
            <v>1066c</v>
          </cell>
        </row>
      </sheetData>
      <sheetData sheetId="1521">
        <row r="357">
          <cell r="H357">
            <v>1446243575.2403185</v>
          </cell>
        </row>
      </sheetData>
      <sheetData sheetId="1522"/>
      <sheetData sheetId="1523"/>
      <sheetData sheetId="1524"/>
      <sheetData sheetId="1525"/>
      <sheetData sheetId="1526"/>
      <sheetData sheetId="1527"/>
      <sheetData sheetId="1528">
        <row r="8">
          <cell r="E8">
            <v>1.5814725316093823E-2</v>
          </cell>
        </row>
      </sheetData>
      <sheetData sheetId="1529"/>
      <sheetData sheetId="1530"/>
      <sheetData sheetId="1531"/>
      <sheetData sheetId="1532"/>
      <sheetData sheetId="1533">
        <row r="1">
          <cell r="D1" t="str">
            <v>BUDGET  2015</v>
          </cell>
        </row>
      </sheetData>
      <sheetData sheetId="1534"/>
      <sheetData sheetId="1535">
        <row r="5">
          <cell r="B5">
            <v>2015</v>
          </cell>
        </row>
      </sheetData>
      <sheetData sheetId="1536"/>
      <sheetData sheetId="1537"/>
      <sheetData sheetId="1538">
        <row r="9">
          <cell r="A9" t="str">
            <v>P11BEN</v>
          </cell>
        </row>
      </sheetData>
      <sheetData sheetId="1539">
        <row r="2">
          <cell r="I2" t="str">
            <v>BUDGET  2015</v>
          </cell>
        </row>
      </sheetData>
      <sheetData sheetId="1540">
        <row r="9">
          <cell r="AC9" t="str">
            <v>1033C</v>
          </cell>
        </row>
      </sheetData>
      <sheetData sheetId="1541"/>
      <sheetData sheetId="1542"/>
      <sheetData sheetId="1543">
        <row r="9">
          <cell r="AC9" t="str">
            <v>1033C</v>
          </cell>
        </row>
      </sheetData>
      <sheetData sheetId="1544">
        <row r="2">
          <cell r="J2" t="str">
            <v>BUDGET  2015</v>
          </cell>
        </row>
      </sheetData>
      <sheetData sheetId="1545"/>
      <sheetData sheetId="1546">
        <row r="25">
          <cell r="G25">
            <v>1876774971.625</v>
          </cell>
        </row>
      </sheetData>
      <sheetData sheetId="1547"/>
      <sheetData sheetId="1548"/>
      <sheetData sheetId="1549"/>
      <sheetData sheetId="1550">
        <row r="112">
          <cell r="C112" t="str">
            <v>Module de gestion  M3</v>
          </cell>
        </row>
      </sheetData>
      <sheetData sheetId="1551"/>
      <sheetData sheetId="1552"/>
      <sheetData sheetId="1553">
        <row r="2">
          <cell r="F2" t="str">
            <v>BUDGET  2015</v>
          </cell>
        </row>
      </sheetData>
      <sheetData sheetId="1554"/>
      <sheetData sheetId="1555"/>
      <sheetData sheetId="1556"/>
      <sheetData sheetId="1557"/>
      <sheetData sheetId="1558"/>
      <sheetData sheetId="1559"/>
      <sheetData sheetId="1560">
        <row r="30">
          <cell r="A30" t="str">
            <v>B007001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>
        <row r="9">
          <cell r="A9" t="str">
            <v>1066c</v>
          </cell>
        </row>
      </sheetData>
      <sheetData sheetId="1619">
        <row r="357">
          <cell r="H357">
            <v>1446243575.2403185</v>
          </cell>
        </row>
      </sheetData>
      <sheetData sheetId="1620"/>
      <sheetData sheetId="1621"/>
      <sheetData sheetId="1622"/>
      <sheetData sheetId="1623"/>
      <sheetData sheetId="1624"/>
      <sheetData sheetId="1625"/>
      <sheetData sheetId="1626">
        <row r="8">
          <cell r="E8">
            <v>1.5814725316093823E-2</v>
          </cell>
        </row>
      </sheetData>
      <sheetData sheetId="1627"/>
      <sheetData sheetId="1628"/>
      <sheetData sheetId="1629"/>
      <sheetData sheetId="1630"/>
      <sheetData sheetId="1631">
        <row r="1">
          <cell r="D1" t="str">
            <v>BUDGET  2015</v>
          </cell>
        </row>
      </sheetData>
      <sheetData sheetId="1632"/>
      <sheetData sheetId="1633">
        <row r="5">
          <cell r="B5">
            <v>2015</v>
          </cell>
        </row>
      </sheetData>
      <sheetData sheetId="1634"/>
      <sheetData sheetId="1635"/>
      <sheetData sheetId="1636">
        <row r="9">
          <cell r="A9" t="str">
            <v>P11BEN</v>
          </cell>
        </row>
      </sheetData>
      <sheetData sheetId="1637">
        <row r="2">
          <cell r="I2" t="str">
            <v>BUDGET  2015</v>
          </cell>
        </row>
      </sheetData>
      <sheetData sheetId="1638">
        <row r="9">
          <cell r="AC9" t="str">
            <v>1033C</v>
          </cell>
        </row>
      </sheetData>
      <sheetData sheetId="1639"/>
      <sheetData sheetId="1640"/>
      <sheetData sheetId="1641">
        <row r="9">
          <cell r="AC9" t="str">
            <v>1033C</v>
          </cell>
        </row>
      </sheetData>
      <sheetData sheetId="1642">
        <row r="2">
          <cell r="J2" t="str">
            <v>BUDGET  2015</v>
          </cell>
        </row>
      </sheetData>
      <sheetData sheetId="1643"/>
      <sheetData sheetId="1644">
        <row r="25">
          <cell r="G25">
            <v>1876774971.625</v>
          </cell>
        </row>
      </sheetData>
      <sheetData sheetId="1645"/>
      <sheetData sheetId="1646"/>
      <sheetData sheetId="1647"/>
      <sheetData sheetId="1648">
        <row r="112">
          <cell r="C112" t="str">
            <v>Module de gestion  M3</v>
          </cell>
        </row>
      </sheetData>
      <sheetData sheetId="1649"/>
      <sheetData sheetId="1650"/>
      <sheetData sheetId="1651">
        <row r="2">
          <cell r="F2" t="str">
            <v>BUDGET  2015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>
        <row r="30">
          <cell r="A30" t="str">
            <v>B007001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9">
          <cell r="A9" t="str">
            <v>1066c</v>
          </cell>
        </row>
      </sheetData>
      <sheetData sheetId="1717">
        <row r="357">
          <cell r="H357">
            <v>1446243575.2403185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>
        <row r="8">
          <cell r="E8">
            <v>1.5814725316093823E-2</v>
          </cell>
        </row>
      </sheetData>
      <sheetData sheetId="1725"/>
      <sheetData sheetId="1726"/>
      <sheetData sheetId="1727"/>
      <sheetData sheetId="1728"/>
      <sheetData sheetId="1729">
        <row r="1">
          <cell r="D1" t="str">
            <v>BUDGET  2015</v>
          </cell>
        </row>
      </sheetData>
      <sheetData sheetId="1730"/>
      <sheetData sheetId="1731">
        <row r="5">
          <cell r="B5">
            <v>2015</v>
          </cell>
        </row>
      </sheetData>
      <sheetData sheetId="1732"/>
      <sheetData sheetId="1733"/>
      <sheetData sheetId="1734">
        <row r="9">
          <cell r="A9" t="str">
            <v>P11BEN</v>
          </cell>
        </row>
      </sheetData>
      <sheetData sheetId="1735">
        <row r="2">
          <cell r="I2" t="str">
            <v>BUDGET  2015</v>
          </cell>
        </row>
      </sheetData>
      <sheetData sheetId="1736">
        <row r="9">
          <cell r="AC9" t="str">
            <v>1033C</v>
          </cell>
        </row>
      </sheetData>
      <sheetData sheetId="1737"/>
      <sheetData sheetId="1738"/>
      <sheetData sheetId="1739">
        <row r="9">
          <cell r="AC9" t="str">
            <v>1033C</v>
          </cell>
        </row>
      </sheetData>
      <sheetData sheetId="1740">
        <row r="2">
          <cell r="J2" t="str">
            <v>BUDGET  2015</v>
          </cell>
        </row>
      </sheetData>
      <sheetData sheetId="1741"/>
      <sheetData sheetId="1742">
        <row r="25">
          <cell r="G25">
            <v>1876774971.625</v>
          </cell>
        </row>
      </sheetData>
      <sheetData sheetId="1743"/>
      <sheetData sheetId="1744"/>
      <sheetData sheetId="1745"/>
      <sheetData sheetId="1746">
        <row r="112">
          <cell r="C112" t="str">
            <v>Module de gestion  M3</v>
          </cell>
        </row>
      </sheetData>
      <sheetData sheetId="1747"/>
      <sheetData sheetId="1748"/>
      <sheetData sheetId="1749">
        <row r="2">
          <cell r="F2" t="str">
            <v>BUDGET  2015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>
        <row r="30">
          <cell r="A30" t="str">
            <v>B007001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>
        <row r="9">
          <cell r="A9" t="str">
            <v>1066c</v>
          </cell>
        </row>
      </sheetData>
      <sheetData sheetId="1815">
        <row r="357">
          <cell r="H357">
            <v>1446243575.2403185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>
        <row r="8">
          <cell r="E8">
            <v>1.5814725316093823E-2</v>
          </cell>
        </row>
      </sheetData>
      <sheetData sheetId="1823"/>
      <sheetData sheetId="1824"/>
      <sheetData sheetId="1825"/>
      <sheetData sheetId="1826"/>
      <sheetData sheetId="1827">
        <row r="1">
          <cell r="D1" t="str">
            <v>BUDGET  2015</v>
          </cell>
        </row>
      </sheetData>
      <sheetData sheetId="1828"/>
      <sheetData sheetId="1829">
        <row r="5">
          <cell r="B5">
            <v>2015</v>
          </cell>
        </row>
      </sheetData>
      <sheetData sheetId="1830"/>
      <sheetData sheetId="1831"/>
      <sheetData sheetId="1832">
        <row r="9">
          <cell r="A9" t="str">
            <v>P11BEN</v>
          </cell>
        </row>
      </sheetData>
      <sheetData sheetId="1833">
        <row r="2">
          <cell r="I2" t="str">
            <v>BUDGET  2015</v>
          </cell>
        </row>
      </sheetData>
      <sheetData sheetId="1834">
        <row r="9">
          <cell r="AC9" t="str">
            <v>1033C</v>
          </cell>
        </row>
      </sheetData>
      <sheetData sheetId="1835"/>
      <sheetData sheetId="1836"/>
      <sheetData sheetId="1837">
        <row r="9">
          <cell r="AC9" t="str">
            <v>1033C</v>
          </cell>
        </row>
      </sheetData>
      <sheetData sheetId="1838">
        <row r="2">
          <cell r="J2" t="str">
            <v>BUDGET  2015</v>
          </cell>
        </row>
      </sheetData>
      <sheetData sheetId="1839"/>
      <sheetData sheetId="1840">
        <row r="25">
          <cell r="G25">
            <v>1876774971.625</v>
          </cell>
        </row>
      </sheetData>
      <sheetData sheetId="1841"/>
      <sheetData sheetId="1842"/>
      <sheetData sheetId="1843"/>
      <sheetData sheetId="1844">
        <row r="112">
          <cell r="C112" t="str">
            <v>Module de gestion  M3</v>
          </cell>
        </row>
      </sheetData>
      <sheetData sheetId="1845"/>
      <sheetData sheetId="1846"/>
      <sheetData sheetId="1847">
        <row r="2">
          <cell r="F2" t="str">
            <v>BUDGET  2015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>
        <row r="30">
          <cell r="A30" t="str">
            <v>B007001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>
        <row r="9">
          <cell r="A9" t="str">
            <v>1066c</v>
          </cell>
        </row>
      </sheetData>
      <sheetData sheetId="1913">
        <row r="357">
          <cell r="H357">
            <v>1446243575.2403185</v>
          </cell>
        </row>
      </sheetData>
      <sheetData sheetId="1914"/>
      <sheetData sheetId="19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 TETE"/>
      <sheetName val="Detail immob test"/>
      <sheetName val="LISTE DES IMMO"/>
      <sheetName val="Fiche d'Immo"/>
      <sheetName val="Calcul valeur résiduelle"/>
      <sheetName val="TAUX USUELS"/>
      <sheetName val="TABLEAU 1 ACTIF IMMOBILISE"/>
      <sheetName val="TABLEAU 2 AMORTISSEMENTS"/>
      <sheetName val="TAB 3 PV &amp; MV"/>
      <sheetName val="PLAN COMPTABLE DE REFERENCE "/>
      <sheetName val="T 10"/>
      <sheetName val="T 16"/>
      <sheetName val="Detail immob 2017"/>
    </sheetNames>
    <sheetDataSet>
      <sheetData sheetId="0">
        <row r="3">
          <cell r="H3">
            <v>42736</v>
          </cell>
          <cell r="K3">
            <v>43100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LAN COMPTABLE"/>
      <sheetName val="Plan Comptable Bilan"/>
      <sheetName val="Feuil1"/>
      <sheetName val="Plan Comptable XMQ"/>
      <sheetName val="Bal_Bilan"/>
      <sheetName val="Bal_XMQ"/>
      <sheetName val="Bal_XMQ casiers"/>
      <sheetName val="Bal_XMQ préformes"/>
      <sheetName val="Bal_XMQ administration"/>
      <sheetName val="Feuil2"/>
      <sheetName val="XMQ_Cumul"/>
      <sheetName val="Bilan"/>
      <sheetName val="Feuil3"/>
      <sheetName val="Feuil4"/>
      <sheetName val="Feuil5"/>
      <sheetName val="Feuil6"/>
      <sheetName val="Feuil6 (2)"/>
    </sheetNames>
    <sheetDataSet>
      <sheetData sheetId="0"/>
      <sheetData sheetId="1"/>
      <sheetData sheetId="2"/>
      <sheetData sheetId="3"/>
      <sheetData sheetId="4">
        <row r="4">
          <cell r="A4">
            <v>601100</v>
          </cell>
          <cell r="B4" t="str">
            <v>ACHATS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601110</v>
          </cell>
          <cell r="B5" t="str">
            <v>DROIT DE DOUANE SUR ACHAT MARCHANDISES</v>
          </cell>
          <cell r="C5" t="str">
            <v>G01</v>
          </cell>
          <cell r="D5" t="str">
            <v>Autres Produits d' Exploitation</v>
          </cell>
        </row>
        <row r="6">
          <cell r="A6">
            <v>601120</v>
          </cell>
          <cell r="B6" t="str">
            <v>FRAIS DI SGS SUR ACHAT MARCHANDISES</v>
          </cell>
          <cell r="C6" t="str">
            <v>G01</v>
          </cell>
          <cell r="D6" t="str">
            <v>Autres Produits d' Exploitation</v>
          </cell>
        </row>
        <row r="7">
          <cell r="A7">
            <v>601180</v>
          </cell>
          <cell r="B7" t="str">
            <v>TRANSPORT/ ACHAT CONSO LABORATOIRE</v>
          </cell>
          <cell r="C7" t="str">
            <v>D05</v>
          </cell>
          <cell r="D7" t="str">
            <v>Transports /transferts</v>
          </cell>
        </row>
        <row r="8">
          <cell r="A8">
            <v>601200</v>
          </cell>
          <cell r="B8" t="e">
            <v>#N/A</v>
          </cell>
          <cell r="C8" t="str">
            <v>G01</v>
          </cell>
          <cell r="D8" t="str">
            <v>Autres Produits d' Exploitation</v>
          </cell>
        </row>
        <row r="9">
          <cell r="A9">
            <v>601300</v>
          </cell>
          <cell r="B9" t="e">
            <v>#N/A</v>
          </cell>
          <cell r="C9" t="str">
            <v>G01</v>
          </cell>
          <cell r="D9" t="str">
            <v>Autres Produits d' Exploitation</v>
          </cell>
        </row>
        <row r="10">
          <cell r="A10">
            <v>601400</v>
          </cell>
          <cell r="B10" t="e">
            <v>#N/A</v>
          </cell>
          <cell r="C10" t="str">
            <v>G01</v>
          </cell>
          <cell r="D10" t="str">
            <v>Autres Produits d' Exploitation</v>
          </cell>
        </row>
        <row r="11">
          <cell r="A11">
            <v>601900</v>
          </cell>
          <cell r="B11" t="str">
            <v>RAB &amp; REM.OBTENUS-ACHATS MSES</v>
          </cell>
          <cell r="C11" t="str">
            <v>G01</v>
          </cell>
          <cell r="D11" t="str">
            <v>Autres Produits d' Exploitation</v>
          </cell>
        </row>
        <row r="12">
          <cell r="A12">
            <v>602100</v>
          </cell>
          <cell r="B12" t="str">
            <v>ACHATS MATIERES PREMIERES</v>
          </cell>
          <cell r="C12" t="str">
            <v>D02</v>
          </cell>
          <cell r="D12" t="str">
            <v>Matières et fournitures de production</v>
          </cell>
        </row>
        <row r="13">
          <cell r="A13">
            <v>602200</v>
          </cell>
          <cell r="B13" t="str">
            <v>ACHATS MATIERES PREMIERES HORS REGION</v>
          </cell>
          <cell r="C13" t="str">
            <v>D02</v>
          </cell>
          <cell r="D13" t="str">
            <v>Matières et fournitures de production</v>
          </cell>
        </row>
        <row r="14">
          <cell r="A14">
            <v>602210</v>
          </cell>
          <cell r="B14" t="str">
            <v>DROIT DE DOUANE SUR ACHAT DE MP</v>
          </cell>
          <cell r="C14" t="str">
            <v>D02</v>
          </cell>
          <cell r="D14" t="str">
            <v>Matières et fournitures de production</v>
          </cell>
        </row>
        <row r="15">
          <cell r="A15">
            <v>602220</v>
          </cell>
          <cell r="B15" t="str">
            <v>FRAIS DI SGS SUR ACHAT DE MP</v>
          </cell>
          <cell r="C15" t="str">
            <v>D02</v>
          </cell>
          <cell r="D15" t="str">
            <v>Matières et fournitures de production</v>
          </cell>
        </row>
        <row r="16">
          <cell r="A16">
            <v>602230</v>
          </cell>
          <cell r="B16" t="str">
            <v>FRAIS ADMINISTRATIFS SUR ACHATS</v>
          </cell>
          <cell r="C16" t="str">
            <v>D02</v>
          </cell>
          <cell r="D16" t="str">
            <v>Matières et fournitures de production</v>
          </cell>
        </row>
        <row r="17">
          <cell r="A17">
            <v>602300</v>
          </cell>
          <cell r="B17" t="e">
            <v>#N/A</v>
          </cell>
          <cell r="C17" t="str">
            <v>D02</v>
          </cell>
          <cell r="D17" t="str">
            <v>Matières et fournitures de production</v>
          </cell>
        </row>
        <row r="18">
          <cell r="A18">
            <v>602400</v>
          </cell>
          <cell r="B18" t="e">
            <v>#N/A</v>
          </cell>
          <cell r="C18" t="str">
            <v>D02</v>
          </cell>
          <cell r="D18" t="str">
            <v>Matières et fournitures de production</v>
          </cell>
        </row>
        <row r="19">
          <cell r="A19">
            <v>602900</v>
          </cell>
          <cell r="B19" t="e">
            <v>#N/A</v>
          </cell>
          <cell r="C19" t="str">
            <v>D02</v>
          </cell>
          <cell r="D19" t="str">
            <v>Matières et fournitures de production</v>
          </cell>
        </row>
        <row r="20">
          <cell r="A20">
            <v>602910</v>
          </cell>
          <cell r="B20" t="e">
            <v>#N/A</v>
          </cell>
          <cell r="C20" t="str">
            <v>D02</v>
          </cell>
          <cell r="D20" t="str">
            <v>Matières et fournitures de production</v>
          </cell>
        </row>
        <row r="21">
          <cell r="A21">
            <v>603110</v>
          </cell>
          <cell r="B21" t="str">
            <v>VARIATION STOCK MARCHANDISES</v>
          </cell>
          <cell r="C21" t="str">
            <v>G01</v>
          </cell>
          <cell r="D21" t="str">
            <v>Autres Produits d' Exploitation</v>
          </cell>
        </row>
        <row r="22">
          <cell r="A22">
            <v>603115</v>
          </cell>
          <cell r="B22" t="str">
            <v>VARIAT° DES STKS.P/VTES BIERES IMPORTEES</v>
          </cell>
          <cell r="C22" t="str">
            <v>G01</v>
          </cell>
          <cell r="D22" t="str">
            <v>Autres Produits d' Exploitation</v>
          </cell>
        </row>
        <row r="23">
          <cell r="A23">
            <v>603120</v>
          </cell>
          <cell r="B23" t="str">
            <v>VARIATION DE STOCK ISENBECK</v>
          </cell>
          <cell r="C23" t="str">
            <v>G01</v>
          </cell>
          <cell r="D23" t="str">
            <v>Autres Produits d' Exploitation</v>
          </cell>
        </row>
        <row r="24">
          <cell r="A24">
            <v>603130</v>
          </cell>
          <cell r="B24" t="str">
            <v>VARIAT° DES STKS.P/VENTES EAU</v>
          </cell>
          <cell r="C24" t="str">
            <v>G01</v>
          </cell>
          <cell r="D24" t="str">
            <v>Autres Produits d' Exploitation</v>
          </cell>
        </row>
        <row r="25">
          <cell r="A25">
            <v>603140</v>
          </cell>
          <cell r="B25" t="e">
            <v>#N/A</v>
          </cell>
          <cell r="C25" t="str">
            <v>G01</v>
          </cell>
          <cell r="D25" t="str">
            <v>Autres Produits d' Exploitation</v>
          </cell>
        </row>
        <row r="26">
          <cell r="A26">
            <v>603145</v>
          </cell>
          <cell r="B26" t="str">
            <v>CONSOMMAT° POUR VTE BIERE SIAC</v>
          </cell>
          <cell r="C26" t="str">
            <v>G01</v>
          </cell>
          <cell r="D26" t="str">
            <v>Autres Produits d' Exploitation</v>
          </cell>
        </row>
        <row r="27">
          <cell r="A27">
            <v>603155</v>
          </cell>
          <cell r="B27" t="str">
            <v>CONSOMMAT° POUR VTE BG SIAC</v>
          </cell>
          <cell r="C27" t="str">
            <v>G01</v>
          </cell>
          <cell r="D27" t="str">
            <v>Autres Produits d' Exploitation</v>
          </cell>
        </row>
        <row r="28">
          <cell r="A28">
            <v>603162</v>
          </cell>
          <cell r="B28" t="str">
            <v>CONSOM POUR CASSES/CESSIONS BIERES SIAC</v>
          </cell>
          <cell r="C28" t="str">
            <v>G01</v>
          </cell>
          <cell r="D28" t="str">
            <v>Autres Produits d' Exploitation</v>
          </cell>
        </row>
        <row r="29">
          <cell r="A29">
            <v>603163</v>
          </cell>
          <cell r="B29" t="str">
            <v>CONSOM POUR CASSES/CESSIONS BG SIAC</v>
          </cell>
          <cell r="C29" t="str">
            <v>G01</v>
          </cell>
          <cell r="D29" t="str">
            <v>Autres Produits d' Exploitation</v>
          </cell>
        </row>
        <row r="30">
          <cell r="A30">
            <v>603150</v>
          </cell>
          <cell r="B30" t="str">
            <v>CONSOMM.P/VENTES AOC</v>
          </cell>
          <cell r="C30" t="str">
            <v>G01</v>
          </cell>
          <cell r="D30" t="str">
            <v>Autres Produits d' Exploitation</v>
          </cell>
        </row>
        <row r="31">
          <cell r="A31">
            <v>603190</v>
          </cell>
          <cell r="B31" t="e">
            <v>#N/A</v>
          </cell>
          <cell r="C31" t="str">
            <v>G01</v>
          </cell>
          <cell r="D31" t="str">
            <v>Autres Produits d' Exploitation</v>
          </cell>
        </row>
        <row r="32">
          <cell r="A32">
            <v>603191</v>
          </cell>
          <cell r="B32" t="e">
            <v>#N/A</v>
          </cell>
          <cell r="C32" t="str">
            <v>G01</v>
          </cell>
          <cell r="D32" t="str">
            <v>Autres Produits d' Exploitation</v>
          </cell>
        </row>
        <row r="33">
          <cell r="A33">
            <v>603192</v>
          </cell>
          <cell r="B33" t="str">
            <v>VARIAT°.STOCKS.P/CASSES/CESSIONS EAU</v>
          </cell>
          <cell r="C33" t="str">
            <v>G01</v>
          </cell>
          <cell r="D33" t="str">
            <v>Autres Produits d' Exploitation</v>
          </cell>
        </row>
        <row r="34">
          <cell r="A34">
            <v>603193</v>
          </cell>
          <cell r="B34" t="e">
            <v>#N/A</v>
          </cell>
          <cell r="C34" t="str">
            <v>G01</v>
          </cell>
          <cell r="D34" t="str">
            <v>Autres Produits d' Exploitation</v>
          </cell>
        </row>
        <row r="35">
          <cell r="A35">
            <v>603194</v>
          </cell>
          <cell r="B35" t="str">
            <v>CONSOMM.P/CASSES/CESSIONS AOC</v>
          </cell>
          <cell r="C35" t="str">
            <v>G01</v>
          </cell>
          <cell r="D35" t="str">
            <v>Autres Produits d' Exploitation</v>
          </cell>
        </row>
        <row r="36">
          <cell r="A36">
            <v>603195</v>
          </cell>
          <cell r="B36" t="str">
            <v>VARIAT°. STKS.P/CAS/CESS.BIERES IMPORT.</v>
          </cell>
          <cell r="C36" t="str">
            <v>G01</v>
          </cell>
          <cell r="D36" t="str">
            <v>Autres Produits d' Exploitation</v>
          </cell>
        </row>
        <row r="37">
          <cell r="A37">
            <v>603196</v>
          </cell>
          <cell r="B37" t="e">
            <v>#N/A</v>
          </cell>
          <cell r="C37" t="str">
            <v>G01</v>
          </cell>
          <cell r="D37" t="str">
            <v>Autres Produits d' Exploitation</v>
          </cell>
        </row>
        <row r="38">
          <cell r="A38">
            <v>603199</v>
          </cell>
          <cell r="B38" t="str">
            <v>VARIAT°. STKS.REVALORISATION DES STKS</v>
          </cell>
          <cell r="C38" t="str">
            <v>C01</v>
          </cell>
          <cell r="D38" t="str">
            <v>Production stockée</v>
          </cell>
        </row>
        <row r="39">
          <cell r="A39">
            <v>603210</v>
          </cell>
          <cell r="B39" t="str">
            <v>VARIAT°. STKS. MAT. PREMIERES &amp; FOURN.</v>
          </cell>
          <cell r="C39" t="str">
            <v>D02</v>
          </cell>
          <cell r="D39" t="str">
            <v>Matières et fournitures de production</v>
          </cell>
        </row>
        <row r="40">
          <cell r="A40">
            <v>603211</v>
          </cell>
          <cell r="B40" t="e">
            <v>#N/A</v>
          </cell>
          <cell r="C40" t="str">
            <v>D02</v>
          </cell>
          <cell r="D40" t="str">
            <v>Matières et fournitures de production</v>
          </cell>
        </row>
        <row r="41">
          <cell r="A41">
            <v>603212</v>
          </cell>
          <cell r="B41" t="e">
            <v>#N/A</v>
          </cell>
          <cell r="C41" t="str">
            <v>D02</v>
          </cell>
          <cell r="D41" t="str">
            <v>Matières et fournitures de production</v>
          </cell>
        </row>
        <row r="42">
          <cell r="A42">
            <v>603215</v>
          </cell>
          <cell r="B42" t="e">
            <v>#N/A</v>
          </cell>
          <cell r="C42" t="str">
            <v>D02</v>
          </cell>
          <cell r="D42" t="str">
            <v>Matières et fournitures de production</v>
          </cell>
        </row>
        <row r="43">
          <cell r="A43">
            <v>603219</v>
          </cell>
          <cell r="B43" t="str">
            <v>VARIAT°. STKS. CARBURANT GROUPE ELECTRO</v>
          </cell>
          <cell r="C43" t="str">
            <v>D03</v>
          </cell>
          <cell r="D43" t="str">
            <v>Fluides de production</v>
          </cell>
        </row>
        <row r="44">
          <cell r="A44">
            <v>603220</v>
          </cell>
          <cell r="B44" t="str">
            <v>VARIAT°. STKS.MATIERES CONSOMMABLES</v>
          </cell>
          <cell r="C44" t="str">
            <v>D02</v>
          </cell>
          <cell r="D44" t="str">
            <v>Matières et fournitures de production</v>
          </cell>
        </row>
        <row r="45">
          <cell r="A45">
            <v>603221</v>
          </cell>
          <cell r="B45" t="str">
            <v>VARIAT°. STKS. COMBUSTIBLES</v>
          </cell>
          <cell r="C45" t="str">
            <v>D03</v>
          </cell>
          <cell r="D45" t="str">
            <v>Fluides de production</v>
          </cell>
        </row>
        <row r="46">
          <cell r="A46">
            <v>603222</v>
          </cell>
          <cell r="B46" t="str">
            <v>VARIAT°. STKS.CARBURANT/LUBRIF.VEHICULE</v>
          </cell>
          <cell r="C46" t="str">
            <v>F01</v>
          </cell>
          <cell r="D46" t="str">
            <v>Consommations fixes</v>
          </cell>
        </row>
        <row r="47">
          <cell r="A47">
            <v>603223</v>
          </cell>
          <cell r="B47" t="str">
            <v>VARIAT°. STKS. LUBRIFIANTS PRODUCTION</v>
          </cell>
          <cell r="C47" t="str">
            <v>D03</v>
          </cell>
          <cell r="D47" t="str">
            <v>Fluides de production</v>
          </cell>
        </row>
        <row r="48">
          <cell r="A48">
            <v>603224</v>
          </cell>
          <cell r="B48" t="str">
            <v>VARIAT°. STKS.POUR VENTE MPC</v>
          </cell>
          <cell r="C48" t="str">
            <v>D02</v>
          </cell>
          <cell r="D48" t="str">
            <v>Matières et fournitures de production</v>
          </cell>
        </row>
        <row r="49">
          <cell r="A49">
            <v>603225</v>
          </cell>
          <cell r="B49" t="str">
            <v>VARIAT°. STKS.AVARIES MATIERES</v>
          </cell>
          <cell r="C49" t="str">
            <v>D02</v>
          </cell>
          <cell r="D49" t="str">
            <v>Matières et fournitures de production</v>
          </cell>
        </row>
        <row r="50">
          <cell r="A50">
            <v>603226</v>
          </cell>
          <cell r="B50" t="str">
            <v>VARIAT°. STKS.DIFF./VALORISAT° STKS MPC</v>
          </cell>
          <cell r="C50" t="str">
            <v>D02</v>
          </cell>
          <cell r="D50" t="str">
            <v>Matières et fournitures de production</v>
          </cell>
        </row>
        <row r="51">
          <cell r="A51">
            <v>603227</v>
          </cell>
          <cell r="B51" t="str">
            <v>VARIAT°. STKS.DIFF/VALORISAT° DES ACHATS</v>
          </cell>
          <cell r="C51" t="str">
            <v>D02</v>
          </cell>
          <cell r="D51" t="str">
            <v>Matières et fournitures de production</v>
          </cell>
        </row>
        <row r="52">
          <cell r="A52">
            <v>603228</v>
          </cell>
          <cell r="B52" t="str">
            <v>VARIAT°. STKS. MPC (DESTRUCTION)</v>
          </cell>
          <cell r="C52" t="str">
            <v>D02</v>
          </cell>
          <cell r="D52" t="str">
            <v>Matières et fournitures de production</v>
          </cell>
        </row>
        <row r="53">
          <cell r="A53">
            <v>603229</v>
          </cell>
          <cell r="B53" t="str">
            <v>VARIAT°. STKS.ECART REGUL STKS APRES CLO</v>
          </cell>
          <cell r="C53" t="str">
            <v>D02</v>
          </cell>
          <cell r="D53" t="str">
            <v>Matières et fournitures de production</v>
          </cell>
        </row>
        <row r="54">
          <cell r="A54">
            <v>603230</v>
          </cell>
          <cell r="B54" t="e">
            <v>#N/A</v>
          </cell>
          <cell r="C54" t="str">
            <v>F01</v>
          </cell>
          <cell r="D54" t="str">
            <v>Consommations fixes</v>
          </cell>
        </row>
        <row r="55">
          <cell r="A55">
            <v>603231</v>
          </cell>
          <cell r="B55" t="e">
            <v>#N/A</v>
          </cell>
          <cell r="C55" t="str">
            <v>F01</v>
          </cell>
          <cell r="D55" t="str">
            <v>Consommations fixes</v>
          </cell>
        </row>
        <row r="56">
          <cell r="A56">
            <v>603232</v>
          </cell>
          <cell r="B56" t="e">
            <v>#N/A</v>
          </cell>
          <cell r="C56" t="str">
            <v>F01</v>
          </cell>
          <cell r="D56" t="str">
            <v>Consommations fixes</v>
          </cell>
        </row>
        <row r="57">
          <cell r="A57">
            <v>603233</v>
          </cell>
          <cell r="B57" t="e">
            <v>#N/A</v>
          </cell>
          <cell r="C57" t="str">
            <v>F01</v>
          </cell>
          <cell r="D57" t="str">
            <v>Consommations fixes</v>
          </cell>
        </row>
        <row r="58">
          <cell r="A58">
            <v>603235</v>
          </cell>
          <cell r="B58" t="e">
            <v>#N/A</v>
          </cell>
          <cell r="C58" t="str">
            <v>F01</v>
          </cell>
          <cell r="D58" t="str">
            <v>Consommations fixes</v>
          </cell>
        </row>
        <row r="59">
          <cell r="A59">
            <v>603290</v>
          </cell>
          <cell r="B59" t="str">
            <v>VARIAT°. STKS.FOURN INDUSTRIELLES</v>
          </cell>
          <cell r="C59" t="str">
            <v>F03</v>
          </cell>
          <cell r="D59" t="str">
            <v>Autres Services</v>
          </cell>
        </row>
        <row r="60">
          <cell r="A60">
            <v>603291</v>
          </cell>
          <cell r="B60" t="str">
            <v>VARIAT°. STKS.REVALORISATION STKS P.R.</v>
          </cell>
          <cell r="C60" t="str">
            <v>E03</v>
          </cell>
          <cell r="D60" t="str">
            <v>Maintenance (PdeR et entretien usine)</v>
          </cell>
        </row>
        <row r="61">
          <cell r="A61">
            <v>603292</v>
          </cell>
          <cell r="B61" t="str">
            <v>VARIAT°. STKS.PIECES RECHANGE STOCKEES</v>
          </cell>
          <cell r="C61" t="str">
            <v>E03</v>
          </cell>
          <cell r="D61" t="str">
            <v>Maintenance (PdeR et entretien usine)</v>
          </cell>
        </row>
        <row r="62">
          <cell r="A62">
            <v>603293</v>
          </cell>
          <cell r="B62" t="str">
            <v>VARIAT°. STKS.FOURNITURES DE BUREAU</v>
          </cell>
          <cell r="C62" t="str">
            <v>F01</v>
          </cell>
          <cell r="D62" t="str">
            <v>Consommations fixes</v>
          </cell>
        </row>
        <row r="63">
          <cell r="A63">
            <v>603300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603301</v>
          </cell>
          <cell r="B64" t="str">
            <v>VARIAT°. STKS.P/CASS/ECART CAS.C. GM 300</v>
          </cell>
          <cell r="C64" t="str">
            <v>D06</v>
          </cell>
          <cell r="D64" t="str">
            <v>Consommations d'emballages</v>
          </cell>
        </row>
        <row r="65">
          <cell r="A65">
            <v>603302</v>
          </cell>
          <cell r="B65" t="str">
            <v>VARIAT°. STKS.P/CASS/ECART CAS.C. PM 300</v>
          </cell>
          <cell r="C65" t="str">
            <v>D06</v>
          </cell>
          <cell r="D65" t="str">
            <v>Consommations d'emballages</v>
          </cell>
        </row>
        <row r="66">
          <cell r="A66">
            <v>603303</v>
          </cell>
          <cell r="B66" t="str">
            <v>VARIAT°. STKS.P/CASS/ECART CAS.V.GM 1200</v>
          </cell>
          <cell r="C66" t="str">
            <v>D06</v>
          </cell>
          <cell r="D66" t="str">
            <v>Consommations d'emballages</v>
          </cell>
        </row>
        <row r="67">
          <cell r="A67">
            <v>603304</v>
          </cell>
          <cell r="B67" t="str">
            <v>VARIAT°. STKS.P/CASS/ECART CAS.V.PM 1200</v>
          </cell>
          <cell r="C67" t="str">
            <v>D06</v>
          </cell>
          <cell r="D67" t="str">
            <v>Consommations d'emballages</v>
          </cell>
        </row>
        <row r="68">
          <cell r="A68">
            <v>603305</v>
          </cell>
          <cell r="B68" t="str">
            <v>VARIAT°. STKS.P/CASS/ECART BTL GM A 150</v>
          </cell>
          <cell r="C68" t="str">
            <v>D06</v>
          </cell>
          <cell r="D68" t="str">
            <v>Consommations d'emballages</v>
          </cell>
        </row>
        <row r="69">
          <cell r="A69">
            <v>603306</v>
          </cell>
          <cell r="B69" t="str">
            <v>VARIAT°. STKS.P/CASS/ECART BTL PM A 75</v>
          </cell>
          <cell r="C69" t="str">
            <v>D06</v>
          </cell>
          <cell r="D69" t="str">
            <v>Consommations d'emballages</v>
          </cell>
        </row>
        <row r="70">
          <cell r="A70">
            <v>603309</v>
          </cell>
          <cell r="B70" t="e">
            <v>#N/A</v>
          </cell>
          <cell r="C70" t="str">
            <v>D06</v>
          </cell>
          <cell r="D70" t="str">
            <v>Consommations d'emballages</v>
          </cell>
        </row>
        <row r="71">
          <cell r="A71">
            <v>603310</v>
          </cell>
          <cell r="B71" t="e">
            <v>#N/A</v>
          </cell>
          <cell r="C71" t="str">
            <v>D06</v>
          </cell>
          <cell r="D71" t="str">
            <v>Consommations d'emballages</v>
          </cell>
        </row>
        <row r="72">
          <cell r="A72">
            <v>603311</v>
          </cell>
          <cell r="B72" t="e">
            <v>#N/A</v>
          </cell>
          <cell r="C72" t="str">
            <v>D06</v>
          </cell>
          <cell r="D72" t="str">
            <v>Consommations d'emballages</v>
          </cell>
        </row>
        <row r="73">
          <cell r="A73">
            <v>603312</v>
          </cell>
          <cell r="B73" t="str">
            <v>VARIAT°. STKS.P/DESTRUC.CAS.V.GM A 1200</v>
          </cell>
          <cell r="C73" t="str">
            <v>D06</v>
          </cell>
          <cell r="D73" t="str">
            <v>Consommations d'emballages</v>
          </cell>
        </row>
        <row r="74">
          <cell r="A74">
            <v>603313</v>
          </cell>
          <cell r="B74" t="str">
            <v>VARIAT°. STKS.P/DESTRUC.CAS.V.PM A 1200</v>
          </cell>
          <cell r="C74" t="str">
            <v>D06</v>
          </cell>
          <cell r="D74" t="str">
            <v>Consommations d'emballages</v>
          </cell>
        </row>
        <row r="75">
          <cell r="A75">
            <v>603314</v>
          </cell>
          <cell r="B75" t="str">
            <v>VARIAT°. STKS.P/DESTRUC.BTLLES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603315</v>
          </cell>
          <cell r="B76" t="str">
            <v>VARIAT°. STKS.P/DESTRUC.BTLLES PM A 75</v>
          </cell>
          <cell r="C76" t="str">
            <v>D06</v>
          </cell>
          <cell r="D76" t="str">
            <v>Consommations d'emballages</v>
          </cell>
        </row>
        <row r="77">
          <cell r="A77">
            <v>603318</v>
          </cell>
          <cell r="B77" t="str">
            <v>VARIAT°. STKS.ECART S/ ACHATS CAS. NEUFS</v>
          </cell>
          <cell r="C77" t="str">
            <v>E02</v>
          </cell>
          <cell r="D77" t="str">
            <v>Ecart Prix d'achat - Prix de consigne</v>
          </cell>
        </row>
        <row r="78">
          <cell r="A78">
            <v>603319</v>
          </cell>
          <cell r="B78" t="str">
            <v>VARIAT°. STKS.ECARTS S/ACHATS BTLLES NEU</v>
          </cell>
          <cell r="C78" t="str">
            <v>E02</v>
          </cell>
          <cell r="D78" t="str">
            <v>Ecart Prix d'achat - Prix de consigne</v>
          </cell>
        </row>
        <row r="79">
          <cell r="A79">
            <v>603320</v>
          </cell>
          <cell r="B79" t="e">
            <v>#N/A</v>
          </cell>
          <cell r="C79" t="str">
            <v>D06</v>
          </cell>
          <cell r="D79" t="str">
            <v>Consommations d'emballages</v>
          </cell>
        </row>
        <row r="80">
          <cell r="A80">
            <v>603321</v>
          </cell>
          <cell r="B80" t="str">
            <v>VARIATION STOCK VETEMENT TRAVAIL &amp; AUTRE</v>
          </cell>
          <cell r="C80" t="str">
            <v>G01</v>
          </cell>
          <cell r="D80" t="str">
            <v>Autres Produits d' Exploitation</v>
          </cell>
        </row>
        <row r="81">
          <cell r="A81">
            <v>603322</v>
          </cell>
          <cell r="B81" t="e">
            <v>#N/A</v>
          </cell>
          <cell r="C81" t="str">
            <v>D06</v>
          </cell>
          <cell r="D81" t="str">
            <v>Consommations d'emballages</v>
          </cell>
        </row>
        <row r="82">
          <cell r="A82">
            <v>603323</v>
          </cell>
          <cell r="B82" t="e">
            <v>#N/A</v>
          </cell>
          <cell r="C82" t="str">
            <v>D06</v>
          </cell>
          <cell r="D82" t="str">
            <v>Consommations d'emballages</v>
          </cell>
        </row>
        <row r="83">
          <cell r="A83">
            <v>603324</v>
          </cell>
          <cell r="B83" t="e">
            <v>#N/A</v>
          </cell>
          <cell r="C83" t="str">
            <v>G01</v>
          </cell>
          <cell r="D83" t="str">
            <v>Autres Produits d' Exploitation</v>
          </cell>
        </row>
        <row r="84">
          <cell r="A84">
            <v>603325</v>
          </cell>
          <cell r="B84" t="e">
            <v>#N/A</v>
          </cell>
          <cell r="C84" t="str">
            <v>D06</v>
          </cell>
          <cell r="D84" t="str">
            <v>Consommations d'emballages</v>
          </cell>
        </row>
        <row r="85">
          <cell r="A85">
            <v>603326</v>
          </cell>
          <cell r="B85" t="str">
            <v>VARIAT°. STKS.P/CESS/PROMO FUTS A 8000</v>
          </cell>
          <cell r="C85" t="str">
            <v>D06</v>
          </cell>
          <cell r="D85" t="str">
            <v>Consommations d'emballages</v>
          </cell>
        </row>
        <row r="86">
          <cell r="A86">
            <v>603327</v>
          </cell>
          <cell r="B86" t="e">
            <v>#N/A</v>
          </cell>
          <cell r="C86" t="str">
            <v>D06</v>
          </cell>
          <cell r="D86" t="str">
            <v>Consommations d'emballages</v>
          </cell>
        </row>
        <row r="87">
          <cell r="A87">
            <v>603328</v>
          </cell>
          <cell r="B87" t="e">
            <v>#N/A</v>
          </cell>
          <cell r="C87" t="str">
            <v>D06</v>
          </cell>
          <cell r="D87" t="str">
            <v>Consommations d'emballages</v>
          </cell>
        </row>
        <row r="88">
          <cell r="A88">
            <v>603329</v>
          </cell>
          <cell r="B88" t="e">
            <v>#N/A</v>
          </cell>
          <cell r="C88" t="str">
            <v>D06</v>
          </cell>
          <cell r="D88" t="str">
            <v>Consommations d'emballages</v>
          </cell>
        </row>
        <row r="89">
          <cell r="A89">
            <v>603330</v>
          </cell>
          <cell r="B89" t="e">
            <v>#N/A</v>
          </cell>
          <cell r="C89" t="str">
            <v>D06</v>
          </cell>
          <cell r="D89" t="str">
            <v>Consommations d'emballages</v>
          </cell>
        </row>
        <row r="90">
          <cell r="A90">
            <v>603331</v>
          </cell>
          <cell r="B90" t="str">
            <v>VARIATION STOCK ARTICLE PUB</v>
          </cell>
          <cell r="C90" t="str">
            <v>E04</v>
          </cell>
          <cell r="D90" t="str">
            <v>Publicité et Marketing local</v>
          </cell>
        </row>
        <row r="91">
          <cell r="A91">
            <v>603332</v>
          </cell>
          <cell r="B91" t="str">
            <v>VAR STK MAT&amp;FRNI IND PROD</v>
          </cell>
          <cell r="C91" t="str">
            <v>D06</v>
          </cell>
          <cell r="D91" t="str">
            <v>Consommations d'emballages</v>
          </cell>
        </row>
        <row r="92">
          <cell r="A92">
            <v>603333</v>
          </cell>
          <cell r="B92" t="e">
            <v>#N/A</v>
          </cell>
          <cell r="C92" t="str">
            <v>D06</v>
          </cell>
          <cell r="D92" t="str">
            <v>Consommations d'emballages</v>
          </cell>
        </row>
        <row r="93">
          <cell r="A93">
            <v>603334</v>
          </cell>
          <cell r="B93" t="e">
            <v>#N/A</v>
          </cell>
          <cell r="C93" t="str">
            <v>D06</v>
          </cell>
          <cell r="D93" t="str">
            <v>Consommations d'emballages</v>
          </cell>
        </row>
        <row r="94">
          <cell r="A94">
            <v>603335</v>
          </cell>
          <cell r="B94" t="e">
            <v>#N/A</v>
          </cell>
          <cell r="C94" t="str">
            <v>D06</v>
          </cell>
          <cell r="D94" t="str">
            <v>Consommations d'emballages</v>
          </cell>
        </row>
        <row r="95">
          <cell r="A95">
            <v>603336</v>
          </cell>
          <cell r="B95" t="str">
            <v>VARIAT°. STKS.P/CASS/ECART FUTS A 8000</v>
          </cell>
          <cell r="C95" t="str">
            <v>D06</v>
          </cell>
          <cell r="D95" t="str">
            <v>Consommations d'emballages</v>
          </cell>
        </row>
        <row r="96">
          <cell r="A96">
            <v>603337</v>
          </cell>
          <cell r="B96" t="e">
            <v>#N/A</v>
          </cell>
          <cell r="C96" t="str">
            <v>D06</v>
          </cell>
          <cell r="D96" t="str">
            <v>Consommations d'emballages</v>
          </cell>
        </row>
        <row r="97">
          <cell r="A97">
            <v>603338</v>
          </cell>
          <cell r="B97" t="e">
            <v>#N/A</v>
          </cell>
          <cell r="C97" t="str">
            <v>D06</v>
          </cell>
          <cell r="D97" t="str">
            <v>Consommations d'emballages</v>
          </cell>
        </row>
        <row r="98">
          <cell r="A98">
            <v>603339</v>
          </cell>
          <cell r="B98" t="str">
            <v>VARIAT°. STKS.P/CASS/ECART BTL LIT. A 15</v>
          </cell>
          <cell r="C98" t="str">
            <v>D06</v>
          </cell>
          <cell r="D98" t="str">
            <v>Consommations d'emballages</v>
          </cell>
        </row>
        <row r="99">
          <cell r="A99">
            <v>603340</v>
          </cell>
          <cell r="B99" t="e">
            <v>#N/A</v>
          </cell>
          <cell r="C99" t="str">
            <v>D06</v>
          </cell>
          <cell r="D99" t="str">
            <v>Consommations d'emballages</v>
          </cell>
        </row>
        <row r="100">
          <cell r="A100">
            <v>603341</v>
          </cell>
          <cell r="B100" t="str">
            <v>VAR STK LISTING-IMPR-FRNI BUR STK</v>
          </cell>
          <cell r="C100" t="str">
            <v>D06</v>
          </cell>
          <cell r="D100" t="str">
            <v>Consommations d'emballages</v>
          </cell>
        </row>
        <row r="101">
          <cell r="A101">
            <v>603342</v>
          </cell>
          <cell r="B101" t="e">
            <v>#N/A</v>
          </cell>
          <cell r="C101" t="str">
            <v>D06</v>
          </cell>
          <cell r="D101" t="str">
            <v>Consommations d'emballages</v>
          </cell>
        </row>
        <row r="102">
          <cell r="A102">
            <v>603343</v>
          </cell>
          <cell r="B102" t="e">
            <v>#N/A</v>
          </cell>
          <cell r="C102" t="str">
            <v>D06</v>
          </cell>
          <cell r="D102" t="str">
            <v>Consommations d'emballages</v>
          </cell>
        </row>
        <row r="103">
          <cell r="A103">
            <v>603344</v>
          </cell>
          <cell r="B103" t="e">
            <v>#N/A</v>
          </cell>
          <cell r="C103" t="str">
            <v>D06</v>
          </cell>
          <cell r="D103" t="str">
            <v>Consommations d'emballages</v>
          </cell>
        </row>
        <row r="104">
          <cell r="A104">
            <v>603345</v>
          </cell>
          <cell r="B104" t="e">
            <v>#N/A</v>
          </cell>
          <cell r="C104" t="str">
            <v>D06</v>
          </cell>
          <cell r="D104" t="str">
            <v>Consommations d'emballages</v>
          </cell>
        </row>
        <row r="105">
          <cell r="A105">
            <v>603346</v>
          </cell>
          <cell r="B105" t="e">
            <v>#N/A</v>
          </cell>
          <cell r="C105" t="str">
            <v>D06</v>
          </cell>
          <cell r="D105" t="str">
            <v>Consommations d'emballages</v>
          </cell>
        </row>
        <row r="106">
          <cell r="A106">
            <v>603347</v>
          </cell>
          <cell r="B106" t="e">
            <v>#N/A</v>
          </cell>
          <cell r="C106" t="str">
            <v>D06</v>
          </cell>
          <cell r="D106" t="str">
            <v>Consommations d'emballages</v>
          </cell>
        </row>
        <row r="107">
          <cell r="A107">
            <v>603348</v>
          </cell>
          <cell r="B107" t="e">
            <v>#N/A</v>
          </cell>
          <cell r="C107" t="str">
            <v>D06</v>
          </cell>
          <cell r="D107" t="str">
            <v>Consommations d'emballages</v>
          </cell>
        </row>
        <row r="108">
          <cell r="A108">
            <v>603349</v>
          </cell>
          <cell r="B108" t="e">
            <v>#N/A</v>
          </cell>
          <cell r="C108" t="str">
            <v>D06</v>
          </cell>
          <cell r="D108" t="str">
            <v>Consommations d'emballages</v>
          </cell>
        </row>
        <row r="109">
          <cell r="A109">
            <v>603350</v>
          </cell>
          <cell r="B109" t="str">
            <v>VARIATIONS STOCKS D'EMBALLAGES</v>
          </cell>
          <cell r="C109" t="str">
            <v>G01</v>
          </cell>
          <cell r="D109" t="str">
            <v>Autres Produits d' Exploitation</v>
          </cell>
        </row>
        <row r="110">
          <cell r="A110">
            <v>603351</v>
          </cell>
          <cell r="B110" t="e">
            <v>#N/A</v>
          </cell>
          <cell r="C110" t="str">
            <v>D06</v>
          </cell>
          <cell r="D110" t="str">
            <v>Consommations d'emballages</v>
          </cell>
        </row>
        <row r="111">
          <cell r="A111">
            <v>603352</v>
          </cell>
          <cell r="B111" t="e">
            <v>#N/A</v>
          </cell>
          <cell r="C111" t="str">
            <v>D06</v>
          </cell>
          <cell r="D111" t="str">
            <v>Consommations d'emballages</v>
          </cell>
        </row>
        <row r="112">
          <cell r="A112">
            <v>603358</v>
          </cell>
          <cell r="B112" t="str">
            <v>VARIAT°. STKS PALETTES</v>
          </cell>
          <cell r="C112" t="str">
            <v>F01</v>
          </cell>
          <cell r="D112" t="str">
            <v>Consommations fixes</v>
          </cell>
        </row>
        <row r="113">
          <cell r="A113">
            <v>603360</v>
          </cell>
          <cell r="B113" t="e">
            <v>#N/A</v>
          </cell>
          <cell r="C113" t="str">
            <v>D06</v>
          </cell>
          <cell r="D113" t="str">
            <v>Consommations d'emballages</v>
          </cell>
        </row>
        <row r="114">
          <cell r="A114">
            <v>603361</v>
          </cell>
          <cell r="B114" t="e">
            <v>#N/A</v>
          </cell>
          <cell r="C114" t="str">
            <v>D06</v>
          </cell>
          <cell r="D114" t="str">
            <v>Consommations d'emballages</v>
          </cell>
        </row>
        <row r="115">
          <cell r="A115">
            <v>603362</v>
          </cell>
          <cell r="B115" t="e">
            <v>#N/A</v>
          </cell>
          <cell r="C115" t="str">
            <v>D06</v>
          </cell>
          <cell r="D115" t="str">
            <v>Consommations d'emballages</v>
          </cell>
        </row>
        <row r="116">
          <cell r="A116">
            <v>603363</v>
          </cell>
          <cell r="B116" t="e">
            <v>#N/A</v>
          </cell>
          <cell r="C116" t="str">
            <v>D06</v>
          </cell>
          <cell r="D116" t="str">
            <v>Consommations d'emballages</v>
          </cell>
        </row>
        <row r="117">
          <cell r="A117">
            <v>603364</v>
          </cell>
          <cell r="B117" t="e">
            <v>#N/A</v>
          </cell>
          <cell r="C117" t="str">
            <v>D06</v>
          </cell>
          <cell r="D117" t="str">
            <v>Consommations d'emballages</v>
          </cell>
        </row>
        <row r="118">
          <cell r="A118">
            <v>603365</v>
          </cell>
          <cell r="B118" t="e">
            <v>#N/A</v>
          </cell>
          <cell r="C118" t="str">
            <v>D06</v>
          </cell>
          <cell r="D118" t="str">
            <v>Consommations d'emballages</v>
          </cell>
        </row>
        <row r="119">
          <cell r="A119">
            <v>603366</v>
          </cell>
          <cell r="B119" t="e">
            <v>#N/A</v>
          </cell>
          <cell r="C119" t="str">
            <v>D06</v>
          </cell>
          <cell r="D119" t="str">
            <v>Consommations d'emballages</v>
          </cell>
        </row>
        <row r="120">
          <cell r="A120">
            <v>603367</v>
          </cell>
          <cell r="B120" t="e">
            <v>#N/A</v>
          </cell>
          <cell r="C120" t="str">
            <v>D06</v>
          </cell>
          <cell r="D120" t="str">
            <v>Consommations d'emballages</v>
          </cell>
        </row>
        <row r="121">
          <cell r="A121">
            <v>603368</v>
          </cell>
          <cell r="B121" t="e">
            <v>#N/A</v>
          </cell>
          <cell r="C121" t="str">
            <v>D06</v>
          </cell>
          <cell r="D121" t="str">
            <v>Consommations d'emballages</v>
          </cell>
        </row>
        <row r="122">
          <cell r="A122">
            <v>603369</v>
          </cell>
          <cell r="B122" t="e">
            <v>#N/A</v>
          </cell>
          <cell r="C122" t="str">
            <v>D06</v>
          </cell>
          <cell r="D122" t="str">
            <v>Consommations d'emballages</v>
          </cell>
        </row>
        <row r="123">
          <cell r="A123">
            <v>603381</v>
          </cell>
          <cell r="B123" t="str">
            <v>VARIAT°. STKS.P/CESS/PROMO CAS.C. GM 300</v>
          </cell>
          <cell r="C123" t="str">
            <v>D06</v>
          </cell>
          <cell r="D123" t="str">
            <v>Consommations d'emballages</v>
          </cell>
        </row>
        <row r="124">
          <cell r="A124">
            <v>603382</v>
          </cell>
          <cell r="B124" t="str">
            <v>VARIAT°. STKS.P/CESS/PROMO CAS.C. PM 300</v>
          </cell>
          <cell r="C124" t="str">
            <v>D06</v>
          </cell>
          <cell r="D124" t="str">
            <v>Consommations d'emballages</v>
          </cell>
        </row>
        <row r="125">
          <cell r="A125">
            <v>603383</v>
          </cell>
          <cell r="B125" t="str">
            <v>VARIAT°. STKS.P/CESS/PROMO CAS.V.GM 1200</v>
          </cell>
          <cell r="C125" t="str">
            <v>D06</v>
          </cell>
          <cell r="D125" t="str">
            <v>Consommations d'emballages</v>
          </cell>
        </row>
        <row r="126">
          <cell r="A126">
            <v>603384</v>
          </cell>
          <cell r="B126" t="str">
            <v>VARIAT°. STKS.P/CESS/PROMO CAS.V.PM 1200</v>
          </cell>
          <cell r="C126" t="str">
            <v>D06</v>
          </cell>
          <cell r="D126" t="str">
            <v>Consommations d'emballages</v>
          </cell>
        </row>
        <row r="127">
          <cell r="A127">
            <v>603385</v>
          </cell>
          <cell r="B127" t="e">
            <v>#N/A</v>
          </cell>
          <cell r="C127" t="str">
            <v>D06</v>
          </cell>
          <cell r="D127" t="str">
            <v>Consommations d'emballages</v>
          </cell>
        </row>
        <row r="128">
          <cell r="A128">
            <v>603386</v>
          </cell>
          <cell r="B128" t="e">
            <v>#N/A</v>
          </cell>
          <cell r="C128" t="str">
            <v>D06</v>
          </cell>
          <cell r="D128" t="str">
            <v>Consommations d'emballages</v>
          </cell>
        </row>
        <row r="129">
          <cell r="A129">
            <v>603390</v>
          </cell>
          <cell r="B129" t="str">
            <v>CONS.P/ECARTS VALO.CAS.C.GM 3000</v>
          </cell>
          <cell r="C129" t="str">
            <v>D06</v>
          </cell>
          <cell r="D129" t="str">
            <v>Consommations d'emballages</v>
          </cell>
        </row>
        <row r="130">
          <cell r="A130">
            <v>603391</v>
          </cell>
          <cell r="B130" t="e">
            <v>#N/A</v>
          </cell>
          <cell r="C130" t="str">
            <v>D06</v>
          </cell>
          <cell r="D130" t="str">
            <v>Consommations d'emballages</v>
          </cell>
        </row>
        <row r="131">
          <cell r="A131">
            <v>603392</v>
          </cell>
          <cell r="B131" t="e">
            <v>#N/A</v>
          </cell>
          <cell r="C131" t="str">
            <v>D06</v>
          </cell>
          <cell r="D131" t="str">
            <v>Consommations d'emballages</v>
          </cell>
        </row>
        <row r="132">
          <cell r="A132">
            <v>603393</v>
          </cell>
          <cell r="B132" t="str">
            <v>VARIAT°. STKS. CONS/BUR</v>
          </cell>
          <cell r="C132" t="str">
            <v>D06</v>
          </cell>
          <cell r="D132" t="str">
            <v>Consommations d'emballages</v>
          </cell>
        </row>
        <row r="133">
          <cell r="A133">
            <v>603394</v>
          </cell>
          <cell r="B133" t="str">
            <v>CONS.P/ECARTS VALO.BTLS GM A 150</v>
          </cell>
          <cell r="C133" t="str">
            <v>D06</v>
          </cell>
          <cell r="D133" t="str">
            <v>Consommations d'emballages</v>
          </cell>
        </row>
        <row r="134">
          <cell r="A134">
            <v>603395</v>
          </cell>
          <cell r="B134" t="e">
            <v>#N/A</v>
          </cell>
          <cell r="C134" t="str">
            <v>D06</v>
          </cell>
          <cell r="D134" t="str">
            <v>Consommations d'emballages</v>
          </cell>
        </row>
        <row r="135">
          <cell r="A135">
            <v>603398</v>
          </cell>
          <cell r="B135" t="str">
            <v>REVALORISATION DE STOCK EMBAL.</v>
          </cell>
          <cell r="C135" t="str">
            <v>D06</v>
          </cell>
          <cell r="D135" t="str">
            <v>Consommations d'emballages</v>
          </cell>
        </row>
        <row r="136">
          <cell r="A136">
            <v>603400</v>
          </cell>
          <cell r="B136" t="e">
            <v>#N/A</v>
          </cell>
          <cell r="C136" t="str">
            <v>G01</v>
          </cell>
          <cell r="D136" t="str">
            <v>Autres Produits d' Exploitation</v>
          </cell>
        </row>
        <row r="137">
          <cell r="A137">
            <v>603410</v>
          </cell>
          <cell r="B137" t="e">
            <v>#N/A</v>
          </cell>
          <cell r="C137" t="str">
            <v>G01</v>
          </cell>
          <cell r="D137" t="str">
            <v>Autres Produits d' Exploitation</v>
          </cell>
        </row>
        <row r="138">
          <cell r="A138">
            <v>603420</v>
          </cell>
          <cell r="B138" t="e">
            <v>#N/A</v>
          </cell>
          <cell r="C138" t="str">
            <v>G01</v>
          </cell>
          <cell r="D138" t="str">
            <v>Autres Produits d' Exploitation</v>
          </cell>
        </row>
        <row r="139">
          <cell r="A139">
            <v>603430</v>
          </cell>
          <cell r="B139" t="e">
            <v>#N/A</v>
          </cell>
          <cell r="C139" t="str">
            <v>G01</v>
          </cell>
          <cell r="D139" t="str">
            <v>Autres Produits d' Exploitation</v>
          </cell>
        </row>
        <row r="140">
          <cell r="A140">
            <v>603440</v>
          </cell>
          <cell r="B140" t="e">
            <v>#N/A</v>
          </cell>
          <cell r="C140" t="str">
            <v>G01</v>
          </cell>
          <cell r="D140" t="str">
            <v>Autres Produits d' Exploitation</v>
          </cell>
        </row>
        <row r="141">
          <cell r="A141">
            <v>603450</v>
          </cell>
          <cell r="B141" t="e">
            <v>#N/A</v>
          </cell>
          <cell r="C141" t="str">
            <v>G01</v>
          </cell>
          <cell r="D141" t="str">
            <v>Autres Produits d' Exploitation</v>
          </cell>
        </row>
        <row r="142">
          <cell r="A142">
            <v>603460</v>
          </cell>
          <cell r="B142" t="str">
            <v>SORTIE P/VENTES FUTS A 8000</v>
          </cell>
          <cell r="C142" t="str">
            <v>G01</v>
          </cell>
          <cell r="D142" t="str">
            <v>Autres Produits d' Exploitation</v>
          </cell>
        </row>
        <row r="143">
          <cell r="A143">
            <v>603470</v>
          </cell>
          <cell r="B143" t="e">
            <v>#N/A</v>
          </cell>
          <cell r="C143" t="str">
            <v>G01</v>
          </cell>
          <cell r="D143" t="str">
            <v>Autres Produits d' Exploitation</v>
          </cell>
        </row>
        <row r="144">
          <cell r="A144">
            <v>603480</v>
          </cell>
          <cell r="B144" t="e">
            <v>#N/A</v>
          </cell>
          <cell r="C144" t="str">
            <v>G01</v>
          </cell>
          <cell r="D144" t="str">
            <v>Autres Produits d' Exploitation</v>
          </cell>
        </row>
        <row r="145">
          <cell r="A145">
            <v>603490</v>
          </cell>
          <cell r="B145" t="str">
            <v>SORTIE P/VTES CAS COMPLET GM A 3000</v>
          </cell>
          <cell r="C145" t="str">
            <v>G01</v>
          </cell>
          <cell r="D145" t="str">
            <v>Autres Produits d' Exploitation</v>
          </cell>
        </row>
        <row r="146">
          <cell r="A146">
            <v>603491</v>
          </cell>
          <cell r="B146" t="str">
            <v>SORTIE P/VTES CAS COMPLET PM A 3000</v>
          </cell>
          <cell r="C146" t="str">
            <v>G01</v>
          </cell>
          <cell r="D146" t="str">
            <v>Autres Produits d' Exploitation</v>
          </cell>
        </row>
        <row r="147">
          <cell r="A147">
            <v>603492</v>
          </cell>
          <cell r="B147" t="str">
            <v>SORTIE P/VTES CAS VIDES GM A 1200</v>
          </cell>
          <cell r="C147" t="str">
            <v>G01</v>
          </cell>
          <cell r="D147" t="str">
            <v>Autres Produits d' Exploitation</v>
          </cell>
        </row>
        <row r="148">
          <cell r="A148">
            <v>603493</v>
          </cell>
          <cell r="B148" t="str">
            <v>SORTIE P/VTES CAS VIDES PM A 1200</v>
          </cell>
          <cell r="C148" t="str">
            <v>G01</v>
          </cell>
          <cell r="D148" t="str">
            <v>Autres Produits d' Exploitation</v>
          </cell>
        </row>
        <row r="149">
          <cell r="A149">
            <v>603494</v>
          </cell>
          <cell r="B149" t="str">
            <v>SORTIE P/VTES BTL GM A 150</v>
          </cell>
          <cell r="C149" t="str">
            <v>G01</v>
          </cell>
          <cell r="D149" t="str">
            <v>Autres Produits d' Exploitation</v>
          </cell>
        </row>
        <row r="150">
          <cell r="A150">
            <v>603495</v>
          </cell>
          <cell r="B150" t="str">
            <v>SORTIE P/VTES BTL PM A 75</v>
          </cell>
          <cell r="C150" t="str">
            <v>G01</v>
          </cell>
          <cell r="D150" t="str">
            <v>Autres Produits d' Exploitation</v>
          </cell>
        </row>
        <row r="151">
          <cell r="A151">
            <v>603500</v>
          </cell>
          <cell r="B151" t="e">
            <v>#N/A</v>
          </cell>
          <cell r="C151" t="str">
            <v>G01</v>
          </cell>
          <cell r="D151" t="str">
            <v>Autres Produits d' Exploitation</v>
          </cell>
        </row>
        <row r="152">
          <cell r="A152">
            <v>603510</v>
          </cell>
          <cell r="B152" t="e">
            <v>#N/A</v>
          </cell>
          <cell r="C152" t="str">
            <v>G01</v>
          </cell>
          <cell r="D152" t="str">
            <v>Autres Produits d' Exploitation</v>
          </cell>
        </row>
        <row r="153">
          <cell r="A153">
            <v>603540</v>
          </cell>
          <cell r="B153" t="str">
            <v>SORTIE P/VTES EMB HC CAS. VID GM A 1200</v>
          </cell>
          <cell r="C153" t="str">
            <v>G01</v>
          </cell>
          <cell r="D153" t="str">
            <v>Autres Produits d' Exploitation</v>
          </cell>
        </row>
        <row r="154">
          <cell r="A154">
            <v>603550</v>
          </cell>
          <cell r="B154" t="str">
            <v>SORTIE P/VTES EMB HC CAS. VID PM A 1200</v>
          </cell>
          <cell r="C154" t="str">
            <v>G01</v>
          </cell>
          <cell r="D154" t="str">
            <v>Autres Produits d' Exploitation</v>
          </cell>
        </row>
        <row r="155">
          <cell r="A155">
            <v>603570</v>
          </cell>
          <cell r="B155" t="str">
            <v>SORTIE P/VTE EMB HC BLLE GM A 150</v>
          </cell>
          <cell r="C155" t="str">
            <v>G01</v>
          </cell>
          <cell r="D155" t="str">
            <v>Autres Produits d' Exploitation</v>
          </cell>
        </row>
        <row r="156">
          <cell r="A156">
            <v>603580</v>
          </cell>
          <cell r="B156" t="str">
            <v>SORTIE P/VTES EMB. HC BLLE PM A 75</v>
          </cell>
          <cell r="C156" t="str">
            <v>G01</v>
          </cell>
          <cell r="D156" t="str">
            <v>Autres Produits d' Exploitation</v>
          </cell>
        </row>
        <row r="157">
          <cell r="A157">
            <v>603700</v>
          </cell>
          <cell r="B157" t="e">
            <v>#N/A</v>
          </cell>
          <cell r="C157" t="str">
            <v>G01</v>
          </cell>
          <cell r="D157" t="str">
            <v>Autres Produits d' Exploitation</v>
          </cell>
        </row>
        <row r="158">
          <cell r="A158">
            <v>603710</v>
          </cell>
          <cell r="B158" t="e">
            <v>#N/A</v>
          </cell>
          <cell r="C158" t="str">
            <v>G01</v>
          </cell>
          <cell r="D158" t="str">
            <v>Autres Produits d' Exploitation</v>
          </cell>
        </row>
        <row r="159">
          <cell r="A159">
            <v>603720</v>
          </cell>
          <cell r="B159" t="e">
            <v>#N/A</v>
          </cell>
          <cell r="C159" t="str">
            <v>G01</v>
          </cell>
          <cell r="D159" t="str">
            <v>Autres Produits d' Exploitation</v>
          </cell>
        </row>
        <row r="160">
          <cell r="A160">
            <v>603730</v>
          </cell>
          <cell r="B160" t="e">
            <v>#N/A</v>
          </cell>
          <cell r="C160" t="str">
            <v>G01</v>
          </cell>
          <cell r="D160" t="str">
            <v>Autres Produits d' Exploitation</v>
          </cell>
        </row>
        <row r="161">
          <cell r="A161">
            <v>603740</v>
          </cell>
          <cell r="B161" t="e">
            <v>#N/A</v>
          </cell>
          <cell r="C161" t="str">
            <v>G01</v>
          </cell>
          <cell r="D161" t="str">
            <v>Autres Produits d' Exploitation</v>
          </cell>
        </row>
        <row r="162">
          <cell r="A162">
            <v>603750</v>
          </cell>
          <cell r="B162" t="e">
            <v>#N/A</v>
          </cell>
          <cell r="C162" t="str">
            <v>G01</v>
          </cell>
          <cell r="D162" t="str">
            <v>Autres Produits d' Exploitation</v>
          </cell>
        </row>
        <row r="163">
          <cell r="A163">
            <v>603760</v>
          </cell>
          <cell r="B163" t="e">
            <v>#N/A</v>
          </cell>
          <cell r="C163" t="str">
            <v>G01</v>
          </cell>
          <cell r="D163" t="str">
            <v>Autres Produits d' Exploitation</v>
          </cell>
        </row>
        <row r="164">
          <cell r="A164">
            <v>603770</v>
          </cell>
          <cell r="B164" t="e">
            <v>#N/A</v>
          </cell>
          <cell r="C164" t="str">
            <v>G01</v>
          </cell>
          <cell r="D164" t="str">
            <v>Autres Produits d' Exploitation</v>
          </cell>
        </row>
        <row r="165">
          <cell r="A165">
            <v>603780</v>
          </cell>
          <cell r="B165" t="e">
            <v>#N/A</v>
          </cell>
          <cell r="C165" t="str">
            <v>G01</v>
          </cell>
          <cell r="D165" t="str">
            <v>Autres Produits d' Exploitation</v>
          </cell>
        </row>
        <row r="166">
          <cell r="A166">
            <v>603790</v>
          </cell>
          <cell r="B166" t="e">
            <v>#N/A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603795</v>
          </cell>
          <cell r="B167" t="e">
            <v>#N/A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603810</v>
          </cell>
          <cell r="B168" t="str">
            <v>VARIATION STOCK CONSOM. DE LABORATOIRE</v>
          </cell>
          <cell r="C168" t="str">
            <v>F01</v>
          </cell>
          <cell r="D168" t="str">
            <v>Consommations fixes</v>
          </cell>
        </row>
        <row r="169">
          <cell r="A169">
            <v>603820</v>
          </cell>
          <cell r="B169" t="e">
            <v>#N/A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603830</v>
          </cell>
          <cell r="B170" t="e">
            <v>#N/A</v>
          </cell>
          <cell r="C170" t="str">
            <v>G01</v>
          </cell>
          <cell r="D170" t="str">
            <v>Autres Produits d' Exploitation</v>
          </cell>
        </row>
        <row r="171">
          <cell r="A171">
            <v>603850</v>
          </cell>
          <cell r="B171" t="e">
            <v>#N/A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603860</v>
          </cell>
          <cell r="B172" t="e">
            <v>#N/A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603870</v>
          </cell>
          <cell r="B173" t="e">
            <v>#N/A</v>
          </cell>
          <cell r="C173" t="str">
            <v>G01</v>
          </cell>
          <cell r="D173" t="str">
            <v>Autres Produits d' Exploitation</v>
          </cell>
        </row>
        <row r="174">
          <cell r="A174">
            <v>603900</v>
          </cell>
          <cell r="B174" t="e">
            <v>#N/A</v>
          </cell>
          <cell r="C174" t="str">
            <v>G01</v>
          </cell>
          <cell r="D174" t="str">
            <v>Autres Produits d' Exploitation</v>
          </cell>
        </row>
        <row r="175">
          <cell r="A175">
            <v>603910</v>
          </cell>
          <cell r="B175" t="e">
            <v>#N/A</v>
          </cell>
          <cell r="C175" t="str">
            <v>G01</v>
          </cell>
          <cell r="D175" t="str">
            <v>Autres Produits d' Exploitation</v>
          </cell>
        </row>
        <row r="176">
          <cell r="A176">
            <v>603920</v>
          </cell>
          <cell r="B176" t="e">
            <v>#N/A</v>
          </cell>
          <cell r="C176" t="str">
            <v>G01</v>
          </cell>
          <cell r="D176" t="str">
            <v>Autres Produits d' Exploitation</v>
          </cell>
        </row>
        <row r="177">
          <cell r="A177">
            <v>603930</v>
          </cell>
          <cell r="B177" t="e">
            <v>#N/A</v>
          </cell>
          <cell r="C177" t="str">
            <v>G01</v>
          </cell>
          <cell r="D177" t="str">
            <v>Autres Produits d' Exploitation</v>
          </cell>
        </row>
        <row r="178">
          <cell r="A178">
            <v>603940</v>
          </cell>
          <cell r="B178" t="e">
            <v>#N/A</v>
          </cell>
          <cell r="C178" t="str">
            <v>G01</v>
          </cell>
          <cell r="D178" t="str">
            <v>Autres Produits d' Exploitation</v>
          </cell>
        </row>
        <row r="179">
          <cell r="A179">
            <v>603950</v>
          </cell>
          <cell r="B179" t="e">
            <v>#N/A</v>
          </cell>
          <cell r="C179" t="str">
            <v>G01</v>
          </cell>
          <cell r="D179" t="str">
            <v>Autres Produits d' Exploitation</v>
          </cell>
        </row>
        <row r="180">
          <cell r="A180">
            <v>603960</v>
          </cell>
          <cell r="B180" t="str">
            <v>RETOUR/VTES FUTS A 8000</v>
          </cell>
          <cell r="C180" t="str">
            <v>G01</v>
          </cell>
          <cell r="D180" t="str">
            <v>Autres Produits d' Exploitation</v>
          </cell>
        </row>
        <row r="181">
          <cell r="A181">
            <v>603970</v>
          </cell>
          <cell r="B181" t="e">
            <v>#N/A</v>
          </cell>
          <cell r="C181" t="str">
            <v>G01</v>
          </cell>
          <cell r="D181" t="str">
            <v>Autres Produits d' Exploitation</v>
          </cell>
        </row>
        <row r="182">
          <cell r="A182">
            <v>603980</v>
          </cell>
          <cell r="B182" t="e">
            <v>#N/A</v>
          </cell>
          <cell r="C182" t="str">
            <v>G01</v>
          </cell>
          <cell r="D182" t="str">
            <v>Autres Produits d' Exploitation</v>
          </cell>
        </row>
        <row r="183">
          <cell r="A183">
            <v>603990</v>
          </cell>
          <cell r="B183" t="str">
            <v>RETR/VTES CAS. COMP. GM A 3000</v>
          </cell>
          <cell r="C183" t="str">
            <v>G01</v>
          </cell>
          <cell r="D183" t="str">
            <v>Autres Produits d' Exploitation</v>
          </cell>
        </row>
        <row r="184">
          <cell r="A184">
            <v>603991</v>
          </cell>
          <cell r="B184" t="str">
            <v>RETR/VTES CAS. COMP. PM A 3000</v>
          </cell>
          <cell r="C184" t="str">
            <v>G01</v>
          </cell>
          <cell r="D184" t="str">
            <v>Autres Produits d' Exploitation</v>
          </cell>
        </row>
        <row r="185">
          <cell r="A185">
            <v>603992</v>
          </cell>
          <cell r="B185" t="str">
            <v>RETR/VTES CAS. VIDES GM  A 1200</v>
          </cell>
          <cell r="C185" t="str">
            <v>G01</v>
          </cell>
          <cell r="D185" t="str">
            <v>Autres Produits d' Exploitation</v>
          </cell>
        </row>
        <row r="186">
          <cell r="A186">
            <v>603993</v>
          </cell>
          <cell r="B186" t="str">
            <v>RETR/VTES CAS. VIDES PM A 1200</v>
          </cell>
          <cell r="C186" t="str">
            <v>G01</v>
          </cell>
          <cell r="D186" t="str">
            <v>Autres Produits d' Exploitation</v>
          </cell>
        </row>
        <row r="187">
          <cell r="A187">
            <v>603994</v>
          </cell>
          <cell r="B187" t="str">
            <v>RETR/VTES BLLES GM A 150</v>
          </cell>
          <cell r="C187" t="str">
            <v>G01</v>
          </cell>
          <cell r="D187" t="str">
            <v>Autres Produits d' Exploitation</v>
          </cell>
        </row>
        <row r="188">
          <cell r="A188">
            <v>603995</v>
          </cell>
          <cell r="B188" t="str">
            <v>RETR/VTES BLLES GM A 150</v>
          </cell>
          <cell r="C188" t="str">
            <v>G01</v>
          </cell>
          <cell r="D188" t="str">
            <v>Autres Produits d' Exploitation</v>
          </cell>
        </row>
        <row r="189">
          <cell r="A189">
            <v>603996</v>
          </cell>
          <cell r="B189" t="e">
            <v>#N/A</v>
          </cell>
          <cell r="C189" t="str">
            <v>G01</v>
          </cell>
          <cell r="D189" t="str">
            <v>Autres Produits d' Exploitation</v>
          </cell>
        </row>
        <row r="190">
          <cell r="A190">
            <v>603997</v>
          </cell>
          <cell r="B190" t="e">
            <v>#N/A</v>
          </cell>
          <cell r="C190" t="str">
            <v>G01</v>
          </cell>
          <cell r="D190" t="str">
            <v>Autres Produits d' Exploitation</v>
          </cell>
        </row>
        <row r="191">
          <cell r="A191">
            <v>603998</v>
          </cell>
          <cell r="B191" t="e">
            <v>#N/A</v>
          </cell>
          <cell r="C191" t="str">
            <v>G01</v>
          </cell>
          <cell r="D191" t="str">
            <v>Autres Produits d' Exploitation</v>
          </cell>
        </row>
        <row r="192">
          <cell r="A192">
            <v>604100</v>
          </cell>
          <cell r="B192" t="str">
            <v>ACHATS DE MATIERE CONSOMMABLE REGION</v>
          </cell>
          <cell r="C192" t="str">
            <v>D02</v>
          </cell>
          <cell r="D192" t="str">
            <v>Matières et fournitures de production</v>
          </cell>
        </row>
        <row r="193">
          <cell r="A193">
            <v>604110</v>
          </cell>
          <cell r="B193" t="str">
            <v>ACHATS MATIERE CONSOMMABLE HORS REGION</v>
          </cell>
          <cell r="C193" t="str">
            <v>D02</v>
          </cell>
          <cell r="D193" t="str">
            <v>Matières et fournitures de production</v>
          </cell>
        </row>
        <row r="194">
          <cell r="A194">
            <v>604111</v>
          </cell>
          <cell r="B194" t="str">
            <v>DROIT DE DOUANE SUR MAT CONSO</v>
          </cell>
          <cell r="C194" t="str">
            <v>D02</v>
          </cell>
          <cell r="D194" t="str">
            <v>Matières et fournitures de production</v>
          </cell>
        </row>
        <row r="195">
          <cell r="A195">
            <v>604112</v>
          </cell>
          <cell r="B195" t="str">
            <v>FRAIS DI SGS SUR ACHAT MAT CONSO</v>
          </cell>
          <cell r="C195" t="str">
            <v>D02</v>
          </cell>
          <cell r="D195" t="str">
            <v>Matières et fournitures de production</v>
          </cell>
        </row>
        <row r="196">
          <cell r="A196">
            <v>604120</v>
          </cell>
          <cell r="B196" t="e">
            <v>#N/A</v>
          </cell>
          <cell r="C196" t="str">
            <v>D02</v>
          </cell>
          <cell r="D196" t="str">
            <v>Matières et fournitures de production</v>
          </cell>
        </row>
        <row r="197">
          <cell r="A197">
            <v>604122</v>
          </cell>
          <cell r="B197" t="str">
            <v>DROIT DOUANE/FMAT&amp;FRNI IND PROD</v>
          </cell>
          <cell r="C197" t="str">
            <v>F01</v>
          </cell>
          <cell r="D197" t="str">
            <v>Consommations fixes</v>
          </cell>
        </row>
        <row r="198">
          <cell r="A198">
            <v>604123</v>
          </cell>
          <cell r="B198" t="str">
            <v>FRAIS SGS/ACHAT AUTRES MAT&amp;FOURNI IND PR</v>
          </cell>
          <cell r="C198" t="str">
            <v>F01</v>
          </cell>
          <cell r="D198" t="str">
            <v>Consommations fixes</v>
          </cell>
        </row>
        <row r="199">
          <cell r="A199">
            <v>604130</v>
          </cell>
          <cell r="B199" t="e">
            <v>#N/A</v>
          </cell>
          <cell r="C199" t="str">
            <v>D02</v>
          </cell>
          <cell r="D199" t="str">
            <v>Matières et fournitures de production</v>
          </cell>
        </row>
        <row r="200">
          <cell r="A200">
            <v>604140</v>
          </cell>
          <cell r="B200" t="e">
            <v>#N/A</v>
          </cell>
          <cell r="C200" t="str">
            <v>D02</v>
          </cell>
          <cell r="D200" t="str">
            <v>Matières et fournitures de production</v>
          </cell>
        </row>
        <row r="201">
          <cell r="A201">
            <v>604200</v>
          </cell>
          <cell r="B201" t="str">
            <v>ACHATS DE MATIERE COMBUSTIBLE</v>
          </cell>
          <cell r="C201" t="str">
            <v>F01</v>
          </cell>
          <cell r="D201" t="str">
            <v>Consommations fixes</v>
          </cell>
        </row>
        <row r="202">
          <cell r="A202">
            <v>604210</v>
          </cell>
          <cell r="B202" t="str">
            <v>ACHATS DE CARBURANT STOCKES</v>
          </cell>
          <cell r="C202" t="str">
            <v>D03</v>
          </cell>
          <cell r="D202" t="str">
            <v>Fluides de production</v>
          </cell>
        </row>
        <row r="203">
          <cell r="A203">
            <v>604220</v>
          </cell>
          <cell r="B203" t="str">
            <v>ACHATS DE LUBRIFIANT STOCKE</v>
          </cell>
          <cell r="C203" t="str">
            <v>D03</v>
          </cell>
          <cell r="D203" t="str">
            <v>Fluides de production</v>
          </cell>
        </row>
        <row r="204">
          <cell r="A204">
            <v>604213</v>
          </cell>
          <cell r="B204" t="e">
            <v>#N/A</v>
          </cell>
          <cell r="C204" t="str">
            <v>D03</v>
          </cell>
          <cell r="D204" t="str">
            <v>Fluides de production</v>
          </cell>
        </row>
        <row r="205">
          <cell r="A205">
            <v>604214</v>
          </cell>
          <cell r="B205" t="e">
            <v>#N/A</v>
          </cell>
          <cell r="C205" t="str">
            <v>D03</v>
          </cell>
          <cell r="D205" t="str">
            <v>Fluides de production</v>
          </cell>
        </row>
        <row r="206">
          <cell r="A206">
            <v>604215</v>
          </cell>
          <cell r="B206" t="e">
            <v>#N/A</v>
          </cell>
          <cell r="C206" t="str">
            <v>D03</v>
          </cell>
          <cell r="D206" t="str">
            <v>Fluides de production</v>
          </cell>
        </row>
        <row r="207">
          <cell r="A207">
            <v>604300</v>
          </cell>
          <cell r="B207" t="str">
            <v>ACHATS PRODUITS D'ENTRETIEN</v>
          </cell>
          <cell r="C207" t="str">
            <v>F01</v>
          </cell>
          <cell r="D207" t="str">
            <v>Consommations fixes</v>
          </cell>
        </row>
        <row r="208">
          <cell r="A208">
            <v>604400</v>
          </cell>
          <cell r="B208" t="str">
            <v>ACHATS PIECES DE RECHANGE</v>
          </cell>
          <cell r="C208" t="str">
            <v>E03</v>
          </cell>
          <cell r="D208" t="str">
            <v>Maintenance (PdeR et entretien usine)</v>
          </cell>
        </row>
        <row r="209">
          <cell r="A209">
            <v>604410</v>
          </cell>
          <cell r="B209" t="str">
            <v>SGS/PR STK MAT USINE</v>
          </cell>
          <cell r="C209" t="str">
            <v>E03</v>
          </cell>
          <cell r="D209" t="str">
            <v>Maintenance (PdeR et entretien usine)</v>
          </cell>
        </row>
        <row r="210">
          <cell r="A210">
            <v>604411</v>
          </cell>
          <cell r="B210" t="str">
            <v>DRT DOUANE/PR STKES MAT USINE</v>
          </cell>
          <cell r="C210" t="str">
            <v>E03</v>
          </cell>
          <cell r="D210" t="str">
            <v>Maintenance (PdeR et entretien usine)</v>
          </cell>
        </row>
        <row r="211">
          <cell r="A211">
            <v>604413</v>
          </cell>
          <cell r="B211" t="e">
            <v>#N/A</v>
          </cell>
          <cell r="C211" t="str">
            <v>E03</v>
          </cell>
          <cell r="D211" t="str">
            <v>Maintenance (PdeR et entretien usine)</v>
          </cell>
        </row>
        <row r="212">
          <cell r="A212">
            <v>604414</v>
          </cell>
          <cell r="B212" t="e">
            <v>#N/A</v>
          </cell>
          <cell r="C212" t="str">
            <v>E03</v>
          </cell>
          <cell r="D212" t="str">
            <v>Maintenance (PdeR et entretien usine)</v>
          </cell>
        </row>
        <row r="213">
          <cell r="A213">
            <v>604415</v>
          </cell>
          <cell r="B213" t="e">
            <v>#N/A</v>
          </cell>
          <cell r="C213" t="str">
            <v>E03</v>
          </cell>
          <cell r="D213" t="str">
            <v>Maintenance (PdeR et entretien usine)</v>
          </cell>
        </row>
        <row r="214">
          <cell r="A214">
            <v>604500</v>
          </cell>
          <cell r="B214" t="str">
            <v>ACHATS CARBURANT DE PRODUCTION</v>
          </cell>
          <cell r="C214" t="str">
            <v>F01</v>
          </cell>
          <cell r="D214" t="str">
            <v>Consommations fixes</v>
          </cell>
        </row>
        <row r="215">
          <cell r="A215">
            <v>604600</v>
          </cell>
          <cell r="B215" t="str">
            <v>ACHAT MAT&amp;FRNI IND STK PDUTION</v>
          </cell>
          <cell r="C215" t="str">
            <v>D02</v>
          </cell>
          <cell r="D215" t="str">
            <v>Matières et fournitures de production</v>
          </cell>
        </row>
        <row r="216">
          <cell r="A216">
            <v>604610</v>
          </cell>
          <cell r="B216" t="str">
            <v>ACHATS PALETTES</v>
          </cell>
          <cell r="C216" t="str">
            <v>F01</v>
          </cell>
          <cell r="D216" t="str">
            <v>Consommations fixes</v>
          </cell>
        </row>
        <row r="217">
          <cell r="A217">
            <v>604620</v>
          </cell>
          <cell r="B217" t="str">
            <v>ACHAT CONSO LABO ET AUTRES</v>
          </cell>
          <cell r="C217" t="str">
            <v>F01</v>
          </cell>
          <cell r="D217" t="str">
            <v>Consommations fixes</v>
          </cell>
        </row>
        <row r="218">
          <cell r="A218">
            <v>604621</v>
          </cell>
          <cell r="B218" t="str">
            <v>SGS/CONSOMMABLE LABORATOIRE</v>
          </cell>
          <cell r="C218" t="str">
            <v>F01</v>
          </cell>
          <cell r="D218" t="str">
            <v>Consommations fixes</v>
          </cell>
        </row>
        <row r="219">
          <cell r="A219">
            <v>604622</v>
          </cell>
          <cell r="B219" t="str">
            <v>DROIT DE DOUANE/CONSOMMABLE LABORATOIRE</v>
          </cell>
          <cell r="C219" t="str">
            <v>F01</v>
          </cell>
          <cell r="D219" t="str">
            <v>Consommations fixes</v>
          </cell>
        </row>
        <row r="220">
          <cell r="A220">
            <v>604650</v>
          </cell>
          <cell r="B220" t="str">
            <v>ACHAT VETEMENTS DE TRAVAIL &amp; AUTRES</v>
          </cell>
          <cell r="C220" t="str">
            <v>F06</v>
          </cell>
          <cell r="D220" t="str">
            <v>Frais de Personnel</v>
          </cell>
        </row>
        <row r="221">
          <cell r="A221">
            <v>604651</v>
          </cell>
          <cell r="B221" t="str">
            <v>SGS/ACHAT VETEMENT DE TRAVAIL&amp;AUTRE</v>
          </cell>
          <cell r="C221" t="str">
            <v>F06</v>
          </cell>
          <cell r="D221" t="str">
            <v>Frais de Personnel</v>
          </cell>
        </row>
        <row r="222">
          <cell r="A222">
            <v>604652</v>
          </cell>
          <cell r="B222" t="str">
            <v>DROIT DE DOUANE/ACHAT VET DE TRAVAIL&amp;AUT</v>
          </cell>
          <cell r="C222" t="str">
            <v>F06</v>
          </cell>
          <cell r="D222" t="str">
            <v>Frais de Personnel</v>
          </cell>
        </row>
        <row r="223">
          <cell r="A223">
            <v>604660</v>
          </cell>
          <cell r="B223" t="str">
            <v>ACH ART PUB</v>
          </cell>
          <cell r="C223" t="str">
            <v>E04</v>
          </cell>
          <cell r="D223" t="str">
            <v>Publicité et Marketing local</v>
          </cell>
        </row>
        <row r="224">
          <cell r="A224">
            <v>604661</v>
          </cell>
          <cell r="B224" t="str">
            <v>SGS/ART PUB</v>
          </cell>
          <cell r="C224" t="str">
            <v>E04</v>
          </cell>
          <cell r="D224" t="str">
            <v>Publicité et Marketing local</v>
          </cell>
        </row>
        <row r="225">
          <cell r="A225">
            <v>604662</v>
          </cell>
          <cell r="B225" t="str">
            <v>DROIT DE DOUANE/ART PUB</v>
          </cell>
          <cell r="C225" t="str">
            <v>E04</v>
          </cell>
          <cell r="D225" t="str">
            <v>Publicité et Marketing local</v>
          </cell>
        </row>
        <row r="226">
          <cell r="A226">
            <v>604700</v>
          </cell>
          <cell r="B226" t="str">
            <v>ACHATS FOURNITURES DE BUREAU</v>
          </cell>
          <cell r="C226" t="str">
            <v>F01</v>
          </cell>
          <cell r="D226" t="str">
            <v>Consommations fixes</v>
          </cell>
        </row>
        <row r="227">
          <cell r="A227">
            <v>604710</v>
          </cell>
          <cell r="B227" t="str">
            <v>ACHATS IMPRIMES</v>
          </cell>
          <cell r="C227" t="str">
            <v>F01</v>
          </cell>
          <cell r="D227" t="str">
            <v>Consommations fixes</v>
          </cell>
        </row>
        <row r="228">
          <cell r="A228">
            <v>604900</v>
          </cell>
          <cell r="B228" t="e">
            <v>#N/A</v>
          </cell>
          <cell r="C228" t="str">
            <v>F01</v>
          </cell>
          <cell r="D228" t="str">
            <v>Consommations fixes</v>
          </cell>
        </row>
        <row r="229">
          <cell r="A229">
            <v>605000</v>
          </cell>
          <cell r="B229" t="str">
            <v>CONSOM.MPC.NON STOCKEES</v>
          </cell>
          <cell r="C229" t="str">
            <v>D02</v>
          </cell>
          <cell r="D229" t="str">
            <v>Matières et fournitures de production</v>
          </cell>
        </row>
        <row r="230">
          <cell r="A230">
            <v>605110</v>
          </cell>
          <cell r="B230" t="str">
            <v>EAU USINES</v>
          </cell>
          <cell r="C230" t="str">
            <v>D03</v>
          </cell>
          <cell r="D230" t="str">
            <v>Fluides de production</v>
          </cell>
        </row>
        <row r="231">
          <cell r="A231">
            <v>605120</v>
          </cell>
          <cell r="B231" t="str">
            <v>AUTRE EAU</v>
          </cell>
          <cell r="C231" t="str">
            <v>F01</v>
          </cell>
          <cell r="D231" t="str">
            <v>Consommations fixes</v>
          </cell>
        </row>
        <row r="232">
          <cell r="A232">
            <v>605121</v>
          </cell>
          <cell r="B232" t="str">
            <v>CONSOM.EAU LOGT PERSONNEL CADRE</v>
          </cell>
          <cell r="C232" t="str">
            <v>F06</v>
          </cell>
          <cell r="D232" t="str">
            <v>Frais de Personnel</v>
          </cell>
        </row>
        <row r="233">
          <cell r="A233">
            <v>605122</v>
          </cell>
          <cell r="B233" t="str">
            <v>CONS.EAU LOGT PERSON. NON CADRE</v>
          </cell>
          <cell r="C233" t="str">
            <v>F06</v>
          </cell>
          <cell r="D233" t="str">
            <v>Frais de Personnel</v>
          </cell>
        </row>
        <row r="234">
          <cell r="A234">
            <v>605210</v>
          </cell>
          <cell r="B234" t="str">
            <v>ELECTRICITE USINES</v>
          </cell>
          <cell r="C234" t="str">
            <v>D03</v>
          </cell>
          <cell r="D234" t="str">
            <v>Fluides de production</v>
          </cell>
        </row>
        <row r="235">
          <cell r="A235">
            <v>605220</v>
          </cell>
          <cell r="B235" t="str">
            <v>AUTRE ELECTRICITE</v>
          </cell>
          <cell r="C235" t="str">
            <v>F01</v>
          </cell>
          <cell r="D235" t="str">
            <v>Consommations fixes</v>
          </cell>
        </row>
        <row r="236">
          <cell r="A236">
            <v>605221</v>
          </cell>
          <cell r="B236" t="str">
            <v>ELECTRICITE LOGTS CADRES</v>
          </cell>
          <cell r="C236" t="str">
            <v>F06</v>
          </cell>
          <cell r="D236" t="str">
            <v>Frais de Personnel</v>
          </cell>
        </row>
        <row r="237">
          <cell r="A237">
            <v>605222</v>
          </cell>
          <cell r="B237" t="str">
            <v>ELEC LOGTS PERSONNEL NON CADRE</v>
          </cell>
          <cell r="C237" t="str">
            <v>F06</v>
          </cell>
          <cell r="D237" t="str">
            <v>Frais de Personnel</v>
          </cell>
        </row>
        <row r="238">
          <cell r="A238">
            <v>605300</v>
          </cell>
          <cell r="B238" t="str">
            <v>COMBUSTIBLE CARBURANT NON STOCKE</v>
          </cell>
          <cell r="C238" t="str">
            <v>F01</v>
          </cell>
          <cell r="D238" t="str">
            <v>Consommations fixes</v>
          </cell>
        </row>
        <row r="239">
          <cell r="A239">
            <v>605310</v>
          </cell>
          <cell r="B239" t="str">
            <v>FOUR P/ENT.REP.LOGT.PERS.N.CADRES</v>
          </cell>
          <cell r="C239" t="str">
            <v>F06</v>
          </cell>
          <cell r="D239" t="str">
            <v>Frais de Personnel</v>
          </cell>
        </row>
        <row r="240">
          <cell r="A240">
            <v>605400</v>
          </cell>
          <cell r="B240" t="str">
            <v>PRODUITS ENTRET.N/STOCKE</v>
          </cell>
          <cell r="C240" t="str">
            <v>F01</v>
          </cell>
          <cell r="D240" t="str">
            <v>Consommations fixes</v>
          </cell>
        </row>
        <row r="241">
          <cell r="A241">
            <v>605410</v>
          </cell>
          <cell r="B241" t="str">
            <v>ACH PIECES RECHANGE NON STOCKES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605411</v>
          </cell>
          <cell r="B242" t="str">
            <v>SGS/PR STK MAT USINE</v>
          </cell>
          <cell r="C242" t="str">
            <v>E03</v>
          </cell>
          <cell r="D242" t="str">
            <v>Maintenance (PdeR et entretien usine)</v>
          </cell>
        </row>
        <row r="243">
          <cell r="A243">
            <v>605412</v>
          </cell>
          <cell r="B243" t="str">
            <v>DRT DOUANE/PR STKES MAT USINE</v>
          </cell>
          <cell r="C243" t="str">
            <v>E03</v>
          </cell>
          <cell r="D243" t="str">
            <v>Maintenance (PdeR et entretien usine)</v>
          </cell>
        </row>
        <row r="244">
          <cell r="A244">
            <v>605420</v>
          </cell>
          <cell r="B244" t="str">
            <v>PIECES RECH.TRANSP/LIVR</v>
          </cell>
          <cell r="C244" t="str">
            <v>E03</v>
          </cell>
          <cell r="D244" t="str">
            <v>Maintenance (PdeR et entretien usine)</v>
          </cell>
        </row>
        <row r="245">
          <cell r="A245">
            <v>605430</v>
          </cell>
          <cell r="B245" t="e">
            <v>#N/A</v>
          </cell>
          <cell r="C245" t="str">
            <v>E03</v>
          </cell>
          <cell r="D245" t="str">
            <v>Maintenance (PdeR et entretien usine)</v>
          </cell>
        </row>
        <row r="246">
          <cell r="A246">
            <v>605440</v>
          </cell>
          <cell r="B246" t="str">
            <v>FOURNITURE MAG.ATEL.N/STOCKE</v>
          </cell>
          <cell r="C246" t="str">
            <v>F01</v>
          </cell>
          <cell r="D246" t="str">
            <v>Consommations fixes</v>
          </cell>
        </row>
        <row r="247">
          <cell r="A247">
            <v>605450</v>
          </cell>
          <cell r="B247" t="str">
            <v>FOURNITURE P/GROS ENTRETIEN BATIMENTS</v>
          </cell>
          <cell r="C247" t="str">
            <v>F01</v>
          </cell>
          <cell r="D247" t="str">
            <v>Consommations fixes</v>
          </cell>
        </row>
        <row r="248">
          <cell r="A248">
            <v>605460</v>
          </cell>
          <cell r="B248" t="str">
            <v>FOURNITURE P/GROS ENTRETIEN MATERIEL</v>
          </cell>
          <cell r="C248" t="str">
            <v>F01</v>
          </cell>
          <cell r="D248" t="str">
            <v>Consommations fixes</v>
          </cell>
        </row>
        <row r="249">
          <cell r="A249">
            <v>605510</v>
          </cell>
          <cell r="B249" t="str">
            <v>FOURNITURE BUREAU NON STOCKABLES</v>
          </cell>
          <cell r="C249" t="str">
            <v>F01</v>
          </cell>
          <cell r="D249" t="str">
            <v>Consommations fixes</v>
          </cell>
        </row>
        <row r="250">
          <cell r="A250">
            <v>605511</v>
          </cell>
          <cell r="B250" t="e">
            <v>#N/A</v>
          </cell>
          <cell r="C250" t="str">
            <v>F01</v>
          </cell>
          <cell r="D250" t="str">
            <v>Consommations fixes</v>
          </cell>
        </row>
        <row r="251">
          <cell r="A251">
            <v>605520</v>
          </cell>
          <cell r="B251" t="str">
            <v>IMPRIMES NON STOCKABLES</v>
          </cell>
          <cell r="C251" t="str">
            <v>F01</v>
          </cell>
          <cell r="D251" t="str">
            <v>Consommations fixes</v>
          </cell>
        </row>
        <row r="252">
          <cell r="A252">
            <v>605600</v>
          </cell>
          <cell r="B252" t="str">
            <v>PETIT OUTILLAGE NON IMMOBILISE</v>
          </cell>
          <cell r="C252" t="str">
            <v>F01</v>
          </cell>
          <cell r="D252" t="str">
            <v>Consommations fixes</v>
          </cell>
        </row>
        <row r="253">
          <cell r="A253">
            <v>605601</v>
          </cell>
          <cell r="B253" t="e">
            <v>#N/A</v>
          </cell>
          <cell r="C253" t="str">
            <v>F01</v>
          </cell>
          <cell r="D253" t="str">
            <v>Consommations fixes</v>
          </cell>
        </row>
        <row r="254">
          <cell r="A254">
            <v>605690</v>
          </cell>
          <cell r="B254" t="str">
            <v>PUBLICITE SUR LIEUX DE VENTES</v>
          </cell>
          <cell r="C254" t="str">
            <v>E04</v>
          </cell>
          <cell r="D254" t="str">
            <v>Publicité et Marketing local</v>
          </cell>
        </row>
        <row r="255">
          <cell r="A255">
            <v>605691</v>
          </cell>
          <cell r="B255" t="str">
            <v>ARTICLES PUBLICITAIRE DIVERS</v>
          </cell>
          <cell r="C255" t="str">
            <v>E04</v>
          </cell>
          <cell r="D255" t="str">
            <v>Publicité et Marketing local</v>
          </cell>
        </row>
        <row r="256">
          <cell r="A256">
            <v>605692</v>
          </cell>
          <cell r="B256" t="e">
            <v>#N/A</v>
          </cell>
          <cell r="C256" t="str">
            <v>E04</v>
          </cell>
          <cell r="D256" t="str">
            <v>Publicité et Marketing local</v>
          </cell>
        </row>
        <row r="257">
          <cell r="A257">
            <v>605693</v>
          </cell>
          <cell r="B257" t="str">
            <v>PUBLICITE FOURNITURE POUR AFFICH/PANNEAU</v>
          </cell>
          <cell r="C257" t="str">
            <v>E04</v>
          </cell>
          <cell r="D257" t="str">
            <v>Publicité et Marketing local</v>
          </cell>
        </row>
        <row r="258">
          <cell r="A258">
            <v>605694</v>
          </cell>
          <cell r="B258" t="str">
            <v>PUBLICITE FOURNITURE DIVERS PUBLICITE</v>
          </cell>
          <cell r="C258" t="str">
            <v>E04</v>
          </cell>
          <cell r="D258" t="str">
            <v>Publicité et Marketing local</v>
          </cell>
        </row>
        <row r="259">
          <cell r="A259">
            <v>605695</v>
          </cell>
          <cell r="B259" t="str">
            <v>PUBLICITE FOURNITURE POUR DIVERS INSTITU</v>
          </cell>
          <cell r="C259" t="str">
            <v>E04</v>
          </cell>
          <cell r="D259" t="str">
            <v>Publicité et Marketing local</v>
          </cell>
        </row>
        <row r="260">
          <cell r="A260">
            <v>605801</v>
          </cell>
          <cell r="B260" t="str">
            <v>PREMIER EQUIPEMENT</v>
          </cell>
          <cell r="C260" t="str">
            <v>F06</v>
          </cell>
          <cell r="D260" t="str">
            <v>Frais de Personnel</v>
          </cell>
        </row>
        <row r="261">
          <cell r="A261">
            <v>605802</v>
          </cell>
          <cell r="B261" t="str">
            <v>VETEMENTS DE TRAVAIL</v>
          </cell>
          <cell r="C261" t="str">
            <v>F06</v>
          </cell>
          <cell r="D261" t="str">
            <v>Frais de Personnel</v>
          </cell>
        </row>
        <row r="262">
          <cell r="A262">
            <v>605803</v>
          </cell>
          <cell r="B262" t="str">
            <v>EQUIPEMENT DE PROTECTION INDIVIDUEL</v>
          </cell>
          <cell r="C262" t="str">
            <v>F06</v>
          </cell>
          <cell r="D262" t="str">
            <v>Frais de Personnel</v>
          </cell>
        </row>
        <row r="263">
          <cell r="A263">
            <v>605810</v>
          </cell>
          <cell r="B263" t="str">
            <v>MATERIEL ET MOBILIER DE BUREAU</v>
          </cell>
          <cell r="C263" t="str">
            <v>F01</v>
          </cell>
          <cell r="D263" t="str">
            <v>Consommations fixes</v>
          </cell>
        </row>
        <row r="264">
          <cell r="A264">
            <v>605820</v>
          </cell>
          <cell r="B264" t="str">
            <v>MATERIEL ET MOBILIER LOGEMENT</v>
          </cell>
          <cell r="C264" t="str">
            <v>F06</v>
          </cell>
          <cell r="D264" t="str">
            <v>Frais de Personnel</v>
          </cell>
        </row>
        <row r="265">
          <cell r="A265">
            <v>605830</v>
          </cell>
          <cell r="B265" t="str">
            <v>CONSOMMABLES DE LABORATOIRES NON STOCKES</v>
          </cell>
          <cell r="C265" t="str">
            <v>F01</v>
          </cell>
          <cell r="D265" t="str">
            <v>Consommations fixes</v>
          </cell>
        </row>
        <row r="266">
          <cell r="A266">
            <v>605840</v>
          </cell>
          <cell r="B266" t="str">
            <v>PETIT MATERIEL DE LABORATOIRE NON STOCKE</v>
          </cell>
          <cell r="C266" t="str">
            <v>F01</v>
          </cell>
          <cell r="D266" t="str">
            <v>Consommations fixes</v>
          </cell>
        </row>
        <row r="267">
          <cell r="A267">
            <v>605850</v>
          </cell>
          <cell r="B267" t="str">
            <v>CONSOMMABLES INFORMATIQUES NON STOCKES</v>
          </cell>
          <cell r="C267" t="str">
            <v>F01</v>
          </cell>
          <cell r="D267" t="str">
            <v>Consommations fixes</v>
          </cell>
        </row>
        <row r="268">
          <cell r="A268">
            <v>605860</v>
          </cell>
          <cell r="B268" t="str">
            <v>IMPRIMES-LISTING INFORMATIQUES NON STOCK</v>
          </cell>
          <cell r="C268" t="str">
            <v>F01</v>
          </cell>
          <cell r="D268" t="str">
            <v>Consommations fixes</v>
          </cell>
        </row>
        <row r="269">
          <cell r="A269">
            <v>605870</v>
          </cell>
          <cell r="B269" t="str">
            <v>FRAIS ACCESSOIRES SUR IMPORT ECHANTILLON</v>
          </cell>
          <cell r="C269" t="str">
            <v>F01</v>
          </cell>
          <cell r="D269" t="str">
            <v>Consommations fixes</v>
          </cell>
        </row>
        <row r="270">
          <cell r="A270">
            <v>605900</v>
          </cell>
          <cell r="B270" t="e">
            <v>#N/A</v>
          </cell>
          <cell r="C270" t="str">
            <v>F01</v>
          </cell>
          <cell r="D270" t="str">
            <v>Consommations fixes</v>
          </cell>
        </row>
        <row r="271">
          <cell r="A271">
            <v>608100</v>
          </cell>
          <cell r="B271" t="str">
            <v>ACHATS D'EMBALLAGES</v>
          </cell>
          <cell r="C271" t="str">
            <v>D02</v>
          </cell>
          <cell r="D271" t="str">
            <v>Matières et fournitures de production</v>
          </cell>
        </row>
        <row r="272">
          <cell r="A272">
            <v>608110</v>
          </cell>
          <cell r="B272" t="str">
            <v>ACHATS PALETTES</v>
          </cell>
          <cell r="C272" t="str">
            <v>G01</v>
          </cell>
          <cell r="D272" t="str">
            <v>Autres Produits d' Exploitation</v>
          </cell>
        </row>
        <row r="273">
          <cell r="A273">
            <v>608130</v>
          </cell>
          <cell r="B273" t="e">
            <v>#N/A</v>
          </cell>
          <cell r="C273" t="str">
            <v>G01</v>
          </cell>
          <cell r="D273" t="str">
            <v>Autres Produits d' Exploitation</v>
          </cell>
        </row>
        <row r="274">
          <cell r="A274">
            <v>608210</v>
          </cell>
          <cell r="B274" t="str">
            <v>ACHATS D'EMBALLAGES REGION</v>
          </cell>
          <cell r="C274" t="str">
            <v>E02</v>
          </cell>
          <cell r="D274" t="str">
            <v>Ecart Prix d'achat - Prix de consigne</v>
          </cell>
        </row>
        <row r="275">
          <cell r="B275" t="e">
            <v>#N/A</v>
          </cell>
        </row>
        <row r="276">
          <cell r="A276">
            <v>608220</v>
          </cell>
          <cell r="B276" t="str">
            <v>SGS/ACH EMBALL RECUP</v>
          </cell>
          <cell r="C276" t="str">
            <v>E02</v>
          </cell>
          <cell r="D276" t="str">
            <v>Ecart Prix d'achat - Prix de consigne</v>
          </cell>
        </row>
        <row r="277">
          <cell r="A277">
            <v>608230</v>
          </cell>
          <cell r="B277" t="str">
            <v>DROIT DOUANE/ACHAT EMBAL RECUP</v>
          </cell>
          <cell r="C277" t="str">
            <v>E02</v>
          </cell>
          <cell r="D277" t="str">
            <v>Ecart Prix d'achat - Prix de consigne</v>
          </cell>
        </row>
        <row r="278">
          <cell r="A278">
            <v>608240</v>
          </cell>
          <cell r="B278" t="e">
            <v>#N/A</v>
          </cell>
          <cell r="C278" t="str">
            <v>E02</v>
          </cell>
          <cell r="D278" t="str">
            <v>Ecart Prix d'achat - Prix de consigne</v>
          </cell>
        </row>
        <row r="279">
          <cell r="A279">
            <v>608900</v>
          </cell>
          <cell r="B279" t="e">
            <v>#N/A</v>
          </cell>
          <cell r="C279" t="str">
            <v>E02</v>
          </cell>
          <cell r="D279" t="str">
            <v>Ecart Prix d'achat - Prix de consigne</v>
          </cell>
        </row>
        <row r="280">
          <cell r="A280">
            <v>611110</v>
          </cell>
          <cell r="B280" t="str">
            <v>TRANSPORT SUR ACHAT DE MARCHANDISES</v>
          </cell>
          <cell r="C280" t="str">
            <v>D05</v>
          </cell>
          <cell r="D280" t="str">
            <v>Transports /transferts</v>
          </cell>
        </row>
        <row r="281">
          <cell r="A281">
            <v>611121</v>
          </cell>
          <cell r="B281" t="str">
            <v>TRANSPORT/ACHAT MATIRES PREMIERES</v>
          </cell>
          <cell r="C281" t="str">
            <v>D05</v>
          </cell>
          <cell r="D281" t="str">
            <v>Transports /transferts</v>
          </cell>
        </row>
        <row r="282">
          <cell r="A282">
            <v>611130</v>
          </cell>
          <cell r="B282" t="str">
            <v>TRANSPORT/ACHAT MATIERES CONSOMM</v>
          </cell>
          <cell r="C282" t="str">
            <v>D05</v>
          </cell>
          <cell r="D282" t="str">
            <v>Transports /transferts</v>
          </cell>
        </row>
        <row r="283">
          <cell r="A283">
            <v>611140</v>
          </cell>
          <cell r="B283" t="str">
            <v>TRANSPORT/ACHAT PIECES DE RECHANGES</v>
          </cell>
          <cell r="C283" t="str">
            <v>D05</v>
          </cell>
          <cell r="D283" t="str">
            <v>Transports /transferts</v>
          </cell>
        </row>
        <row r="284">
          <cell r="A284">
            <v>611150</v>
          </cell>
          <cell r="B284" t="str">
            <v>TRANS/ACH EMBAL RECUP</v>
          </cell>
          <cell r="C284" t="str">
            <v>D05</v>
          </cell>
          <cell r="D284" t="str">
            <v>Transports /transferts</v>
          </cell>
        </row>
        <row r="285">
          <cell r="A285">
            <v>611160</v>
          </cell>
          <cell r="B285" t="str">
            <v>TRANSPORT/MAT&amp;FRNI IND PROD</v>
          </cell>
          <cell r="C285" t="str">
            <v>D05</v>
          </cell>
          <cell r="D285" t="str">
            <v>Transports /transferts</v>
          </cell>
        </row>
        <row r="286">
          <cell r="A286">
            <v>611180</v>
          </cell>
          <cell r="B286" t="str">
            <v>TRANSPORT/ACHAT CONSO LABOR</v>
          </cell>
          <cell r="C286" t="str">
            <v>D05</v>
          </cell>
          <cell r="D286" t="str">
            <v>Transports /transferts</v>
          </cell>
        </row>
        <row r="287">
          <cell r="A287">
            <v>611190</v>
          </cell>
          <cell r="B287" t="str">
            <v>TRANSPORT/ART PUB</v>
          </cell>
          <cell r="C287" t="str">
            <v>D05</v>
          </cell>
          <cell r="D287" t="str">
            <v>Transports /transferts</v>
          </cell>
        </row>
        <row r="288">
          <cell r="A288">
            <v>611191</v>
          </cell>
          <cell r="B288" t="str">
            <v>TRANSPORT/ACHAT VETEMENT TRAV&amp;AUTRE</v>
          </cell>
          <cell r="C288" t="str">
            <v>D05</v>
          </cell>
          <cell r="D288" t="str">
            <v>Transports /transferts</v>
          </cell>
        </row>
        <row r="289">
          <cell r="A289">
            <v>611210</v>
          </cell>
          <cell r="B289" t="e">
            <v>#N/A</v>
          </cell>
          <cell r="C289" t="str">
            <v>D05</v>
          </cell>
          <cell r="D289" t="str">
            <v>Transports /transferts</v>
          </cell>
        </row>
        <row r="290">
          <cell r="A290">
            <v>611310</v>
          </cell>
          <cell r="B290" t="e">
            <v>#N/A</v>
          </cell>
          <cell r="C290" t="str">
            <v>D05</v>
          </cell>
          <cell r="D290" t="str">
            <v>Transports /transferts</v>
          </cell>
        </row>
        <row r="291">
          <cell r="A291">
            <v>611410</v>
          </cell>
          <cell r="B291" t="e">
            <v>#N/A</v>
          </cell>
          <cell r="C291" t="str">
            <v>D05</v>
          </cell>
          <cell r="D291" t="str">
            <v>Transports /transferts</v>
          </cell>
        </row>
        <row r="292">
          <cell r="A292">
            <v>611510</v>
          </cell>
          <cell r="B292" t="e">
            <v>#N/A</v>
          </cell>
          <cell r="C292" t="str">
            <v>D05</v>
          </cell>
          <cell r="D292" t="str">
            <v>Transports /transferts</v>
          </cell>
        </row>
        <row r="293">
          <cell r="A293">
            <v>611610</v>
          </cell>
          <cell r="B293" t="e">
            <v>#N/A</v>
          </cell>
          <cell r="C293" t="str">
            <v>D05</v>
          </cell>
          <cell r="D293" t="str">
            <v>Transports /transferts</v>
          </cell>
        </row>
        <row r="294">
          <cell r="A294">
            <v>611710</v>
          </cell>
          <cell r="B294" t="e">
            <v>#N/A</v>
          </cell>
          <cell r="C294" t="str">
            <v>D05</v>
          </cell>
          <cell r="D294" t="str">
            <v>Transports /transferts</v>
          </cell>
        </row>
        <row r="295">
          <cell r="A295">
            <v>611810</v>
          </cell>
          <cell r="B295" t="e">
            <v>#N/A</v>
          </cell>
          <cell r="C295" t="str">
            <v>D05</v>
          </cell>
          <cell r="D295" t="str">
            <v>Transports /transferts</v>
          </cell>
        </row>
        <row r="296">
          <cell r="A296">
            <v>611910</v>
          </cell>
          <cell r="B296" t="e">
            <v>#N/A</v>
          </cell>
          <cell r="C296" t="str">
            <v>D05</v>
          </cell>
          <cell r="D296" t="str">
            <v>Transports /transferts</v>
          </cell>
        </row>
        <row r="297">
          <cell r="A297">
            <v>612110</v>
          </cell>
          <cell r="B297" t="str">
            <v>TRANSP.TERRES/VENTES LOCAUX</v>
          </cell>
          <cell r="C297" t="str">
            <v>D04</v>
          </cell>
          <cell r="D297" t="str">
            <v>Transports /ventes</v>
          </cell>
        </row>
        <row r="298">
          <cell r="A298">
            <v>612120</v>
          </cell>
          <cell r="B298" t="str">
            <v>TRANSP.TERRES/VENTES EXPORT</v>
          </cell>
          <cell r="C298" t="str">
            <v>D04</v>
          </cell>
          <cell r="D298" t="str">
            <v>Transports /ventes</v>
          </cell>
        </row>
        <row r="299">
          <cell r="A299">
            <v>612320</v>
          </cell>
          <cell r="B299" t="str">
            <v>TRANSP.EAU/VENTES CEMAC</v>
          </cell>
          <cell r="C299" t="str">
            <v>D04</v>
          </cell>
          <cell r="D299" t="str">
            <v>Transports /ventes</v>
          </cell>
        </row>
        <row r="300">
          <cell r="A300">
            <v>612325</v>
          </cell>
          <cell r="B300" t="str">
            <v>TRANSP.EAU/VENTES HORS CEMAC</v>
          </cell>
          <cell r="C300" t="str">
            <v>D04</v>
          </cell>
          <cell r="D300" t="str">
            <v>Transports /ventes</v>
          </cell>
        </row>
        <row r="301">
          <cell r="A301">
            <v>612400</v>
          </cell>
          <cell r="B301" t="str">
            <v>FRAIS LIVRAISONS A LA CLIENTELE</v>
          </cell>
          <cell r="C301" t="str">
            <v>D04</v>
          </cell>
          <cell r="D301" t="str">
            <v>Transports /ventes</v>
          </cell>
        </row>
        <row r="302">
          <cell r="A302">
            <v>614610</v>
          </cell>
          <cell r="B302" t="str">
            <v>FRAIS DE TAXIS ET DIVERS</v>
          </cell>
          <cell r="C302" t="str">
            <v>F02</v>
          </cell>
          <cell r="D302" t="str">
            <v>Transports Fixes</v>
          </cell>
        </row>
        <row r="303">
          <cell r="A303">
            <v>614630</v>
          </cell>
          <cell r="B303" t="str">
            <v>INDEMNITES FORFAIT.DEPLACEMENT</v>
          </cell>
          <cell r="C303" t="str">
            <v>F02</v>
          </cell>
          <cell r="D303" t="str">
            <v>Transports Fixes</v>
          </cell>
        </row>
        <row r="304">
          <cell r="A304">
            <v>614631</v>
          </cell>
          <cell r="B304" t="str">
            <v>INDEMN. FORFAIT.DEPLAC. ETRANGER</v>
          </cell>
          <cell r="C304" t="str">
            <v>E04</v>
          </cell>
          <cell r="D304" t="str">
            <v>Publicité et Marketing local</v>
          </cell>
        </row>
        <row r="305">
          <cell r="A305">
            <v>614635</v>
          </cell>
          <cell r="B305" t="str">
            <v>FRAIS TRANSPORT STAGIAIRES</v>
          </cell>
          <cell r="C305" t="str">
            <v>F02</v>
          </cell>
          <cell r="D305" t="str">
            <v>Transports Fixes</v>
          </cell>
        </row>
        <row r="306">
          <cell r="A306">
            <v>614640</v>
          </cell>
          <cell r="B306" t="str">
            <v>INDEMN.KILOMETRIQ.DEPLACEMENT</v>
          </cell>
          <cell r="C306" t="str">
            <v>F02</v>
          </cell>
          <cell r="D306" t="str">
            <v>Transports Fixes</v>
          </cell>
        </row>
        <row r="307">
          <cell r="A307">
            <v>614711</v>
          </cell>
          <cell r="B307" t="str">
            <v>TRANSP. PERSONNEL (CONGES)</v>
          </cell>
          <cell r="C307" t="str">
            <v>F06</v>
          </cell>
          <cell r="D307" t="str">
            <v>Frais de Personnel</v>
          </cell>
        </row>
        <row r="308">
          <cell r="A308">
            <v>614721</v>
          </cell>
          <cell r="B308" t="str">
            <v>TRANSP.FER PERSONNEL (CONGES)</v>
          </cell>
          <cell r="C308" t="str">
            <v>F06</v>
          </cell>
          <cell r="D308" t="str">
            <v>Frais de Personnel</v>
          </cell>
        </row>
        <row r="309">
          <cell r="A309">
            <v>614741</v>
          </cell>
          <cell r="B309" t="str">
            <v>TRANSP.AIR PERSONNEL (CONGES)</v>
          </cell>
          <cell r="C309" t="str">
            <v>F06</v>
          </cell>
          <cell r="D309" t="str">
            <v>Frais de Personnel</v>
          </cell>
        </row>
        <row r="310">
          <cell r="A310">
            <v>614760</v>
          </cell>
          <cell r="B310" t="str">
            <v>TRANSP.DIVERS PERSONNEL (CONGES)</v>
          </cell>
          <cell r="C310" t="str">
            <v>F06</v>
          </cell>
          <cell r="D310" t="str">
            <v>Frais de Personnel</v>
          </cell>
        </row>
        <row r="311">
          <cell r="A311">
            <v>614770</v>
          </cell>
          <cell r="B311" t="str">
            <v>AUTRES TRANSP. A L'ETRANGER (CONGES)</v>
          </cell>
          <cell r="C311" t="str">
            <v>F06</v>
          </cell>
          <cell r="D311" t="str">
            <v>Frais de Personnel</v>
          </cell>
        </row>
        <row r="312">
          <cell r="A312">
            <v>616100</v>
          </cell>
          <cell r="B312" t="str">
            <v>TRANSP. DE PLIS ET AFFRANCHISSEMENTS</v>
          </cell>
          <cell r="C312" t="str">
            <v>F03</v>
          </cell>
          <cell r="D312" t="str">
            <v>Autres Services</v>
          </cell>
        </row>
        <row r="313">
          <cell r="A313">
            <v>616200</v>
          </cell>
          <cell r="B313" t="e">
            <v>#N/A</v>
          </cell>
          <cell r="C313" t="str">
            <v>F02</v>
          </cell>
          <cell r="D313" t="str">
            <v>Transports Fixes</v>
          </cell>
        </row>
        <row r="314">
          <cell r="A314">
            <v>618141</v>
          </cell>
          <cell r="B314" t="str">
            <v>TRANSP. AFFAIRE LOCAUX</v>
          </cell>
          <cell r="C314" t="str">
            <v>F02</v>
          </cell>
          <cell r="D314" t="str">
            <v>Transports Fixes</v>
          </cell>
        </row>
        <row r="315">
          <cell r="A315">
            <v>618148</v>
          </cell>
          <cell r="B315" t="str">
            <v>TRANSP.AIR PERSONNEL LOCAUX</v>
          </cell>
          <cell r="C315" t="str">
            <v>F02</v>
          </cell>
          <cell r="D315" t="str">
            <v>Transports Fixes</v>
          </cell>
        </row>
        <row r="316">
          <cell r="A316">
            <v>618150</v>
          </cell>
          <cell r="B316" t="str">
            <v>TRANSP.D'AFF.SUPPORT.ETRANGER</v>
          </cell>
          <cell r="C316" t="str">
            <v>F02</v>
          </cell>
          <cell r="D316" t="str">
            <v>Transports Fixes</v>
          </cell>
        </row>
        <row r="317">
          <cell r="A317">
            <v>618151</v>
          </cell>
          <cell r="B317" t="str">
            <v>TRANSP. ETRANGER PERSONNEL</v>
          </cell>
          <cell r="C317" t="str">
            <v>F02</v>
          </cell>
          <cell r="D317" t="str">
            <v>Transports Fixes</v>
          </cell>
        </row>
        <row r="318">
          <cell r="A318">
            <v>618152</v>
          </cell>
          <cell r="B318" t="str">
            <v>INDEMNITE TRANSPORT STAGIAIRES</v>
          </cell>
          <cell r="C318" t="str">
            <v>F02</v>
          </cell>
          <cell r="D318" t="str">
            <v>Transports Fixes</v>
          </cell>
        </row>
        <row r="319">
          <cell r="A319">
            <v>618205</v>
          </cell>
          <cell r="B319" t="str">
            <v>TRANSP.TRANSF.STOCK MPC</v>
          </cell>
          <cell r="C319" t="str">
            <v>D05</v>
          </cell>
          <cell r="D319" t="str">
            <v>Transports /transferts</v>
          </cell>
        </row>
        <row r="320">
          <cell r="A320">
            <v>618210</v>
          </cell>
          <cell r="B320" t="str">
            <v>TRANSPORT TRF EMBALLAGES</v>
          </cell>
          <cell r="C320" t="str">
            <v>D05</v>
          </cell>
          <cell r="D320" t="str">
            <v>Transports /transferts</v>
          </cell>
        </row>
        <row r="321">
          <cell r="A321">
            <v>618215</v>
          </cell>
          <cell r="B321" t="str">
            <v>TRANSP.PF &amp; EMB.RET.A VIDE</v>
          </cell>
          <cell r="C321" t="str">
            <v>D05</v>
          </cell>
          <cell r="D321" t="str">
            <v>Transports /transferts</v>
          </cell>
        </row>
        <row r="322">
          <cell r="A322">
            <v>618217</v>
          </cell>
          <cell r="B322" t="str">
            <v>TRANSP.TRANSF.EMBALLAGES NEUFS</v>
          </cell>
          <cell r="C322" t="str">
            <v>D05</v>
          </cell>
          <cell r="D322" t="str">
            <v>Transports /transferts</v>
          </cell>
        </row>
        <row r="323">
          <cell r="A323">
            <v>618218</v>
          </cell>
          <cell r="B323" t="str">
            <v>TRANSP.TRANSF.PROD.FINIS</v>
          </cell>
          <cell r="C323" t="str">
            <v>D05</v>
          </cell>
          <cell r="D323" t="str">
            <v>Transports /transferts</v>
          </cell>
        </row>
        <row r="324">
          <cell r="A324">
            <v>618219</v>
          </cell>
          <cell r="B324" t="str">
            <v>TRANSPORT MATIERE NON STK</v>
          </cell>
          <cell r="C324" t="str">
            <v>F02</v>
          </cell>
          <cell r="D324" t="str">
            <v>Transports Fixes</v>
          </cell>
        </row>
        <row r="325">
          <cell r="A325">
            <v>618226</v>
          </cell>
          <cell r="B325" t="e">
            <v>#N/A</v>
          </cell>
          <cell r="C325" t="str">
            <v>D05</v>
          </cell>
          <cell r="D325" t="str">
            <v>Transports /transferts</v>
          </cell>
        </row>
        <row r="326">
          <cell r="A326">
            <v>618227</v>
          </cell>
          <cell r="B326" t="e">
            <v>#N/A</v>
          </cell>
          <cell r="C326" t="str">
            <v>D05</v>
          </cell>
          <cell r="D326" t="str">
            <v>Transports /transferts</v>
          </cell>
        </row>
        <row r="327">
          <cell r="A327">
            <v>618228</v>
          </cell>
          <cell r="B327" t="e">
            <v>#N/A</v>
          </cell>
          <cell r="C327" t="str">
            <v>D05</v>
          </cell>
          <cell r="D327" t="str">
            <v>Transports /transferts</v>
          </cell>
        </row>
        <row r="328">
          <cell r="A328">
            <v>618400</v>
          </cell>
          <cell r="B328" t="str">
            <v>AUTRES FRAIS DE TRANSPORT</v>
          </cell>
          <cell r="C328" t="str">
            <v>F02</v>
          </cell>
          <cell r="D328" t="str">
            <v>Transports Fixes</v>
          </cell>
        </row>
        <row r="329">
          <cell r="A329">
            <v>618410</v>
          </cell>
          <cell r="B329" t="str">
            <v>PEAGE S/TRANSPORT TERRESTRE</v>
          </cell>
          <cell r="C329" t="str">
            <v>F02</v>
          </cell>
          <cell r="D329" t="str">
            <v>Transports Fixes</v>
          </cell>
        </row>
        <row r="330">
          <cell r="A330">
            <v>618411</v>
          </cell>
          <cell r="B330" t="str">
            <v>TRANSP. EFFETS PERSONNEL</v>
          </cell>
          <cell r="C330" t="str">
            <v>F06</v>
          </cell>
          <cell r="D330" t="str">
            <v>Frais de Personnel</v>
          </cell>
        </row>
        <row r="331">
          <cell r="A331">
            <v>618419</v>
          </cell>
          <cell r="B331" t="str">
            <v>AUTRES TRANSPORTS</v>
          </cell>
          <cell r="C331" t="str">
            <v>D05</v>
          </cell>
          <cell r="D331" t="str">
            <v>Transports /transferts</v>
          </cell>
        </row>
        <row r="332">
          <cell r="A332">
            <v>618420</v>
          </cell>
          <cell r="B332" t="str">
            <v>CAMION/MANUT.S/APPRO MAG.CENTRAL</v>
          </cell>
          <cell r="C332" t="str">
            <v>F02</v>
          </cell>
          <cell r="D332" t="str">
            <v>Transports Fixes</v>
          </cell>
        </row>
        <row r="333">
          <cell r="A333">
            <v>618421</v>
          </cell>
          <cell r="B333" t="str">
            <v>TRANSP.FER EFFETS PERSONNEL</v>
          </cell>
          <cell r="C333" t="str">
            <v>F06</v>
          </cell>
          <cell r="D333" t="str">
            <v>Frais de Personnel</v>
          </cell>
        </row>
        <row r="334">
          <cell r="A334">
            <v>618422</v>
          </cell>
          <cell r="B334" t="str">
            <v>AUTRES TRANSPORTS PAR FER</v>
          </cell>
          <cell r="C334" t="str">
            <v>F02</v>
          </cell>
          <cell r="D334" t="str">
            <v>Transports Fixes</v>
          </cell>
        </row>
        <row r="335">
          <cell r="A335">
            <v>618431</v>
          </cell>
          <cell r="B335" t="str">
            <v>TRANSP.EAU EFFETS PERSONNEL</v>
          </cell>
          <cell r="C335" t="str">
            <v>F06</v>
          </cell>
          <cell r="D335" t="str">
            <v>Frais de Personnel</v>
          </cell>
        </row>
        <row r="336">
          <cell r="A336">
            <v>618439</v>
          </cell>
          <cell r="B336" t="str">
            <v>AUTRES TRANSPORTS PAR EAU</v>
          </cell>
          <cell r="C336" t="str">
            <v>F02</v>
          </cell>
          <cell r="D336" t="str">
            <v>Transports Fixes</v>
          </cell>
        </row>
        <row r="337">
          <cell r="A337">
            <v>618441</v>
          </cell>
          <cell r="B337" t="str">
            <v>TRANSPORTS PAR AIR</v>
          </cell>
          <cell r="C337" t="str">
            <v>F06</v>
          </cell>
          <cell r="D337" t="str">
            <v>Frais de Personnel</v>
          </cell>
        </row>
        <row r="338">
          <cell r="A338">
            <v>618449</v>
          </cell>
          <cell r="B338" t="str">
            <v>AUTRES TRANSPORTS PAR AIR</v>
          </cell>
          <cell r="C338" t="str">
            <v>F02</v>
          </cell>
          <cell r="D338" t="str">
            <v>Transports Fixes</v>
          </cell>
        </row>
        <row r="339">
          <cell r="A339">
            <v>621000</v>
          </cell>
          <cell r="B339" t="str">
            <v>AUTRES SERVICES</v>
          </cell>
          <cell r="C339" t="str">
            <v>F03</v>
          </cell>
          <cell r="D339" t="str">
            <v>Autres Services</v>
          </cell>
        </row>
        <row r="340">
          <cell r="A340">
            <v>622100</v>
          </cell>
          <cell r="B340" t="str">
            <v>LOYERS TERRAIN</v>
          </cell>
          <cell r="C340" t="str">
            <v>F03</v>
          </cell>
          <cell r="D340" t="str">
            <v>Autres Services</v>
          </cell>
        </row>
        <row r="341">
          <cell r="A341">
            <v>622210</v>
          </cell>
          <cell r="B341" t="str">
            <v>LOYERS CONSTRUCTIONS INDUSTRIEL.</v>
          </cell>
          <cell r="C341" t="str">
            <v>F03</v>
          </cell>
          <cell r="D341" t="str">
            <v>Autres Services</v>
          </cell>
        </row>
        <row r="342">
          <cell r="A342">
            <v>622220</v>
          </cell>
          <cell r="B342" t="str">
            <v>LOYERS ENTREPOT MAGASINAGE</v>
          </cell>
          <cell r="C342" t="str">
            <v>F03</v>
          </cell>
          <cell r="D342" t="str">
            <v>Autres Services</v>
          </cell>
        </row>
        <row r="343">
          <cell r="A343">
            <v>622230</v>
          </cell>
          <cell r="B343" t="str">
            <v>LOYERS CENTRES DISTRIBUTION</v>
          </cell>
          <cell r="C343" t="str">
            <v>F03</v>
          </cell>
          <cell r="D343" t="str">
            <v>Autres Services</v>
          </cell>
        </row>
        <row r="344">
          <cell r="A344">
            <v>622240</v>
          </cell>
          <cell r="B344" t="str">
            <v>LOYERS BATIMENTS SOCIAUX</v>
          </cell>
          <cell r="C344" t="str">
            <v>F03</v>
          </cell>
          <cell r="D344" t="str">
            <v>Autres Services</v>
          </cell>
        </row>
        <row r="345">
          <cell r="A345">
            <v>622250</v>
          </cell>
          <cell r="B345" t="e">
            <v>#N/A</v>
          </cell>
          <cell r="C345" t="str">
            <v>F03</v>
          </cell>
          <cell r="D345" t="str">
            <v>Autres Services</v>
          </cell>
        </row>
        <row r="346">
          <cell r="A346">
            <v>622260</v>
          </cell>
          <cell r="B346" t="str">
            <v>LOYERS LOGEMENTS PERS.CADRE</v>
          </cell>
          <cell r="C346" t="str">
            <v>F06</v>
          </cell>
          <cell r="D346" t="str">
            <v>Frais de Personnel</v>
          </cell>
        </row>
        <row r="347">
          <cell r="A347">
            <v>622330</v>
          </cell>
          <cell r="B347" t="str">
            <v>LOCATIONS VEHICULES TOURISME</v>
          </cell>
          <cell r="C347" t="str">
            <v>F03</v>
          </cell>
          <cell r="D347" t="str">
            <v>Autres Services</v>
          </cell>
        </row>
        <row r="348">
          <cell r="A348">
            <v>622331</v>
          </cell>
          <cell r="B348" t="str">
            <v>LOCATIONS VEHIC.UTIL. ET ENGINS</v>
          </cell>
          <cell r="C348" t="str">
            <v>F03</v>
          </cell>
          <cell r="D348" t="str">
            <v>Autres Services</v>
          </cell>
        </row>
        <row r="349">
          <cell r="A349">
            <v>622333</v>
          </cell>
          <cell r="B349" t="str">
            <v>LOCATIONS MATERIELS</v>
          </cell>
          <cell r="C349" t="str">
            <v>F03</v>
          </cell>
          <cell r="D349" t="str">
            <v>Autres Services</v>
          </cell>
        </row>
        <row r="350">
          <cell r="A350">
            <v>622335</v>
          </cell>
          <cell r="B350" t="str">
            <v>LOCATIONS LONGUE DUREE PICK UP</v>
          </cell>
          <cell r="C350" t="str">
            <v>F03</v>
          </cell>
          <cell r="D350" t="str">
            <v>Autres Services</v>
          </cell>
        </row>
        <row r="351">
          <cell r="A351">
            <v>622800</v>
          </cell>
          <cell r="B351" t="e">
            <v>#N/A</v>
          </cell>
          <cell r="C351" t="str">
            <v>F03</v>
          </cell>
          <cell r="D351" t="str">
            <v>Autres Services</v>
          </cell>
        </row>
        <row r="352">
          <cell r="A352">
            <v>624110</v>
          </cell>
          <cell r="B352" t="str">
            <v>PREST.ENTRET.REPAR.TERRAINS</v>
          </cell>
          <cell r="C352" t="str">
            <v>F03</v>
          </cell>
          <cell r="D352" t="str">
            <v>Autres Services</v>
          </cell>
        </row>
        <row r="353">
          <cell r="A353">
            <v>624111</v>
          </cell>
          <cell r="B353" t="str">
            <v>PREST.ENTRET.REPAR.CONSTRUCTIONS</v>
          </cell>
          <cell r="C353" t="str">
            <v>F03</v>
          </cell>
          <cell r="D353" t="str">
            <v>Autres Services</v>
          </cell>
        </row>
        <row r="354">
          <cell r="A354">
            <v>624112</v>
          </cell>
          <cell r="B354" t="str">
            <v>PREST.GROS ENTRET. CONSTRUCTIONS</v>
          </cell>
          <cell r="C354" t="str">
            <v>F03</v>
          </cell>
          <cell r="D354" t="str">
            <v>Autres Services</v>
          </cell>
        </row>
        <row r="355">
          <cell r="A355">
            <v>624120</v>
          </cell>
          <cell r="B355" t="str">
            <v>PREST.ENT.REP.LOGT.PERS.N.CADRES</v>
          </cell>
          <cell r="C355" t="str">
            <v>F03</v>
          </cell>
          <cell r="D355" t="str">
            <v>Autres Services</v>
          </cell>
        </row>
        <row r="356">
          <cell r="A356">
            <v>624130</v>
          </cell>
          <cell r="B356" t="str">
            <v>PREST.ENT.REPAR.LOGT.PNEL CADRES</v>
          </cell>
          <cell r="C356" t="str">
            <v>F03</v>
          </cell>
          <cell r="D356" t="str">
            <v>Autres Services</v>
          </cell>
        </row>
        <row r="357">
          <cell r="A357">
            <v>624220</v>
          </cell>
          <cell r="B357" t="str">
            <v>PREST.GARAGE POUR TRANSPT/LIVR.</v>
          </cell>
          <cell r="C357" t="str">
            <v>F03</v>
          </cell>
          <cell r="D357" t="str">
            <v>Autres Services</v>
          </cell>
        </row>
        <row r="358">
          <cell r="A358">
            <v>624221</v>
          </cell>
          <cell r="B358" t="str">
            <v>PREST.ENTRET.REPAR.MAT.TRANSPOR</v>
          </cell>
          <cell r="C358" t="str">
            <v>F03</v>
          </cell>
          <cell r="D358" t="str">
            <v>Autres Services</v>
          </cell>
        </row>
        <row r="359">
          <cell r="A359">
            <v>624230</v>
          </cell>
          <cell r="B359" t="str">
            <v>PREST.GROS ENTRET. MATERIEL</v>
          </cell>
          <cell r="C359" t="str">
            <v>E03</v>
          </cell>
          <cell r="D359" t="str">
            <v>Maintenance (PdeR et entretien usine)</v>
          </cell>
        </row>
        <row r="360">
          <cell r="A360">
            <v>624231</v>
          </cell>
          <cell r="B360" t="str">
            <v>PREST.ENT.REPARATION MATERIEL</v>
          </cell>
          <cell r="C360" t="str">
            <v>E03</v>
          </cell>
          <cell r="D360" t="str">
            <v>Maintenance (PdeR et entretien usine)</v>
          </cell>
        </row>
        <row r="361">
          <cell r="A361">
            <v>624232</v>
          </cell>
          <cell r="B361" t="str">
            <v>PREST.ENT.REPAR.MAT.MOB. BUREAU</v>
          </cell>
          <cell r="C361" t="str">
            <v>F03</v>
          </cell>
          <cell r="D361" t="str">
            <v>Autres Services</v>
          </cell>
        </row>
        <row r="362">
          <cell r="A362">
            <v>624233</v>
          </cell>
          <cell r="B362" t="str">
            <v>PREST.ENT.REPAR.MAT.INFORMATIQUE</v>
          </cell>
          <cell r="C362" t="str">
            <v>F03</v>
          </cell>
          <cell r="D362" t="str">
            <v>Autres Services</v>
          </cell>
        </row>
        <row r="363">
          <cell r="A363">
            <v>624234</v>
          </cell>
          <cell r="B363" t="str">
            <v>PREST.ENT.REPAR.MAT.PUBLICITAIRE</v>
          </cell>
          <cell r="C363" t="str">
            <v>F03</v>
          </cell>
          <cell r="D363" t="str">
            <v>Autres Services</v>
          </cell>
        </row>
        <row r="364">
          <cell r="A364">
            <v>624241</v>
          </cell>
          <cell r="B364" t="str">
            <v>PREST.ENT.REPAR.EMBAL.IMMOBILISE</v>
          </cell>
          <cell r="C364" t="str">
            <v>F03</v>
          </cell>
          <cell r="D364" t="str">
            <v>Autres Services</v>
          </cell>
        </row>
        <row r="365">
          <cell r="A365">
            <v>624299</v>
          </cell>
          <cell r="B365" t="str">
            <v>PRESTATION ENTRETIENS DIVERS</v>
          </cell>
          <cell r="C365" t="str">
            <v>F03</v>
          </cell>
          <cell r="D365" t="str">
            <v>Autres Services</v>
          </cell>
        </row>
        <row r="366">
          <cell r="A366">
            <v>624425</v>
          </cell>
          <cell r="B366" t="str">
            <v>PRESTATION DE GROS ENTRETIEN S/MAT ROULA</v>
          </cell>
          <cell r="C366" t="str">
            <v>F03</v>
          </cell>
          <cell r="D366" t="str">
            <v>Autres Services</v>
          </cell>
        </row>
        <row r="367">
          <cell r="A367">
            <v>624620</v>
          </cell>
          <cell r="B367" t="str">
            <v>CADEAUX ENTREPRISE NON DEDUCT.</v>
          </cell>
          <cell r="C367" t="str">
            <v>F05</v>
          </cell>
          <cell r="D367" t="str">
            <v>Autres Charges</v>
          </cell>
        </row>
        <row r="368">
          <cell r="A368">
            <v>625603</v>
          </cell>
          <cell r="B368" t="str">
            <v>ASUR. TRANSPORT SUR ACHAT MAT CONSOMMABL</v>
          </cell>
          <cell r="C368" t="str">
            <v>F04</v>
          </cell>
          <cell r="D368" t="str">
            <v>Assurances</v>
          </cell>
        </row>
        <row r="369">
          <cell r="A369">
            <v>625605</v>
          </cell>
          <cell r="B369" t="str">
            <v>ASUR. TRANSPORT SUR ACHAT PIECES DE RECH</v>
          </cell>
          <cell r="C369" t="str">
            <v>F04</v>
          </cell>
          <cell r="D369" t="str">
            <v>Assurances</v>
          </cell>
        </row>
        <row r="370">
          <cell r="A370">
            <v>625110</v>
          </cell>
          <cell r="B370" t="str">
            <v>ASSURANCES EFFETS DU PERS ET VOLS COFFRE</v>
          </cell>
          <cell r="C370" t="str">
            <v>F04</v>
          </cell>
          <cell r="D370" t="str">
            <v>Assurances</v>
          </cell>
        </row>
        <row r="371">
          <cell r="A371">
            <v>625120</v>
          </cell>
          <cell r="B371" t="str">
            <v>ASSURANCE GLOBALE DOMMAGES</v>
          </cell>
          <cell r="C371" t="str">
            <v>F04</v>
          </cell>
          <cell r="D371" t="str">
            <v>Assurances</v>
          </cell>
        </row>
        <row r="372">
          <cell r="A372">
            <v>625130</v>
          </cell>
          <cell r="B372" t="str">
            <v>ASSURANCE MULTIRISQUE LOGEMENT</v>
          </cell>
          <cell r="C372" t="str">
            <v>F04</v>
          </cell>
          <cell r="D372" t="str">
            <v>Assurances</v>
          </cell>
        </row>
        <row r="373">
          <cell r="A373">
            <v>625240</v>
          </cell>
          <cell r="B373" t="e">
            <v>#N/A</v>
          </cell>
          <cell r="C373" t="str">
            <v>F04</v>
          </cell>
          <cell r="D373" t="str">
            <v>Assurances</v>
          </cell>
        </row>
        <row r="374">
          <cell r="A374">
            <v>625260</v>
          </cell>
          <cell r="B374" t="str">
            <v>ASSUR. AUTO ET PERS.TRANSPORTEES</v>
          </cell>
          <cell r="C374" t="str">
            <v>F04</v>
          </cell>
          <cell r="D374" t="str">
            <v>Assurances</v>
          </cell>
        </row>
        <row r="375">
          <cell r="A375">
            <v>625261</v>
          </cell>
          <cell r="B375" t="str">
            <v>ASSURANCE TRANSPORT MARCHANDI/VOLS FONDS</v>
          </cell>
          <cell r="C375" t="str">
            <v>F04</v>
          </cell>
          <cell r="D375" t="str">
            <v>Assurances</v>
          </cell>
        </row>
        <row r="376">
          <cell r="A376">
            <v>625290</v>
          </cell>
          <cell r="B376" t="e">
            <v>#N/A</v>
          </cell>
          <cell r="C376" t="str">
            <v>F04</v>
          </cell>
          <cell r="D376" t="str">
            <v>Assurances</v>
          </cell>
        </row>
        <row r="377">
          <cell r="A377">
            <v>625600</v>
          </cell>
          <cell r="B377" t="str">
            <v>ASUR. TRANSPORT SUR ACHAT</v>
          </cell>
          <cell r="C377" t="str">
            <v>F04</v>
          </cell>
          <cell r="D377" t="str">
            <v>Assurances</v>
          </cell>
        </row>
        <row r="378">
          <cell r="A378">
            <v>625670</v>
          </cell>
          <cell r="B378" t="str">
            <v>ASSURANCE STOCK ET TRANSIT</v>
          </cell>
          <cell r="C378" t="str">
            <v>F04</v>
          </cell>
          <cell r="D378" t="str">
            <v>Assurances</v>
          </cell>
        </row>
        <row r="379">
          <cell r="A379">
            <v>625850</v>
          </cell>
          <cell r="B379" t="str">
            <v>ASSUR. R.C. CHEF D'ENTREPRISE</v>
          </cell>
          <cell r="C379" t="str">
            <v>F04</v>
          </cell>
          <cell r="D379" t="str">
            <v>Assurances</v>
          </cell>
        </row>
        <row r="380">
          <cell r="A380">
            <v>625880</v>
          </cell>
          <cell r="B380" t="str">
            <v>ASSURANCE RESPONS.CIVILE SPORT</v>
          </cell>
          <cell r="C380" t="str">
            <v>F04</v>
          </cell>
          <cell r="D380" t="str">
            <v>Assurances</v>
          </cell>
        </row>
        <row r="381">
          <cell r="A381">
            <v>625890</v>
          </cell>
          <cell r="B381" t="str">
            <v>HONORAIRES DE COURTIERS</v>
          </cell>
          <cell r="C381" t="str">
            <v>F04</v>
          </cell>
          <cell r="D381" t="str">
            <v>Assurances</v>
          </cell>
        </row>
        <row r="382">
          <cell r="A382">
            <v>626500</v>
          </cell>
          <cell r="B382" t="str">
            <v>DOCUMENTATION GENERALE</v>
          </cell>
          <cell r="C382" t="str">
            <v>F01</v>
          </cell>
          <cell r="D382" t="str">
            <v>Consommations fixes</v>
          </cell>
        </row>
        <row r="383">
          <cell r="A383">
            <v>626510</v>
          </cell>
          <cell r="B383" t="str">
            <v>ABONNEMENTS JOURNAL,REVUE</v>
          </cell>
          <cell r="C383" t="str">
            <v>F01</v>
          </cell>
          <cell r="D383" t="str">
            <v>Consommations fixes</v>
          </cell>
        </row>
        <row r="384">
          <cell r="A384">
            <v>627106</v>
          </cell>
          <cell r="B384" t="e">
            <v>#N/A</v>
          </cell>
          <cell r="C384" t="str">
            <v>E05</v>
          </cell>
          <cell r="D384" t="str">
            <v>Publicité et Marketing panafricain</v>
          </cell>
        </row>
        <row r="385">
          <cell r="A385">
            <v>627107</v>
          </cell>
          <cell r="B385" t="str">
            <v>PUBLICITE RADIO FOURNISSEUR LOCAUX</v>
          </cell>
          <cell r="C385" t="str">
            <v>E04</v>
          </cell>
          <cell r="D385" t="str">
            <v>Publicité et Marketing local</v>
          </cell>
        </row>
        <row r="386">
          <cell r="A386">
            <v>627108</v>
          </cell>
          <cell r="B386" t="str">
            <v>PUBLICITE RADIO FOURNISSEUR ETRANGER</v>
          </cell>
          <cell r="C386" t="str">
            <v>E05</v>
          </cell>
          <cell r="D386" t="str">
            <v>Publicité et Marketing panafricain</v>
          </cell>
        </row>
        <row r="387">
          <cell r="A387">
            <v>627109</v>
          </cell>
          <cell r="B387" t="str">
            <v>PUBLICITE RADIO TIERS</v>
          </cell>
          <cell r="C387" t="str">
            <v>E04</v>
          </cell>
          <cell r="D387" t="str">
            <v>Publicité et Marketing local</v>
          </cell>
        </row>
        <row r="388">
          <cell r="A388">
            <v>627150</v>
          </cell>
          <cell r="B388" t="str">
            <v>PUB.DIVERS &amp; IMPREVUS-FOURN.</v>
          </cell>
          <cell r="C388" t="str">
            <v>E04</v>
          </cell>
          <cell r="D388" t="str">
            <v>Publicité et Marketing local</v>
          </cell>
        </row>
        <row r="389">
          <cell r="A389">
            <v>627170</v>
          </cell>
          <cell r="B389" t="str">
            <v>PUBLICITE ETUDE PREST SERV FOUR LOCAUX</v>
          </cell>
          <cell r="C389" t="str">
            <v>E04</v>
          </cell>
          <cell r="D389" t="str">
            <v>Publicité et Marketing local</v>
          </cell>
        </row>
        <row r="390">
          <cell r="A390">
            <v>627180</v>
          </cell>
          <cell r="B390" t="str">
            <v>PUBLICITE ETUDE PRET SERV FOURN ETRANGER</v>
          </cell>
          <cell r="C390" t="str">
            <v>E05</v>
          </cell>
          <cell r="D390" t="str">
            <v>Publicité et Marketing panafricain</v>
          </cell>
        </row>
        <row r="391">
          <cell r="A391">
            <v>627189</v>
          </cell>
          <cell r="B391" t="str">
            <v>PUBLICITE PROVIION</v>
          </cell>
          <cell r="C391" t="str">
            <v>E04</v>
          </cell>
          <cell r="D391" t="str">
            <v>Publicité et Marketing local</v>
          </cell>
        </row>
        <row r="392">
          <cell r="A392">
            <v>627190</v>
          </cell>
          <cell r="B392" t="str">
            <v>PUBLICITE ETUDES PRESTATION SERVICE TIER</v>
          </cell>
          <cell r="C392" t="str">
            <v>E04</v>
          </cell>
          <cell r="D392" t="str">
            <v>Publicité et Marketing local</v>
          </cell>
        </row>
        <row r="393">
          <cell r="A393">
            <v>627191</v>
          </cell>
          <cell r="B393" t="str">
            <v>PUBLICITE PRETATION PUB PROVISIONNE</v>
          </cell>
          <cell r="C393" t="str">
            <v>E04</v>
          </cell>
          <cell r="D393" t="str">
            <v>Publicité et Marketing local</v>
          </cell>
        </row>
        <row r="394">
          <cell r="A394">
            <v>627207</v>
          </cell>
          <cell r="B394" t="str">
            <v>PUBLICITE CINEMA FOURNISSEUR LOCAUX</v>
          </cell>
          <cell r="C394" t="str">
            <v>E04</v>
          </cell>
          <cell r="D394" t="str">
            <v>Publicité et Marketing local</v>
          </cell>
        </row>
        <row r="395">
          <cell r="A395">
            <v>627208</v>
          </cell>
          <cell r="B395" t="str">
            <v>PUBLICITE CINEMA FOURNISSEUR ETRANGER</v>
          </cell>
          <cell r="C395" t="str">
            <v>E05</v>
          </cell>
          <cell r="D395" t="str">
            <v>Publicité et Marketing panafricain</v>
          </cell>
        </row>
        <row r="396">
          <cell r="A396">
            <v>627209</v>
          </cell>
          <cell r="B396" t="str">
            <v>PUBLICITE CINEMA TIERS</v>
          </cell>
          <cell r="C396" t="str">
            <v>E04</v>
          </cell>
          <cell r="D396" t="str">
            <v>Publicité et Marketing local</v>
          </cell>
        </row>
        <row r="397">
          <cell r="A397">
            <v>627307</v>
          </cell>
          <cell r="B397" t="str">
            <v>PUBLICITE PRESSE FOURNISSEUR LOCAUX</v>
          </cell>
          <cell r="C397" t="str">
            <v>E04</v>
          </cell>
          <cell r="D397" t="str">
            <v>Publicité et Marketing local</v>
          </cell>
        </row>
        <row r="398">
          <cell r="A398">
            <v>627308</v>
          </cell>
          <cell r="B398" t="str">
            <v>PUBLICITE PRESSE FOURNISSEUR ETRANGER</v>
          </cell>
          <cell r="C398" t="str">
            <v>E05</v>
          </cell>
          <cell r="D398" t="str">
            <v>Publicité et Marketing panafricain</v>
          </cell>
        </row>
        <row r="399">
          <cell r="A399">
            <v>627309</v>
          </cell>
          <cell r="B399" t="str">
            <v>PUBLICITE PRESSE TIERS</v>
          </cell>
          <cell r="C399" t="str">
            <v>E04</v>
          </cell>
          <cell r="D399" t="str">
            <v>Publicité et Marketing local</v>
          </cell>
        </row>
        <row r="400">
          <cell r="A400">
            <v>627407</v>
          </cell>
          <cell r="B400" t="str">
            <v>PUBLICITE TV FOURNISSEUR LOCAUX</v>
          </cell>
          <cell r="C400" t="str">
            <v>E04</v>
          </cell>
          <cell r="D400" t="str">
            <v>Publicité et Marketing local</v>
          </cell>
        </row>
        <row r="401">
          <cell r="A401">
            <v>627408</v>
          </cell>
          <cell r="B401" t="str">
            <v>PUBLICITE TV FOURNISSEUR ETRANGER</v>
          </cell>
          <cell r="C401" t="str">
            <v>E05</v>
          </cell>
          <cell r="D401" t="str">
            <v>Publicité et Marketing panafricain</v>
          </cell>
        </row>
        <row r="402">
          <cell r="A402">
            <v>627409</v>
          </cell>
          <cell r="B402" t="str">
            <v>PUBLICITE TV TIERS</v>
          </cell>
          <cell r="C402" t="str">
            <v>E04</v>
          </cell>
          <cell r="D402" t="str">
            <v>Publicité et Marketing local</v>
          </cell>
        </row>
        <row r="403">
          <cell r="A403">
            <v>627417</v>
          </cell>
          <cell r="B403" t="e">
            <v>#N/A</v>
          </cell>
          <cell r="C403" t="str">
            <v>E04</v>
          </cell>
          <cell r="D403" t="str">
            <v>Publicité et Marketing local</v>
          </cell>
        </row>
        <row r="404">
          <cell r="A404">
            <v>627418</v>
          </cell>
          <cell r="B404" t="e">
            <v>#N/A</v>
          </cell>
          <cell r="C404" t="str">
            <v>E04</v>
          </cell>
          <cell r="D404" t="str">
            <v>Publicité et Marketing local</v>
          </cell>
        </row>
        <row r="405">
          <cell r="A405">
            <v>627500</v>
          </cell>
          <cell r="B405" t="str">
            <v>PUBLICATIONS "33" DEGRE A L'OMBRE</v>
          </cell>
          <cell r="C405" t="str">
            <v>E04</v>
          </cell>
          <cell r="D405" t="str">
            <v>Publicité et Marketing local</v>
          </cell>
        </row>
        <row r="406">
          <cell r="A406">
            <v>627507</v>
          </cell>
          <cell r="B406" t="str">
            <v>PUBLICITE DROIT D'AFFICHE FOURN LOCAUX</v>
          </cell>
          <cell r="C406" t="str">
            <v>E04</v>
          </cell>
          <cell r="D406" t="str">
            <v>Publicité et Marketing local</v>
          </cell>
        </row>
        <row r="407">
          <cell r="A407">
            <v>627607</v>
          </cell>
          <cell r="B407" t="str">
            <v>PUBLICITE SUR LIEUX DE VENTE PRESTAT</v>
          </cell>
          <cell r="C407" t="str">
            <v>E04</v>
          </cell>
          <cell r="D407" t="str">
            <v>Publicité et Marketing local</v>
          </cell>
        </row>
        <row r="408">
          <cell r="A408">
            <v>627608</v>
          </cell>
          <cell r="B408" t="str">
            <v>PUBLICITE PREST POUR AFFICHAGE/PANNEAU</v>
          </cell>
          <cell r="C408" t="str">
            <v>E04</v>
          </cell>
          <cell r="D408" t="str">
            <v>Publicité et Marketing local</v>
          </cell>
        </row>
        <row r="409">
          <cell r="A409">
            <v>627609</v>
          </cell>
          <cell r="B409" t="str">
            <v>PUBLICITE PREST POUR DIVERS INSTITUTIONE</v>
          </cell>
          <cell r="C409" t="str">
            <v>E04</v>
          </cell>
          <cell r="D409" t="str">
            <v>Publicité et Marketing local</v>
          </cell>
        </row>
        <row r="410">
          <cell r="A410">
            <v>627610</v>
          </cell>
          <cell r="B410" t="str">
            <v>PUBLICITE HABILLAGE VEHICULES</v>
          </cell>
          <cell r="C410" t="str">
            <v>F05</v>
          </cell>
          <cell r="D410" t="str">
            <v>Autres Charges</v>
          </cell>
        </row>
        <row r="411">
          <cell r="A411">
            <v>627611</v>
          </cell>
          <cell r="B411" t="str">
            <v>PUBLICITE PRESTATION COMMERCIALE</v>
          </cell>
          <cell r="C411" t="str">
            <v>E04</v>
          </cell>
          <cell r="D411" t="str">
            <v>Publicité et Marketing local</v>
          </cell>
        </row>
        <row r="412">
          <cell r="A412">
            <v>627612</v>
          </cell>
          <cell r="B412" t="str">
            <v>PUBLICITE TRANSPORT PRESTATION CCIALE</v>
          </cell>
          <cell r="C412" t="str">
            <v>E04</v>
          </cell>
          <cell r="D412" t="str">
            <v>Publicité et Marketing local</v>
          </cell>
        </row>
        <row r="413">
          <cell r="A413">
            <v>627613</v>
          </cell>
          <cell r="B413" t="str">
            <v>PUBLICITE ACTION DIRECTE SUR COCA COLA</v>
          </cell>
          <cell r="C413" t="str">
            <v>E04</v>
          </cell>
          <cell r="D413" t="str">
            <v>Publicité et Marketing local</v>
          </cell>
        </row>
        <row r="414">
          <cell r="A414">
            <v>627620</v>
          </cell>
          <cell r="B414" t="str">
            <v>RP CADEAUX ENTREPRISE NON DEDUCT.</v>
          </cell>
          <cell r="C414" t="str">
            <v>F05</v>
          </cell>
          <cell r="D414" t="str">
            <v>Autres Charges</v>
          </cell>
        </row>
        <row r="415">
          <cell r="A415">
            <v>627630</v>
          </cell>
          <cell r="B415" t="str">
            <v>RP CADEAUX FIN ANNEE DEDUCTIBLE</v>
          </cell>
          <cell r="C415" t="str">
            <v>E04</v>
          </cell>
          <cell r="D415" t="str">
            <v>Publicité et Marketing local</v>
          </cell>
        </row>
        <row r="416">
          <cell r="A416">
            <v>627700</v>
          </cell>
          <cell r="B416" t="str">
            <v>RP FRAIS COLLOQ.SEMINAIRE,CONFER.</v>
          </cell>
          <cell r="C416" t="str">
            <v>E04</v>
          </cell>
          <cell r="D416" t="str">
            <v>Publicité et Marketing local</v>
          </cell>
        </row>
        <row r="417">
          <cell r="A417">
            <v>627800</v>
          </cell>
          <cell r="B417" t="str">
            <v>AUTRES CHAR.PUB. REL.PUBLIQUES</v>
          </cell>
          <cell r="C417" t="str">
            <v>E04</v>
          </cell>
          <cell r="D417" t="str">
            <v>Publicité et Marketing local</v>
          </cell>
        </row>
        <row r="418">
          <cell r="A418">
            <v>628100</v>
          </cell>
          <cell r="B418" t="str">
            <v>FRAIS TELEGRAMMES ET TELEPHONES</v>
          </cell>
          <cell r="C418" t="str">
            <v>F03</v>
          </cell>
          <cell r="D418" t="str">
            <v>Autres Services</v>
          </cell>
        </row>
        <row r="419">
          <cell r="A419">
            <v>628110</v>
          </cell>
          <cell r="B419" t="str">
            <v>FRAIS FAX-TELEPH.MOBILES-LIGN.STANDARD</v>
          </cell>
          <cell r="C419" t="str">
            <v>F03</v>
          </cell>
          <cell r="D419" t="str">
            <v>Autres Services</v>
          </cell>
        </row>
        <row r="420">
          <cell r="A420">
            <v>628120</v>
          </cell>
          <cell r="B420" t="str">
            <v>FRAIS FAX-TELEPH.MOBILES-LIGN.DIRECTES</v>
          </cell>
          <cell r="C420" t="str">
            <v>F03</v>
          </cell>
          <cell r="D420" t="str">
            <v>Autres Services</v>
          </cell>
        </row>
        <row r="421">
          <cell r="A421">
            <v>628130</v>
          </cell>
          <cell r="B421" t="str">
            <v>TELECOMMUNICATION - INTERNET</v>
          </cell>
          <cell r="C421" t="str">
            <v>F03</v>
          </cell>
          <cell r="D421" t="str">
            <v>Autres Services</v>
          </cell>
        </row>
        <row r="422">
          <cell r="A422">
            <v>628140</v>
          </cell>
          <cell r="B422" t="str">
            <v>FRAIS TELECOMMUNICATIONS - INTERNET</v>
          </cell>
          <cell r="C422" t="str">
            <v>F03</v>
          </cell>
          <cell r="D422" t="str">
            <v>Autres Services</v>
          </cell>
        </row>
        <row r="423">
          <cell r="A423">
            <v>628200</v>
          </cell>
          <cell r="B423" t="str">
            <v>TELEX/TELECOPIE TELEGRAMME</v>
          </cell>
          <cell r="C423" t="str">
            <v>F03</v>
          </cell>
          <cell r="D423" t="str">
            <v>Autres Services</v>
          </cell>
        </row>
        <row r="424">
          <cell r="A424">
            <v>628300</v>
          </cell>
          <cell r="B424" t="str">
            <v>TELEPHONES LIGNES FIXES</v>
          </cell>
          <cell r="C424" t="str">
            <v>F03</v>
          </cell>
          <cell r="D424" t="str">
            <v>Autres Services</v>
          </cell>
        </row>
        <row r="425">
          <cell r="A425">
            <v>628800</v>
          </cell>
          <cell r="B425" t="str">
            <v>AUTRES FRAIS DE TELECOMMUNICAT.</v>
          </cell>
          <cell r="C425" t="str">
            <v>F03</v>
          </cell>
          <cell r="D425" t="str">
            <v>Autres Services</v>
          </cell>
        </row>
        <row r="426">
          <cell r="A426">
            <v>631260</v>
          </cell>
          <cell r="B426" t="e">
            <v>#N/A</v>
          </cell>
          <cell r="C426" t="str">
            <v>F03</v>
          </cell>
          <cell r="D426" t="str">
            <v>Autres Services</v>
          </cell>
        </row>
        <row r="427">
          <cell r="A427">
            <v>631810</v>
          </cell>
          <cell r="B427" t="str">
            <v>COMMISSIONS S/CAUTIONS CAMEROUN</v>
          </cell>
          <cell r="C427" t="str">
            <v>F03</v>
          </cell>
          <cell r="D427" t="str">
            <v>Autres Services</v>
          </cell>
        </row>
        <row r="428">
          <cell r="A428">
            <v>631811</v>
          </cell>
          <cell r="B428" t="str">
            <v>FRAIS DE RAMASSAGE DE FONDS</v>
          </cell>
          <cell r="C428" t="str">
            <v>F03</v>
          </cell>
          <cell r="D428" t="str">
            <v>Autres Services</v>
          </cell>
        </row>
        <row r="429">
          <cell r="A429">
            <v>631813</v>
          </cell>
          <cell r="B429" t="str">
            <v>FRAIS /VIREMENTS ETRANG.CAMEROUN</v>
          </cell>
          <cell r="C429" t="str">
            <v>F03</v>
          </cell>
          <cell r="D429" t="str">
            <v>Autres Services</v>
          </cell>
        </row>
        <row r="430">
          <cell r="A430">
            <v>631814</v>
          </cell>
          <cell r="B430" t="str">
            <v>COMMIS.BANCAIRES DIV.LOCAUX</v>
          </cell>
          <cell r="C430" t="str">
            <v>F03</v>
          </cell>
          <cell r="D430" t="str">
            <v>Autres Services</v>
          </cell>
        </row>
        <row r="431">
          <cell r="A431">
            <v>631816</v>
          </cell>
          <cell r="B431" t="str">
            <v>COMMISSIONS DE COMPTE CAMEROUN</v>
          </cell>
          <cell r="C431" t="str">
            <v>F03</v>
          </cell>
          <cell r="D431" t="str">
            <v>Autres Services</v>
          </cell>
        </row>
        <row r="432">
          <cell r="A432">
            <v>631817</v>
          </cell>
          <cell r="B432" t="str">
            <v>COMMISSIONS DE DECOUVERT CAMER.</v>
          </cell>
          <cell r="C432" t="str">
            <v>F03</v>
          </cell>
          <cell r="D432" t="str">
            <v>Autres Services</v>
          </cell>
        </row>
        <row r="433">
          <cell r="A433">
            <v>631818</v>
          </cell>
          <cell r="B433" t="str">
            <v>FRAIS S/VIREMENTS LOCAUX</v>
          </cell>
          <cell r="C433" t="str">
            <v>F03</v>
          </cell>
          <cell r="D433" t="str">
            <v>Autres Services</v>
          </cell>
        </row>
        <row r="434">
          <cell r="A434">
            <v>631819</v>
          </cell>
          <cell r="B434" t="str">
            <v>PROV.COMMISSIONS COMPTE CAMEROUN</v>
          </cell>
          <cell r="C434" t="str">
            <v>F03</v>
          </cell>
          <cell r="D434" t="str">
            <v>Autres Services</v>
          </cell>
        </row>
        <row r="435">
          <cell r="A435">
            <v>631850</v>
          </cell>
          <cell r="B435" t="str">
            <v>AUTRES SERVICES BANQUES CAMEROUN</v>
          </cell>
          <cell r="C435" t="str">
            <v>F03</v>
          </cell>
          <cell r="D435" t="str">
            <v>Autres Services</v>
          </cell>
        </row>
        <row r="436">
          <cell r="A436">
            <v>631860</v>
          </cell>
          <cell r="B436" t="str">
            <v>AUTRES SERVICES BANQUES A L'ETR.</v>
          </cell>
          <cell r="C436" t="str">
            <v>F03</v>
          </cell>
          <cell r="D436" t="str">
            <v>Autres Services</v>
          </cell>
        </row>
        <row r="437">
          <cell r="A437">
            <v>632100</v>
          </cell>
          <cell r="B437" t="str">
            <v>COMMISSIONS ET COURTAGES/ ACHATS</v>
          </cell>
          <cell r="C437" t="str">
            <v>F03</v>
          </cell>
          <cell r="D437" t="str">
            <v>Autres Services</v>
          </cell>
        </row>
        <row r="438">
          <cell r="A438">
            <v>632200</v>
          </cell>
          <cell r="B438" t="str">
            <v>COMMISSIONS ET COURTAGES/VENTES</v>
          </cell>
          <cell r="C438" t="str">
            <v>F03</v>
          </cell>
          <cell r="D438" t="str">
            <v>Autres Services</v>
          </cell>
        </row>
        <row r="439">
          <cell r="A439">
            <v>632205</v>
          </cell>
          <cell r="B439" t="str">
            <v>PRESTATIONS/VTES BIERE PRESSION</v>
          </cell>
          <cell r="C439" t="str">
            <v>F06</v>
          </cell>
          <cell r="D439" t="str">
            <v>Frais de Personnel</v>
          </cell>
        </row>
        <row r="440">
          <cell r="A440">
            <v>632300</v>
          </cell>
          <cell r="B440" t="e">
            <v>#N/A</v>
          </cell>
          <cell r="C440" t="str">
            <v>D02</v>
          </cell>
          <cell r="D440" t="str">
            <v>Matières et fournitures de production</v>
          </cell>
        </row>
        <row r="441">
          <cell r="A441">
            <v>632310</v>
          </cell>
          <cell r="B441" t="str">
            <v>FRAIS DES TRANSITAIRES</v>
          </cell>
          <cell r="C441" t="str">
            <v>D02</v>
          </cell>
          <cell r="D441" t="str">
            <v>Matières et fournitures de production</v>
          </cell>
        </row>
        <row r="442">
          <cell r="A442">
            <v>632313</v>
          </cell>
          <cell r="B442" t="str">
            <v>FRAIS DEBOURS S/ACHAT MAT CONSOMMABLES</v>
          </cell>
          <cell r="C442" t="str">
            <v>D02</v>
          </cell>
          <cell r="D442" t="str">
            <v>Matières et fournitures de production</v>
          </cell>
        </row>
        <row r="443">
          <cell r="A443">
            <v>632315</v>
          </cell>
          <cell r="B443" t="str">
            <v>FRAIS DEBOURS S/ACHAT PIECES DE RECHANGE</v>
          </cell>
          <cell r="C443" t="str">
            <v>E03</v>
          </cell>
          <cell r="D443" t="str">
            <v>Maintenance (PdeR et entretien usine)</v>
          </cell>
        </row>
        <row r="444">
          <cell r="A444">
            <v>632320</v>
          </cell>
          <cell r="B444" t="str">
            <v>FRAIS DES TRANSITAIRES MAT PREMIERES</v>
          </cell>
          <cell r="C444" t="str">
            <v>D02</v>
          </cell>
          <cell r="D444" t="str">
            <v>Matières et fournitures de production</v>
          </cell>
        </row>
        <row r="445">
          <cell r="A445">
            <v>632323</v>
          </cell>
          <cell r="B445" t="str">
            <v>FRAIS DES TRANSITAIRES MAT CONSOMMABLES</v>
          </cell>
          <cell r="C445" t="str">
            <v>D02</v>
          </cell>
          <cell r="D445" t="str">
            <v>Matières et fournitures de production</v>
          </cell>
        </row>
        <row r="446">
          <cell r="A446">
            <v>632325</v>
          </cell>
          <cell r="B446" t="str">
            <v>FRAIS DES TRANSITAIRES S/ACHAT PIECES RE</v>
          </cell>
          <cell r="C446" t="str">
            <v>E03</v>
          </cell>
          <cell r="D446" t="str">
            <v>Maintenance (PdeR et entretien usine)</v>
          </cell>
        </row>
        <row r="447">
          <cell r="A447">
            <v>632370</v>
          </cell>
          <cell r="B447" t="str">
            <v>FRAIS TRANSIT/EXPORT.FOURN.</v>
          </cell>
          <cell r="C447" t="str">
            <v>F03</v>
          </cell>
          <cell r="D447" t="str">
            <v>Autres Services</v>
          </cell>
        </row>
        <row r="448">
          <cell r="A448">
            <v>632400</v>
          </cell>
          <cell r="B448" t="str">
            <v>HONO. S/ PRESTAT° ADMINISTRATIVES</v>
          </cell>
          <cell r="C448" t="str">
            <v>F03</v>
          </cell>
          <cell r="D448" t="str">
            <v>Autres Services</v>
          </cell>
        </row>
        <row r="449">
          <cell r="A449">
            <v>632401</v>
          </cell>
          <cell r="B449" t="str">
            <v>HONO. JURI/FISC TIERS</v>
          </cell>
          <cell r="C449" t="str">
            <v>F03</v>
          </cell>
          <cell r="D449" t="str">
            <v>Autres Services</v>
          </cell>
        </row>
        <row r="450">
          <cell r="A450">
            <v>632402</v>
          </cell>
          <cell r="B450" t="str">
            <v>HONORAIRES AVOCATS HUIS. FOURN NON AGREE</v>
          </cell>
          <cell r="C450" t="str">
            <v>F03</v>
          </cell>
          <cell r="D450" t="str">
            <v>Autres Services</v>
          </cell>
        </row>
        <row r="451">
          <cell r="A451">
            <v>632403</v>
          </cell>
          <cell r="B451" t="str">
            <v>HONORAIRES JURIDIQUES/FIS FOURS</v>
          </cell>
          <cell r="C451" t="str">
            <v>F03</v>
          </cell>
          <cell r="D451" t="str">
            <v>Autres Services</v>
          </cell>
        </row>
        <row r="452">
          <cell r="A452">
            <v>632404</v>
          </cell>
          <cell r="B452" t="str">
            <v>HONORAIRES AVOC.HUIS.FOURNS</v>
          </cell>
          <cell r="C452" t="str">
            <v>F03</v>
          </cell>
          <cell r="D452" t="str">
            <v>Autres Services</v>
          </cell>
        </row>
        <row r="453">
          <cell r="A453">
            <v>632405</v>
          </cell>
          <cell r="B453" t="str">
            <v>HONORAIRES COMPTABLES FOURN. LCX</v>
          </cell>
          <cell r="C453" t="str">
            <v>F03</v>
          </cell>
          <cell r="D453" t="str">
            <v>Autres Services</v>
          </cell>
        </row>
        <row r="454">
          <cell r="A454">
            <v>632406</v>
          </cell>
          <cell r="B454" t="str">
            <v>REDEVANCES MUTZIG</v>
          </cell>
          <cell r="C454" t="str">
            <v>F06</v>
          </cell>
          <cell r="D454" t="str">
            <v>Frais de Personnel</v>
          </cell>
        </row>
        <row r="455">
          <cell r="A455">
            <v>632407</v>
          </cell>
          <cell r="B455" t="str">
            <v>HONO.HOPITAUX,CLINIQUES-FOURN NON AGREES</v>
          </cell>
          <cell r="C455" t="str">
            <v>F06</v>
          </cell>
          <cell r="D455" t="str">
            <v>Frais de Personnel</v>
          </cell>
        </row>
        <row r="456">
          <cell r="A456">
            <v>632408</v>
          </cell>
          <cell r="B456" t="str">
            <v>HONORAIRES ANALYSES LABO.-FOURN NON AGRE</v>
          </cell>
          <cell r="C456" t="str">
            <v>F06</v>
          </cell>
          <cell r="D456" t="str">
            <v>Frais de Personnel</v>
          </cell>
        </row>
        <row r="457">
          <cell r="A457">
            <v>632409</v>
          </cell>
          <cell r="B457" t="str">
            <v>HONORAIRES MEDICAUX-FOURN.</v>
          </cell>
          <cell r="C457" t="str">
            <v>F06</v>
          </cell>
          <cell r="D457" t="str">
            <v>Frais de Personnel</v>
          </cell>
        </row>
        <row r="458">
          <cell r="A458">
            <v>632410</v>
          </cell>
          <cell r="B458" t="str">
            <v>HONORAIRES HOPIT.CLINIQ._FOURN.</v>
          </cell>
          <cell r="C458" t="str">
            <v>F06</v>
          </cell>
          <cell r="D458" t="str">
            <v>Frais de Personnel</v>
          </cell>
        </row>
        <row r="459">
          <cell r="A459">
            <v>632411</v>
          </cell>
          <cell r="B459" t="str">
            <v>HONORAIRES ANALYSES LABO.-FOURN</v>
          </cell>
          <cell r="C459" t="str">
            <v>F06</v>
          </cell>
          <cell r="D459" t="str">
            <v>Frais de Personnel</v>
          </cell>
        </row>
        <row r="460">
          <cell r="A460">
            <v>632412</v>
          </cell>
          <cell r="B460" t="str">
            <v>TRAVAUX A FACON INFO TIERS</v>
          </cell>
          <cell r="C460" t="str">
            <v>F03</v>
          </cell>
          <cell r="D460" t="str">
            <v>Autres Services</v>
          </cell>
        </row>
        <row r="461">
          <cell r="A461">
            <v>632413</v>
          </cell>
          <cell r="B461" t="str">
            <v>TRAVAUX A FACON INFO FOURN</v>
          </cell>
          <cell r="C461" t="str">
            <v>F03</v>
          </cell>
          <cell r="D461" t="str">
            <v>Autres Services</v>
          </cell>
        </row>
        <row r="462">
          <cell r="A462">
            <v>632414</v>
          </cell>
          <cell r="B462" t="str">
            <v>SGS INSPECTION M'SES IMPORT</v>
          </cell>
          <cell r="C462" t="str">
            <v>F06</v>
          </cell>
          <cell r="D462" t="str">
            <v>Frais de Personnel</v>
          </cell>
        </row>
        <row r="463">
          <cell r="A463">
            <v>632415</v>
          </cell>
          <cell r="B463" t="str">
            <v>PRESTATIONS SERVICES NON AGRES</v>
          </cell>
          <cell r="C463" t="str">
            <v>F06</v>
          </cell>
          <cell r="D463" t="str">
            <v>Frais de Personnel</v>
          </cell>
        </row>
        <row r="464">
          <cell r="A464">
            <v>632416</v>
          </cell>
          <cell r="B464" t="str">
            <v>HONOR. AUTRES PREST.SERVICES LOCAUX</v>
          </cell>
          <cell r="C464" t="str">
            <v>F03</v>
          </cell>
          <cell r="D464" t="str">
            <v>Autres Services</v>
          </cell>
        </row>
        <row r="465">
          <cell r="A465">
            <v>632417</v>
          </cell>
          <cell r="B465" t="str">
            <v>HONOR. S/PREST. SERVICES CAM.-FOURN.</v>
          </cell>
          <cell r="C465" t="str">
            <v>F06</v>
          </cell>
          <cell r="D465" t="str">
            <v>Frais de Personnel</v>
          </cell>
        </row>
        <row r="466">
          <cell r="A466">
            <v>632418</v>
          </cell>
          <cell r="B466" t="str">
            <v>HONOR. S/PREST. SOUS/TRAITANCE LOCALE</v>
          </cell>
          <cell r="C466" t="str">
            <v>F06</v>
          </cell>
          <cell r="D466" t="str">
            <v>Frais de Personnel</v>
          </cell>
        </row>
        <row r="467">
          <cell r="A467">
            <v>632419</v>
          </cell>
          <cell r="B467" t="str">
            <v>HONORAIRES S/PREST. GARDIENNAGE</v>
          </cell>
          <cell r="C467" t="str">
            <v>F03</v>
          </cell>
          <cell r="D467" t="str">
            <v>Autres Services</v>
          </cell>
        </row>
        <row r="468">
          <cell r="A468">
            <v>632420</v>
          </cell>
          <cell r="B468" t="str">
            <v>HONOR. S/PREST. SOUS/TRAITANCE LOCALE</v>
          </cell>
          <cell r="C468" t="str">
            <v>F03</v>
          </cell>
          <cell r="D468" t="str">
            <v>Autres Services</v>
          </cell>
        </row>
        <row r="469">
          <cell r="A469">
            <v>632421</v>
          </cell>
          <cell r="B469" t="str">
            <v>VISITE TECHNIQUE VEHICULES</v>
          </cell>
          <cell r="C469" t="str">
            <v>F03</v>
          </cell>
          <cell r="D469" t="str">
            <v>Autres Services</v>
          </cell>
        </row>
        <row r="470">
          <cell r="A470">
            <v>632422</v>
          </cell>
          <cell r="B470" t="e">
            <v>#N/A</v>
          </cell>
          <cell r="C470" t="str">
            <v>E03</v>
          </cell>
          <cell r="D470" t="str">
            <v>Maintenance (PdeR et entretien usine)</v>
          </cell>
        </row>
        <row r="471">
          <cell r="A471">
            <v>632423</v>
          </cell>
          <cell r="B471" t="str">
            <v>FRAIS DE SIEGE</v>
          </cell>
          <cell r="C471" t="str">
            <v>E06</v>
          </cell>
          <cell r="D471" t="str">
            <v>Assistances Techniques</v>
          </cell>
        </row>
        <row r="472">
          <cell r="A472">
            <v>632424</v>
          </cell>
          <cell r="B472" t="str">
            <v>FRAIS S/PREST.ETRANGER</v>
          </cell>
          <cell r="C472" t="str">
            <v>F03</v>
          </cell>
          <cell r="D472" t="str">
            <v>Autres Services</v>
          </cell>
        </row>
        <row r="473">
          <cell r="A473">
            <v>632425</v>
          </cell>
          <cell r="B473" t="str">
            <v>HONOR. S/PREST.SERVICES ETRANGER-FOURN.</v>
          </cell>
          <cell r="C473" t="str">
            <v>F03</v>
          </cell>
          <cell r="D473" t="str">
            <v>Autres Services</v>
          </cell>
        </row>
        <row r="474">
          <cell r="A474">
            <v>632426</v>
          </cell>
          <cell r="B474" t="str">
            <v>AUTRES PREST.SERV.ETRANGER-FOURN</v>
          </cell>
          <cell r="C474" t="str">
            <v>F03</v>
          </cell>
          <cell r="D474" t="str">
            <v>Autres Services</v>
          </cell>
        </row>
        <row r="475">
          <cell r="A475">
            <v>632427</v>
          </cell>
          <cell r="B475" t="str">
            <v>HONORAIRES AVOCATS ETRANGERS</v>
          </cell>
          <cell r="C475" t="str">
            <v>F03</v>
          </cell>
          <cell r="D475" t="str">
            <v>Autres Services</v>
          </cell>
        </row>
        <row r="476">
          <cell r="A476">
            <v>632428</v>
          </cell>
          <cell r="B476" t="str">
            <v>ASSISTANCE TECHNIQUE LOCALE</v>
          </cell>
          <cell r="C476" t="str">
            <v>F06</v>
          </cell>
          <cell r="D476" t="str">
            <v>Frais de Personnel</v>
          </cell>
        </row>
        <row r="477">
          <cell r="A477">
            <v>632429</v>
          </cell>
          <cell r="B477" t="str">
            <v>ASSISTANCE TECHNIQUE ETRANGERE</v>
          </cell>
          <cell r="C477" t="str">
            <v>E06</v>
          </cell>
          <cell r="D477" t="str">
            <v>Assistances Techniques</v>
          </cell>
        </row>
        <row r="478">
          <cell r="A478">
            <v>632490</v>
          </cell>
          <cell r="B478" t="str">
            <v>PRESTATIONS SERVICES PROVISION.</v>
          </cell>
          <cell r="C478" t="str">
            <v>F06</v>
          </cell>
          <cell r="D478" t="str">
            <v>Frais de Personnel</v>
          </cell>
        </row>
        <row r="479">
          <cell r="A479">
            <v>632491</v>
          </cell>
          <cell r="B479" t="str">
            <v>HONORAIRES PROVISIONNES</v>
          </cell>
          <cell r="C479" t="str">
            <v>F03</v>
          </cell>
          <cell r="D479" t="str">
            <v>Autres Services</v>
          </cell>
        </row>
        <row r="480">
          <cell r="A480">
            <v>632492</v>
          </cell>
          <cell r="B480" t="str">
            <v>PROVISION ASSISTANCE TECHNIQUE</v>
          </cell>
          <cell r="C480" t="str">
            <v>E06</v>
          </cell>
          <cell r="D480" t="str">
            <v>Assistances Techniques</v>
          </cell>
        </row>
        <row r="481">
          <cell r="A481">
            <v>632510</v>
          </cell>
          <cell r="B481" t="str">
            <v>FRAIS D'ACTES ET CONTENTIEUX</v>
          </cell>
          <cell r="C481" t="str">
            <v>F03</v>
          </cell>
          <cell r="D481" t="str">
            <v>Autres Services</v>
          </cell>
        </row>
        <row r="482">
          <cell r="A482">
            <v>632520</v>
          </cell>
          <cell r="B482" t="str">
            <v>FRAIS DE CONSEILS ASSEMBLEE</v>
          </cell>
          <cell r="C482" t="str">
            <v>F03</v>
          </cell>
          <cell r="D482" t="str">
            <v>Autres Services</v>
          </cell>
        </row>
        <row r="483">
          <cell r="A483">
            <v>632800</v>
          </cell>
          <cell r="B483" t="e">
            <v>#N/A</v>
          </cell>
          <cell r="C483" t="str">
            <v>F03</v>
          </cell>
          <cell r="D483" t="str">
            <v>Autres Services</v>
          </cell>
        </row>
        <row r="484">
          <cell r="A484">
            <v>632810</v>
          </cell>
          <cell r="B484" t="str">
            <v>DIVERS FRAIS ACHATS HORS REGION/DEBOURS</v>
          </cell>
          <cell r="C484" t="str">
            <v>F03</v>
          </cell>
          <cell r="D484" t="str">
            <v>Autres Services</v>
          </cell>
        </row>
        <row r="485">
          <cell r="A485">
            <v>632820</v>
          </cell>
          <cell r="B485" t="e">
            <v>#N/A</v>
          </cell>
          <cell r="C485" t="str">
            <v>F03</v>
          </cell>
          <cell r="D485" t="str">
            <v>Autres Services</v>
          </cell>
        </row>
        <row r="486">
          <cell r="A486">
            <v>632890</v>
          </cell>
          <cell r="B486" t="str">
            <v>PRESTATIONS S/PRODUITS + EMBALL.</v>
          </cell>
          <cell r="C486" t="str">
            <v>F06</v>
          </cell>
          <cell r="D486" t="str">
            <v>Frais de Personnel</v>
          </cell>
        </row>
        <row r="487">
          <cell r="A487">
            <v>632895</v>
          </cell>
          <cell r="B487" t="str">
            <v>PRESTATIONS S/M.P.C.</v>
          </cell>
          <cell r="C487" t="str">
            <v>F06</v>
          </cell>
          <cell r="D487" t="str">
            <v>Frais de Personnel</v>
          </cell>
        </row>
        <row r="488">
          <cell r="A488">
            <v>633110</v>
          </cell>
          <cell r="B488" t="str">
            <v>FRAIS FORMAT°. STAGES LOCAUX FOURN.</v>
          </cell>
          <cell r="C488" t="str">
            <v>F06</v>
          </cell>
          <cell r="D488" t="str">
            <v>Frais de Personnel</v>
          </cell>
        </row>
        <row r="489">
          <cell r="A489">
            <v>634401</v>
          </cell>
          <cell r="B489" t="str">
            <v>REDEVANCES TUBORG</v>
          </cell>
          <cell r="C489" t="str">
            <v>D07</v>
          </cell>
          <cell r="D489" t="str">
            <v>Redevances de marques</v>
          </cell>
        </row>
        <row r="490">
          <cell r="A490">
            <v>634402</v>
          </cell>
          <cell r="B490" t="str">
            <v>REDEVANCES B.G.I. -33 EXPORT</v>
          </cell>
          <cell r="C490" t="str">
            <v>D07</v>
          </cell>
          <cell r="D490" t="str">
            <v>Redevances de marques</v>
          </cell>
        </row>
        <row r="491">
          <cell r="A491">
            <v>634403</v>
          </cell>
          <cell r="B491" t="str">
            <v>REDEVANCES CASTLE MILK STOUT</v>
          </cell>
          <cell r="C491" t="str">
            <v>D07</v>
          </cell>
          <cell r="D491" t="str">
            <v>Redevances de marques</v>
          </cell>
        </row>
        <row r="492">
          <cell r="A492">
            <v>634404</v>
          </cell>
          <cell r="B492" t="str">
            <v>REDEVANCES PELFORTH</v>
          </cell>
          <cell r="C492" t="str">
            <v>D07</v>
          </cell>
          <cell r="D492" t="str">
            <v>Redevances de marques</v>
          </cell>
        </row>
        <row r="493">
          <cell r="A493">
            <v>634405</v>
          </cell>
          <cell r="B493" t="str">
            <v>REDEVANCES BTM-CASTEL BEER</v>
          </cell>
          <cell r="C493" t="str">
            <v>D07</v>
          </cell>
          <cell r="D493" t="str">
            <v>Redevances de marques</v>
          </cell>
        </row>
        <row r="494">
          <cell r="A494">
            <v>634406</v>
          </cell>
          <cell r="B494" t="str">
            <v>REDEVANCES MUTZIG</v>
          </cell>
          <cell r="C494" t="str">
            <v>D07</v>
          </cell>
          <cell r="D494" t="str">
            <v>Redevances de marques</v>
          </cell>
        </row>
        <row r="495">
          <cell r="A495">
            <v>634407</v>
          </cell>
          <cell r="B495" t="str">
            <v>REDEVANCES AMSTEL</v>
          </cell>
          <cell r="C495" t="str">
            <v>D07</v>
          </cell>
          <cell r="D495" t="str">
            <v>Redevances de marques</v>
          </cell>
        </row>
        <row r="496">
          <cell r="A496">
            <v>634408</v>
          </cell>
          <cell r="B496" t="str">
            <v>REDEVANCES BTM-D'JINO</v>
          </cell>
          <cell r="C496" t="str">
            <v>D07</v>
          </cell>
          <cell r="D496" t="str">
            <v>Redevances de marques</v>
          </cell>
        </row>
        <row r="497">
          <cell r="A497">
            <v>634409</v>
          </cell>
          <cell r="B497" t="str">
            <v>REDEVANCES BOOSTER</v>
          </cell>
          <cell r="C497" t="str">
            <v>D07</v>
          </cell>
          <cell r="D497" t="str">
            <v>Redevances de marques</v>
          </cell>
        </row>
        <row r="498">
          <cell r="A498">
            <v>634410</v>
          </cell>
          <cell r="B498" t="str">
            <v>REDEVANCES ISENBECK</v>
          </cell>
          <cell r="C498" t="str">
            <v>D07</v>
          </cell>
          <cell r="D498" t="str">
            <v>Redevances de marques</v>
          </cell>
        </row>
        <row r="499">
          <cell r="A499">
            <v>635110</v>
          </cell>
          <cell r="B499" t="str">
            <v>COTISATIONS SYNDICALES</v>
          </cell>
          <cell r="C499" t="str">
            <v>F05</v>
          </cell>
          <cell r="D499" t="str">
            <v>Autres Charges</v>
          </cell>
        </row>
        <row r="500">
          <cell r="A500">
            <v>635130</v>
          </cell>
          <cell r="B500" t="str">
            <v>COTIS.P/ASSOC.CULT.ET PROFES.</v>
          </cell>
          <cell r="C500" t="str">
            <v>F05</v>
          </cell>
          <cell r="D500" t="str">
            <v>Autres Charges</v>
          </cell>
        </row>
        <row r="501">
          <cell r="A501">
            <v>635800</v>
          </cell>
          <cell r="B501" t="e">
            <v>#N/A</v>
          </cell>
          <cell r="C501" t="str">
            <v>F05</v>
          </cell>
          <cell r="D501" t="str">
            <v>Autres Charges</v>
          </cell>
        </row>
        <row r="502">
          <cell r="A502">
            <v>635820</v>
          </cell>
          <cell r="B502" t="str">
            <v>SUBVENT.ACCORD.S/TAXE APPRENTIS.</v>
          </cell>
          <cell r="C502" t="str">
            <v>F05</v>
          </cell>
          <cell r="D502" t="str">
            <v>Autres Charges</v>
          </cell>
        </row>
        <row r="503">
          <cell r="A503">
            <v>637130</v>
          </cell>
          <cell r="B503" t="str">
            <v>E.O.M -PERSONNEL INTERIMAIRE</v>
          </cell>
          <cell r="C503" t="str">
            <v>F06</v>
          </cell>
          <cell r="D503" t="str">
            <v>Frais de Personnel</v>
          </cell>
        </row>
        <row r="504">
          <cell r="A504">
            <v>637140</v>
          </cell>
          <cell r="B504" t="str">
            <v>CADRES NATIONAUX-PERS.INTERIMAIR</v>
          </cell>
          <cell r="C504" t="str">
            <v>F06</v>
          </cell>
          <cell r="D504" t="str">
            <v>Frais de Personnel</v>
          </cell>
        </row>
        <row r="505">
          <cell r="A505">
            <v>637150</v>
          </cell>
          <cell r="B505" t="str">
            <v>CADRES NON NAT.-PERS INTERIMAIRE</v>
          </cell>
          <cell r="C505" t="str">
            <v>F06</v>
          </cell>
          <cell r="D505" t="str">
            <v>Frais de Personnel</v>
          </cell>
        </row>
        <row r="506">
          <cell r="A506">
            <v>637230</v>
          </cell>
          <cell r="B506" t="str">
            <v>EOM-PERS DETACHE/PRETE A L'ESES</v>
          </cell>
          <cell r="C506" t="str">
            <v>F06</v>
          </cell>
          <cell r="D506" t="str">
            <v>Frais de Personnel</v>
          </cell>
        </row>
        <row r="507">
          <cell r="A507">
            <v>637240</v>
          </cell>
          <cell r="B507" t="str">
            <v>CADRES NATIONAUX-PERS DETACHE</v>
          </cell>
          <cell r="C507" t="str">
            <v>F06</v>
          </cell>
          <cell r="D507" t="str">
            <v>Frais de Personnel</v>
          </cell>
        </row>
        <row r="508">
          <cell r="A508">
            <v>637250</v>
          </cell>
          <cell r="B508" t="str">
            <v>CADRES NON NATIONAUX-PERS DETACHE</v>
          </cell>
          <cell r="C508" t="str">
            <v>F06</v>
          </cell>
          <cell r="D508" t="str">
            <v>Frais de Personnel</v>
          </cell>
        </row>
        <row r="509">
          <cell r="A509">
            <v>638120</v>
          </cell>
          <cell r="B509" t="str">
            <v>ANNONCES RECH.CANDIDAT LOCAUX</v>
          </cell>
          <cell r="C509" t="str">
            <v>F03</v>
          </cell>
          <cell r="D509" t="str">
            <v>Autres Services</v>
          </cell>
        </row>
        <row r="510">
          <cell r="A510">
            <v>638121</v>
          </cell>
          <cell r="B510" t="str">
            <v>FORMATION STAGES ETRANG.-FOURN.</v>
          </cell>
          <cell r="C510" t="str">
            <v>F06</v>
          </cell>
          <cell r="D510" t="str">
            <v>Frais de Personnel</v>
          </cell>
        </row>
        <row r="511">
          <cell r="A511">
            <v>638122</v>
          </cell>
          <cell r="B511" t="str">
            <v>ANNONCES RECH.CANDIDAT ETRANGER</v>
          </cell>
          <cell r="C511" t="str">
            <v>F03</v>
          </cell>
          <cell r="D511" t="str">
            <v>Autres Services</v>
          </cell>
        </row>
        <row r="512">
          <cell r="A512">
            <v>638130</v>
          </cell>
          <cell r="B512" t="str">
            <v>FORMATION STAGES LOCAUX-TIERS</v>
          </cell>
          <cell r="C512" t="str">
            <v>F06</v>
          </cell>
          <cell r="D512" t="str">
            <v>Frais de Personnel</v>
          </cell>
        </row>
        <row r="513">
          <cell r="A513">
            <v>638140</v>
          </cell>
          <cell r="B513" t="str">
            <v>PREST.FORMAT.STAGE ETRANG.-FOURN NON AGR</v>
          </cell>
          <cell r="C513" t="str">
            <v>F06</v>
          </cell>
          <cell r="D513" t="str">
            <v>Frais de Personnel</v>
          </cell>
        </row>
        <row r="514">
          <cell r="A514">
            <v>638310</v>
          </cell>
          <cell r="B514" t="str">
            <v>FRAIS DE RECEPTION LOCAUX</v>
          </cell>
          <cell r="C514" t="str">
            <v>F03</v>
          </cell>
          <cell r="D514" t="str">
            <v>Autres Services</v>
          </cell>
        </row>
        <row r="515">
          <cell r="A515">
            <v>638320</v>
          </cell>
          <cell r="B515" t="str">
            <v>INDEMNITES FORFAIT REPRESENTAT.</v>
          </cell>
          <cell r="C515" t="str">
            <v>F03</v>
          </cell>
          <cell r="D515" t="str">
            <v>Autres Services</v>
          </cell>
        </row>
        <row r="516">
          <cell r="A516">
            <v>638401</v>
          </cell>
          <cell r="B516" t="str">
            <v>HOTEL-REST.CAM.P.MONTAGE</v>
          </cell>
          <cell r="C516" t="str">
            <v>F03</v>
          </cell>
          <cell r="D516" t="str">
            <v>Autres Services</v>
          </cell>
        </row>
        <row r="517">
          <cell r="A517">
            <v>638402</v>
          </cell>
          <cell r="B517" t="str">
            <v>INDEMNITES SEJOUR PREST.ETRANGER</v>
          </cell>
          <cell r="C517" t="str">
            <v>F03</v>
          </cell>
          <cell r="D517" t="str">
            <v>Autres Services</v>
          </cell>
        </row>
        <row r="518">
          <cell r="A518">
            <v>638410</v>
          </cell>
          <cell r="B518" t="str">
            <v>FRAIS DE MISSION A L'ETRANGER</v>
          </cell>
          <cell r="C518" t="str">
            <v>F03</v>
          </cell>
          <cell r="D518" t="str">
            <v>Autres Services</v>
          </cell>
        </row>
        <row r="519">
          <cell r="A519">
            <v>638411</v>
          </cell>
          <cell r="B519" t="str">
            <v>HOTEL-REST. PERSONNEL LOCAUX</v>
          </cell>
          <cell r="C519" t="str">
            <v>F03</v>
          </cell>
          <cell r="D519" t="str">
            <v>Autres Services</v>
          </cell>
        </row>
        <row r="520">
          <cell r="A520">
            <v>641100</v>
          </cell>
          <cell r="B520" t="str">
            <v>TAXES FONCIERES ET ADDITIONNELLE</v>
          </cell>
          <cell r="C520" t="str">
            <v>F07</v>
          </cell>
          <cell r="D520" t="str">
            <v>Impôts &amp; Taxes</v>
          </cell>
        </row>
        <row r="521">
          <cell r="A521">
            <v>641210</v>
          </cell>
          <cell r="B521" t="str">
            <v>PATENTES ET LICENCES</v>
          </cell>
          <cell r="C521" t="str">
            <v>F07</v>
          </cell>
          <cell r="D521" t="str">
            <v>Impôts &amp; Taxes</v>
          </cell>
        </row>
        <row r="522">
          <cell r="A522">
            <v>641312</v>
          </cell>
          <cell r="B522" t="str">
            <v>CREDIT FONCIER EMPLOYES OUVRIERS</v>
          </cell>
          <cell r="C522" t="str">
            <v>F06</v>
          </cell>
          <cell r="D522" t="str">
            <v>Frais de Personnel</v>
          </cell>
        </row>
        <row r="523">
          <cell r="A523">
            <v>641313</v>
          </cell>
          <cell r="B523" t="str">
            <v>CREDIT FONCIER AGENTS MAITRISE</v>
          </cell>
          <cell r="C523" t="str">
            <v>F06</v>
          </cell>
          <cell r="D523" t="str">
            <v>Frais de Personnel</v>
          </cell>
        </row>
        <row r="524">
          <cell r="A524">
            <v>641314</v>
          </cell>
          <cell r="B524" t="str">
            <v>CREDIT FONCIER CADRES NATIONAUX</v>
          </cell>
          <cell r="C524" t="str">
            <v>F06</v>
          </cell>
          <cell r="D524" t="str">
            <v>Frais de Personnel</v>
          </cell>
        </row>
        <row r="525">
          <cell r="A525">
            <v>641315</v>
          </cell>
          <cell r="B525" t="str">
            <v>CREDIT FONC.CADRES NON NATIONAUX</v>
          </cell>
          <cell r="C525" t="str">
            <v>F06</v>
          </cell>
          <cell r="D525" t="str">
            <v>Frais de Personnel</v>
          </cell>
        </row>
        <row r="526">
          <cell r="A526">
            <v>641322</v>
          </cell>
          <cell r="B526" t="str">
            <v>FONDS NATION.P/L'EMPLOI E.O.</v>
          </cell>
          <cell r="C526" t="str">
            <v>F06</v>
          </cell>
          <cell r="D526" t="str">
            <v>Frais de Personnel</v>
          </cell>
        </row>
        <row r="527">
          <cell r="A527">
            <v>641323</v>
          </cell>
          <cell r="B527" t="str">
            <v>FONDS NATIONAL P/L'EMPLOI A.M.</v>
          </cell>
          <cell r="C527" t="str">
            <v>F06</v>
          </cell>
          <cell r="D527" t="str">
            <v>Frais de Personnel</v>
          </cell>
        </row>
        <row r="528">
          <cell r="A528">
            <v>641324</v>
          </cell>
          <cell r="B528" t="str">
            <v>FONDS NATION.P/EMPLOI CADRES NAT</v>
          </cell>
          <cell r="C528" t="str">
            <v>F06</v>
          </cell>
          <cell r="D528" t="str">
            <v>Frais de Personnel</v>
          </cell>
        </row>
        <row r="529">
          <cell r="A529">
            <v>641325</v>
          </cell>
          <cell r="B529" t="str">
            <v>FONDS NAT.P/EMPLOI CADRES NON NA</v>
          </cell>
          <cell r="C529" t="str">
            <v>F06</v>
          </cell>
          <cell r="D529" t="str">
            <v>Frais de Personnel</v>
          </cell>
        </row>
        <row r="530">
          <cell r="A530">
            <v>641332</v>
          </cell>
          <cell r="B530" t="e">
            <v>#N/A</v>
          </cell>
          <cell r="C530" t="str">
            <v>F06</v>
          </cell>
          <cell r="D530" t="str">
            <v>Frais de Personnel</v>
          </cell>
        </row>
        <row r="531">
          <cell r="A531">
            <v>641333</v>
          </cell>
          <cell r="B531" t="e">
            <v>#N/A</v>
          </cell>
          <cell r="C531" t="str">
            <v>F06</v>
          </cell>
          <cell r="D531" t="str">
            <v>Frais de Personnel</v>
          </cell>
        </row>
        <row r="532">
          <cell r="A532">
            <v>641334</v>
          </cell>
          <cell r="B532" t="e">
            <v>#N/A</v>
          </cell>
          <cell r="C532" t="str">
            <v>F06</v>
          </cell>
          <cell r="D532" t="str">
            <v>Frais de Personnel</v>
          </cell>
        </row>
        <row r="533">
          <cell r="A533">
            <v>641335</v>
          </cell>
          <cell r="B533" t="e">
            <v>#N/A</v>
          </cell>
          <cell r="C533" t="str">
            <v>F06</v>
          </cell>
          <cell r="D533" t="str">
            <v>Frais de Personnel</v>
          </cell>
        </row>
        <row r="534">
          <cell r="A534">
            <v>641342</v>
          </cell>
          <cell r="B534" t="e">
            <v>#N/A</v>
          </cell>
          <cell r="C534" t="str">
            <v>F06</v>
          </cell>
          <cell r="D534" t="str">
            <v>Frais de Personnel</v>
          </cell>
        </row>
        <row r="535">
          <cell r="A535">
            <v>641343</v>
          </cell>
          <cell r="B535" t="e">
            <v>#N/A</v>
          </cell>
          <cell r="C535" t="str">
            <v>F06</v>
          </cell>
          <cell r="D535" t="str">
            <v>Frais de Personnel</v>
          </cell>
        </row>
        <row r="536">
          <cell r="A536">
            <v>641344</v>
          </cell>
          <cell r="B536" t="e">
            <v>#N/A</v>
          </cell>
          <cell r="C536" t="str">
            <v>F06</v>
          </cell>
          <cell r="D536" t="str">
            <v>Frais de Personnel</v>
          </cell>
        </row>
        <row r="537">
          <cell r="A537">
            <v>641345</v>
          </cell>
          <cell r="B537" t="e">
            <v>#N/A</v>
          </cell>
          <cell r="C537" t="str">
            <v>F06</v>
          </cell>
          <cell r="D537" t="str">
            <v>Frais de Personnel</v>
          </cell>
        </row>
        <row r="538">
          <cell r="A538">
            <v>641450</v>
          </cell>
          <cell r="B538" t="e">
            <v>#N/A</v>
          </cell>
          <cell r="C538" t="str">
            <v>F06</v>
          </cell>
          <cell r="D538" t="str">
            <v>Frais de Personnel</v>
          </cell>
        </row>
        <row r="539">
          <cell r="A539">
            <v>641800</v>
          </cell>
          <cell r="B539" t="str">
            <v>TAXES MUNICIPALES</v>
          </cell>
          <cell r="C539" t="str">
            <v>F07</v>
          </cell>
          <cell r="D539" t="str">
            <v>Impôts &amp; Taxes</v>
          </cell>
        </row>
        <row r="540">
          <cell r="A540">
            <v>646130</v>
          </cell>
          <cell r="B540" t="str">
            <v>CARTES GRISES</v>
          </cell>
          <cell r="C540" t="str">
            <v>F07</v>
          </cell>
          <cell r="D540" t="str">
            <v>Impôts &amp; Taxes</v>
          </cell>
        </row>
        <row r="541">
          <cell r="A541">
            <v>646210</v>
          </cell>
          <cell r="B541" t="str">
            <v>TIMBRES FISCAUX</v>
          </cell>
          <cell r="C541" t="str">
            <v>F07</v>
          </cell>
          <cell r="D541" t="str">
            <v>Impôts &amp; Taxes</v>
          </cell>
        </row>
        <row r="542">
          <cell r="A542">
            <v>646220</v>
          </cell>
          <cell r="B542" t="str">
            <v>DROITS DE TIMBRE</v>
          </cell>
          <cell r="C542" t="str">
            <v>F07</v>
          </cell>
          <cell r="D542" t="str">
            <v>Impôts &amp; Taxes</v>
          </cell>
        </row>
        <row r="543">
          <cell r="A543">
            <v>646300</v>
          </cell>
          <cell r="B543" t="str">
            <v>TAXE A L'ESSIEU</v>
          </cell>
          <cell r="C543" t="str">
            <v>F07</v>
          </cell>
          <cell r="D543" t="str">
            <v>Impôts &amp; Taxes</v>
          </cell>
        </row>
        <row r="544">
          <cell r="A544">
            <v>646400</v>
          </cell>
          <cell r="B544" t="str">
            <v>VIGNETTES</v>
          </cell>
          <cell r="C544" t="str">
            <v>F07</v>
          </cell>
          <cell r="D544" t="str">
            <v>Impôts &amp; Taxes</v>
          </cell>
        </row>
        <row r="545">
          <cell r="A545">
            <v>646420</v>
          </cell>
          <cell r="B545" t="str">
            <v>ENREGISTREMENT</v>
          </cell>
          <cell r="C545" t="str">
            <v>F07</v>
          </cell>
          <cell r="D545" t="str">
            <v>Impôts &amp; Taxes</v>
          </cell>
        </row>
        <row r="546">
          <cell r="A546">
            <v>646810</v>
          </cell>
          <cell r="B546" t="e">
            <v>#N/A</v>
          </cell>
          <cell r="C546" t="str">
            <v>F07</v>
          </cell>
          <cell r="D546" t="str">
            <v>Impôts &amp; Taxes</v>
          </cell>
        </row>
        <row r="547">
          <cell r="A547">
            <v>646820</v>
          </cell>
          <cell r="B547" t="str">
            <v>ENREGISTREMENT BAUX</v>
          </cell>
          <cell r="C547" t="str">
            <v>F07</v>
          </cell>
          <cell r="D547" t="str">
            <v>Impôts &amp; Taxes</v>
          </cell>
        </row>
        <row r="548">
          <cell r="A548">
            <v>646890</v>
          </cell>
          <cell r="B548" t="str">
            <v>ENREGISTREMENT AUTRES ACTES</v>
          </cell>
          <cell r="C548" t="str">
            <v>F07</v>
          </cell>
          <cell r="D548" t="str">
            <v>Impôts &amp; Taxes</v>
          </cell>
        </row>
        <row r="549">
          <cell r="A549">
            <v>646899</v>
          </cell>
          <cell r="B549" t="str">
            <v>AUTRES TAXES D'ENREGISTREMENT</v>
          </cell>
          <cell r="C549" t="str">
            <v>F07</v>
          </cell>
          <cell r="D549" t="str">
            <v>Impôts &amp; Taxes</v>
          </cell>
        </row>
        <row r="550">
          <cell r="A550">
            <v>647100</v>
          </cell>
          <cell r="B550" t="e">
            <v>#N/A</v>
          </cell>
          <cell r="C550" t="str">
            <v>F07</v>
          </cell>
          <cell r="D550" t="str">
            <v>Impôts &amp; Taxes</v>
          </cell>
        </row>
        <row r="551">
          <cell r="A551">
            <v>647120</v>
          </cell>
          <cell r="B551" t="str">
            <v>PENAL.AMENDES FISC.NON DEDUCTIB.</v>
          </cell>
          <cell r="C551" t="str">
            <v>F07</v>
          </cell>
          <cell r="D551" t="str">
            <v>Impôts &amp; Taxes</v>
          </cell>
        </row>
        <row r="552">
          <cell r="A552">
            <v>647160</v>
          </cell>
          <cell r="B552" t="str">
            <v>PENAL.IMPOT NON DEDUCTIBLES</v>
          </cell>
          <cell r="C552" t="str">
            <v>F07</v>
          </cell>
          <cell r="D552" t="str">
            <v>Impôts &amp; Taxes</v>
          </cell>
        </row>
        <row r="553">
          <cell r="A553">
            <v>647310</v>
          </cell>
          <cell r="B553" t="str">
            <v>PENAL.AMENDES FISC. DEDUCTIB.</v>
          </cell>
          <cell r="C553" t="str">
            <v>F07</v>
          </cell>
          <cell r="D553" t="str">
            <v>Impôts &amp; Taxes</v>
          </cell>
        </row>
        <row r="554">
          <cell r="A554">
            <v>647810</v>
          </cell>
          <cell r="B554" t="str">
            <v>DOMMAGES, INTERETS/AFF.EN JUSTI.</v>
          </cell>
          <cell r="C554" t="str">
            <v>F05</v>
          </cell>
          <cell r="D554" t="str">
            <v>Autres Charges</v>
          </cell>
        </row>
        <row r="555">
          <cell r="A555">
            <v>647830</v>
          </cell>
          <cell r="B555" t="str">
            <v>AMENDES CIRCULATION ROUTIERE</v>
          </cell>
          <cell r="C555" t="str">
            <v>F05</v>
          </cell>
          <cell r="D555" t="str">
            <v>Autres Charges</v>
          </cell>
        </row>
        <row r="556">
          <cell r="A556">
            <v>648100</v>
          </cell>
          <cell r="B556" t="str">
            <v>TAXE D'EXTRACTION D'EAU</v>
          </cell>
          <cell r="C556" t="str">
            <v>F07</v>
          </cell>
          <cell r="D556" t="str">
            <v>Impôts &amp; Taxes</v>
          </cell>
        </row>
        <row r="557">
          <cell r="A557">
            <v>648101</v>
          </cell>
          <cell r="B557" t="e">
            <v>#N/A</v>
          </cell>
          <cell r="C557" t="str">
            <v>F07</v>
          </cell>
          <cell r="D557" t="str">
            <v>Impôts &amp; Taxes</v>
          </cell>
        </row>
        <row r="558">
          <cell r="A558">
            <v>648102</v>
          </cell>
          <cell r="B558" t="str">
            <v>AUTORISATION PRELEVT. DES EAUX</v>
          </cell>
          <cell r="C558" t="str">
            <v>F07</v>
          </cell>
          <cell r="D558" t="str">
            <v>Impôts &amp; Taxes</v>
          </cell>
        </row>
        <row r="559">
          <cell r="A559">
            <v>648103</v>
          </cell>
          <cell r="B559" t="str">
            <v>REDEVANCE SUPERFICIAIRE</v>
          </cell>
          <cell r="C559" t="str">
            <v>F07</v>
          </cell>
          <cell r="D559" t="str">
            <v>Impôts &amp; Taxes</v>
          </cell>
        </row>
        <row r="560">
          <cell r="A560">
            <v>648104</v>
          </cell>
          <cell r="B560" t="str">
            <v>TAXE ASSAINISSEMENT DES EAU</v>
          </cell>
          <cell r="C560" t="str">
            <v>F07</v>
          </cell>
          <cell r="D560" t="str">
            <v>Impôts &amp; Taxes</v>
          </cell>
        </row>
        <row r="561">
          <cell r="A561">
            <v>648105</v>
          </cell>
          <cell r="B561" t="str">
            <v>TAXE AUDIT ENVIRONNEMENT</v>
          </cell>
          <cell r="C561" t="str">
            <v>F07</v>
          </cell>
          <cell r="D561" t="str">
            <v>Impôts &amp; Taxes</v>
          </cell>
        </row>
        <row r="562">
          <cell r="A562">
            <v>648110</v>
          </cell>
          <cell r="B562" t="e">
            <v>#N/A</v>
          </cell>
          <cell r="C562" t="str">
            <v>F07</v>
          </cell>
          <cell r="D562" t="str">
            <v>Impôts &amp; Taxes</v>
          </cell>
        </row>
        <row r="563">
          <cell r="A563">
            <v>648112</v>
          </cell>
          <cell r="B563" t="e">
            <v>#N/A</v>
          </cell>
          <cell r="C563" t="str">
            <v>F07</v>
          </cell>
          <cell r="D563" t="str">
            <v>Impôts &amp; Taxes</v>
          </cell>
        </row>
        <row r="564">
          <cell r="A564">
            <v>648121</v>
          </cell>
          <cell r="B564" t="str">
            <v>TAXES DOUANE/IMPORTATIONS</v>
          </cell>
          <cell r="C564" t="str">
            <v>F07</v>
          </cell>
          <cell r="D564" t="str">
            <v>Impôts &amp; Taxes</v>
          </cell>
        </row>
        <row r="565">
          <cell r="A565">
            <v>648125</v>
          </cell>
          <cell r="B565" t="str">
            <v>TAXE INFORMATIQUE</v>
          </cell>
          <cell r="C565" t="str">
            <v>F07</v>
          </cell>
          <cell r="D565" t="str">
            <v>Impôts &amp; Taxes</v>
          </cell>
        </row>
        <row r="566">
          <cell r="A566">
            <v>648150</v>
          </cell>
          <cell r="B566" t="str">
            <v>DROITS D'AUTEUR</v>
          </cell>
          <cell r="C566" t="str">
            <v>F07</v>
          </cell>
          <cell r="D566" t="str">
            <v>Impôts &amp; Taxes</v>
          </cell>
        </row>
        <row r="567">
          <cell r="A567">
            <v>648202</v>
          </cell>
          <cell r="B567" t="e">
            <v>#N/A</v>
          </cell>
          <cell r="C567" t="str">
            <v>F07</v>
          </cell>
          <cell r="D567" t="str">
            <v>Impôts &amp; Taxes</v>
          </cell>
        </row>
        <row r="568">
          <cell r="A568">
            <v>648209</v>
          </cell>
          <cell r="B568" t="e">
            <v>#N/A</v>
          </cell>
          <cell r="C568" t="str">
            <v>F07</v>
          </cell>
          <cell r="D568" t="str">
            <v>Impôts &amp; Taxes</v>
          </cell>
        </row>
        <row r="569">
          <cell r="A569">
            <v>648290</v>
          </cell>
          <cell r="B569" t="str">
            <v>DIVERS IMPOTS ET TAX.NON VENTIL.</v>
          </cell>
          <cell r="C569" t="str">
            <v>F07</v>
          </cell>
          <cell r="D569" t="str">
            <v>Impôts &amp; Taxes</v>
          </cell>
        </row>
        <row r="570">
          <cell r="A570">
            <v>648310</v>
          </cell>
          <cell r="B570" t="str">
            <v>IMPOTS EXCEPTIONNELS NON DEDUCTIBLES</v>
          </cell>
          <cell r="C570" t="str">
            <v>F07</v>
          </cell>
          <cell r="D570" t="str">
            <v>Impôts &amp; Taxes</v>
          </cell>
        </row>
        <row r="571">
          <cell r="A571">
            <v>648320</v>
          </cell>
          <cell r="B571" t="str">
            <v>PENALITES DOUANE NON DEDUCT.</v>
          </cell>
          <cell r="C571" t="str">
            <v>F07</v>
          </cell>
          <cell r="D571" t="str">
            <v>Impôts &amp; Taxes</v>
          </cell>
        </row>
        <row r="572">
          <cell r="A572">
            <v>648330</v>
          </cell>
          <cell r="B572" t="str">
            <v>IMPOTS EXCEPTIONNELS DEDUCTIBLES</v>
          </cell>
          <cell r="C572" t="str">
            <v>F07</v>
          </cell>
          <cell r="D572" t="str">
            <v>Impôts &amp; Taxes</v>
          </cell>
        </row>
        <row r="573">
          <cell r="A573">
            <v>648340</v>
          </cell>
          <cell r="B573" t="str">
            <v>TVA S/PRODUCTION A NOUS-MEMES</v>
          </cell>
          <cell r="C573" t="str">
            <v>F07</v>
          </cell>
          <cell r="D573" t="str">
            <v>Impôts &amp; Taxes</v>
          </cell>
        </row>
        <row r="574">
          <cell r="A574">
            <v>648350</v>
          </cell>
          <cell r="B574" t="str">
            <v>TVA S/PRESTATIONS ETRANGERES</v>
          </cell>
          <cell r="C574" t="str">
            <v>F07</v>
          </cell>
          <cell r="D574" t="str">
            <v>Impôts &amp; Taxes</v>
          </cell>
        </row>
        <row r="575">
          <cell r="A575">
            <v>648360</v>
          </cell>
          <cell r="B575" t="str">
            <v>IMPOTS ET TAXEX EXERCICE ANTERIEUR</v>
          </cell>
          <cell r="C575" t="str">
            <v>I05</v>
          </cell>
          <cell r="D575" t="str">
            <v>Charges except HE</v>
          </cell>
        </row>
        <row r="576">
          <cell r="A576">
            <v>651100</v>
          </cell>
          <cell r="B576" t="str">
            <v>CREANCES IRRECOUVRABLES</v>
          </cell>
          <cell r="C576" t="str">
            <v>I05</v>
          </cell>
          <cell r="D576" t="str">
            <v>Charges except HE</v>
          </cell>
        </row>
        <row r="577">
          <cell r="A577">
            <v>651110</v>
          </cell>
          <cell r="B577" t="e">
            <v>#N/A</v>
          </cell>
          <cell r="C577" t="str">
            <v>F05</v>
          </cell>
          <cell r="D577" t="str">
            <v>Autres Charges</v>
          </cell>
        </row>
        <row r="578">
          <cell r="A578">
            <v>651111</v>
          </cell>
          <cell r="B578" t="str">
            <v>CREANCES IRRECOUV.COUV.P/PROV</v>
          </cell>
          <cell r="C578" t="str">
            <v>F05</v>
          </cell>
          <cell r="D578" t="str">
            <v>Autres Charges</v>
          </cell>
        </row>
        <row r="579">
          <cell r="A579">
            <v>651112</v>
          </cell>
          <cell r="B579" t="str">
            <v>CREANCES IRRECOU.NON DEDUCTIBLES</v>
          </cell>
          <cell r="C579" t="str">
            <v>F05</v>
          </cell>
          <cell r="D579" t="str">
            <v>Autres Charges</v>
          </cell>
        </row>
        <row r="580">
          <cell r="A580">
            <v>651113</v>
          </cell>
          <cell r="B580" t="str">
            <v>CREANCES IRREC.COUV.P/PROV N/DED</v>
          </cell>
          <cell r="C580" t="str">
            <v>F05</v>
          </cell>
          <cell r="D580" t="str">
            <v>Autres Charges</v>
          </cell>
        </row>
        <row r="581">
          <cell r="A581">
            <v>651540</v>
          </cell>
          <cell r="B581" t="str">
            <v>ECARTS DE CAISSE</v>
          </cell>
          <cell r="C581" t="str">
            <v>F05</v>
          </cell>
          <cell r="D581" t="str">
            <v>Autres Charges</v>
          </cell>
        </row>
        <row r="582">
          <cell r="A582">
            <v>651545</v>
          </cell>
          <cell r="B582" t="str">
            <v>ECARTS S/PRELEV.1% S/ACHATS</v>
          </cell>
          <cell r="C582" t="str">
            <v>F05</v>
          </cell>
          <cell r="D582" t="str">
            <v>Autres Charges</v>
          </cell>
        </row>
        <row r="583">
          <cell r="A583">
            <v>651550</v>
          </cell>
          <cell r="B583" t="str">
            <v>ARRONDIS ET ECARTS/PAIE</v>
          </cell>
          <cell r="C583" t="str">
            <v>F05</v>
          </cell>
          <cell r="D583" t="str">
            <v>Autres Charges</v>
          </cell>
        </row>
        <row r="584">
          <cell r="A584">
            <v>651560</v>
          </cell>
          <cell r="B584" t="str">
            <v>VOLS-DETOURNEMENTS NON ASSURES</v>
          </cell>
          <cell r="C584" t="str">
            <v>I05</v>
          </cell>
          <cell r="D584" t="str">
            <v>Charges except HE</v>
          </cell>
        </row>
        <row r="585">
          <cell r="A585">
            <v>651565</v>
          </cell>
          <cell r="B585" t="e">
            <v>#N/A</v>
          </cell>
          <cell r="C585" t="str">
            <v>F05</v>
          </cell>
          <cell r="D585" t="str">
            <v>Autres Charges</v>
          </cell>
        </row>
        <row r="586">
          <cell r="A586">
            <v>651566</v>
          </cell>
          <cell r="B586" t="str">
            <v>CONDAMNATIONS AFF/TRIBUNAUX</v>
          </cell>
          <cell r="C586" t="str">
            <v>F05</v>
          </cell>
          <cell r="D586" t="str">
            <v>Autres Charges</v>
          </cell>
        </row>
        <row r="587">
          <cell r="A587">
            <v>651571</v>
          </cell>
          <cell r="B587" t="e">
            <v>#N/A</v>
          </cell>
          <cell r="C587" t="str">
            <v>F05</v>
          </cell>
          <cell r="D587" t="str">
            <v>Autres Charges</v>
          </cell>
        </row>
        <row r="588">
          <cell r="A588">
            <v>651572</v>
          </cell>
          <cell r="B588" t="e">
            <v>#N/A</v>
          </cell>
          <cell r="C588" t="str">
            <v>F05</v>
          </cell>
          <cell r="D588" t="str">
            <v>Autres Charges</v>
          </cell>
        </row>
        <row r="589">
          <cell r="A589">
            <v>651573</v>
          </cell>
          <cell r="B589" t="str">
            <v>PERTES SUR  CREANCES   AUTRES DEBIT</v>
          </cell>
          <cell r="C589" t="str">
            <v>F05</v>
          </cell>
          <cell r="D589" t="str">
            <v>Autres Charges</v>
          </cell>
        </row>
        <row r="590">
          <cell r="A590">
            <v>651580</v>
          </cell>
          <cell r="B590" t="str">
            <v>CREANCE IRRECOUV.S/PERSONNEL</v>
          </cell>
          <cell r="C590" t="str">
            <v>F06</v>
          </cell>
          <cell r="D590" t="str">
            <v>Frais de Personnel</v>
          </cell>
        </row>
        <row r="591">
          <cell r="A591">
            <v>651581</v>
          </cell>
          <cell r="B591" t="str">
            <v>CREANCE IRRECOUV.PERS PROVIS.</v>
          </cell>
          <cell r="C591" t="str">
            <v>F06</v>
          </cell>
          <cell r="D591" t="str">
            <v>Frais de Personnel</v>
          </cell>
        </row>
        <row r="592">
          <cell r="A592">
            <v>651590</v>
          </cell>
          <cell r="B592" t="str">
            <v>CHARGES PERTES/DOSS.AVARIES</v>
          </cell>
          <cell r="C592" t="str">
            <v>F05</v>
          </cell>
          <cell r="D592" t="str">
            <v>Autres Charges</v>
          </cell>
        </row>
        <row r="593">
          <cell r="A593">
            <v>651591</v>
          </cell>
          <cell r="B593" t="str">
            <v>DOSSIERS D'A.T.NON RECUPERES</v>
          </cell>
          <cell r="C593" t="str">
            <v>F05</v>
          </cell>
          <cell r="D593" t="str">
            <v>Autres Charges</v>
          </cell>
        </row>
        <row r="594">
          <cell r="A594">
            <v>652100</v>
          </cell>
          <cell r="B594" t="e">
            <v>#N/A</v>
          </cell>
          <cell r="C594" t="str">
            <v>I05</v>
          </cell>
          <cell r="D594" t="str">
            <v>Charges except HE</v>
          </cell>
        </row>
        <row r="595">
          <cell r="A595">
            <v>652110</v>
          </cell>
          <cell r="B595" t="e">
            <v>#N/A</v>
          </cell>
          <cell r="C595" t="str">
            <v>I05</v>
          </cell>
          <cell r="D595" t="str">
            <v>Charges except HE</v>
          </cell>
        </row>
        <row r="596">
          <cell r="A596">
            <v>652500</v>
          </cell>
          <cell r="B596" t="e">
            <v>#N/A</v>
          </cell>
          <cell r="C596" t="str">
            <v>I05</v>
          </cell>
          <cell r="D596" t="str">
            <v>Charges except HE</v>
          </cell>
        </row>
        <row r="597">
          <cell r="A597">
            <v>654000</v>
          </cell>
          <cell r="B597" t="e">
            <v>#N/A</v>
          </cell>
          <cell r="C597" t="str">
            <v>I03</v>
          </cell>
          <cell r="D597" t="str">
            <v xml:space="preserve"> +/- values de cessions</v>
          </cell>
        </row>
        <row r="598">
          <cell r="A598">
            <v>654100</v>
          </cell>
          <cell r="B598" t="str">
            <v>SORTIES BRUTES IMMOBILISATIONS</v>
          </cell>
          <cell r="C598" t="str">
            <v>I03</v>
          </cell>
          <cell r="D598" t="str">
            <v xml:space="preserve"> +/- values de cessions</v>
          </cell>
        </row>
        <row r="599">
          <cell r="A599">
            <v>654200</v>
          </cell>
          <cell r="B599" t="e">
            <v>#N/A</v>
          </cell>
          <cell r="C599" t="str">
            <v>I03</v>
          </cell>
          <cell r="D599" t="str">
            <v xml:space="preserve"> +/- values de cessions</v>
          </cell>
        </row>
        <row r="600">
          <cell r="A600">
            <v>658110</v>
          </cell>
          <cell r="B600" t="str">
            <v>JETONS DE PRESENCE</v>
          </cell>
          <cell r="C600" t="str">
            <v>F05</v>
          </cell>
          <cell r="D600" t="str">
            <v>Autres Charges</v>
          </cell>
        </row>
        <row r="601">
          <cell r="A601">
            <v>658200</v>
          </cell>
          <cell r="B601" t="str">
            <v>DONS NON DEDUCTIBLES</v>
          </cell>
          <cell r="C601" t="str">
            <v>F05</v>
          </cell>
          <cell r="D601" t="str">
            <v>Autres Charges</v>
          </cell>
        </row>
        <row r="602">
          <cell r="A602">
            <v>658205</v>
          </cell>
          <cell r="B602" t="str">
            <v>DONS DEDUCTIBLES</v>
          </cell>
          <cell r="C602" t="str">
            <v>F05</v>
          </cell>
          <cell r="D602" t="str">
            <v>Autres Charges</v>
          </cell>
        </row>
        <row r="603">
          <cell r="A603">
            <v>658210</v>
          </cell>
          <cell r="B603" t="str">
            <v>POURBOIRES</v>
          </cell>
          <cell r="C603" t="str">
            <v>F05</v>
          </cell>
          <cell r="D603" t="str">
            <v>Autres Charges</v>
          </cell>
        </row>
        <row r="604">
          <cell r="A604">
            <v>659300</v>
          </cell>
          <cell r="B604" t="str">
            <v>DOT.PROV.DEPREC.MAT.PREM.N/DEDUC</v>
          </cell>
          <cell r="C604" t="str">
            <v>G03</v>
          </cell>
          <cell r="D604" t="str">
            <v>Dotations Provisions Exploitation</v>
          </cell>
        </row>
        <row r="605">
          <cell r="A605">
            <v>659310</v>
          </cell>
          <cell r="B605" t="str">
            <v>DOT.PROV.DEPREC.MAT. PREM.DEDUCT</v>
          </cell>
          <cell r="C605" t="str">
            <v>G03</v>
          </cell>
          <cell r="D605" t="str">
            <v>Dotations Provisions Exploitation</v>
          </cell>
        </row>
        <row r="606">
          <cell r="A606">
            <v>659320</v>
          </cell>
          <cell r="B606" t="str">
            <v>DOT.PROV.DEPREC.STOCK P.F. DECOR</v>
          </cell>
          <cell r="C606" t="str">
            <v>G03</v>
          </cell>
          <cell r="D606" t="str">
            <v>Dotations Provisions Exploitation</v>
          </cell>
        </row>
        <row r="607">
          <cell r="A607">
            <v>659330</v>
          </cell>
          <cell r="B607" t="str">
            <v>DOT.PROV.DEPREC.STOCK P.F.N/DECO</v>
          </cell>
          <cell r="C607" t="str">
            <v>G03</v>
          </cell>
          <cell r="D607" t="str">
            <v>Dotations Provisions Exploitation</v>
          </cell>
        </row>
        <row r="608">
          <cell r="A608">
            <v>659340</v>
          </cell>
          <cell r="B608" t="str">
            <v>DOT.PROV.DEPREC.STOK P.S.FINIS</v>
          </cell>
          <cell r="C608" t="str">
            <v>G03</v>
          </cell>
          <cell r="D608" t="str">
            <v>Dotations Provisions Exploitation</v>
          </cell>
        </row>
        <row r="609">
          <cell r="A609">
            <v>659350</v>
          </cell>
          <cell r="B609" t="str">
            <v>DOT.PROV.DEPREC.STKS PIECES RECH</v>
          </cell>
          <cell r="C609" t="str">
            <v>G03</v>
          </cell>
          <cell r="D609" t="str">
            <v>Dotations Provisions Exploitation</v>
          </cell>
        </row>
        <row r="610">
          <cell r="A610">
            <v>659360</v>
          </cell>
          <cell r="B610" t="str">
            <v>DOT.PROV.DEP.EMBAL.HN N.DEDUC.</v>
          </cell>
          <cell r="C610" t="str">
            <v>G03</v>
          </cell>
          <cell r="D610" t="str">
            <v>Dotations Provisions Exploitation</v>
          </cell>
        </row>
        <row r="611">
          <cell r="A611">
            <v>659365</v>
          </cell>
          <cell r="B611" t="str">
            <v>DOT.PROV.DEP.EMBALLAGES NEUFS</v>
          </cell>
          <cell r="C611" t="str">
            <v>G05</v>
          </cell>
          <cell r="D611" t="str">
            <v>Dotations Provisions Exploitation LT</v>
          </cell>
        </row>
        <row r="612">
          <cell r="A612">
            <v>659370</v>
          </cell>
          <cell r="B612" t="str">
            <v>DOT.PROV.DEP.STK DORMANT EMBALL.</v>
          </cell>
          <cell r="C612" t="str">
            <v>G05</v>
          </cell>
          <cell r="D612" t="str">
            <v>Dotations Provisions Exploitation LT</v>
          </cell>
        </row>
        <row r="613">
          <cell r="A613">
            <v>659390</v>
          </cell>
          <cell r="B613" t="str">
            <v>DOT.PROV.DEP.STK AUTRES APPROVISIONNEME.</v>
          </cell>
          <cell r="C613" t="str">
            <v>G03</v>
          </cell>
          <cell r="D613" t="str">
            <v>Dotations Provisions Exploitation</v>
          </cell>
        </row>
        <row r="614">
          <cell r="A614" t="str">
            <v>659395</v>
          </cell>
          <cell r="B614" t="e">
            <v>#N/A</v>
          </cell>
          <cell r="C614" t="str">
            <v>G03</v>
          </cell>
          <cell r="D614" t="str">
            <v>Dotations Provisions Exploitation</v>
          </cell>
        </row>
        <row r="615">
          <cell r="A615">
            <v>659400</v>
          </cell>
          <cell r="B615" t="str">
            <v>DOT.PROV.FOURN.DEBITEURS DEDUCT.</v>
          </cell>
          <cell r="C615" t="str">
            <v>G03</v>
          </cell>
          <cell r="D615" t="str">
            <v>Dotations Provisions Exploitation</v>
          </cell>
        </row>
        <row r="616">
          <cell r="A616">
            <v>659405</v>
          </cell>
          <cell r="B616" t="str">
            <v>CHARGES PROVISIONNES FOURN DEB NON DEDUC</v>
          </cell>
          <cell r="C616" t="str">
            <v>G03</v>
          </cell>
          <cell r="D616" t="str">
            <v>Dotations Provisions Exploitation</v>
          </cell>
        </row>
        <row r="617">
          <cell r="A617">
            <v>659410</v>
          </cell>
          <cell r="B617" t="str">
            <v>DOT.PROV.DEPRECIAT.CLIENTS DEDUC</v>
          </cell>
          <cell r="C617" t="str">
            <v>G03</v>
          </cell>
          <cell r="D617" t="str">
            <v>Dotations Provisions Exploitation</v>
          </cell>
        </row>
        <row r="618">
          <cell r="A618">
            <v>659420</v>
          </cell>
          <cell r="B618" t="str">
            <v>DOT.PROV.RISQ. N/DEDUCT.CLIENTS</v>
          </cell>
          <cell r="C618" t="str">
            <v>G03</v>
          </cell>
          <cell r="D618" t="str">
            <v>Dotations Provisions Exploitation</v>
          </cell>
        </row>
        <row r="619">
          <cell r="A619">
            <v>659430</v>
          </cell>
          <cell r="B619" t="str">
            <v>DOT.PROV.DEPRECIAT.CLIENTS NON DEDUC</v>
          </cell>
          <cell r="C619" t="str">
            <v>G03</v>
          </cell>
          <cell r="D619" t="str">
            <v>Dotations Provisions Exploitation</v>
          </cell>
        </row>
        <row r="620">
          <cell r="A620">
            <v>659440</v>
          </cell>
          <cell r="B620" t="str">
            <v>DOT.PROV.DEPRECIAT.PERSONNEL</v>
          </cell>
          <cell r="C620" t="str">
            <v>G03</v>
          </cell>
          <cell r="D620" t="str">
            <v>Dotations Provisions Exploitation</v>
          </cell>
        </row>
        <row r="621">
          <cell r="A621">
            <v>659450</v>
          </cell>
          <cell r="B621" t="e">
            <v>#N/A</v>
          </cell>
          <cell r="C621" t="str">
            <v>G03</v>
          </cell>
          <cell r="D621" t="str">
            <v>Dotations Provisions Exploitation</v>
          </cell>
        </row>
        <row r="622">
          <cell r="A622">
            <v>659460</v>
          </cell>
          <cell r="B622" t="str">
            <v>DOT.PROV.DEPRECIAT.TIERS DIVERS</v>
          </cell>
          <cell r="C622" t="str">
            <v>G03</v>
          </cell>
          <cell r="D622" t="str">
            <v>Dotations Provisions Exploitation</v>
          </cell>
        </row>
        <row r="623">
          <cell r="A623">
            <v>659470</v>
          </cell>
          <cell r="B623" t="str">
            <v>DOTA.DEBIT.DIVERS NON DEDUCTIBLE</v>
          </cell>
          <cell r="C623" t="str">
            <v>G03</v>
          </cell>
          <cell r="D623" t="str">
            <v>Dotations Provisions Exploitation</v>
          </cell>
        </row>
        <row r="624">
          <cell r="A624">
            <v>659480</v>
          </cell>
          <cell r="B624" t="e">
            <v>#N/A</v>
          </cell>
          <cell r="C624" t="str">
            <v>G03</v>
          </cell>
          <cell r="D624" t="str">
            <v>Dotations Provisions Exploitation</v>
          </cell>
        </row>
        <row r="625">
          <cell r="A625">
            <v>659490</v>
          </cell>
          <cell r="B625" t="str">
            <v>DOT.PROV.DEPREC.STE GROUPE</v>
          </cell>
          <cell r="C625" t="str">
            <v>G03</v>
          </cell>
          <cell r="D625" t="str">
            <v>Dotations Provisions Exploitation</v>
          </cell>
        </row>
        <row r="626">
          <cell r="A626">
            <v>659800</v>
          </cell>
          <cell r="B626" t="str">
            <v>PROV.CHARGES DIVERSES A PAYER</v>
          </cell>
          <cell r="C626" t="str">
            <v>G03</v>
          </cell>
          <cell r="D626" t="str">
            <v>Dotations Provisions Exploitation</v>
          </cell>
        </row>
        <row r="627">
          <cell r="A627">
            <v>659810</v>
          </cell>
          <cell r="B627" t="str">
            <v>AUTRES CHARGES PROVISIONS TRESORERIE</v>
          </cell>
          <cell r="C627" t="str">
            <v>G03</v>
          </cell>
          <cell r="D627" t="str">
            <v>Dotations Provisions Exploitation</v>
          </cell>
        </row>
        <row r="628">
          <cell r="A628">
            <v>660300</v>
          </cell>
          <cell r="B628" t="e">
            <v>#N/A</v>
          </cell>
          <cell r="C628" t="str">
            <v>F06</v>
          </cell>
          <cell r="D628" t="str">
            <v>Frais de Personnel</v>
          </cell>
        </row>
        <row r="629">
          <cell r="A629">
            <v>661110</v>
          </cell>
          <cell r="B629" t="str">
            <v>TEMP.STAG.APPOINT.BRUT PERS.NAT</v>
          </cell>
          <cell r="C629" t="str">
            <v>F06</v>
          </cell>
          <cell r="D629" t="str">
            <v>Frais de Personnel</v>
          </cell>
        </row>
        <row r="630">
          <cell r="A630">
            <v>661120</v>
          </cell>
          <cell r="B630" t="str">
            <v>EMPL.OUVR.APPOINT.BRUT PERS NAT.</v>
          </cell>
          <cell r="C630" t="str">
            <v>F06</v>
          </cell>
          <cell r="D630" t="str">
            <v>Frais de Personnel</v>
          </cell>
        </row>
        <row r="631">
          <cell r="A631">
            <v>661130</v>
          </cell>
          <cell r="B631" t="str">
            <v>AGENTS MAITR.APPOINT.BRUT P.NAT.</v>
          </cell>
          <cell r="C631" t="str">
            <v>F06</v>
          </cell>
          <cell r="D631" t="str">
            <v>Frais de Personnel</v>
          </cell>
        </row>
        <row r="632">
          <cell r="A632">
            <v>661140</v>
          </cell>
          <cell r="B632" t="str">
            <v>CADRES CAM.APPOINT.BRUTS PERS NA</v>
          </cell>
          <cell r="C632" t="str">
            <v>F06</v>
          </cell>
          <cell r="D632" t="str">
            <v>Frais de Personnel</v>
          </cell>
        </row>
        <row r="633">
          <cell r="A633">
            <v>661210</v>
          </cell>
          <cell r="B633" t="str">
            <v>TEMP.STAG.PRIMES ASSIMILEES P.N.</v>
          </cell>
          <cell r="C633" t="str">
            <v>F06</v>
          </cell>
          <cell r="D633" t="str">
            <v>Frais de Personnel</v>
          </cell>
        </row>
        <row r="634">
          <cell r="A634">
            <v>661220</v>
          </cell>
          <cell r="B634" t="str">
            <v>EMPL.OUVR.PRIMES ASSIMILEES P.N.</v>
          </cell>
          <cell r="C634" t="str">
            <v>F06</v>
          </cell>
          <cell r="D634" t="str">
            <v>Frais de Personnel</v>
          </cell>
        </row>
        <row r="635">
          <cell r="A635">
            <v>661230</v>
          </cell>
          <cell r="B635" t="str">
            <v>AGENTS MAITR.PRIMES ASSIM.PER.NA</v>
          </cell>
          <cell r="C635" t="str">
            <v>F06</v>
          </cell>
          <cell r="D635" t="str">
            <v>Frais de Personnel</v>
          </cell>
        </row>
        <row r="636">
          <cell r="A636">
            <v>661240</v>
          </cell>
          <cell r="B636" t="str">
            <v>PRIMES ET ASSIMILES CADRES NATIONAUX</v>
          </cell>
          <cell r="C636" t="str">
            <v>F06</v>
          </cell>
          <cell r="D636" t="str">
            <v>Frais de Personnel</v>
          </cell>
        </row>
        <row r="637">
          <cell r="A637">
            <v>661310</v>
          </cell>
          <cell r="B637" t="str">
            <v>TEMP.STAG.CONGES PAYES PERS NAT.</v>
          </cell>
          <cell r="C637" t="str">
            <v>F06</v>
          </cell>
          <cell r="D637" t="str">
            <v>Frais de Personnel</v>
          </cell>
        </row>
        <row r="638">
          <cell r="A638">
            <v>661320</v>
          </cell>
          <cell r="B638" t="str">
            <v>EMPL.OUVR.CONGES PAYES PERS NAT.</v>
          </cell>
          <cell r="C638" t="str">
            <v>F06</v>
          </cell>
          <cell r="D638" t="str">
            <v>Frais de Personnel</v>
          </cell>
        </row>
        <row r="639">
          <cell r="A639">
            <v>661330</v>
          </cell>
          <cell r="B639" t="str">
            <v>AGENTS MAITRISE CONGES PAYES P.N</v>
          </cell>
          <cell r="C639" t="str">
            <v>F06</v>
          </cell>
          <cell r="D639" t="str">
            <v>Frais de Personnel</v>
          </cell>
        </row>
        <row r="640">
          <cell r="A640">
            <v>661340</v>
          </cell>
          <cell r="B640" t="str">
            <v>CADRES NATIONAUX CONGES PAYES</v>
          </cell>
          <cell r="C640" t="str">
            <v>F06</v>
          </cell>
          <cell r="D640" t="str">
            <v>Frais de Personnel</v>
          </cell>
        </row>
        <row r="641">
          <cell r="A641">
            <v>661410</v>
          </cell>
          <cell r="B641" t="str">
            <v>INDEM SEPARATION TEMPO.STAG.P.NA</v>
          </cell>
          <cell r="C641" t="str">
            <v>F06</v>
          </cell>
          <cell r="D641" t="str">
            <v>Frais de Personnel</v>
          </cell>
        </row>
        <row r="642">
          <cell r="A642">
            <v>661420</v>
          </cell>
          <cell r="B642" t="str">
            <v>INDEMN.PREAVIS EMPL.OUV.PERS NAT</v>
          </cell>
          <cell r="C642" t="str">
            <v>F06</v>
          </cell>
          <cell r="D642" t="str">
            <v>Frais de Personnel</v>
          </cell>
        </row>
        <row r="643">
          <cell r="A643">
            <v>661430</v>
          </cell>
          <cell r="B643" t="str">
            <v>INDEMN.PREA.AGENTS MAITRISE P.NA</v>
          </cell>
          <cell r="C643" t="str">
            <v>F06</v>
          </cell>
          <cell r="D643" t="str">
            <v>Frais de Personnel</v>
          </cell>
        </row>
        <row r="644">
          <cell r="A644">
            <v>661440</v>
          </cell>
          <cell r="B644" t="str">
            <v>INDEMN.PREAVIS CADRES NATIONAUX</v>
          </cell>
          <cell r="C644" t="str">
            <v>F06</v>
          </cell>
          <cell r="D644" t="str">
            <v>Frais de Personnel</v>
          </cell>
        </row>
        <row r="645">
          <cell r="A645">
            <v>661450</v>
          </cell>
          <cell r="B645" t="str">
            <v>TEMPORAIRE STAGIAIRES CHARGES CONNEXES</v>
          </cell>
          <cell r="C645" t="str">
            <v>F06</v>
          </cell>
          <cell r="D645" t="str">
            <v>Frais de Personnel</v>
          </cell>
        </row>
        <row r="646">
          <cell r="A646">
            <v>661460</v>
          </cell>
          <cell r="B646" t="str">
            <v>EMPL.OUVR.CH.CONNEXES PERS NAT</v>
          </cell>
          <cell r="C646" t="str">
            <v>F06</v>
          </cell>
          <cell r="D646" t="str">
            <v>Frais de Personnel</v>
          </cell>
        </row>
        <row r="647">
          <cell r="A647">
            <v>661470</v>
          </cell>
          <cell r="B647" t="str">
            <v>AGENTS MAIT.CH.CONNEXES PERS NAT</v>
          </cell>
          <cell r="C647" t="str">
            <v>F06</v>
          </cell>
          <cell r="D647" t="str">
            <v>Frais de Personnel</v>
          </cell>
        </row>
        <row r="648">
          <cell r="A648">
            <v>661480</v>
          </cell>
          <cell r="B648" t="str">
            <v>CHARGES CONNEXES CADRES NATION.</v>
          </cell>
          <cell r="C648" t="str">
            <v>F06</v>
          </cell>
          <cell r="D648" t="str">
            <v>Frais de Personnel</v>
          </cell>
        </row>
        <row r="649">
          <cell r="A649">
            <v>661520</v>
          </cell>
          <cell r="B649" t="str">
            <v>CONGES MAL.ACC.EMPL.OUVR.PERS NA</v>
          </cell>
          <cell r="C649" t="str">
            <v>F06</v>
          </cell>
          <cell r="D649" t="str">
            <v>Frais de Personnel</v>
          </cell>
        </row>
        <row r="650">
          <cell r="A650">
            <v>661530</v>
          </cell>
          <cell r="B650" t="str">
            <v>CONGES MAL.ACC.AGENTS MAITR.P.N</v>
          </cell>
          <cell r="C650" t="str">
            <v>F06</v>
          </cell>
          <cell r="D650" t="str">
            <v>Frais de Personnel</v>
          </cell>
        </row>
        <row r="651">
          <cell r="A651">
            <v>661540</v>
          </cell>
          <cell r="B651" t="str">
            <v>CONGES.MAL. ACC DE TRAV CADRES NATIONAUX</v>
          </cell>
          <cell r="C651" t="str">
            <v>F06</v>
          </cell>
          <cell r="D651" t="str">
            <v>Frais de Personnel</v>
          </cell>
        </row>
        <row r="652">
          <cell r="A652">
            <v>661700</v>
          </cell>
          <cell r="B652" t="str">
            <v>AVANTAGES EN NATURE PERSONNEL NATIONAL</v>
          </cell>
          <cell r="C652" t="str">
            <v>F06</v>
          </cell>
          <cell r="D652" t="str">
            <v>Frais de Personnel</v>
          </cell>
        </row>
        <row r="653">
          <cell r="A653">
            <v>661800</v>
          </cell>
          <cell r="B653" t="e">
            <v>#N/A</v>
          </cell>
          <cell r="C653" t="str">
            <v>F06</v>
          </cell>
          <cell r="D653" t="str">
            <v>Frais de Personnel</v>
          </cell>
        </row>
        <row r="654">
          <cell r="A654">
            <v>662150</v>
          </cell>
          <cell r="B654" t="str">
            <v>CADRES NON NA.APPOINTEMENTS BRUT</v>
          </cell>
          <cell r="C654" t="str">
            <v>F06</v>
          </cell>
          <cell r="D654" t="str">
            <v>Frais de Personnel</v>
          </cell>
        </row>
        <row r="655">
          <cell r="A655">
            <v>662250</v>
          </cell>
          <cell r="B655" t="str">
            <v>PRIMES ET ASSIMILES CADRES NATIONAUX</v>
          </cell>
          <cell r="C655" t="str">
            <v>F06</v>
          </cell>
          <cell r="D655" t="str">
            <v>Frais de Personnel</v>
          </cell>
        </row>
        <row r="656">
          <cell r="A656">
            <v>662350</v>
          </cell>
          <cell r="B656" t="str">
            <v>CADRES NON NAT.CONGES PAYES</v>
          </cell>
          <cell r="C656" t="str">
            <v>F06</v>
          </cell>
          <cell r="D656" t="str">
            <v>Frais de Personnel</v>
          </cell>
        </row>
        <row r="657">
          <cell r="A657">
            <v>662450</v>
          </cell>
          <cell r="B657" t="e">
            <v>#N/A</v>
          </cell>
          <cell r="C657" t="str">
            <v>F06</v>
          </cell>
          <cell r="D657" t="str">
            <v>Frais de Personnel</v>
          </cell>
        </row>
        <row r="658">
          <cell r="A658">
            <v>662550</v>
          </cell>
          <cell r="B658" t="str">
            <v>CONGES.MAL.ACC DE TRAV CADRES NON NAT</v>
          </cell>
          <cell r="C658" t="str">
            <v>F06</v>
          </cell>
          <cell r="D658" t="str">
            <v>Frais de Personnel</v>
          </cell>
        </row>
        <row r="659">
          <cell r="A659">
            <v>662700</v>
          </cell>
          <cell r="B659" t="str">
            <v>AVANTAGE EN NATURE PERS NON NAT.</v>
          </cell>
          <cell r="C659" t="str">
            <v>F06</v>
          </cell>
          <cell r="D659" t="str">
            <v>Frais de Personnel</v>
          </cell>
        </row>
        <row r="660">
          <cell r="A660">
            <v>662850</v>
          </cell>
          <cell r="B660" t="str">
            <v>COMPL.REMUNER.CADRES PERS NON NA</v>
          </cell>
          <cell r="C660" t="str">
            <v>F06</v>
          </cell>
          <cell r="D660" t="str">
            <v>Frais de Personnel</v>
          </cell>
        </row>
        <row r="661">
          <cell r="A661">
            <v>663120</v>
          </cell>
          <cell r="B661" t="str">
            <v>INDEMN.LOGEMENT EMPLOYES OUVRIER</v>
          </cell>
          <cell r="C661" t="str">
            <v>F06</v>
          </cell>
          <cell r="D661" t="str">
            <v>Frais de Personnel</v>
          </cell>
        </row>
        <row r="662">
          <cell r="A662">
            <v>663130</v>
          </cell>
          <cell r="B662" t="str">
            <v>INDEMN.LOGEMENT AGENTS MAITRISE</v>
          </cell>
          <cell r="C662" t="str">
            <v>F06</v>
          </cell>
          <cell r="D662" t="str">
            <v>Frais de Personnel</v>
          </cell>
        </row>
        <row r="663">
          <cell r="A663">
            <v>663140</v>
          </cell>
          <cell r="B663" t="str">
            <v>INDEMN.LOGEMENT CADRES NATIONAUX</v>
          </cell>
          <cell r="C663" t="str">
            <v>F06</v>
          </cell>
          <cell r="D663" t="str">
            <v>Frais de Personnel</v>
          </cell>
        </row>
        <row r="664">
          <cell r="A664">
            <v>663150</v>
          </cell>
          <cell r="B664" t="str">
            <v>INDEMN.LOG.CADRES NON NATIONAUX</v>
          </cell>
          <cell r="C664" t="str">
            <v>F06</v>
          </cell>
          <cell r="D664" t="str">
            <v>Frais de Personnel</v>
          </cell>
        </row>
        <row r="665">
          <cell r="A665">
            <v>663200</v>
          </cell>
          <cell r="B665" t="str">
            <v>INDEMNITES DE REPRESENTATION EXPATRIES</v>
          </cell>
          <cell r="C665" t="str">
            <v>F06</v>
          </cell>
          <cell r="D665" t="str">
            <v>Frais de Personnel</v>
          </cell>
        </row>
        <row r="666">
          <cell r="A666">
            <v>663240</v>
          </cell>
          <cell r="B666" t="str">
            <v>INDEMNITE REPRESENTAT CADRES NON  NATIO</v>
          </cell>
          <cell r="C666" t="str">
            <v>F06</v>
          </cell>
          <cell r="D666" t="str">
            <v>Frais de Personnel</v>
          </cell>
        </row>
        <row r="667">
          <cell r="A667">
            <v>663250</v>
          </cell>
          <cell r="B667" t="str">
            <v>INDEMNITE REPRESENTAT CADRES  NATIONAUX</v>
          </cell>
          <cell r="C667" t="str">
            <v>F06</v>
          </cell>
          <cell r="D667" t="str">
            <v>Frais de Personnel</v>
          </cell>
        </row>
        <row r="668">
          <cell r="A668">
            <v>663812</v>
          </cell>
          <cell r="B668" t="str">
            <v>INDEMN.TRANSP.EMPLOYES OUVRIERS</v>
          </cell>
          <cell r="C668" t="str">
            <v>F06</v>
          </cell>
          <cell r="D668" t="str">
            <v>Frais de Personnel</v>
          </cell>
        </row>
        <row r="669">
          <cell r="A669">
            <v>663813</v>
          </cell>
          <cell r="B669" t="str">
            <v>INDEMN.TRANSP.AGENTS MAITRISE</v>
          </cell>
          <cell r="C669" t="str">
            <v>F06</v>
          </cell>
          <cell r="D669" t="str">
            <v>Frais de Personnel</v>
          </cell>
        </row>
        <row r="670">
          <cell r="A670">
            <v>663814</v>
          </cell>
          <cell r="B670" t="str">
            <v>INDEMN.TRANSP.CADRES NATIONAUX</v>
          </cell>
          <cell r="C670" t="str">
            <v>F06</v>
          </cell>
          <cell r="D670" t="str">
            <v>Frais de Personnel</v>
          </cell>
        </row>
        <row r="671">
          <cell r="A671">
            <v>663815</v>
          </cell>
          <cell r="B671" t="str">
            <v>INDEMN.TRANSP.CADRES NON NAT.</v>
          </cell>
          <cell r="C671" t="str">
            <v>F06</v>
          </cell>
          <cell r="D671" t="str">
            <v>Frais de Personnel</v>
          </cell>
        </row>
        <row r="672">
          <cell r="A672">
            <v>663822</v>
          </cell>
          <cell r="B672" t="str">
            <v>AUTRES INDEMN.EMPLOYES OUVRIERS</v>
          </cell>
          <cell r="C672" t="str">
            <v>F06</v>
          </cell>
          <cell r="D672" t="str">
            <v>Frais de Personnel</v>
          </cell>
        </row>
        <row r="673">
          <cell r="A673">
            <v>663823</v>
          </cell>
          <cell r="B673" t="str">
            <v>AUTRES INDEMN.AGENTS MAITRISE</v>
          </cell>
          <cell r="C673" t="str">
            <v>F06</v>
          </cell>
          <cell r="D673" t="str">
            <v>Frais de Personnel</v>
          </cell>
        </row>
        <row r="674">
          <cell r="A674">
            <v>663824</v>
          </cell>
          <cell r="B674" t="str">
            <v>AUTRES INDEMN.CADRES NATIONAUX</v>
          </cell>
          <cell r="C674" t="str">
            <v>F06</v>
          </cell>
          <cell r="D674" t="str">
            <v>Frais de Personnel</v>
          </cell>
        </row>
        <row r="675">
          <cell r="A675">
            <v>663825</v>
          </cell>
          <cell r="B675" t="str">
            <v>AUTRES INDEMN.CADRES NON NAT.</v>
          </cell>
          <cell r="C675" t="str">
            <v>F06</v>
          </cell>
          <cell r="D675" t="str">
            <v>Frais de Personnel</v>
          </cell>
        </row>
        <row r="676">
          <cell r="A676">
            <v>663826</v>
          </cell>
          <cell r="B676" t="e">
            <v>#N/A</v>
          </cell>
          <cell r="C676" t="str">
            <v>F06</v>
          </cell>
          <cell r="D676" t="str">
            <v>Frais de Personnel</v>
          </cell>
        </row>
        <row r="677">
          <cell r="A677">
            <v>663827</v>
          </cell>
          <cell r="B677" t="e">
            <v>#N/A</v>
          </cell>
          <cell r="C677" t="str">
            <v>F06</v>
          </cell>
          <cell r="D677" t="str">
            <v>Frais de Personnel</v>
          </cell>
        </row>
        <row r="678">
          <cell r="A678">
            <v>663828</v>
          </cell>
          <cell r="B678" t="e">
            <v>#N/A</v>
          </cell>
          <cell r="C678" t="str">
            <v>F06</v>
          </cell>
          <cell r="D678" t="str">
            <v>Frais de Personnel</v>
          </cell>
        </row>
        <row r="679">
          <cell r="A679">
            <v>663829</v>
          </cell>
          <cell r="B679" t="e">
            <v>#N/A</v>
          </cell>
          <cell r="C679" t="str">
            <v>F06</v>
          </cell>
          <cell r="D679" t="str">
            <v>Frais de Personnel</v>
          </cell>
        </row>
        <row r="680">
          <cell r="A680">
            <v>663830</v>
          </cell>
          <cell r="B680" t="e">
            <v>#N/A</v>
          </cell>
          <cell r="C680" t="str">
            <v>F06</v>
          </cell>
          <cell r="D680" t="str">
            <v>Frais de Personnel</v>
          </cell>
        </row>
        <row r="681">
          <cell r="A681">
            <v>663842</v>
          </cell>
          <cell r="B681" t="str">
            <v>ALLOC.RETRAITE E.O.</v>
          </cell>
          <cell r="C681" t="str">
            <v>F06</v>
          </cell>
          <cell r="D681" t="str">
            <v>Frais de Personnel</v>
          </cell>
        </row>
        <row r="682">
          <cell r="A682">
            <v>663843</v>
          </cell>
          <cell r="B682" t="str">
            <v>ALLOC.RETRAITE AGENT MAITRISE</v>
          </cell>
          <cell r="C682" t="str">
            <v>F06</v>
          </cell>
          <cell r="D682" t="str">
            <v>Frais de Personnel</v>
          </cell>
        </row>
        <row r="683">
          <cell r="A683">
            <v>663844</v>
          </cell>
          <cell r="B683" t="str">
            <v>ALLOC.RETRAITE CADRES NATIONAUX</v>
          </cell>
          <cell r="C683" t="str">
            <v>F06</v>
          </cell>
          <cell r="D683" t="str">
            <v>Frais de Personnel</v>
          </cell>
        </row>
        <row r="684">
          <cell r="A684">
            <v>663852</v>
          </cell>
          <cell r="B684" t="e">
            <v>#N/A</v>
          </cell>
          <cell r="C684" t="str">
            <v>F06</v>
          </cell>
          <cell r="D684" t="str">
            <v>Frais de Personnel</v>
          </cell>
        </row>
        <row r="685">
          <cell r="A685">
            <v>663853</v>
          </cell>
          <cell r="B685" t="e">
            <v>#N/A</v>
          </cell>
          <cell r="C685" t="str">
            <v>F06</v>
          </cell>
          <cell r="D685" t="str">
            <v>Frais de Personnel</v>
          </cell>
        </row>
        <row r="686">
          <cell r="A686">
            <v>663862</v>
          </cell>
          <cell r="B686" t="str">
            <v>INDEM.DOMMAGES-INT.EMPL.OUVRI.</v>
          </cell>
          <cell r="C686" t="str">
            <v>F06</v>
          </cell>
          <cell r="D686" t="str">
            <v>Frais de Personnel</v>
          </cell>
        </row>
        <row r="687">
          <cell r="A687">
            <v>663863</v>
          </cell>
          <cell r="B687" t="str">
            <v>INDEM.DOMMAGES-INT.MAITRISE</v>
          </cell>
          <cell r="C687" t="str">
            <v>F06</v>
          </cell>
          <cell r="D687" t="str">
            <v>Frais de Personnel</v>
          </cell>
        </row>
        <row r="688">
          <cell r="A688">
            <v>663864</v>
          </cell>
          <cell r="B688" t="str">
            <v>INDEM.DOMMAGES INT.CAD.NATIONAUX</v>
          </cell>
          <cell r="C688" t="str">
            <v>F06</v>
          </cell>
          <cell r="D688" t="str">
            <v>Frais de Personnel</v>
          </cell>
        </row>
        <row r="689">
          <cell r="A689">
            <v>663865</v>
          </cell>
          <cell r="B689" t="e">
            <v>#N/A</v>
          </cell>
          <cell r="C689" t="str">
            <v>F06</v>
          </cell>
          <cell r="D689" t="str">
            <v>Frais de Personnel</v>
          </cell>
        </row>
        <row r="690">
          <cell r="A690">
            <v>663869</v>
          </cell>
          <cell r="B690" t="e">
            <v>#N/A</v>
          </cell>
          <cell r="C690" t="str">
            <v>F06</v>
          </cell>
          <cell r="D690" t="str">
            <v>Frais de Personnel</v>
          </cell>
        </row>
        <row r="691">
          <cell r="A691">
            <v>663874</v>
          </cell>
          <cell r="B691" t="str">
            <v>INDEMN.EAU/ELECTRICITE CADRES NATIONAUX</v>
          </cell>
          <cell r="C691" t="str">
            <v>F06</v>
          </cell>
          <cell r="D691" t="str">
            <v>Frais de Personnel</v>
          </cell>
        </row>
        <row r="692">
          <cell r="A692">
            <v>664236</v>
          </cell>
          <cell r="B692" t="str">
            <v>CNPS A REGULARISER FIN EX.</v>
          </cell>
          <cell r="C692" t="str">
            <v>F06</v>
          </cell>
          <cell r="D692" t="str">
            <v>Frais de Personnel</v>
          </cell>
        </row>
        <row r="693">
          <cell r="A693">
            <v>664100</v>
          </cell>
          <cell r="B693" t="e">
            <v>#N/A</v>
          </cell>
          <cell r="C693" t="str">
            <v>F06</v>
          </cell>
          <cell r="D693" t="str">
            <v>Frais de Personnel</v>
          </cell>
        </row>
        <row r="694">
          <cell r="A694">
            <v>664112</v>
          </cell>
          <cell r="B694" t="str">
            <v>CNPS ACC.TRAV.EMPLOYES OUVRIERS</v>
          </cell>
          <cell r="C694" t="str">
            <v>F06</v>
          </cell>
          <cell r="D694" t="str">
            <v>Frais de Personnel</v>
          </cell>
        </row>
        <row r="695">
          <cell r="A695">
            <v>664113</v>
          </cell>
          <cell r="B695" t="str">
            <v>CNPS ACC.TRAV.AGENTS MAITRISE</v>
          </cell>
          <cell r="C695" t="str">
            <v>F06</v>
          </cell>
          <cell r="D695" t="str">
            <v>Frais de Personnel</v>
          </cell>
        </row>
        <row r="696">
          <cell r="A696">
            <v>664114</v>
          </cell>
          <cell r="B696" t="str">
            <v>CNPS ACC.TRAV.CADRES NATIONAUX</v>
          </cell>
          <cell r="C696" t="str">
            <v>F06</v>
          </cell>
          <cell r="D696" t="str">
            <v>Frais de Personnel</v>
          </cell>
        </row>
        <row r="697">
          <cell r="A697">
            <v>664122</v>
          </cell>
          <cell r="B697" t="str">
            <v>CNPS ALLOC.FAM.EMPLOYES OUVRIERS</v>
          </cell>
          <cell r="C697" t="str">
            <v>F06</v>
          </cell>
          <cell r="D697" t="str">
            <v>Frais de Personnel</v>
          </cell>
        </row>
        <row r="698">
          <cell r="A698">
            <v>664123</v>
          </cell>
          <cell r="B698" t="str">
            <v>CNPS ALLOC.FAM.AGENTS MAITRISE</v>
          </cell>
          <cell r="C698" t="str">
            <v>F06</v>
          </cell>
          <cell r="D698" t="str">
            <v>Frais de Personnel</v>
          </cell>
        </row>
        <row r="699">
          <cell r="A699">
            <v>664124</v>
          </cell>
          <cell r="B699" t="str">
            <v>CNPS ALLOC.FAM.CADRES NATIONAUX</v>
          </cell>
          <cell r="C699" t="str">
            <v>F06</v>
          </cell>
          <cell r="D699" t="str">
            <v>Frais de Personnel</v>
          </cell>
        </row>
        <row r="700">
          <cell r="A700">
            <v>664132</v>
          </cell>
          <cell r="B700" t="str">
            <v>CNPS RETRAITE EMPLOYES OUVRIERS</v>
          </cell>
          <cell r="C700" t="str">
            <v>F06</v>
          </cell>
          <cell r="D700" t="str">
            <v>Frais de Personnel</v>
          </cell>
        </row>
        <row r="701">
          <cell r="A701">
            <v>664133</v>
          </cell>
          <cell r="B701" t="str">
            <v>CNPS RETRAITE AGENTS MAITRISE</v>
          </cell>
          <cell r="C701" t="str">
            <v>F06</v>
          </cell>
          <cell r="D701" t="str">
            <v>Frais de Personnel</v>
          </cell>
        </row>
        <row r="702">
          <cell r="A702">
            <v>664134</v>
          </cell>
          <cell r="B702" t="str">
            <v>CNPS RETRAITE CADRES NATIONAUX</v>
          </cell>
          <cell r="C702" t="str">
            <v>F06</v>
          </cell>
          <cell r="D702" t="str">
            <v>Frais de Personnel</v>
          </cell>
        </row>
        <row r="703">
          <cell r="A703">
            <v>664215</v>
          </cell>
          <cell r="B703" t="str">
            <v>CNPS ACC.TRAV.CADRES NON NATION.</v>
          </cell>
          <cell r="C703" t="str">
            <v>F06</v>
          </cell>
          <cell r="D703" t="str">
            <v>Frais de Personnel</v>
          </cell>
        </row>
        <row r="704">
          <cell r="A704">
            <v>664225</v>
          </cell>
          <cell r="B704" t="e">
            <v>#N/A</v>
          </cell>
          <cell r="C704" t="str">
            <v>F06</v>
          </cell>
          <cell r="D704" t="str">
            <v>Frais de Personnel</v>
          </cell>
        </row>
        <row r="705">
          <cell r="A705">
            <v>664235</v>
          </cell>
          <cell r="B705" t="str">
            <v>CNPS RETRAITE CADRES NON NAT.</v>
          </cell>
          <cell r="C705" t="str">
            <v>F06</v>
          </cell>
          <cell r="D705" t="str">
            <v>Frais de Personnel</v>
          </cell>
        </row>
        <row r="706">
          <cell r="A706">
            <v>667130</v>
          </cell>
          <cell r="B706" t="e">
            <v>#N/A</v>
          </cell>
          <cell r="C706" t="str">
            <v>F06</v>
          </cell>
          <cell r="D706" t="str">
            <v>Frais de Personnel</v>
          </cell>
        </row>
        <row r="707">
          <cell r="A707">
            <v>667140</v>
          </cell>
          <cell r="B707" t="e">
            <v>#N/A</v>
          </cell>
          <cell r="C707" t="str">
            <v>F06</v>
          </cell>
          <cell r="D707" t="str">
            <v>Frais de Personnel</v>
          </cell>
        </row>
        <row r="708">
          <cell r="A708">
            <v>667150</v>
          </cell>
          <cell r="B708" t="e">
            <v>#N/A</v>
          </cell>
          <cell r="C708" t="str">
            <v>F06</v>
          </cell>
          <cell r="D708" t="str">
            <v>Frais de Personnel</v>
          </cell>
        </row>
        <row r="709">
          <cell r="A709">
            <v>667230</v>
          </cell>
          <cell r="B709" t="e">
            <v>#N/A</v>
          </cell>
          <cell r="C709" t="str">
            <v>F06</v>
          </cell>
          <cell r="D709" t="str">
            <v>Frais de Personnel</v>
          </cell>
        </row>
        <row r="710">
          <cell r="A710">
            <v>667240</v>
          </cell>
          <cell r="B710" t="e">
            <v>#N/A</v>
          </cell>
          <cell r="C710" t="str">
            <v>F06</v>
          </cell>
          <cell r="D710" t="str">
            <v>Frais de Personnel</v>
          </cell>
        </row>
        <row r="711">
          <cell r="A711">
            <v>667250</v>
          </cell>
          <cell r="B711" t="e">
            <v>#N/A</v>
          </cell>
          <cell r="C711" t="str">
            <v>F06</v>
          </cell>
          <cell r="D711" t="str">
            <v>Frais de Personnel</v>
          </cell>
        </row>
        <row r="712">
          <cell r="A712">
            <v>668100</v>
          </cell>
          <cell r="B712" t="str">
            <v>VERS.SYNDIC &amp; COMITES ENTREP/ETS</v>
          </cell>
          <cell r="C712" t="str">
            <v>F06</v>
          </cell>
          <cell r="D712" t="str">
            <v>Frais de Personnel</v>
          </cell>
        </row>
        <row r="713">
          <cell r="A713">
            <v>668200</v>
          </cell>
          <cell r="B713" t="str">
            <v>VERS.COMITES HYGIENE ET SECURITE</v>
          </cell>
          <cell r="C713" t="str">
            <v>F06</v>
          </cell>
          <cell r="D713" t="str">
            <v>Frais de Personnel</v>
          </cell>
        </row>
        <row r="714">
          <cell r="A714">
            <v>668300</v>
          </cell>
          <cell r="B714" t="str">
            <v>SUBVENTIONS CLUBS</v>
          </cell>
          <cell r="C714" t="str">
            <v>F06</v>
          </cell>
          <cell r="D714" t="str">
            <v>Frais de Personnel</v>
          </cell>
        </row>
        <row r="715">
          <cell r="A715">
            <v>668320</v>
          </cell>
          <cell r="B715" t="str">
            <v>AUTRES OEUVRES SOCIALES E.O.</v>
          </cell>
          <cell r="C715" t="str">
            <v>F06</v>
          </cell>
          <cell r="D715" t="str">
            <v>Frais de Personnel</v>
          </cell>
        </row>
        <row r="716">
          <cell r="A716">
            <v>668330</v>
          </cell>
          <cell r="B716" t="str">
            <v>AUTRES OEUVRES SOCIALES A.M.</v>
          </cell>
          <cell r="C716" t="str">
            <v>F06</v>
          </cell>
          <cell r="D716" t="str">
            <v>Frais de Personnel</v>
          </cell>
        </row>
        <row r="717">
          <cell r="A717">
            <v>668340</v>
          </cell>
          <cell r="B717" t="str">
            <v>AUTRES OEUVRES SOCIALES A.M.</v>
          </cell>
          <cell r="C717" t="str">
            <v>F06</v>
          </cell>
          <cell r="D717" t="str">
            <v>Frais de Personnel</v>
          </cell>
        </row>
        <row r="718">
          <cell r="A718">
            <v>668350</v>
          </cell>
          <cell r="B718" t="str">
            <v>AUTRES OEUVRES SOC.CAD.NON NAT.</v>
          </cell>
          <cell r="C718" t="str">
            <v>F06</v>
          </cell>
          <cell r="D718" t="str">
            <v>Frais de Personnel</v>
          </cell>
        </row>
        <row r="719">
          <cell r="A719">
            <v>668400</v>
          </cell>
          <cell r="B719" t="str">
            <v>CONSOMM.MEDICAMENTS PHARMACIE</v>
          </cell>
          <cell r="C719" t="str">
            <v>F06</v>
          </cell>
          <cell r="D719" t="str">
            <v>Frais de Personnel</v>
          </cell>
        </row>
        <row r="720">
          <cell r="A720">
            <v>668532</v>
          </cell>
          <cell r="B720" t="e">
            <v>#N/A</v>
          </cell>
          <cell r="C720" t="str">
            <v>F06</v>
          </cell>
          <cell r="D720" t="str">
            <v>Frais de Personnel</v>
          </cell>
        </row>
        <row r="721">
          <cell r="A721">
            <v>668533</v>
          </cell>
          <cell r="B721" t="e">
            <v>#N/A</v>
          </cell>
          <cell r="C721" t="str">
            <v>F06</v>
          </cell>
          <cell r="D721" t="str">
            <v>Frais de Personnel</v>
          </cell>
        </row>
        <row r="722">
          <cell r="A722">
            <v>668534</v>
          </cell>
          <cell r="B722" t="str">
            <v>COTIS.MALADIE CADRES NATIONAUX</v>
          </cell>
          <cell r="C722" t="str">
            <v>F06</v>
          </cell>
          <cell r="D722" t="str">
            <v>Frais de Personnel</v>
          </cell>
        </row>
        <row r="723">
          <cell r="A723">
            <v>668535</v>
          </cell>
          <cell r="B723" t="str">
            <v>COTIS.MALADIE CADRES NON NAT.</v>
          </cell>
          <cell r="C723" t="str">
            <v>F06</v>
          </cell>
          <cell r="D723" t="str">
            <v>Frais de Personnel</v>
          </cell>
        </row>
        <row r="724">
          <cell r="A724">
            <v>668540</v>
          </cell>
          <cell r="B724" t="str">
            <v>COTIS.INVALID.CADRES NATIONAUX.</v>
          </cell>
          <cell r="C724" t="str">
            <v>F06</v>
          </cell>
          <cell r="D724" t="str">
            <v>Frais de Personnel</v>
          </cell>
        </row>
        <row r="725">
          <cell r="A725">
            <v>668541</v>
          </cell>
          <cell r="B725" t="str">
            <v>COT.RETRAITE CAD.N.NAT.REG.OBLIG</v>
          </cell>
          <cell r="C725" t="str">
            <v>F06</v>
          </cell>
          <cell r="D725" t="str">
            <v>Frais de Personnel</v>
          </cell>
        </row>
        <row r="726">
          <cell r="A726">
            <v>668542</v>
          </cell>
          <cell r="B726" t="str">
            <v>G.A.R.P. - ASSUR.CHOMAGE NON NAT</v>
          </cell>
          <cell r="C726" t="str">
            <v>F06</v>
          </cell>
          <cell r="D726" t="str">
            <v>Frais de Personnel</v>
          </cell>
        </row>
        <row r="727">
          <cell r="A727">
            <v>668543</v>
          </cell>
          <cell r="B727" t="str">
            <v>PREV.INDIV.ACCIDENT CAD.NON NAT.</v>
          </cell>
          <cell r="C727" t="str">
            <v>F06</v>
          </cell>
          <cell r="D727" t="str">
            <v>Frais de Personnel</v>
          </cell>
        </row>
        <row r="728">
          <cell r="A728">
            <v>668544</v>
          </cell>
          <cell r="B728" t="e">
            <v>#N/A</v>
          </cell>
          <cell r="C728" t="str">
            <v>F06</v>
          </cell>
          <cell r="D728" t="str">
            <v>Frais de Personnel</v>
          </cell>
        </row>
        <row r="729">
          <cell r="A729">
            <v>668545</v>
          </cell>
          <cell r="B729" t="str">
            <v>COT.RETRAITE CAD.N.NAT.REG.FACUL</v>
          </cell>
          <cell r="C729" t="str">
            <v>F06</v>
          </cell>
          <cell r="D729" t="str">
            <v>Frais de Personnel</v>
          </cell>
        </row>
        <row r="730">
          <cell r="A730">
            <v>668552</v>
          </cell>
          <cell r="B730" t="str">
            <v>COTISATIONS MUTUELLE EMPL.OUVRI.</v>
          </cell>
          <cell r="C730" t="str">
            <v>F06</v>
          </cell>
          <cell r="D730" t="str">
            <v>Frais de Personnel</v>
          </cell>
        </row>
        <row r="731">
          <cell r="A731">
            <v>668553</v>
          </cell>
          <cell r="B731" t="str">
            <v>COTIS.MUT.AGENTS MAITRISE PER NA</v>
          </cell>
          <cell r="C731" t="str">
            <v>F06</v>
          </cell>
          <cell r="D731" t="str">
            <v>Frais de Personnel</v>
          </cell>
        </row>
        <row r="732">
          <cell r="A732">
            <v>668554</v>
          </cell>
          <cell r="B732" t="str">
            <v>COTIS.ASSUR.VIE CADRES LOCAUX</v>
          </cell>
          <cell r="C732" t="str">
            <v>F06</v>
          </cell>
          <cell r="D732" t="str">
            <v>Frais de Personnel</v>
          </cell>
        </row>
        <row r="733">
          <cell r="A733">
            <v>668556</v>
          </cell>
          <cell r="B733" t="str">
            <v>PART PATR RETRAITE COMPLT AM</v>
          </cell>
          <cell r="C733" t="str">
            <v>F06</v>
          </cell>
          <cell r="D733" t="str">
            <v>Frais de Personnel</v>
          </cell>
        </row>
        <row r="734">
          <cell r="A734">
            <v>668557</v>
          </cell>
          <cell r="B734" t="str">
            <v>COTIS.RETRAITE CADRES LOCAUX</v>
          </cell>
          <cell r="C734" t="str">
            <v>F06</v>
          </cell>
          <cell r="D734" t="str">
            <v>Frais de Personnel</v>
          </cell>
        </row>
        <row r="735">
          <cell r="A735">
            <v>668630</v>
          </cell>
          <cell r="B735" t="str">
            <v>CONSOMMATION BOISSONS PERSONNEL</v>
          </cell>
          <cell r="C735" t="str">
            <v>F06</v>
          </cell>
          <cell r="D735" t="str">
            <v>Frais de Personnel</v>
          </cell>
        </row>
        <row r="736">
          <cell r="A736">
            <v>668690</v>
          </cell>
          <cell r="B736" t="str">
            <v>AUTRES CONSOMMATIONS DIVERSES</v>
          </cell>
          <cell r="C736" t="str">
            <v>F06</v>
          </cell>
          <cell r="D736" t="str">
            <v>Frais de Personnel</v>
          </cell>
        </row>
        <row r="737">
          <cell r="A737">
            <v>668910</v>
          </cell>
          <cell r="B737" t="str">
            <v>PROV.ANCIEN.-MEDAIL E.O.</v>
          </cell>
          <cell r="C737" t="str">
            <v>F06</v>
          </cell>
          <cell r="D737" t="str">
            <v>Frais de Personnel</v>
          </cell>
        </row>
        <row r="738">
          <cell r="A738">
            <v>668911</v>
          </cell>
          <cell r="B738" t="str">
            <v>PROV.ANCIEN.-MEDAIL. A.M.</v>
          </cell>
          <cell r="C738" t="str">
            <v>F06</v>
          </cell>
          <cell r="D738" t="str">
            <v>Frais de Personnel</v>
          </cell>
        </row>
        <row r="739">
          <cell r="A739">
            <v>668912</v>
          </cell>
          <cell r="B739" t="str">
            <v>PROV.ANCIEN.-MEDAIL.CADRES NAT.</v>
          </cell>
          <cell r="C739" t="str">
            <v>F06</v>
          </cell>
          <cell r="D739" t="str">
            <v>Frais de Personnel</v>
          </cell>
        </row>
        <row r="740">
          <cell r="A740">
            <v>668913</v>
          </cell>
          <cell r="B740" t="str">
            <v>PROV.ANCIEN.-MEDAIL.CADRES N.NAT</v>
          </cell>
          <cell r="C740" t="str">
            <v>F06</v>
          </cell>
          <cell r="D740" t="str">
            <v>Frais de Personnel</v>
          </cell>
        </row>
        <row r="741">
          <cell r="A741">
            <v>668920</v>
          </cell>
          <cell r="B741" t="str">
            <v>PROV.GRATIFI.EMPL.OUVRIERS NAT.</v>
          </cell>
          <cell r="C741" t="str">
            <v>F06</v>
          </cell>
          <cell r="D741" t="str">
            <v>Frais de Personnel</v>
          </cell>
        </row>
        <row r="742">
          <cell r="A742">
            <v>668921</v>
          </cell>
          <cell r="B742" t="str">
            <v>PROV.GRATIFI.AGENTS MAITR.NAT.</v>
          </cell>
          <cell r="C742" t="str">
            <v>F06</v>
          </cell>
          <cell r="D742" t="str">
            <v>Frais de Personnel</v>
          </cell>
        </row>
        <row r="743">
          <cell r="A743">
            <v>668922</v>
          </cell>
          <cell r="B743" t="str">
            <v>PROV.GRATIFICATION CADRES LOCAUX</v>
          </cell>
          <cell r="C743" t="str">
            <v>F06</v>
          </cell>
          <cell r="D743" t="str">
            <v>Frais de Personnel</v>
          </cell>
        </row>
        <row r="744">
          <cell r="A744">
            <v>668923</v>
          </cell>
          <cell r="B744" t="str">
            <v>PROV.CHARG.LEGALE GRAT.AM NAT.</v>
          </cell>
          <cell r="C744" t="str">
            <v>F06</v>
          </cell>
          <cell r="D744" t="str">
            <v>Frais de Personnel</v>
          </cell>
        </row>
        <row r="745">
          <cell r="A745">
            <v>668924</v>
          </cell>
          <cell r="B745" t="str">
            <v>PR.CH.CONV/CONG.$ GRAT.A.M.P.NAT</v>
          </cell>
          <cell r="C745" t="str">
            <v>F06</v>
          </cell>
          <cell r="D745" t="str">
            <v>Frais de Personnel</v>
          </cell>
        </row>
        <row r="746">
          <cell r="A746">
            <v>668925</v>
          </cell>
          <cell r="B746" t="str">
            <v>PR.CH.CONV/CONG.$ GRAT.E.O.P.NAT</v>
          </cell>
          <cell r="C746" t="str">
            <v>F06</v>
          </cell>
          <cell r="D746" t="str">
            <v>Frais de Personnel</v>
          </cell>
        </row>
        <row r="747">
          <cell r="A747">
            <v>668926</v>
          </cell>
          <cell r="B747" t="e">
            <v>#N/A</v>
          </cell>
          <cell r="C747" t="str">
            <v>F06</v>
          </cell>
          <cell r="D747" t="str">
            <v>Frais de Personnel</v>
          </cell>
        </row>
        <row r="748">
          <cell r="A748">
            <v>668927</v>
          </cell>
          <cell r="B748" t="str">
            <v>PROV.GRATIFICATION CADRES N.NAT.</v>
          </cell>
          <cell r="C748" t="str">
            <v>F06</v>
          </cell>
          <cell r="D748" t="str">
            <v>Frais de Personnel</v>
          </cell>
        </row>
        <row r="749">
          <cell r="A749">
            <v>668928</v>
          </cell>
          <cell r="B749" t="e">
            <v>#N/A</v>
          </cell>
          <cell r="C749" t="str">
            <v>F06</v>
          </cell>
          <cell r="D749" t="str">
            <v>Frais de Personnel</v>
          </cell>
        </row>
        <row r="750">
          <cell r="A750">
            <v>668929</v>
          </cell>
          <cell r="B750" t="e">
            <v>#N/A</v>
          </cell>
          <cell r="C750" t="str">
            <v>F06</v>
          </cell>
          <cell r="D750" t="str">
            <v>Frais de Personnel</v>
          </cell>
        </row>
        <row r="751">
          <cell r="A751">
            <v>668930</v>
          </cell>
          <cell r="B751" t="str">
            <v>PROV.CONGES EMPLOYES OUVRIERS NA</v>
          </cell>
          <cell r="C751" t="str">
            <v>F06</v>
          </cell>
          <cell r="D751" t="str">
            <v>Frais de Personnel</v>
          </cell>
        </row>
        <row r="752">
          <cell r="A752">
            <v>668931</v>
          </cell>
          <cell r="B752" t="str">
            <v>PROV.CONGES AGENTS MAITRISE NAT.</v>
          </cell>
          <cell r="C752" t="str">
            <v>F06</v>
          </cell>
          <cell r="D752" t="str">
            <v>Frais de Personnel</v>
          </cell>
        </row>
        <row r="753">
          <cell r="A753">
            <v>668932</v>
          </cell>
          <cell r="B753" t="str">
            <v>PROV.CONGES CADRES LOCAUX</v>
          </cell>
          <cell r="C753" t="str">
            <v>F06</v>
          </cell>
          <cell r="D753" t="str">
            <v>Frais de Personnel</v>
          </cell>
        </row>
        <row r="754">
          <cell r="A754">
            <v>668933</v>
          </cell>
          <cell r="B754" t="str">
            <v>PROV.CH.LEGALE/CONG.$ GRAT.EO NA</v>
          </cell>
          <cell r="C754" t="str">
            <v>F06</v>
          </cell>
          <cell r="D754" t="str">
            <v>Frais de Personnel</v>
          </cell>
        </row>
        <row r="755">
          <cell r="A755">
            <v>668934</v>
          </cell>
          <cell r="B755" t="str">
            <v>PROV.CH.LEGALE/CONGES CADRES LOC</v>
          </cell>
          <cell r="C755" t="str">
            <v>F06</v>
          </cell>
          <cell r="D755" t="str">
            <v>Frais de Personnel</v>
          </cell>
        </row>
        <row r="756">
          <cell r="A756">
            <v>668935</v>
          </cell>
          <cell r="B756" t="str">
            <v>PROV.CONGES CADRES NON NATIONAUX</v>
          </cell>
          <cell r="C756" t="str">
            <v>F06</v>
          </cell>
          <cell r="D756" t="str">
            <v>Frais de Personnel</v>
          </cell>
        </row>
        <row r="757">
          <cell r="A757">
            <v>668936</v>
          </cell>
          <cell r="B757" t="str">
            <v>PROV.CH.CONV/CONGES CADRES N.NAT</v>
          </cell>
          <cell r="C757" t="str">
            <v>F06</v>
          </cell>
          <cell r="D757" t="str">
            <v>Frais de Personnel</v>
          </cell>
        </row>
        <row r="758">
          <cell r="A758">
            <v>668937</v>
          </cell>
          <cell r="B758" t="str">
            <v>PROV.CH.LEG/CONGES CADRES N.NAT.</v>
          </cell>
          <cell r="C758" t="str">
            <v>F06</v>
          </cell>
          <cell r="D758" t="str">
            <v>Frais de Personnel</v>
          </cell>
        </row>
        <row r="759">
          <cell r="A759">
            <v>668938</v>
          </cell>
          <cell r="B759" t="str">
            <v>PROV.CH.CONV/CONGES CADRES LCX</v>
          </cell>
          <cell r="C759" t="str">
            <v>F06</v>
          </cell>
          <cell r="D759" t="str">
            <v>Frais de Personnel</v>
          </cell>
        </row>
        <row r="760">
          <cell r="A760">
            <v>668939</v>
          </cell>
          <cell r="B760" t="str">
            <v>PROV.REAJUSTEMENT SALAIRES EOM</v>
          </cell>
          <cell r="C760" t="str">
            <v>F06</v>
          </cell>
          <cell r="D760" t="str">
            <v>Frais de Personnel</v>
          </cell>
        </row>
        <row r="761">
          <cell r="A761">
            <v>668940</v>
          </cell>
          <cell r="B761" t="str">
            <v>PROV.SALAIRES DIFFERES E.O. NAT.</v>
          </cell>
          <cell r="C761" t="str">
            <v>F06</v>
          </cell>
          <cell r="D761" t="str">
            <v>Frais de Personnel</v>
          </cell>
        </row>
        <row r="762">
          <cell r="A762">
            <v>668941</v>
          </cell>
          <cell r="B762" t="str">
            <v>PROV.SAL.DIFFERES AGENTS M.P.NAT</v>
          </cell>
          <cell r="C762" t="str">
            <v>F06</v>
          </cell>
          <cell r="D762" t="str">
            <v>Frais de Personnel</v>
          </cell>
        </row>
        <row r="763">
          <cell r="A763">
            <v>668942</v>
          </cell>
          <cell r="B763" t="str">
            <v>PROV.CHARG.LEG.S/SAL.DIFF.A.M.NA</v>
          </cell>
          <cell r="C763" t="str">
            <v>F06</v>
          </cell>
          <cell r="D763" t="str">
            <v>Frais de Personnel</v>
          </cell>
        </row>
        <row r="764">
          <cell r="A764">
            <v>668943</v>
          </cell>
          <cell r="B764" t="str">
            <v>PROV.CHARG.LEG.S/SAL.DIFF.EO NAT</v>
          </cell>
          <cell r="C764" t="str">
            <v>F06</v>
          </cell>
          <cell r="D764" t="str">
            <v>Frais de Personnel</v>
          </cell>
        </row>
        <row r="765">
          <cell r="A765">
            <v>668944</v>
          </cell>
          <cell r="B765" t="str">
            <v>PROV.CHAR.CONV.S/SAL.DIFF.AM.NAT</v>
          </cell>
          <cell r="C765" t="str">
            <v>F06</v>
          </cell>
          <cell r="D765" t="str">
            <v>Frais de Personnel</v>
          </cell>
        </row>
        <row r="766">
          <cell r="A766">
            <v>668945</v>
          </cell>
          <cell r="B766" t="str">
            <v>PROV.CHARG.CONV.S/SAL.DIFF.EO NA</v>
          </cell>
          <cell r="C766" t="str">
            <v>F06</v>
          </cell>
          <cell r="D766" t="str">
            <v>Frais de Personnel</v>
          </cell>
        </row>
        <row r="767">
          <cell r="A767">
            <v>668950</v>
          </cell>
          <cell r="B767" t="e">
            <v>#N/A</v>
          </cell>
          <cell r="C767" t="str">
            <v>F06</v>
          </cell>
          <cell r="D767" t="str">
            <v>Frais de Personnel</v>
          </cell>
        </row>
        <row r="768">
          <cell r="A768">
            <v>668951</v>
          </cell>
          <cell r="B768" t="e">
            <v>#N/A</v>
          </cell>
          <cell r="C768" t="str">
            <v>F06</v>
          </cell>
          <cell r="D768" t="str">
            <v>Frais de Personnel</v>
          </cell>
        </row>
        <row r="769">
          <cell r="A769">
            <v>668952</v>
          </cell>
          <cell r="B769" t="e">
            <v>#N/A</v>
          </cell>
          <cell r="C769" t="str">
            <v>F06</v>
          </cell>
          <cell r="D769" t="str">
            <v>Frais de Personnel</v>
          </cell>
        </row>
        <row r="770">
          <cell r="A770">
            <v>668953</v>
          </cell>
          <cell r="B770" t="e">
            <v>#N/A</v>
          </cell>
          <cell r="C770" t="str">
            <v>F06</v>
          </cell>
          <cell r="D770" t="str">
            <v>Frais de Personnel</v>
          </cell>
        </row>
        <row r="771">
          <cell r="A771">
            <v>668960</v>
          </cell>
          <cell r="B771" t="str">
            <v>PROV.PRIME/OBJECTIFS E.O.</v>
          </cell>
          <cell r="C771" t="str">
            <v>F06</v>
          </cell>
          <cell r="D771" t="str">
            <v>Frais de Personnel</v>
          </cell>
        </row>
        <row r="772">
          <cell r="A772">
            <v>668961</v>
          </cell>
          <cell r="B772" t="str">
            <v>PROV.PRIME/OBJECTIFS MAITRISES</v>
          </cell>
          <cell r="C772" t="str">
            <v>F06</v>
          </cell>
          <cell r="D772" t="str">
            <v>Frais de Personnel</v>
          </cell>
        </row>
        <row r="773">
          <cell r="A773">
            <v>668962</v>
          </cell>
          <cell r="B773" t="str">
            <v>PROV.PRIME/OBJECTIFS CADRES NAT.</v>
          </cell>
          <cell r="C773" t="str">
            <v>F06</v>
          </cell>
          <cell r="D773" t="str">
            <v>Frais de Personnel</v>
          </cell>
        </row>
        <row r="774">
          <cell r="A774">
            <v>668964</v>
          </cell>
          <cell r="B774" t="str">
            <v>PROV.PRIME S/OBJECTIF CADRES  NON NATI</v>
          </cell>
          <cell r="C774" t="str">
            <v>F06</v>
          </cell>
          <cell r="D774" t="str">
            <v>Frais de Personnel</v>
          </cell>
        </row>
        <row r="775">
          <cell r="A775">
            <v>668965</v>
          </cell>
          <cell r="B775" t="str">
            <v>PROV.CHAR.LEGALE PRIME/OBJECT.EO</v>
          </cell>
          <cell r="C775" t="str">
            <v>F06</v>
          </cell>
          <cell r="D775" t="str">
            <v>Frais de Personnel</v>
          </cell>
        </row>
        <row r="776">
          <cell r="A776">
            <v>668966</v>
          </cell>
          <cell r="B776" t="str">
            <v>PROV.CHAR.LEGALE PRIME/OBJECT.AM</v>
          </cell>
          <cell r="C776" t="str">
            <v>F06</v>
          </cell>
          <cell r="D776" t="str">
            <v>Frais de Personnel</v>
          </cell>
        </row>
        <row r="777">
          <cell r="A777">
            <v>668967</v>
          </cell>
          <cell r="B777" t="str">
            <v>PROV.CHAR.LEGALE PRIME/OBJ.CAD.N</v>
          </cell>
          <cell r="C777" t="str">
            <v>F06</v>
          </cell>
          <cell r="D777" t="str">
            <v>Frais de Personnel</v>
          </cell>
        </row>
        <row r="778">
          <cell r="A778">
            <v>668968</v>
          </cell>
          <cell r="B778" t="str">
            <v>PROV.CHARG.CONV.PRIME/OBJECT.E.O</v>
          </cell>
          <cell r="C778" t="str">
            <v>F06</v>
          </cell>
          <cell r="D778" t="str">
            <v>Frais de Personnel</v>
          </cell>
        </row>
        <row r="779">
          <cell r="A779">
            <v>668969</v>
          </cell>
          <cell r="B779" t="str">
            <v>PROV.CHARG.CONV.PRIME/OBJECT.AM</v>
          </cell>
          <cell r="C779" t="str">
            <v>F06</v>
          </cell>
          <cell r="D779" t="str">
            <v>Frais de Personnel</v>
          </cell>
        </row>
        <row r="780">
          <cell r="A780">
            <v>668970</v>
          </cell>
          <cell r="B780" t="str">
            <v>PROV.CHAR.CONV.PRIME/OBJ.CAD.NAT</v>
          </cell>
          <cell r="C780" t="str">
            <v>F06</v>
          </cell>
          <cell r="D780" t="str">
            <v>Frais de Personnel</v>
          </cell>
        </row>
        <row r="781">
          <cell r="A781">
            <v>671210</v>
          </cell>
          <cell r="B781" t="e">
            <v>#N/A</v>
          </cell>
          <cell r="C781" t="str">
            <v>H01</v>
          </cell>
          <cell r="D781" t="str">
            <v>Frais financiers</v>
          </cell>
        </row>
        <row r="782">
          <cell r="A782">
            <v>671290</v>
          </cell>
          <cell r="B782" t="e">
            <v>#N/A</v>
          </cell>
          <cell r="C782" t="str">
            <v>H01</v>
          </cell>
          <cell r="D782" t="str">
            <v>Frais financiers</v>
          </cell>
        </row>
        <row r="783">
          <cell r="A783">
            <v>671310</v>
          </cell>
          <cell r="B783" t="str">
            <v>INTERETS/CREDITS MOYEN TERME</v>
          </cell>
          <cell r="C783" t="str">
            <v>H01</v>
          </cell>
          <cell r="D783" t="str">
            <v>Frais financiers</v>
          </cell>
        </row>
        <row r="784">
          <cell r="A784">
            <v>671390</v>
          </cell>
          <cell r="B784" t="e">
            <v>#N/A</v>
          </cell>
          <cell r="C784" t="str">
            <v>H01</v>
          </cell>
          <cell r="D784" t="str">
            <v>Frais financiers</v>
          </cell>
        </row>
        <row r="785">
          <cell r="A785">
            <v>674210</v>
          </cell>
          <cell r="B785" t="str">
            <v>INTERETS,AGIOS/COMPTES LOCAUX</v>
          </cell>
          <cell r="C785" t="str">
            <v>H01</v>
          </cell>
          <cell r="D785" t="str">
            <v>Frais financiers</v>
          </cell>
        </row>
        <row r="786">
          <cell r="A786">
            <v>674220</v>
          </cell>
          <cell r="B786" t="e">
            <v>#N/A</v>
          </cell>
          <cell r="C786" t="str">
            <v>H01</v>
          </cell>
          <cell r="D786" t="str">
            <v>Frais financiers</v>
          </cell>
        </row>
        <row r="787">
          <cell r="A787">
            <v>674290</v>
          </cell>
          <cell r="B787" t="str">
            <v>PROV.INTERETS/COMPTES COURANTS</v>
          </cell>
          <cell r="C787" t="str">
            <v>H01</v>
          </cell>
          <cell r="D787" t="str">
            <v>Frais financiers</v>
          </cell>
        </row>
        <row r="788">
          <cell r="A788">
            <v>674400</v>
          </cell>
          <cell r="B788" t="str">
            <v>INTERETS PAYES AUX FOURNISSEURS</v>
          </cell>
          <cell r="C788" t="str">
            <v>H01</v>
          </cell>
          <cell r="D788" t="str">
            <v>Frais financiers</v>
          </cell>
        </row>
        <row r="789">
          <cell r="A789">
            <v>674500</v>
          </cell>
          <cell r="B789" t="e">
            <v>#N/A</v>
          </cell>
          <cell r="C789" t="str">
            <v>H01</v>
          </cell>
          <cell r="D789" t="str">
            <v>Frais financiers</v>
          </cell>
        </row>
        <row r="790">
          <cell r="A790">
            <v>674800</v>
          </cell>
          <cell r="B790" t="e">
            <v>#N/A</v>
          </cell>
          <cell r="C790" t="str">
            <v>H01</v>
          </cell>
          <cell r="D790" t="str">
            <v>Frais financiers</v>
          </cell>
        </row>
        <row r="791">
          <cell r="A791">
            <v>676000</v>
          </cell>
          <cell r="B791" t="str">
            <v>PERTES DE CHANGES</v>
          </cell>
          <cell r="C791" t="str">
            <v>H03</v>
          </cell>
          <cell r="D791" t="str">
            <v>Gains/Pertes de change</v>
          </cell>
        </row>
        <row r="792">
          <cell r="A792">
            <v>679300</v>
          </cell>
          <cell r="B792" t="e">
            <v>#N/A</v>
          </cell>
          <cell r="C792" t="str">
            <v>G05</v>
          </cell>
          <cell r="D792" t="str">
            <v>Dotations Provisions Exploitation LT</v>
          </cell>
        </row>
        <row r="793">
          <cell r="A793">
            <v>681100</v>
          </cell>
          <cell r="B793" t="str">
            <v>DOT. AUX AMORTS. CHARG. IMMOBILISEES</v>
          </cell>
          <cell r="C793" t="str">
            <v>G02</v>
          </cell>
          <cell r="D793" t="str">
            <v>Dotations aux Amortissements</v>
          </cell>
        </row>
        <row r="794">
          <cell r="A794">
            <v>681110</v>
          </cell>
          <cell r="B794" t="e">
            <v>#N/A</v>
          </cell>
          <cell r="C794" t="str">
            <v>G02</v>
          </cell>
          <cell r="D794" t="str">
            <v>Dotations aux Amortissements</v>
          </cell>
        </row>
        <row r="795">
          <cell r="A795">
            <v>681120</v>
          </cell>
          <cell r="B795" t="e">
            <v>#N/A</v>
          </cell>
          <cell r="C795" t="str">
            <v>G02</v>
          </cell>
          <cell r="D795" t="str">
            <v>Dotations aux Amortissements</v>
          </cell>
        </row>
        <row r="796">
          <cell r="A796">
            <v>681200</v>
          </cell>
          <cell r="B796" t="str">
            <v>DOT. AUX AMORTS.  IMMOB. INCORPORELLES</v>
          </cell>
          <cell r="C796" t="str">
            <v>G02</v>
          </cell>
          <cell r="D796" t="str">
            <v>Dotations aux Amortissements</v>
          </cell>
        </row>
        <row r="797">
          <cell r="A797">
            <v>681300</v>
          </cell>
          <cell r="B797" t="str">
            <v>DOT.AUX AMORTS IMMO.NON REEVAL.</v>
          </cell>
          <cell r="C797" t="str">
            <v>G02</v>
          </cell>
          <cell r="D797" t="str">
            <v>Dotations aux Amortissements</v>
          </cell>
        </row>
        <row r="798">
          <cell r="A798" t="str">
            <v>681310</v>
          </cell>
          <cell r="B798" t="e">
            <v>#N/A</v>
          </cell>
          <cell r="C798" t="str">
            <v>G02</v>
          </cell>
          <cell r="D798" t="str">
            <v>Dotations aux Amortissements</v>
          </cell>
        </row>
        <row r="799">
          <cell r="A799">
            <v>681320</v>
          </cell>
          <cell r="B799" t="str">
            <v>DOTATIONS AMORTS REEMP/REEVAL.</v>
          </cell>
          <cell r="C799" t="str">
            <v>G02</v>
          </cell>
          <cell r="D799" t="str">
            <v>Dotations aux Amortissements</v>
          </cell>
        </row>
        <row r="800">
          <cell r="A800">
            <v>681360</v>
          </cell>
          <cell r="B800" t="str">
            <v>DOT.AUX AMORTS REEVALUEES</v>
          </cell>
          <cell r="C800" t="str">
            <v>G02</v>
          </cell>
          <cell r="D800" t="str">
            <v>Dotations aux Amortissements</v>
          </cell>
        </row>
        <row r="801">
          <cell r="A801">
            <v>681390</v>
          </cell>
          <cell r="B801" t="str">
            <v>DOT.AUX AMORTS IMMO.REEVALUEES</v>
          </cell>
          <cell r="C801" t="str">
            <v>G02</v>
          </cell>
          <cell r="D801" t="str">
            <v>Dotations aux Amortissements</v>
          </cell>
        </row>
        <row r="802">
          <cell r="A802">
            <v>691000</v>
          </cell>
          <cell r="B802" t="str">
            <v>DOT.AUX PROV. D'EXPLOITATION</v>
          </cell>
          <cell r="C802" t="str">
            <v>G05</v>
          </cell>
          <cell r="D802" t="str">
            <v>Dotations Provisions Exploitation LT</v>
          </cell>
        </row>
        <row r="803">
          <cell r="A803">
            <v>691110</v>
          </cell>
          <cell r="B803" t="str">
            <v>DOT EXC.PROV.P/LITIGES</v>
          </cell>
          <cell r="C803" t="str">
            <v>G05</v>
          </cell>
          <cell r="D803" t="str">
            <v>Dotations Provisions Exploitation LT</v>
          </cell>
        </row>
        <row r="804">
          <cell r="A804">
            <v>691115</v>
          </cell>
          <cell r="B804" t="str">
            <v>DOT.PROV.DEPR. LITIGES DEDUCT.</v>
          </cell>
          <cell r="C804" t="str">
            <v>G05</v>
          </cell>
          <cell r="D804" t="str">
            <v>Dotations Provisions Exploitation LT</v>
          </cell>
        </row>
        <row r="805">
          <cell r="A805">
            <v>691120</v>
          </cell>
          <cell r="B805" t="e">
            <v>#N/A</v>
          </cell>
          <cell r="C805" t="str">
            <v>G05</v>
          </cell>
          <cell r="D805" t="str">
            <v>Dotations Provisions Exploitation LT</v>
          </cell>
        </row>
        <row r="806">
          <cell r="A806">
            <v>691121</v>
          </cell>
          <cell r="B806" t="e">
            <v>#N/A</v>
          </cell>
          <cell r="C806" t="str">
            <v>G05</v>
          </cell>
          <cell r="D806" t="str">
            <v>Dotations Provisions Exploitation LT</v>
          </cell>
        </row>
        <row r="807">
          <cell r="A807">
            <v>691122</v>
          </cell>
          <cell r="B807" t="str">
            <v>DOT.PR/EVENTUALITES DIVERSES</v>
          </cell>
          <cell r="C807" t="str">
            <v>G05</v>
          </cell>
          <cell r="D807" t="str">
            <v>Dotations Provisions Exploitation LT</v>
          </cell>
        </row>
        <row r="808">
          <cell r="A808">
            <v>691123</v>
          </cell>
          <cell r="B808" t="str">
            <v>DOT.PROV.P/RIS.FISCAL &amp; DOUANIER</v>
          </cell>
          <cell r="C808" t="str">
            <v>I01</v>
          </cell>
          <cell r="D808" t="str">
            <v>Dotations provisions HE</v>
          </cell>
        </row>
        <row r="809">
          <cell r="A809">
            <v>691127</v>
          </cell>
          <cell r="B809" t="e">
            <v>#N/A</v>
          </cell>
          <cell r="C809" t="str">
            <v>G05</v>
          </cell>
          <cell r="D809" t="str">
            <v>Dotations Provisions Exploitation LT</v>
          </cell>
        </row>
        <row r="810">
          <cell r="A810">
            <v>691128</v>
          </cell>
          <cell r="B810" t="e">
            <v>#N/A</v>
          </cell>
          <cell r="C810" t="str">
            <v>G05</v>
          </cell>
          <cell r="D810" t="str">
            <v>Dotations Provisions Exploitation LT</v>
          </cell>
        </row>
        <row r="811">
          <cell r="A811">
            <v>691150</v>
          </cell>
          <cell r="B811" t="str">
            <v>DOT.AUX PROV.P/INDEMN.RETRAITE</v>
          </cell>
          <cell r="C811" t="str">
            <v>G05</v>
          </cell>
          <cell r="D811" t="str">
            <v>Dotations Provisions Exploitation LT</v>
          </cell>
        </row>
        <row r="812">
          <cell r="A812">
            <v>691151</v>
          </cell>
          <cell r="B812" t="str">
            <v>DOTATION PROVISION 50% IRPP/RETRAITE</v>
          </cell>
          <cell r="C812" t="str">
            <v>G05</v>
          </cell>
          <cell r="D812" t="str">
            <v>Dotations Provisions Exploitation LT</v>
          </cell>
        </row>
        <row r="813">
          <cell r="A813">
            <v>691155</v>
          </cell>
          <cell r="B813" t="str">
            <v>DOT.PROV.MEDAILLE TRAVAIL N/DED.</v>
          </cell>
          <cell r="C813" t="str">
            <v>G05</v>
          </cell>
          <cell r="D813" t="str">
            <v>Dotations Provisions Exploitation LT</v>
          </cell>
        </row>
        <row r="814">
          <cell r="A814">
            <v>691156</v>
          </cell>
          <cell r="B814" t="str">
            <v>DOT.PROV.PRIME ANCIENNETE N/DED.</v>
          </cell>
          <cell r="C814" t="str">
            <v>G05</v>
          </cell>
          <cell r="D814" t="str">
            <v>Dotations Provisions Exploitation LT</v>
          </cell>
        </row>
        <row r="815">
          <cell r="A815">
            <v>691157</v>
          </cell>
          <cell r="B815" t="str">
            <v>DOT.AUX PROV. PRIME ANCIEN 33 ANS</v>
          </cell>
          <cell r="C815" t="str">
            <v>G05</v>
          </cell>
          <cell r="D815" t="str">
            <v>Dotations Provisions Exploitation LT</v>
          </cell>
        </row>
        <row r="816">
          <cell r="A816">
            <v>691160</v>
          </cell>
          <cell r="B816" t="str">
            <v>DOT.AUX PROV.COMPLEMENT DECES</v>
          </cell>
          <cell r="C816" t="str">
            <v>G05</v>
          </cell>
          <cell r="D816" t="str">
            <v>Dotations Provisions Exploitation LT</v>
          </cell>
        </row>
        <row r="817">
          <cell r="A817">
            <v>691170</v>
          </cell>
          <cell r="B817" t="str">
            <v>DOT.AUX PROV.FRAIS OBSEQUES</v>
          </cell>
          <cell r="C817" t="str">
            <v>G05</v>
          </cell>
          <cell r="D817" t="str">
            <v>Dotations Provisions Exploitation LT</v>
          </cell>
        </row>
        <row r="818">
          <cell r="A818">
            <v>697100</v>
          </cell>
          <cell r="B818" t="str">
            <v>DOT.AUX PROV.FINANC. P/RISQ ET CHARG.</v>
          </cell>
          <cell r="C818" t="str">
            <v>G05</v>
          </cell>
          <cell r="D818" t="str">
            <v>Dotations Provisions Exploitation LT</v>
          </cell>
        </row>
        <row r="819">
          <cell r="A819">
            <v>697200</v>
          </cell>
          <cell r="B819" t="str">
            <v>DOT.PROV.DEPREC.TITRES NON DEDUC</v>
          </cell>
          <cell r="C819" t="str">
            <v>G05</v>
          </cell>
          <cell r="D819" t="str">
            <v>Dotations Provisions Exploitation LT</v>
          </cell>
        </row>
        <row r="820">
          <cell r="A820">
            <v>697210</v>
          </cell>
          <cell r="B820" t="str">
            <v>DOT.PROV.DEPREC.TITRES DEDUC</v>
          </cell>
          <cell r="C820" t="str">
            <v>G05</v>
          </cell>
          <cell r="D820" t="str">
            <v>Dotations Provisions Exploitation LT</v>
          </cell>
        </row>
        <row r="821">
          <cell r="A821">
            <v>697215</v>
          </cell>
          <cell r="B821" t="str">
            <v>DOT.PROV.DEPREC DEPôTS ET CAUTIONS</v>
          </cell>
          <cell r="C821" t="str">
            <v>G05</v>
          </cell>
          <cell r="D821" t="str">
            <v>Dotations Provisions Exploitation LT</v>
          </cell>
        </row>
        <row r="822">
          <cell r="A822">
            <v>697235</v>
          </cell>
          <cell r="B822" t="str">
            <v>DOT.PROV.DEPREC DIVERS PRETS NON DEDUCTI</v>
          </cell>
          <cell r="C822" t="str">
            <v>G05</v>
          </cell>
          <cell r="D822" t="str">
            <v>Dotations Provisions Exploitation LT</v>
          </cell>
        </row>
        <row r="823">
          <cell r="A823">
            <v>697236</v>
          </cell>
          <cell r="B823" t="str">
            <v>DOT.PROV.DEPREC DIVERS PRETS DEDUCTIBLES</v>
          </cell>
          <cell r="C823" t="str">
            <v>G05</v>
          </cell>
          <cell r="D823" t="str">
            <v>Dotations Provisions Exploitation LT</v>
          </cell>
        </row>
        <row r="824">
          <cell r="A824">
            <v>701100</v>
          </cell>
          <cell r="B824" t="str">
            <v>VENTES MARCHANDISES</v>
          </cell>
          <cell r="C824" t="str">
            <v>B01</v>
          </cell>
          <cell r="D824" t="str">
            <v>Chiffre d'Affaires brut TTC</v>
          </cell>
        </row>
        <row r="825">
          <cell r="A825">
            <v>701101</v>
          </cell>
          <cell r="B825" t="str">
            <v>VENTE PF SIAC BIERE GROS</v>
          </cell>
          <cell r="C825" t="str">
            <v>B01</v>
          </cell>
          <cell r="D825" t="str">
            <v>Chiffre d'Affaires brut TTC</v>
          </cell>
        </row>
        <row r="826">
          <cell r="A826">
            <v>701102</v>
          </cell>
          <cell r="B826" t="str">
            <v>VENTE PF SIAC BG GROS</v>
          </cell>
          <cell r="C826" t="str">
            <v>B01</v>
          </cell>
          <cell r="D826" t="str">
            <v>Chiffre d'Affaires brut TTC</v>
          </cell>
        </row>
        <row r="827">
          <cell r="A827">
            <v>701107</v>
          </cell>
          <cell r="B827" t="str">
            <v>VENTES PF SIAC BG DETAIL</v>
          </cell>
          <cell r="C827" t="str">
            <v>G01</v>
          </cell>
          <cell r="D827" t="str">
            <v>Autres Produits d' Exploitation</v>
          </cell>
        </row>
        <row r="828">
          <cell r="A828">
            <v>701108</v>
          </cell>
          <cell r="B828" t="str">
            <v>VENTE PF SIAC BIERE DETAIL</v>
          </cell>
          <cell r="C828" t="str">
            <v>G01</v>
          </cell>
          <cell r="D828" t="str">
            <v>Autres Produits d' Exploitation</v>
          </cell>
        </row>
        <row r="829">
          <cell r="A829">
            <v>701105</v>
          </cell>
          <cell r="B829" t="e">
            <v>#N/A</v>
          </cell>
          <cell r="C829" t="str">
            <v>B01</v>
          </cell>
          <cell r="D829" t="str">
            <v>Chiffre d'Affaires brut TTC</v>
          </cell>
        </row>
        <row r="830">
          <cell r="A830">
            <v>701110</v>
          </cell>
          <cell r="B830" t="str">
            <v>VENTES BIERE SIAC SIGMA</v>
          </cell>
          <cell r="C830" t="str">
            <v>G01</v>
          </cell>
          <cell r="D830" t="str">
            <v>Autres Produits d' Exploitation</v>
          </cell>
        </row>
        <row r="831">
          <cell r="A831">
            <v>701111</v>
          </cell>
          <cell r="B831" t="str">
            <v>VENTES BG SIAC SIGMA</v>
          </cell>
          <cell r="C831" t="str">
            <v>G01</v>
          </cell>
          <cell r="D831" t="str">
            <v>Autres Produits d' Exploitation</v>
          </cell>
        </row>
        <row r="832">
          <cell r="A832">
            <v>701120</v>
          </cell>
          <cell r="B832" t="str">
            <v>PROV REMISE SUR VTE EAU TANGUI H.T. SIG</v>
          </cell>
          <cell r="C832" t="str">
            <v>G01</v>
          </cell>
          <cell r="D832" t="str">
            <v>Autres Produits d' Exploitation</v>
          </cell>
        </row>
        <row r="833">
          <cell r="A833">
            <v>701121</v>
          </cell>
          <cell r="B833" t="e">
            <v>#N/A</v>
          </cell>
          <cell r="C833" t="str">
            <v>G01</v>
          </cell>
          <cell r="D833" t="str">
            <v>Autres Produits d' Exploitation</v>
          </cell>
        </row>
        <row r="834">
          <cell r="A834">
            <v>701125</v>
          </cell>
          <cell r="B834" t="str">
            <v>PROV S/RIST NEGOCE(TANGUI)</v>
          </cell>
          <cell r="C834" t="str">
            <v>G01</v>
          </cell>
          <cell r="D834" t="str">
            <v>Autres Produits d' Exploitation</v>
          </cell>
        </row>
        <row r="835">
          <cell r="A835">
            <v>701131</v>
          </cell>
          <cell r="B835" t="e">
            <v>#N/A</v>
          </cell>
          <cell r="C835" t="str">
            <v>B01</v>
          </cell>
          <cell r="D835" t="str">
            <v>Chiffre d'Affaires brut TTC</v>
          </cell>
        </row>
        <row r="836">
          <cell r="A836">
            <v>701132</v>
          </cell>
          <cell r="B836" t="e">
            <v>#N/A</v>
          </cell>
          <cell r="C836" t="str">
            <v>B01</v>
          </cell>
          <cell r="D836" t="str">
            <v>Chiffre d'Affaires brut TTC</v>
          </cell>
        </row>
        <row r="837">
          <cell r="A837">
            <v>701140</v>
          </cell>
          <cell r="B837" t="e">
            <v>#N/A</v>
          </cell>
          <cell r="C837" t="str">
            <v>B01</v>
          </cell>
          <cell r="D837" t="str">
            <v>Chiffre d'Affaires brut TTC</v>
          </cell>
        </row>
        <row r="838">
          <cell r="A838">
            <v>701141</v>
          </cell>
          <cell r="B838" t="e">
            <v>#N/A</v>
          </cell>
          <cell r="C838" t="str">
            <v>B01</v>
          </cell>
          <cell r="D838" t="str">
            <v>Chiffre d'Affaires brut TTC</v>
          </cell>
        </row>
        <row r="839">
          <cell r="A839">
            <v>701142</v>
          </cell>
          <cell r="B839" t="e">
            <v>#N/A</v>
          </cell>
          <cell r="C839" t="str">
            <v>B01</v>
          </cell>
          <cell r="D839" t="str">
            <v>Chiffre d'Affaires brut TTC</v>
          </cell>
        </row>
        <row r="840">
          <cell r="A840">
            <v>701143</v>
          </cell>
          <cell r="B840" t="e">
            <v>#N/A</v>
          </cell>
          <cell r="C840" t="str">
            <v>B01</v>
          </cell>
          <cell r="D840" t="str">
            <v>Chiffre d'Affaires brut TTC</v>
          </cell>
        </row>
        <row r="841">
          <cell r="A841">
            <v>701144</v>
          </cell>
          <cell r="B841" t="e">
            <v>#N/A</v>
          </cell>
          <cell r="C841" t="str">
            <v>B01</v>
          </cell>
          <cell r="D841" t="str">
            <v>Chiffre d'Affaires brut TTC</v>
          </cell>
        </row>
        <row r="842">
          <cell r="A842">
            <v>701145</v>
          </cell>
          <cell r="B842" t="e">
            <v>#N/A</v>
          </cell>
          <cell r="C842" t="str">
            <v>B01</v>
          </cell>
          <cell r="D842" t="str">
            <v>Chiffre d'Affaires brut TTC</v>
          </cell>
        </row>
        <row r="843">
          <cell r="A843">
            <v>701146</v>
          </cell>
          <cell r="B843" t="e">
            <v>#N/A</v>
          </cell>
          <cell r="C843" t="str">
            <v>B01</v>
          </cell>
          <cell r="D843" t="str">
            <v>Chiffre d'Affaires brut TTC</v>
          </cell>
        </row>
        <row r="844">
          <cell r="A844">
            <v>701147</v>
          </cell>
          <cell r="B844" t="e">
            <v>#N/A</v>
          </cell>
          <cell r="C844" t="str">
            <v>B01</v>
          </cell>
          <cell r="D844" t="str">
            <v>Chiffre d'Affaires brut TTC</v>
          </cell>
        </row>
        <row r="845">
          <cell r="A845">
            <v>701148</v>
          </cell>
          <cell r="B845" t="e">
            <v>#N/A</v>
          </cell>
          <cell r="C845" t="str">
            <v>B01</v>
          </cell>
          <cell r="D845" t="str">
            <v>Chiffre d'Affaires brut TTC</v>
          </cell>
        </row>
        <row r="846">
          <cell r="A846">
            <v>701149</v>
          </cell>
          <cell r="B846" t="e">
            <v>#N/A</v>
          </cell>
          <cell r="C846" t="str">
            <v>B01</v>
          </cell>
          <cell r="D846" t="str">
            <v>Chiffre d'Affaires brut TTC</v>
          </cell>
        </row>
        <row r="847">
          <cell r="A847">
            <v>701150</v>
          </cell>
          <cell r="B847" t="e">
            <v>#N/A</v>
          </cell>
          <cell r="C847" t="str">
            <v>B01</v>
          </cell>
          <cell r="D847" t="str">
            <v>Chiffre d'Affaires brut TTC</v>
          </cell>
        </row>
        <row r="848">
          <cell r="A848">
            <v>701151</v>
          </cell>
          <cell r="B848" t="e">
            <v>#N/A</v>
          </cell>
          <cell r="C848" t="str">
            <v>B01</v>
          </cell>
          <cell r="D848" t="str">
            <v>Chiffre d'Affaires brut TTC</v>
          </cell>
        </row>
        <row r="849">
          <cell r="A849">
            <v>701152</v>
          </cell>
          <cell r="B849" t="e">
            <v>#N/A</v>
          </cell>
          <cell r="C849" t="str">
            <v>B01</v>
          </cell>
          <cell r="D849" t="str">
            <v>Chiffre d'Affaires brut TTC</v>
          </cell>
        </row>
        <row r="850">
          <cell r="A850">
            <v>701153</v>
          </cell>
          <cell r="B850" t="e">
            <v>#N/A</v>
          </cell>
          <cell r="C850" t="str">
            <v>B01</v>
          </cell>
          <cell r="D850" t="str">
            <v>Chiffre d'Affaires brut TTC</v>
          </cell>
        </row>
        <row r="851">
          <cell r="A851">
            <v>701154</v>
          </cell>
          <cell r="B851" t="e">
            <v>#N/A</v>
          </cell>
          <cell r="C851" t="str">
            <v>B01</v>
          </cell>
          <cell r="D851" t="str">
            <v>Chiffre d'Affaires brut TTC</v>
          </cell>
        </row>
        <row r="852">
          <cell r="A852">
            <v>701155</v>
          </cell>
          <cell r="B852" t="e">
            <v>#N/A</v>
          </cell>
          <cell r="C852" t="str">
            <v>B01</v>
          </cell>
          <cell r="D852" t="str">
            <v>Chiffre d'Affaires brut TTC</v>
          </cell>
        </row>
        <row r="853">
          <cell r="A853">
            <v>701156</v>
          </cell>
          <cell r="B853" t="e">
            <v>#N/A</v>
          </cell>
          <cell r="C853" t="str">
            <v>B01</v>
          </cell>
          <cell r="D853" t="str">
            <v>Chiffre d'Affaires brut TTC</v>
          </cell>
        </row>
        <row r="854">
          <cell r="A854">
            <v>701157</v>
          </cell>
          <cell r="B854" t="e">
            <v>#N/A</v>
          </cell>
          <cell r="C854" t="str">
            <v>B01</v>
          </cell>
          <cell r="D854" t="str">
            <v>Chiffre d'Affaires brut TTC</v>
          </cell>
        </row>
        <row r="855">
          <cell r="A855">
            <v>701158</v>
          </cell>
          <cell r="B855" t="e">
            <v>#N/A</v>
          </cell>
          <cell r="C855" t="str">
            <v>B01</v>
          </cell>
          <cell r="D855" t="str">
            <v>Chiffre d'Affaires brut TTC</v>
          </cell>
        </row>
        <row r="856">
          <cell r="A856">
            <v>701159</v>
          </cell>
          <cell r="B856" t="e">
            <v>#N/A</v>
          </cell>
          <cell r="C856" t="str">
            <v>B01</v>
          </cell>
          <cell r="D856" t="str">
            <v>Chiffre d'Affaires brut TTC</v>
          </cell>
        </row>
        <row r="857">
          <cell r="A857">
            <v>701160</v>
          </cell>
          <cell r="B857" t="e">
            <v>#N/A</v>
          </cell>
          <cell r="C857" t="str">
            <v>B01</v>
          </cell>
          <cell r="D857" t="str">
            <v>Chiffre d'Affaires brut TTC</v>
          </cell>
        </row>
        <row r="858">
          <cell r="A858">
            <v>701161</v>
          </cell>
          <cell r="B858" t="e">
            <v>#N/A</v>
          </cell>
          <cell r="C858" t="str">
            <v>B01</v>
          </cell>
          <cell r="D858" t="str">
            <v>Chiffre d'Affaires brut TTC</v>
          </cell>
        </row>
        <row r="859">
          <cell r="A859">
            <v>701162</v>
          </cell>
          <cell r="B859" t="e">
            <v>#N/A</v>
          </cell>
          <cell r="C859" t="str">
            <v>B01</v>
          </cell>
          <cell r="D859" t="str">
            <v>Chiffre d'Affaires brut TTC</v>
          </cell>
        </row>
        <row r="860">
          <cell r="A860">
            <v>701163</v>
          </cell>
          <cell r="B860" t="e">
            <v>#N/A</v>
          </cell>
          <cell r="C860" t="str">
            <v>B01</v>
          </cell>
          <cell r="D860" t="str">
            <v>Chiffre d'Affaires brut TTC</v>
          </cell>
        </row>
        <row r="861">
          <cell r="A861">
            <v>701164</v>
          </cell>
          <cell r="B861" t="e">
            <v>#N/A</v>
          </cell>
          <cell r="C861" t="str">
            <v>B01</v>
          </cell>
          <cell r="D861" t="str">
            <v>Chiffre d'Affaires brut TTC</v>
          </cell>
        </row>
        <row r="862">
          <cell r="A862">
            <v>701165</v>
          </cell>
          <cell r="B862" t="e">
            <v>#N/A</v>
          </cell>
          <cell r="C862" t="str">
            <v>B01</v>
          </cell>
          <cell r="D862" t="str">
            <v>Chiffre d'Affaires brut TTC</v>
          </cell>
        </row>
        <row r="863">
          <cell r="A863">
            <v>701166</v>
          </cell>
          <cell r="B863" t="e">
            <v>#N/A</v>
          </cell>
          <cell r="C863" t="str">
            <v>B01</v>
          </cell>
          <cell r="D863" t="str">
            <v>Chiffre d'Affaires brut TTC</v>
          </cell>
        </row>
        <row r="864">
          <cell r="A864">
            <v>701167</v>
          </cell>
          <cell r="B864" t="e">
            <v>#N/A</v>
          </cell>
          <cell r="C864" t="str">
            <v>B01</v>
          </cell>
          <cell r="D864" t="str">
            <v>Chiffre d'Affaires brut TTC</v>
          </cell>
        </row>
        <row r="865">
          <cell r="A865">
            <v>701168</v>
          </cell>
          <cell r="B865" t="e">
            <v>#N/A</v>
          </cell>
          <cell r="C865" t="str">
            <v>B01</v>
          </cell>
          <cell r="D865" t="str">
            <v>Chiffre d'Affaires brut TTC</v>
          </cell>
        </row>
        <row r="866">
          <cell r="A866">
            <v>701169</v>
          </cell>
          <cell r="B866" t="e">
            <v>#N/A</v>
          </cell>
          <cell r="C866" t="str">
            <v>B01</v>
          </cell>
          <cell r="D866" t="str">
            <v>Chiffre d'Affaires brut TTC</v>
          </cell>
        </row>
        <row r="867">
          <cell r="A867">
            <v>701170</v>
          </cell>
          <cell r="B867" t="e">
            <v>#N/A</v>
          </cell>
          <cell r="C867" t="str">
            <v>B01</v>
          </cell>
          <cell r="D867" t="str">
            <v>Chiffre d'Affaires brut TTC</v>
          </cell>
        </row>
        <row r="868">
          <cell r="A868">
            <v>701171</v>
          </cell>
          <cell r="B868" t="e">
            <v>#N/A</v>
          </cell>
          <cell r="C868" t="str">
            <v>B01</v>
          </cell>
          <cell r="D868" t="str">
            <v>Chiffre d'Affaires brut TTC</v>
          </cell>
        </row>
        <row r="869">
          <cell r="A869">
            <v>701172</v>
          </cell>
          <cell r="B869" t="e">
            <v>#N/A</v>
          </cell>
          <cell r="C869" t="str">
            <v>B01</v>
          </cell>
          <cell r="D869" t="str">
            <v>Chiffre d'Affaires brut TTC</v>
          </cell>
        </row>
        <row r="870">
          <cell r="A870">
            <v>701173</v>
          </cell>
          <cell r="B870" t="e">
            <v>#N/A</v>
          </cell>
          <cell r="C870" t="str">
            <v>B01</v>
          </cell>
          <cell r="D870" t="str">
            <v>Chiffre d'Affaires brut TTC</v>
          </cell>
        </row>
        <row r="871">
          <cell r="A871">
            <v>701174</v>
          </cell>
          <cell r="B871" t="e">
            <v>#N/A</v>
          </cell>
          <cell r="C871" t="str">
            <v>B01</v>
          </cell>
          <cell r="D871" t="str">
            <v>Chiffre d'Affaires brut TTC</v>
          </cell>
        </row>
        <row r="872">
          <cell r="A872">
            <v>701175</v>
          </cell>
          <cell r="B872" t="e">
            <v>#N/A</v>
          </cell>
          <cell r="C872" t="str">
            <v>B01</v>
          </cell>
          <cell r="D872" t="str">
            <v>Chiffre d'Affaires brut TTC</v>
          </cell>
        </row>
        <row r="873">
          <cell r="A873">
            <v>701176</v>
          </cell>
          <cell r="B873" t="str">
            <v>VENTES EAU TANGUI H.T. SIG</v>
          </cell>
          <cell r="C873" t="str">
            <v>G01</v>
          </cell>
          <cell r="D873" t="str">
            <v>Autres Produits d' Exploitation</v>
          </cell>
        </row>
        <row r="874">
          <cell r="A874">
            <v>701177</v>
          </cell>
          <cell r="B874" t="e">
            <v>#N/A</v>
          </cell>
          <cell r="C874" t="str">
            <v>G01</v>
          </cell>
          <cell r="D874" t="str">
            <v>Autres Produits d' Exploitation</v>
          </cell>
        </row>
        <row r="875">
          <cell r="A875">
            <v>701178</v>
          </cell>
          <cell r="B875" t="e">
            <v>#N/A</v>
          </cell>
          <cell r="C875" t="str">
            <v>G01</v>
          </cell>
          <cell r="D875" t="str">
            <v>Autres Produits d' Exploitation</v>
          </cell>
        </row>
        <row r="876">
          <cell r="A876">
            <v>701181</v>
          </cell>
          <cell r="B876" t="str">
            <v>DIFFERENCE JOURNAUX VENTES NEGOCE</v>
          </cell>
          <cell r="C876" t="str">
            <v>G01</v>
          </cell>
          <cell r="D876" t="str">
            <v>Autres Produits d' Exploitation</v>
          </cell>
        </row>
        <row r="877">
          <cell r="A877">
            <v>701182</v>
          </cell>
          <cell r="B877" t="e">
            <v>#N/A</v>
          </cell>
          <cell r="C877" t="str">
            <v>G01</v>
          </cell>
          <cell r="D877" t="str">
            <v>Autres Produits d' Exploitation</v>
          </cell>
        </row>
        <row r="878">
          <cell r="A878">
            <v>701183</v>
          </cell>
          <cell r="B878" t="str">
            <v>AVA-CAS.EMBAL.FAC.AUX ASSURANCES</v>
          </cell>
          <cell r="C878" t="str">
            <v>G01</v>
          </cell>
          <cell r="D878" t="str">
            <v>Autres Produits d' Exploitation</v>
          </cell>
        </row>
        <row r="879">
          <cell r="A879">
            <v>701186</v>
          </cell>
          <cell r="B879" t="e">
            <v>#N/A</v>
          </cell>
          <cell r="C879" t="str">
            <v>G01</v>
          </cell>
          <cell r="D879" t="str">
            <v>Autres Produits d' Exploitation</v>
          </cell>
        </row>
        <row r="880">
          <cell r="A880">
            <v>701187</v>
          </cell>
          <cell r="B880" t="e">
            <v>#N/A</v>
          </cell>
          <cell r="C880" t="str">
            <v>G01</v>
          </cell>
          <cell r="D880" t="str">
            <v>Autres Produits d' Exploitation</v>
          </cell>
        </row>
        <row r="881">
          <cell r="A881">
            <v>701188</v>
          </cell>
          <cell r="B881" t="str">
            <v>DIFF/BORDEREAUX ENCAISSEMENTS</v>
          </cell>
          <cell r="C881" t="str">
            <v>G01</v>
          </cell>
          <cell r="D881" t="str">
            <v>Autres Produits d' Exploitation</v>
          </cell>
        </row>
        <row r="882">
          <cell r="A882">
            <v>701189</v>
          </cell>
          <cell r="B882" t="str">
            <v>REMISES GROSSISTES SIAC</v>
          </cell>
          <cell r="C882" t="str">
            <v>G01</v>
          </cell>
          <cell r="D882" t="str">
            <v>Autres Produits d' Exploitation</v>
          </cell>
        </row>
        <row r="883">
          <cell r="A883">
            <v>701190</v>
          </cell>
          <cell r="B883" t="str">
            <v>REMISES &amp; RISTOUR EXCEPTIONNELLE</v>
          </cell>
          <cell r="C883" t="str">
            <v>B02</v>
          </cell>
          <cell r="D883" t="str">
            <v>Ristournes TTC</v>
          </cell>
        </row>
        <row r="884">
          <cell r="A884">
            <v>701191</v>
          </cell>
          <cell r="B884" t="e">
            <v>#N/A</v>
          </cell>
          <cell r="C884" t="str">
            <v>G01</v>
          </cell>
          <cell r="D884" t="str">
            <v>Autres Produits d' Exploitation</v>
          </cell>
        </row>
        <row r="885">
          <cell r="A885">
            <v>701192</v>
          </cell>
          <cell r="B885" t="e">
            <v>#N/A</v>
          </cell>
          <cell r="C885" t="str">
            <v>G01</v>
          </cell>
          <cell r="D885" t="str">
            <v>Autres Produits d' Exploitation</v>
          </cell>
        </row>
        <row r="886">
          <cell r="A886">
            <v>701193</v>
          </cell>
          <cell r="B886" t="e">
            <v>#N/A</v>
          </cell>
          <cell r="C886" t="str">
            <v>G01</v>
          </cell>
          <cell r="D886" t="str">
            <v>Autres Produits d' Exploitation</v>
          </cell>
        </row>
        <row r="887">
          <cell r="A887">
            <v>701194</v>
          </cell>
          <cell r="B887" t="e">
            <v>#N/A</v>
          </cell>
          <cell r="C887" t="str">
            <v>G01</v>
          </cell>
          <cell r="D887" t="str">
            <v>Autres Produits d' Exploitation</v>
          </cell>
        </row>
        <row r="888">
          <cell r="A888">
            <v>701195</v>
          </cell>
          <cell r="B888" t="str">
            <v>REMISES S/VTES EAU TANGUI DISTRI</v>
          </cell>
          <cell r="C888" t="str">
            <v>B02</v>
          </cell>
          <cell r="D888" t="str">
            <v>Ristournes TTC</v>
          </cell>
        </row>
        <row r="889">
          <cell r="A889">
            <v>701196</v>
          </cell>
          <cell r="B889" t="e">
            <v>#N/A</v>
          </cell>
          <cell r="C889" t="str">
            <v>G01</v>
          </cell>
          <cell r="D889" t="str">
            <v>Autres Produits d' Exploitation</v>
          </cell>
        </row>
        <row r="890">
          <cell r="A890">
            <v>701197</v>
          </cell>
          <cell r="B890" t="str">
            <v>RISTOURNES DETAILLANTS SIAC</v>
          </cell>
          <cell r="C890" t="str">
            <v>G01</v>
          </cell>
          <cell r="D890" t="str">
            <v>Autres Produits d' Exploitation</v>
          </cell>
        </row>
        <row r="891">
          <cell r="A891">
            <v>701198</v>
          </cell>
          <cell r="B891" t="e">
            <v>#N/A</v>
          </cell>
          <cell r="C891" t="str">
            <v>G01</v>
          </cell>
          <cell r="D891" t="str">
            <v>Autres Produits d' Exploitation</v>
          </cell>
        </row>
        <row r="892">
          <cell r="A892">
            <v>701199</v>
          </cell>
          <cell r="B892" t="e">
            <v>#N/A</v>
          </cell>
          <cell r="C892" t="str">
            <v>G01</v>
          </cell>
          <cell r="D892" t="str">
            <v>Autres Produits d' Exploitation</v>
          </cell>
        </row>
        <row r="893">
          <cell r="A893">
            <v>701200</v>
          </cell>
          <cell r="B893" t="e">
            <v>#N/A</v>
          </cell>
          <cell r="C893" t="str">
            <v>G01</v>
          </cell>
          <cell r="D893" t="str">
            <v>Autres Produits d' Exploitation</v>
          </cell>
        </row>
        <row r="894">
          <cell r="A894">
            <v>702100</v>
          </cell>
          <cell r="B894" t="str">
            <v>VENTES DE PRODUITS  FINIS</v>
          </cell>
          <cell r="C894" t="str">
            <v>B01</v>
          </cell>
          <cell r="D894" t="str">
            <v>Chiffre d'Affaires brut TTC</v>
          </cell>
        </row>
        <row r="895">
          <cell r="A895">
            <v>702101</v>
          </cell>
          <cell r="B895" t="e">
            <v>#N/A</v>
          </cell>
          <cell r="C895" t="str">
            <v>B01</v>
          </cell>
          <cell r="D895" t="str">
            <v>Chiffre d'Affaires brut TTC</v>
          </cell>
        </row>
        <row r="896">
          <cell r="A896">
            <v>702102</v>
          </cell>
          <cell r="B896" t="e">
            <v>#N/A</v>
          </cell>
          <cell r="C896" t="str">
            <v>B01</v>
          </cell>
          <cell r="D896" t="str">
            <v>Chiffre d'Affaires brut TTC</v>
          </cell>
        </row>
        <row r="897">
          <cell r="A897">
            <v>702103</v>
          </cell>
          <cell r="B897" t="e">
            <v>#N/A</v>
          </cell>
          <cell r="C897" t="str">
            <v>B01</v>
          </cell>
          <cell r="D897" t="str">
            <v>Chiffre d'Affaires brut TTC</v>
          </cell>
        </row>
        <row r="898">
          <cell r="A898">
            <v>702104</v>
          </cell>
          <cell r="B898" t="e">
            <v>#N/A</v>
          </cell>
          <cell r="C898" t="str">
            <v>B01</v>
          </cell>
          <cell r="D898" t="str">
            <v>Chiffre d'Affaires brut TTC</v>
          </cell>
        </row>
        <row r="899">
          <cell r="A899">
            <v>702105</v>
          </cell>
          <cell r="B899" t="e">
            <v>#N/A</v>
          </cell>
          <cell r="C899" t="str">
            <v>B01</v>
          </cell>
          <cell r="D899" t="str">
            <v>Chiffre d'Affaires brut TTC</v>
          </cell>
        </row>
        <row r="900">
          <cell r="A900">
            <v>702106</v>
          </cell>
          <cell r="B900" t="e">
            <v>#N/A</v>
          </cell>
          <cell r="C900" t="str">
            <v>B01</v>
          </cell>
          <cell r="D900" t="str">
            <v>Chiffre d'Affaires brut TTC</v>
          </cell>
        </row>
        <row r="901">
          <cell r="A901">
            <v>702107</v>
          </cell>
          <cell r="B901" t="e">
            <v>#N/A</v>
          </cell>
          <cell r="C901" t="str">
            <v>B01</v>
          </cell>
          <cell r="D901" t="str">
            <v>Chiffre d'Affaires brut TTC</v>
          </cell>
        </row>
        <row r="902">
          <cell r="A902">
            <v>702108</v>
          </cell>
          <cell r="B902" t="e">
            <v>#N/A</v>
          </cell>
          <cell r="C902" t="str">
            <v>B01</v>
          </cell>
          <cell r="D902" t="str">
            <v>Chiffre d'Affaires brut TTC</v>
          </cell>
        </row>
        <row r="903">
          <cell r="A903">
            <v>702109</v>
          </cell>
          <cell r="B903" t="e">
            <v>#N/A</v>
          </cell>
          <cell r="C903" t="str">
            <v>B01</v>
          </cell>
          <cell r="D903" t="str">
            <v>Chiffre d'Affaires brut TTC</v>
          </cell>
        </row>
        <row r="904">
          <cell r="A904">
            <v>702110</v>
          </cell>
          <cell r="B904" t="e">
            <v>#N/A</v>
          </cell>
          <cell r="C904" t="str">
            <v>B01</v>
          </cell>
          <cell r="D904" t="str">
            <v>Chiffre d'Affaires brut TTC</v>
          </cell>
        </row>
        <row r="905">
          <cell r="A905">
            <v>702111</v>
          </cell>
          <cell r="B905" t="e">
            <v>#N/A</v>
          </cell>
          <cell r="C905" t="str">
            <v>B01</v>
          </cell>
          <cell r="D905" t="str">
            <v>Chiffre d'Affaires brut TTC</v>
          </cell>
        </row>
        <row r="906">
          <cell r="A906">
            <v>702112</v>
          </cell>
          <cell r="B906" t="e">
            <v>#N/A</v>
          </cell>
          <cell r="C906" t="str">
            <v>B01</v>
          </cell>
          <cell r="D906" t="str">
            <v>Chiffre d'Affaires brut TTC</v>
          </cell>
        </row>
        <row r="907">
          <cell r="A907">
            <v>702113</v>
          </cell>
          <cell r="B907" t="e">
            <v>#N/A</v>
          </cell>
          <cell r="C907" t="str">
            <v>B01</v>
          </cell>
          <cell r="D907" t="str">
            <v>Chiffre d'Affaires brut TTC</v>
          </cell>
        </row>
        <row r="908">
          <cell r="A908">
            <v>702114</v>
          </cell>
          <cell r="B908" t="e">
            <v>#N/A</v>
          </cell>
          <cell r="C908" t="str">
            <v>B01</v>
          </cell>
          <cell r="D908" t="str">
            <v>Chiffre d'Affaires brut TTC</v>
          </cell>
        </row>
        <row r="909">
          <cell r="A909">
            <v>702115</v>
          </cell>
          <cell r="B909" t="e">
            <v>#N/A</v>
          </cell>
          <cell r="C909" t="str">
            <v>B01</v>
          </cell>
          <cell r="D909" t="str">
            <v>Chiffre d'Affaires brut TTC</v>
          </cell>
        </row>
        <row r="910">
          <cell r="A910">
            <v>702116</v>
          </cell>
          <cell r="B910" t="e">
            <v>#N/A</v>
          </cell>
          <cell r="C910" t="str">
            <v>B01</v>
          </cell>
          <cell r="D910" t="str">
            <v>Chiffre d'Affaires brut TTC</v>
          </cell>
        </row>
        <row r="911">
          <cell r="A911">
            <v>702117</v>
          </cell>
          <cell r="B911" t="e">
            <v>#N/A</v>
          </cell>
          <cell r="C911" t="str">
            <v>B01</v>
          </cell>
          <cell r="D911" t="str">
            <v>Chiffre d'Affaires brut TTC</v>
          </cell>
        </row>
        <row r="912">
          <cell r="A912">
            <v>702118</v>
          </cell>
          <cell r="B912" t="str">
            <v>DA COLL S/VENTES ALCM GROS</v>
          </cell>
          <cell r="C912" t="str">
            <v>B04</v>
          </cell>
          <cell r="D912" t="str">
            <v>Taxes spécifiques(prél.)</v>
          </cell>
        </row>
        <row r="913">
          <cell r="A913">
            <v>702119</v>
          </cell>
          <cell r="B913" t="str">
            <v>DA COLL S/VENTES ALCM DETAILLANT</v>
          </cell>
          <cell r="C913" t="str">
            <v>B04</v>
          </cell>
          <cell r="D913" t="str">
            <v>Taxes spécifiques(prél.)</v>
          </cell>
        </row>
        <row r="914">
          <cell r="A914">
            <v>702120</v>
          </cell>
          <cell r="B914" t="e">
            <v>#N/A</v>
          </cell>
          <cell r="C914" t="str">
            <v>B01</v>
          </cell>
          <cell r="D914" t="str">
            <v>Chiffre d'Affaires brut TTC</v>
          </cell>
        </row>
        <row r="915">
          <cell r="A915">
            <v>702121</v>
          </cell>
          <cell r="B915" t="e">
            <v>#N/A</v>
          </cell>
          <cell r="C915" t="str">
            <v>B01</v>
          </cell>
          <cell r="D915" t="str">
            <v>Chiffre d'Affaires brut TTC</v>
          </cell>
        </row>
        <row r="916">
          <cell r="A916">
            <v>702122</v>
          </cell>
          <cell r="B916" t="e">
            <v>#N/A</v>
          </cell>
          <cell r="C916" t="str">
            <v>B01</v>
          </cell>
          <cell r="D916" t="str">
            <v>Chiffre d'Affaires brut TTC</v>
          </cell>
        </row>
        <row r="917">
          <cell r="A917">
            <v>702123</v>
          </cell>
          <cell r="B917" t="e">
            <v>#N/A</v>
          </cell>
          <cell r="C917" t="str">
            <v>B01</v>
          </cell>
          <cell r="D917" t="str">
            <v>Chiffre d'Affaires brut TTC</v>
          </cell>
        </row>
        <row r="918">
          <cell r="A918">
            <v>702124</v>
          </cell>
          <cell r="B918" t="e">
            <v>#N/A</v>
          </cell>
          <cell r="C918" t="str">
            <v>B01</v>
          </cell>
          <cell r="D918" t="str">
            <v>Chiffre d'Affaires brut TTC</v>
          </cell>
        </row>
        <row r="919">
          <cell r="A919">
            <v>702125</v>
          </cell>
          <cell r="B919" t="e">
            <v>#N/A</v>
          </cell>
          <cell r="C919" t="str">
            <v>B01</v>
          </cell>
          <cell r="D919" t="str">
            <v>Chiffre d'Affaires brut TTC</v>
          </cell>
        </row>
        <row r="920">
          <cell r="A920">
            <v>702126</v>
          </cell>
          <cell r="B920" t="e">
            <v>#N/A</v>
          </cell>
          <cell r="C920" t="str">
            <v>B01</v>
          </cell>
          <cell r="D920" t="str">
            <v>Chiffre d'Affaires brut TTC</v>
          </cell>
        </row>
        <row r="921">
          <cell r="A921">
            <v>702127</v>
          </cell>
          <cell r="B921" t="e">
            <v>#N/A</v>
          </cell>
          <cell r="C921" t="str">
            <v>B01</v>
          </cell>
          <cell r="D921" t="str">
            <v>Chiffre d'Affaires brut TTC</v>
          </cell>
        </row>
        <row r="922">
          <cell r="A922">
            <v>702128</v>
          </cell>
          <cell r="B922" t="e">
            <v>#N/A</v>
          </cell>
          <cell r="C922" t="str">
            <v>B01</v>
          </cell>
          <cell r="D922" t="str">
            <v>Chiffre d'Affaires brut TTC</v>
          </cell>
        </row>
        <row r="923">
          <cell r="A923">
            <v>702129</v>
          </cell>
          <cell r="B923" t="e">
            <v>#N/A</v>
          </cell>
          <cell r="C923" t="str">
            <v>B01</v>
          </cell>
          <cell r="D923" t="str">
            <v>Chiffre d'Affaires brut TTC</v>
          </cell>
        </row>
        <row r="924">
          <cell r="A924">
            <v>702130</v>
          </cell>
          <cell r="B924" t="e">
            <v>#N/A</v>
          </cell>
          <cell r="C924" t="str">
            <v>B01</v>
          </cell>
          <cell r="D924" t="str">
            <v>Chiffre d'Affaires brut TTC</v>
          </cell>
        </row>
        <row r="925">
          <cell r="A925">
            <v>702131</v>
          </cell>
          <cell r="B925" t="str">
            <v>VENTE BIERES CAMEROUN SIG</v>
          </cell>
          <cell r="C925" t="str">
            <v>B01</v>
          </cell>
          <cell r="D925" t="str">
            <v>Chiffre d'Affaires brut TTC</v>
          </cell>
        </row>
        <row r="926">
          <cell r="A926">
            <v>702132</v>
          </cell>
          <cell r="B926" t="e">
            <v>#N/A</v>
          </cell>
          <cell r="C926" t="str">
            <v>B01</v>
          </cell>
          <cell r="D926" t="str">
            <v>Chiffre d'Affaires brut TTC</v>
          </cell>
        </row>
        <row r="927">
          <cell r="A927">
            <v>702133</v>
          </cell>
          <cell r="B927" t="e">
            <v>#N/A</v>
          </cell>
          <cell r="C927" t="str">
            <v>B01</v>
          </cell>
          <cell r="D927" t="str">
            <v>Chiffre d'Affaires brut TTC</v>
          </cell>
        </row>
        <row r="928">
          <cell r="A928">
            <v>702134</v>
          </cell>
          <cell r="B928" t="e">
            <v>#N/A</v>
          </cell>
          <cell r="C928" t="str">
            <v>B01</v>
          </cell>
          <cell r="D928" t="str">
            <v>Chiffre d'Affaires brut TTC</v>
          </cell>
        </row>
        <row r="929">
          <cell r="A929">
            <v>702135</v>
          </cell>
          <cell r="B929" t="e">
            <v>#N/A</v>
          </cell>
          <cell r="C929" t="str">
            <v>B01</v>
          </cell>
          <cell r="D929" t="str">
            <v>Chiffre d'Affaires brut TTC</v>
          </cell>
        </row>
        <row r="930">
          <cell r="A930">
            <v>702136</v>
          </cell>
          <cell r="B930" t="e">
            <v>#N/A</v>
          </cell>
          <cell r="C930" t="str">
            <v>B01</v>
          </cell>
          <cell r="D930" t="str">
            <v>Chiffre d'Affaires brut TTC</v>
          </cell>
        </row>
        <row r="931">
          <cell r="A931">
            <v>702137</v>
          </cell>
          <cell r="B931" t="e">
            <v>#N/A</v>
          </cell>
          <cell r="C931" t="str">
            <v>B01</v>
          </cell>
          <cell r="D931" t="str">
            <v>Chiffre d'Affaires brut TTC</v>
          </cell>
        </row>
        <row r="932">
          <cell r="A932">
            <v>702138</v>
          </cell>
          <cell r="B932" t="e">
            <v>#N/A</v>
          </cell>
          <cell r="C932" t="str">
            <v>B01</v>
          </cell>
          <cell r="D932" t="str">
            <v>Chiffre d'Affaires brut TTC</v>
          </cell>
        </row>
        <row r="933">
          <cell r="A933">
            <v>702139</v>
          </cell>
          <cell r="B933" t="e">
            <v>#N/A</v>
          </cell>
          <cell r="C933" t="str">
            <v>B01</v>
          </cell>
          <cell r="D933" t="str">
            <v>Chiffre d'Affaires brut TTC</v>
          </cell>
        </row>
        <row r="934">
          <cell r="A934">
            <v>702140</v>
          </cell>
          <cell r="B934" t="e">
            <v>#N/A</v>
          </cell>
          <cell r="C934" t="str">
            <v>B01</v>
          </cell>
          <cell r="D934" t="str">
            <v>Chiffre d'Affaires brut TTC</v>
          </cell>
        </row>
        <row r="935">
          <cell r="A935">
            <v>702141</v>
          </cell>
          <cell r="B935" t="e">
            <v>#N/A</v>
          </cell>
          <cell r="C935" t="str">
            <v>B01</v>
          </cell>
          <cell r="D935" t="str">
            <v>Chiffre d'Affaires brut TTC</v>
          </cell>
        </row>
        <row r="936">
          <cell r="A936">
            <v>702142</v>
          </cell>
          <cell r="B936" t="e">
            <v>#N/A</v>
          </cell>
          <cell r="C936" t="str">
            <v>B01</v>
          </cell>
          <cell r="D936" t="str">
            <v>Chiffre d'Affaires brut TTC</v>
          </cell>
        </row>
        <row r="937">
          <cell r="A937">
            <v>702143</v>
          </cell>
          <cell r="B937" t="e">
            <v>#N/A</v>
          </cell>
          <cell r="C937" t="str">
            <v>B01</v>
          </cell>
          <cell r="D937" t="str">
            <v>Chiffre d'Affaires brut TTC</v>
          </cell>
        </row>
        <row r="938">
          <cell r="A938">
            <v>702144</v>
          </cell>
          <cell r="B938" t="e">
            <v>#N/A</v>
          </cell>
          <cell r="C938" t="str">
            <v>B01</v>
          </cell>
          <cell r="D938" t="str">
            <v>Chiffre d'Affaires brut TTC</v>
          </cell>
        </row>
        <row r="939">
          <cell r="A939">
            <v>702145</v>
          </cell>
          <cell r="B939" t="e">
            <v>#N/A</v>
          </cell>
          <cell r="C939" t="str">
            <v>B01</v>
          </cell>
          <cell r="D939" t="str">
            <v>Chiffre d'Affaires brut TTC</v>
          </cell>
        </row>
        <row r="940">
          <cell r="A940">
            <v>702146</v>
          </cell>
          <cell r="B940" t="e">
            <v>#N/A</v>
          </cell>
          <cell r="C940" t="str">
            <v>B01</v>
          </cell>
          <cell r="D940" t="str">
            <v>Chiffre d'Affaires brut TTC</v>
          </cell>
        </row>
        <row r="941">
          <cell r="A941">
            <v>702147</v>
          </cell>
          <cell r="B941" t="e">
            <v>#N/A</v>
          </cell>
          <cell r="C941" t="str">
            <v>B01</v>
          </cell>
          <cell r="D941" t="str">
            <v>Chiffre d'Affaires brut TTC</v>
          </cell>
        </row>
        <row r="942">
          <cell r="A942">
            <v>702148</v>
          </cell>
          <cell r="B942" t="e">
            <v>#N/A</v>
          </cell>
          <cell r="C942" t="str">
            <v>B01</v>
          </cell>
          <cell r="D942" t="str">
            <v>Chiffre d'Affaires brut TTC</v>
          </cell>
        </row>
        <row r="943">
          <cell r="A943">
            <v>702149</v>
          </cell>
          <cell r="B943" t="e">
            <v>#N/A</v>
          </cell>
          <cell r="C943" t="str">
            <v>B01</v>
          </cell>
          <cell r="D943" t="str">
            <v>Chiffre d'Affaires brut TTC</v>
          </cell>
        </row>
        <row r="944">
          <cell r="A944">
            <v>702150</v>
          </cell>
          <cell r="B944" t="str">
            <v>DA COLL S/VTE</v>
          </cell>
          <cell r="C944" t="str">
            <v>B01</v>
          </cell>
          <cell r="D944" t="str">
            <v>Chiffre d'Affaires brut TTC</v>
          </cell>
        </row>
        <row r="945">
          <cell r="A945">
            <v>702151</v>
          </cell>
          <cell r="B945" t="e">
            <v>#N/A</v>
          </cell>
          <cell r="C945" t="str">
            <v>B01</v>
          </cell>
          <cell r="D945" t="str">
            <v>Chiffre d'Affaires brut TTC</v>
          </cell>
        </row>
        <row r="946">
          <cell r="A946">
            <v>702152</v>
          </cell>
          <cell r="B946" t="e">
            <v>#N/A</v>
          </cell>
          <cell r="C946" t="str">
            <v>B01</v>
          </cell>
          <cell r="D946" t="str">
            <v>Chiffre d'Affaires brut TTC</v>
          </cell>
        </row>
        <row r="947">
          <cell r="A947">
            <v>702153</v>
          </cell>
          <cell r="B947" t="e">
            <v>#N/A</v>
          </cell>
          <cell r="C947" t="str">
            <v>B01</v>
          </cell>
          <cell r="D947" t="str">
            <v>Chiffre d'Affaires brut TTC</v>
          </cell>
        </row>
        <row r="948">
          <cell r="A948">
            <v>702154</v>
          </cell>
          <cell r="B948" t="e">
            <v>#N/A</v>
          </cell>
          <cell r="C948" t="str">
            <v>B01</v>
          </cell>
          <cell r="D948" t="str">
            <v>Chiffre d'Affaires brut TTC</v>
          </cell>
        </row>
        <row r="949">
          <cell r="A949">
            <v>702155</v>
          </cell>
          <cell r="B949" t="e">
            <v>#N/A</v>
          </cell>
          <cell r="C949" t="str">
            <v>B01</v>
          </cell>
          <cell r="D949" t="str">
            <v>Chiffre d'Affaires brut TTC</v>
          </cell>
        </row>
        <row r="950">
          <cell r="A950">
            <v>702156</v>
          </cell>
          <cell r="B950" t="e">
            <v>#N/A</v>
          </cell>
          <cell r="C950" t="str">
            <v>B01</v>
          </cell>
          <cell r="D950" t="str">
            <v>Chiffre d'Affaires brut TTC</v>
          </cell>
        </row>
        <row r="951">
          <cell r="A951">
            <v>702158</v>
          </cell>
          <cell r="B951" t="str">
            <v>DA COLL S/VTE</v>
          </cell>
          <cell r="C951" t="str">
            <v>B04</v>
          </cell>
          <cell r="D951" t="str">
            <v>Taxes spécifiques(prél.)</v>
          </cell>
        </row>
        <row r="952">
          <cell r="A952">
            <v>702159</v>
          </cell>
          <cell r="B952" t="str">
            <v>DA COLLECTES S/BIERES DETAIL.</v>
          </cell>
          <cell r="C952" t="str">
            <v>B04</v>
          </cell>
          <cell r="D952" t="str">
            <v>Taxes spécifiques(prél.)</v>
          </cell>
        </row>
        <row r="953">
          <cell r="A953">
            <v>702160</v>
          </cell>
          <cell r="B953" t="str">
            <v>VENTES SIROP HT SIGMA</v>
          </cell>
          <cell r="C953" t="str">
            <v>B01</v>
          </cell>
          <cell r="D953" t="str">
            <v>Chiffre d'Affaires brut TTC</v>
          </cell>
        </row>
        <row r="954">
          <cell r="A954">
            <v>702161</v>
          </cell>
          <cell r="B954" t="str">
            <v>VENTES B.R.S.A HT SIGMA</v>
          </cell>
          <cell r="C954" t="str">
            <v>B01</v>
          </cell>
          <cell r="D954" t="str">
            <v>Chiffre d'Affaires brut TTC</v>
          </cell>
        </row>
        <row r="955">
          <cell r="A955">
            <v>702163</v>
          </cell>
          <cell r="B955" t="e">
            <v>#N/A</v>
          </cell>
          <cell r="C955" t="str">
            <v>B01</v>
          </cell>
          <cell r="D955" t="str">
            <v>Chiffre d'Affaires brut TTC</v>
          </cell>
        </row>
        <row r="956">
          <cell r="A956">
            <v>702164</v>
          </cell>
          <cell r="B956" t="e">
            <v>#N/A</v>
          </cell>
          <cell r="C956" t="str">
            <v>B01</v>
          </cell>
          <cell r="D956" t="str">
            <v>Chiffre d'Affaires brut TTC</v>
          </cell>
        </row>
        <row r="957">
          <cell r="A957">
            <v>702165</v>
          </cell>
          <cell r="B957" t="e">
            <v>#N/A</v>
          </cell>
          <cell r="C957" t="str">
            <v>B01</v>
          </cell>
          <cell r="D957" t="str">
            <v>Chiffre d'Affaires brut TTC</v>
          </cell>
        </row>
        <row r="958">
          <cell r="A958">
            <v>702166</v>
          </cell>
          <cell r="B958" t="e">
            <v>#N/A</v>
          </cell>
          <cell r="C958" t="str">
            <v>B01</v>
          </cell>
          <cell r="D958" t="str">
            <v>Chiffre d'Affaires brut TTC</v>
          </cell>
        </row>
        <row r="959">
          <cell r="A959">
            <v>702167</v>
          </cell>
          <cell r="B959" t="e">
            <v>#N/A</v>
          </cell>
          <cell r="C959" t="str">
            <v>B01</v>
          </cell>
          <cell r="D959" t="str">
            <v>Chiffre d'Affaires brut TTC</v>
          </cell>
        </row>
        <row r="960">
          <cell r="A960">
            <v>702168</v>
          </cell>
          <cell r="B960" t="e">
            <v>#N/A</v>
          </cell>
          <cell r="C960" t="str">
            <v>B01</v>
          </cell>
          <cell r="D960" t="str">
            <v>Chiffre d'Affaires brut TTC</v>
          </cell>
        </row>
        <row r="961">
          <cell r="A961">
            <v>702169</v>
          </cell>
          <cell r="B961" t="e">
            <v>#N/A</v>
          </cell>
          <cell r="C961" t="str">
            <v>B01</v>
          </cell>
          <cell r="D961" t="str">
            <v>Chiffre d'Affaires brut TTC</v>
          </cell>
        </row>
        <row r="962">
          <cell r="A962">
            <v>702170</v>
          </cell>
          <cell r="B962" t="str">
            <v>DA COLL S/RISTOURNES</v>
          </cell>
          <cell r="C962" t="str">
            <v>B01</v>
          </cell>
          <cell r="D962" t="str">
            <v>Chiffre d'Affaires brut TTC</v>
          </cell>
        </row>
        <row r="963">
          <cell r="A963">
            <v>702171</v>
          </cell>
          <cell r="B963" t="e">
            <v>#N/A</v>
          </cell>
          <cell r="C963" t="str">
            <v>B01</v>
          </cell>
          <cell r="D963" t="str">
            <v>Chiffre d'Affaires brut TTC</v>
          </cell>
        </row>
        <row r="964">
          <cell r="A964">
            <v>702172</v>
          </cell>
          <cell r="B964" t="e">
            <v>#N/A</v>
          </cell>
          <cell r="C964" t="str">
            <v>B01</v>
          </cell>
          <cell r="D964" t="str">
            <v>Chiffre d'Affaires brut TTC</v>
          </cell>
        </row>
        <row r="965">
          <cell r="A965">
            <v>702173</v>
          </cell>
          <cell r="B965" t="e">
            <v>#N/A</v>
          </cell>
          <cell r="C965" t="str">
            <v>B01</v>
          </cell>
          <cell r="D965" t="str">
            <v>Chiffre d'Affaires brut TTC</v>
          </cell>
        </row>
        <row r="966">
          <cell r="A966">
            <v>702174</v>
          </cell>
          <cell r="B966" t="e">
            <v>#N/A</v>
          </cell>
          <cell r="C966" t="str">
            <v>B01</v>
          </cell>
          <cell r="D966" t="str">
            <v>Chiffre d'Affaires brut TTC</v>
          </cell>
        </row>
        <row r="967">
          <cell r="A967">
            <v>702175</v>
          </cell>
          <cell r="B967" t="e">
            <v>#N/A</v>
          </cell>
          <cell r="C967" t="str">
            <v>B01</v>
          </cell>
          <cell r="D967" t="str">
            <v>Chiffre d'Affaires brut TTC</v>
          </cell>
        </row>
        <row r="968">
          <cell r="A968">
            <v>702176</v>
          </cell>
          <cell r="B968" t="e">
            <v>#N/A</v>
          </cell>
          <cell r="C968" t="str">
            <v>B01</v>
          </cell>
          <cell r="D968" t="str">
            <v>Chiffre d'Affaires brut TTC</v>
          </cell>
        </row>
        <row r="969">
          <cell r="A969">
            <v>702177</v>
          </cell>
          <cell r="B969" t="e">
            <v>#N/A</v>
          </cell>
          <cell r="C969" t="str">
            <v>B03</v>
          </cell>
          <cell r="D969" t="str">
            <v>TVA + Prélèvement</v>
          </cell>
        </row>
        <row r="970">
          <cell r="A970">
            <v>702178</v>
          </cell>
          <cell r="B970" t="str">
            <v>DA COLLECTES S/VTE BRSA+SIR GROS</v>
          </cell>
          <cell r="C970" t="str">
            <v>B04</v>
          </cell>
          <cell r="D970" t="str">
            <v>Taxes spécifiques(prél.)</v>
          </cell>
        </row>
        <row r="971">
          <cell r="A971">
            <v>702179</v>
          </cell>
          <cell r="B971" t="str">
            <v>DA COLL.S/VTE BRSA+SIR DETAIL.</v>
          </cell>
          <cell r="C971" t="str">
            <v>B04</v>
          </cell>
          <cell r="D971" t="str">
            <v>Taxes spécifiques(prél.)</v>
          </cell>
        </row>
        <row r="972">
          <cell r="A972">
            <v>702180</v>
          </cell>
          <cell r="B972" t="str">
            <v>ANNUL.VENTES ANT.P/CREANCES IRR.</v>
          </cell>
          <cell r="C972" t="str">
            <v>I04</v>
          </cell>
          <cell r="D972" t="str">
            <v>Produits except HE</v>
          </cell>
        </row>
        <row r="973">
          <cell r="A973">
            <v>702181</v>
          </cell>
          <cell r="B973" t="str">
            <v>AVARIES-CASSES PF FACT.TRANSPORT</v>
          </cell>
          <cell r="C973" t="str">
            <v>G01</v>
          </cell>
          <cell r="D973" t="str">
            <v>Autres Produits d' Exploitation</v>
          </cell>
        </row>
        <row r="974">
          <cell r="A974">
            <v>702183</v>
          </cell>
          <cell r="B974" t="e">
            <v>#N/A</v>
          </cell>
          <cell r="C974" t="str">
            <v>G01</v>
          </cell>
          <cell r="D974" t="str">
            <v>Autres Produits d' Exploitation</v>
          </cell>
        </row>
        <row r="975">
          <cell r="A975">
            <v>702184</v>
          </cell>
          <cell r="B975" t="str">
            <v>AVARIES-CASSES PF FACT.TRSP TIER</v>
          </cell>
          <cell r="C975" t="str">
            <v>G01</v>
          </cell>
          <cell r="D975" t="str">
            <v>Autres Produits d' Exploitation</v>
          </cell>
        </row>
        <row r="976">
          <cell r="A976">
            <v>702185</v>
          </cell>
          <cell r="B976" t="str">
            <v>AVARIES-CASS. PF TRANSP.LIVREURS</v>
          </cell>
          <cell r="C976" t="str">
            <v>G01</v>
          </cell>
          <cell r="D976" t="str">
            <v>Autres Produits d' Exploitation</v>
          </cell>
        </row>
        <row r="977">
          <cell r="A977">
            <v>702186</v>
          </cell>
          <cell r="B977" t="e">
            <v>#N/A</v>
          </cell>
          <cell r="C977" t="str">
            <v>G01</v>
          </cell>
          <cell r="D977" t="str">
            <v>Autres Produits d' Exploitation</v>
          </cell>
        </row>
        <row r="978">
          <cell r="A978">
            <v>702188</v>
          </cell>
          <cell r="B978" t="str">
            <v>DIFFERENCES/JOURNAUX VENTES</v>
          </cell>
          <cell r="C978" t="str">
            <v>G01</v>
          </cell>
          <cell r="D978" t="str">
            <v>Autres Produits d' Exploitation</v>
          </cell>
        </row>
        <row r="979">
          <cell r="A979">
            <v>702189</v>
          </cell>
          <cell r="B979" t="str">
            <v>DIFF/BORDEREAUX ENCAISSEMENTS</v>
          </cell>
          <cell r="C979" t="str">
            <v>G01</v>
          </cell>
          <cell r="D979" t="str">
            <v>Autres Produits d' Exploitation</v>
          </cell>
        </row>
        <row r="980">
          <cell r="A980">
            <v>702190</v>
          </cell>
          <cell r="B980" t="str">
            <v>RIST.EXCEPTION./VTES EXPORT.</v>
          </cell>
          <cell r="C980" t="str">
            <v>B02</v>
          </cell>
          <cell r="D980" t="str">
            <v>Ristournes TTC</v>
          </cell>
        </row>
        <row r="981">
          <cell r="A981">
            <v>702191</v>
          </cell>
          <cell r="B981" t="str">
            <v>REMISE S/VTES BIERES DISTRIBUT.</v>
          </cell>
          <cell r="C981" t="str">
            <v>B02</v>
          </cell>
          <cell r="D981" t="str">
            <v>Ristournes TTC</v>
          </cell>
        </row>
        <row r="982">
          <cell r="A982">
            <v>702192</v>
          </cell>
          <cell r="B982" t="e">
            <v>#N/A</v>
          </cell>
          <cell r="C982" t="str">
            <v>B02</v>
          </cell>
          <cell r="D982" t="str">
            <v>Ristournes TTC</v>
          </cell>
        </row>
        <row r="983">
          <cell r="A983">
            <v>702193</v>
          </cell>
          <cell r="B983" t="str">
            <v>REMISES S/VTES BG DISTRIBUTEURS</v>
          </cell>
          <cell r="C983" t="str">
            <v>B02</v>
          </cell>
          <cell r="D983" t="str">
            <v>Ristournes TTC</v>
          </cell>
        </row>
        <row r="984">
          <cell r="A984">
            <v>702194</v>
          </cell>
          <cell r="B984" t="str">
            <v>REMISES S/VTES BG CONCESSIONN.</v>
          </cell>
          <cell r="C984" t="str">
            <v>B02</v>
          </cell>
          <cell r="D984" t="str">
            <v>Ristournes TTC</v>
          </cell>
        </row>
        <row r="985">
          <cell r="A985">
            <v>702195</v>
          </cell>
          <cell r="B985" t="e">
            <v>#N/A</v>
          </cell>
          <cell r="C985" t="str">
            <v>B02</v>
          </cell>
          <cell r="D985" t="str">
            <v>Ristournes TTC</v>
          </cell>
        </row>
        <row r="986">
          <cell r="A986">
            <v>702196</v>
          </cell>
          <cell r="B986" t="e">
            <v>#N/A</v>
          </cell>
          <cell r="C986" t="str">
            <v>B02</v>
          </cell>
          <cell r="D986" t="str">
            <v>Ristournes TTC</v>
          </cell>
        </row>
        <row r="987">
          <cell r="A987">
            <v>702197</v>
          </cell>
          <cell r="B987" t="str">
            <v>REMISES S/PROMO BIERES CONC/GROS</v>
          </cell>
          <cell r="C987" t="str">
            <v>B02</v>
          </cell>
          <cell r="D987" t="str">
            <v>Ristournes TTC</v>
          </cell>
        </row>
        <row r="988">
          <cell r="A988">
            <v>702198</v>
          </cell>
          <cell r="B988" t="str">
            <v>REMISE S/VTES BIERES CONCESSION.</v>
          </cell>
          <cell r="C988" t="str">
            <v>B02</v>
          </cell>
          <cell r="D988" t="str">
            <v>Ristournes TTC</v>
          </cell>
        </row>
        <row r="989">
          <cell r="A989">
            <v>702199</v>
          </cell>
          <cell r="B989" t="e">
            <v>#N/A</v>
          </cell>
          <cell r="C989" t="str">
            <v>B02</v>
          </cell>
          <cell r="D989" t="str">
            <v>Ristournes TTC</v>
          </cell>
        </row>
        <row r="990">
          <cell r="A990">
            <v>702200</v>
          </cell>
          <cell r="B990" t="str">
            <v>PROVISION REMISES SUR VENTES</v>
          </cell>
          <cell r="C990" t="str">
            <v>B02</v>
          </cell>
          <cell r="D990" t="str">
            <v>Ristournes TTC</v>
          </cell>
        </row>
        <row r="991">
          <cell r="A991">
            <v>702201</v>
          </cell>
          <cell r="B991" t="str">
            <v>PROVISIONS SUR REMISES GROSSISTES</v>
          </cell>
          <cell r="C991" t="str">
            <v>B02</v>
          </cell>
          <cell r="D991" t="str">
            <v>Ristournes TTC</v>
          </cell>
        </row>
        <row r="992">
          <cell r="A992">
            <v>702202</v>
          </cell>
          <cell r="B992" t="str">
            <v>PROVISIONS S/RISTOURNES PDTS FINIS SABC</v>
          </cell>
          <cell r="C992" t="str">
            <v>B02</v>
          </cell>
          <cell r="D992" t="str">
            <v>Ristournes TTC</v>
          </cell>
        </row>
        <row r="993">
          <cell r="A993">
            <v>702203</v>
          </cell>
          <cell r="B993" t="str">
            <v>REMISES SUR VENTES- PARTICIPATION RISTOU</v>
          </cell>
          <cell r="C993" t="str">
            <v>B02</v>
          </cell>
          <cell r="D993" t="str">
            <v>Ristournes TTC</v>
          </cell>
        </row>
        <row r="994">
          <cell r="A994">
            <v>702204</v>
          </cell>
          <cell r="B994" t="e">
            <v>#N/A</v>
          </cell>
          <cell r="C994" t="str">
            <v>B02</v>
          </cell>
          <cell r="D994" t="str">
            <v>Ristournes TTC</v>
          </cell>
        </row>
        <row r="995">
          <cell r="A995">
            <v>702209</v>
          </cell>
          <cell r="B995" t="str">
            <v>DROIT D'ACISE SUR REMISE</v>
          </cell>
          <cell r="C995" t="str">
            <v>B04</v>
          </cell>
          <cell r="D995" t="str">
            <v>Taxes spécifiques(prél.)</v>
          </cell>
        </row>
        <row r="996">
          <cell r="A996">
            <v>702210</v>
          </cell>
          <cell r="B996" t="str">
            <v>REMISES EXCEPTIONNELLES</v>
          </cell>
          <cell r="C996" t="str">
            <v>B02</v>
          </cell>
          <cell r="D996" t="str">
            <v>Ristournes TTC</v>
          </cell>
        </row>
        <row r="997">
          <cell r="A997">
            <v>702220</v>
          </cell>
          <cell r="B997" t="str">
            <v>RISTOURNE SUR FACTURE</v>
          </cell>
          <cell r="C997" t="str">
            <v>B01</v>
          </cell>
          <cell r="D997" t="str">
            <v>Chiffre d'Affaires brut TTC</v>
          </cell>
        </row>
        <row r="998">
          <cell r="A998">
            <v>702230</v>
          </cell>
          <cell r="B998" t="str">
            <v>REMISES A PAYER (RFA)</v>
          </cell>
        </row>
        <row r="999">
          <cell r="A999">
            <v>702300</v>
          </cell>
          <cell r="B999" t="str">
            <v>RISTOURNES DETAILLANTS</v>
          </cell>
          <cell r="C999" t="str">
            <v>B02</v>
          </cell>
          <cell r="D999" t="str">
            <v>Ristournes TTC</v>
          </cell>
        </row>
        <row r="1000">
          <cell r="A1000">
            <v>702301</v>
          </cell>
          <cell r="B1000" t="e">
            <v>#N/A</v>
          </cell>
          <cell r="C1000" t="str">
            <v>B01</v>
          </cell>
          <cell r="D1000" t="str">
            <v>Chiffre d'Affaires brut TTC</v>
          </cell>
        </row>
        <row r="1001">
          <cell r="A1001">
            <v>702302</v>
          </cell>
          <cell r="B1001" t="e">
            <v>#N/A</v>
          </cell>
          <cell r="C1001" t="str">
            <v>B01</v>
          </cell>
          <cell r="D1001" t="str">
            <v>Chiffre d'Affaires brut TTC</v>
          </cell>
        </row>
        <row r="1002">
          <cell r="A1002">
            <v>702309</v>
          </cell>
          <cell r="B1002" t="e">
            <v>#N/A</v>
          </cell>
          <cell r="C1002" t="str">
            <v>B03</v>
          </cell>
          <cell r="D1002" t="str">
            <v>TVA + Prélèvement</v>
          </cell>
        </row>
        <row r="1003">
          <cell r="A1003">
            <v>702310</v>
          </cell>
          <cell r="B1003" t="str">
            <v>VTES REGION GROUPE SEMS</v>
          </cell>
          <cell r="C1003" t="str">
            <v>B01</v>
          </cell>
          <cell r="D1003" t="str">
            <v>Chiffre d'Affaires brut TTC</v>
          </cell>
        </row>
        <row r="1004">
          <cell r="A1004">
            <v>702311</v>
          </cell>
          <cell r="B1004" t="e">
            <v>#N/A</v>
          </cell>
          <cell r="C1004" t="str">
            <v>B01</v>
          </cell>
          <cell r="D1004" t="str">
            <v>Chiffre d'Affaires brut TTC</v>
          </cell>
        </row>
        <row r="1005">
          <cell r="A1005">
            <v>702312</v>
          </cell>
          <cell r="B1005" t="e">
            <v>#N/A</v>
          </cell>
          <cell r="C1005" t="str">
            <v>B01</v>
          </cell>
          <cell r="D1005" t="str">
            <v>Chiffre d'Affaires brut TTC</v>
          </cell>
        </row>
        <row r="1006">
          <cell r="A1006">
            <v>702313</v>
          </cell>
          <cell r="B1006" t="e">
            <v>#N/A</v>
          </cell>
          <cell r="C1006" t="str">
            <v>B01</v>
          </cell>
          <cell r="D1006" t="str">
            <v>Chiffre d'Affaires brut TTC</v>
          </cell>
        </row>
        <row r="1007">
          <cell r="A1007">
            <v>702314</v>
          </cell>
          <cell r="B1007" t="e">
            <v>#N/A</v>
          </cell>
          <cell r="C1007" t="str">
            <v>B01</v>
          </cell>
          <cell r="D1007" t="str">
            <v>Chiffre d'Affaires brut TTC</v>
          </cell>
        </row>
        <row r="1008">
          <cell r="A1008">
            <v>702315</v>
          </cell>
          <cell r="B1008" t="e">
            <v>#N/A</v>
          </cell>
          <cell r="C1008" t="str">
            <v>B01</v>
          </cell>
          <cell r="D1008" t="str">
            <v>Chiffre d'Affaires brut TTC</v>
          </cell>
        </row>
        <row r="1009">
          <cell r="A1009">
            <v>702316</v>
          </cell>
          <cell r="B1009" t="e">
            <v>#N/A</v>
          </cell>
          <cell r="C1009" t="str">
            <v>B01</v>
          </cell>
          <cell r="D1009" t="str">
            <v>Chiffre d'Affaires brut TTC</v>
          </cell>
        </row>
        <row r="1010">
          <cell r="A1010">
            <v>702317</v>
          </cell>
          <cell r="B1010" t="e">
            <v>#N/A</v>
          </cell>
          <cell r="C1010" t="str">
            <v>B01</v>
          </cell>
          <cell r="D1010" t="str">
            <v>Chiffre d'Affaires brut TTC</v>
          </cell>
        </row>
        <row r="1011">
          <cell r="A1011">
            <v>702318</v>
          </cell>
          <cell r="B1011" t="e">
            <v>#N/A</v>
          </cell>
          <cell r="C1011" t="str">
            <v>B01</v>
          </cell>
          <cell r="D1011" t="str">
            <v>Chiffre d'Affaires brut TTC</v>
          </cell>
        </row>
        <row r="1012">
          <cell r="A1012">
            <v>702319</v>
          </cell>
          <cell r="B1012" t="e">
            <v>#N/A</v>
          </cell>
          <cell r="C1012" t="str">
            <v>B03</v>
          </cell>
          <cell r="D1012" t="str">
            <v>TVA + Prélèvement</v>
          </cell>
        </row>
        <row r="1013">
          <cell r="A1013">
            <v>702320</v>
          </cell>
          <cell r="B1013" t="str">
            <v>VTES REGION GROUPE SOCAVER</v>
          </cell>
          <cell r="C1013" t="str">
            <v>B01</v>
          </cell>
          <cell r="D1013" t="str">
            <v>Chiffre d'Affaires brut TTC</v>
          </cell>
        </row>
        <row r="1014">
          <cell r="A1014">
            <v>702321</v>
          </cell>
          <cell r="B1014" t="e">
            <v>#N/A</v>
          </cell>
          <cell r="C1014" t="str">
            <v>B01</v>
          </cell>
          <cell r="D1014" t="str">
            <v>Chiffre d'Affaires brut TTC</v>
          </cell>
        </row>
        <row r="1015">
          <cell r="A1015">
            <v>702330</v>
          </cell>
          <cell r="B1015" t="e">
            <v>#N/A</v>
          </cell>
          <cell r="C1015" t="str">
            <v>B01</v>
          </cell>
          <cell r="D1015" t="str">
            <v>Chiffre d'Affaires brut TTC</v>
          </cell>
        </row>
        <row r="1016">
          <cell r="A1016">
            <v>702333</v>
          </cell>
          <cell r="B1016" t="e">
            <v>#N/A</v>
          </cell>
          <cell r="C1016" t="str">
            <v>B01</v>
          </cell>
          <cell r="D1016" t="str">
            <v>Chiffre d'Affaires brut TTC</v>
          </cell>
        </row>
        <row r="1017">
          <cell r="A1017">
            <v>702335</v>
          </cell>
          <cell r="B1017" t="e">
            <v>#N/A</v>
          </cell>
          <cell r="C1017" t="str">
            <v>B01</v>
          </cell>
          <cell r="D1017" t="str">
            <v>Chiffre d'Affaires brut TTC</v>
          </cell>
        </row>
        <row r="1018">
          <cell r="A1018">
            <v>702337</v>
          </cell>
          <cell r="B1018" t="e">
            <v>#N/A</v>
          </cell>
          <cell r="C1018" t="str">
            <v>B01</v>
          </cell>
          <cell r="D1018" t="str">
            <v>Chiffre d'Affaires brut TTC</v>
          </cell>
        </row>
        <row r="1019">
          <cell r="A1019">
            <v>702340</v>
          </cell>
          <cell r="B1019" t="e">
            <v>#N/A</v>
          </cell>
          <cell r="C1019" t="str">
            <v>B01</v>
          </cell>
          <cell r="D1019" t="str">
            <v>Chiffre d'Affaires brut TTC</v>
          </cell>
        </row>
        <row r="1020">
          <cell r="A1020">
            <v>702341</v>
          </cell>
          <cell r="B1020" t="e">
            <v>#N/A</v>
          </cell>
          <cell r="C1020" t="str">
            <v>B01</v>
          </cell>
          <cell r="D1020" t="str">
            <v>Chiffre d'Affaires brut TTC</v>
          </cell>
        </row>
        <row r="1021">
          <cell r="A1021">
            <v>702342</v>
          </cell>
          <cell r="B1021" t="e">
            <v>#N/A</v>
          </cell>
          <cell r="C1021" t="str">
            <v>B01</v>
          </cell>
          <cell r="D1021" t="str">
            <v>Chiffre d'Affaires brut TTC</v>
          </cell>
        </row>
        <row r="1022">
          <cell r="A1022">
            <v>702343</v>
          </cell>
          <cell r="B1022" t="e">
            <v>#N/A</v>
          </cell>
          <cell r="C1022" t="str">
            <v>B01</v>
          </cell>
          <cell r="D1022" t="str">
            <v>Chiffre d'Affaires brut TTC</v>
          </cell>
        </row>
        <row r="1023">
          <cell r="A1023">
            <v>702344</v>
          </cell>
          <cell r="B1023" t="e">
            <v>#N/A</v>
          </cell>
          <cell r="C1023" t="str">
            <v>B01</v>
          </cell>
          <cell r="D1023" t="str">
            <v>Chiffre d'Affaires brut TTC</v>
          </cell>
        </row>
        <row r="1024">
          <cell r="A1024">
            <v>702345</v>
          </cell>
          <cell r="B1024" t="e">
            <v>#N/A</v>
          </cell>
          <cell r="C1024" t="str">
            <v>B01</v>
          </cell>
          <cell r="D1024" t="str">
            <v>Chiffre d'Affaires brut TTC</v>
          </cell>
        </row>
        <row r="1025">
          <cell r="A1025">
            <v>702346</v>
          </cell>
          <cell r="B1025" t="e">
            <v>#N/A</v>
          </cell>
          <cell r="C1025" t="str">
            <v>B01</v>
          </cell>
          <cell r="D1025" t="str">
            <v>Chiffre d'Affaires brut TTC</v>
          </cell>
        </row>
        <row r="1026">
          <cell r="A1026">
            <v>702348</v>
          </cell>
          <cell r="B1026" t="e">
            <v>#N/A</v>
          </cell>
          <cell r="C1026" t="str">
            <v>B03</v>
          </cell>
          <cell r="D1026" t="str">
            <v>TVA + Prélèvement</v>
          </cell>
        </row>
        <row r="1027">
          <cell r="A1027">
            <v>702349</v>
          </cell>
          <cell r="B1027" t="e">
            <v>#N/A</v>
          </cell>
          <cell r="C1027" t="str">
            <v>B03</v>
          </cell>
          <cell r="D1027" t="str">
            <v>TVA + Prélèvement</v>
          </cell>
        </row>
        <row r="1028">
          <cell r="A1028">
            <v>702350</v>
          </cell>
          <cell r="B1028" t="e">
            <v>#N/A</v>
          </cell>
          <cell r="C1028" t="str">
            <v>B01</v>
          </cell>
          <cell r="D1028" t="str">
            <v>Chiffre d'Affaires brut TTC</v>
          </cell>
        </row>
        <row r="1029">
          <cell r="A1029">
            <v>702360</v>
          </cell>
          <cell r="B1029" t="e">
            <v>#N/A</v>
          </cell>
          <cell r="C1029" t="str">
            <v>B01</v>
          </cell>
          <cell r="D1029" t="str">
            <v>Chiffre d'Affaires brut TTC</v>
          </cell>
        </row>
        <row r="1030">
          <cell r="A1030">
            <v>702369</v>
          </cell>
          <cell r="B1030" t="e">
            <v>#N/A</v>
          </cell>
          <cell r="C1030" t="str">
            <v>G01</v>
          </cell>
          <cell r="D1030" t="str">
            <v>Autres Produits d' Exploitation</v>
          </cell>
        </row>
        <row r="1031">
          <cell r="A1031">
            <v>702370</v>
          </cell>
          <cell r="B1031" t="str">
            <v>VENTE BOUTEILLES LOCALES</v>
          </cell>
          <cell r="C1031" t="str">
            <v>B01</v>
          </cell>
          <cell r="D1031" t="str">
            <v>Chiffre d'Affaires brut TTC</v>
          </cell>
        </row>
        <row r="1032">
          <cell r="A1032">
            <v>702371</v>
          </cell>
          <cell r="B1032" t="str">
            <v>VENTE BOUTEILLES EXPORT</v>
          </cell>
          <cell r="C1032" t="str">
            <v>B01</v>
          </cell>
          <cell r="D1032" t="str">
            <v>Chiffre d'Affaires brut TTC</v>
          </cell>
        </row>
        <row r="1033">
          <cell r="A1033">
            <v>702378</v>
          </cell>
          <cell r="B1033" t="e">
            <v>#N/A</v>
          </cell>
          <cell r="C1033" t="str">
            <v>B03</v>
          </cell>
          <cell r="D1033" t="str">
            <v>TVA + Prélèvement</v>
          </cell>
        </row>
        <row r="1034">
          <cell r="A1034">
            <v>702379</v>
          </cell>
          <cell r="B1034" t="e">
            <v>#N/A</v>
          </cell>
          <cell r="C1034" t="str">
            <v>B03</v>
          </cell>
          <cell r="D1034" t="str">
            <v>TVA + Prélèvement</v>
          </cell>
        </row>
        <row r="1035">
          <cell r="A1035">
            <v>702400</v>
          </cell>
          <cell r="B1035" t="e">
            <v>#N/A</v>
          </cell>
          <cell r="C1035" t="str">
            <v>B01</v>
          </cell>
          <cell r="D1035" t="str">
            <v>Chiffre d'Affaires brut TTC</v>
          </cell>
        </row>
        <row r="1036">
          <cell r="A1036">
            <v>702410</v>
          </cell>
          <cell r="B1036" t="str">
            <v>VTES HORS REGION GROUPE SEMC</v>
          </cell>
          <cell r="C1036" t="str">
            <v>B01</v>
          </cell>
          <cell r="D1036" t="str">
            <v>Chiffre d'Affaires brut TTC</v>
          </cell>
        </row>
        <row r="1037">
          <cell r="A1037">
            <v>702420</v>
          </cell>
          <cell r="B1037" t="str">
            <v>VTES HORS REGION GROUPE SOCAVER</v>
          </cell>
          <cell r="C1037" t="str">
            <v>B01</v>
          </cell>
          <cell r="D1037" t="str">
            <v>Chiffre d'Affaires brut TTC</v>
          </cell>
        </row>
        <row r="1038">
          <cell r="A1038">
            <v>702999</v>
          </cell>
          <cell r="B1038" t="str">
            <v>CESSION GRATUITE</v>
          </cell>
          <cell r="C1038" t="str">
            <v>B01</v>
          </cell>
          <cell r="D1038" t="str">
            <v>Chiffre d'Affaires brut TTC</v>
          </cell>
        </row>
        <row r="1039">
          <cell r="A1039">
            <v>703100</v>
          </cell>
          <cell r="B1039" t="str">
            <v>VENTES INTERMEDIAIRES</v>
          </cell>
          <cell r="C1039" t="str">
            <v>G01</v>
          </cell>
          <cell r="D1039" t="str">
            <v>Autres Produits d' Exploitation</v>
          </cell>
        </row>
        <row r="1040">
          <cell r="A1040">
            <v>703140</v>
          </cell>
          <cell r="B1040" t="str">
            <v>VENTES PREFORMES HT</v>
          </cell>
          <cell r="C1040" t="str">
            <v>G01</v>
          </cell>
          <cell r="D1040" t="str">
            <v>Autres Produits d' Exploitation</v>
          </cell>
        </row>
        <row r="1041">
          <cell r="A1041">
            <v>703150</v>
          </cell>
          <cell r="B1041" t="str">
            <v>VENTES GLACE HT</v>
          </cell>
          <cell r="C1041" t="str">
            <v>G01</v>
          </cell>
          <cell r="D1041" t="str">
            <v>Autres Produits d' Exploitation</v>
          </cell>
        </row>
        <row r="1042">
          <cell r="A1042">
            <v>703160</v>
          </cell>
          <cell r="B1042" t="e">
            <v>#N/A</v>
          </cell>
          <cell r="C1042" t="str">
            <v>G01</v>
          </cell>
          <cell r="D1042" t="str">
            <v>Autres Produits d' Exploitation</v>
          </cell>
        </row>
        <row r="1043">
          <cell r="A1043">
            <v>703165</v>
          </cell>
          <cell r="B1043" t="e">
            <v>#N/A</v>
          </cell>
          <cell r="C1043" t="str">
            <v>G01</v>
          </cell>
          <cell r="D1043" t="str">
            <v>Autres Produits d' Exploitation</v>
          </cell>
        </row>
        <row r="1044">
          <cell r="A1044">
            <v>703200</v>
          </cell>
          <cell r="B1044" t="e">
            <v>#N/A</v>
          </cell>
          <cell r="C1044" t="str">
            <v>G01</v>
          </cell>
          <cell r="D1044" t="str">
            <v>Autres Produits d' Exploitation</v>
          </cell>
        </row>
        <row r="1045">
          <cell r="A1045">
            <v>703210</v>
          </cell>
          <cell r="B1045" t="str">
            <v>VENTES PREFORMES HT</v>
          </cell>
          <cell r="C1045" t="str">
            <v>G01</v>
          </cell>
          <cell r="D1045" t="str">
            <v>Autres Produits d' Exploitation</v>
          </cell>
        </row>
        <row r="1046">
          <cell r="A1046">
            <v>703220</v>
          </cell>
          <cell r="B1046" t="e">
            <v>#N/A</v>
          </cell>
          <cell r="C1046" t="str">
            <v>G01</v>
          </cell>
          <cell r="D1046" t="str">
            <v>Autres Produits d' Exploitation</v>
          </cell>
        </row>
        <row r="1047">
          <cell r="A1047">
            <v>703229</v>
          </cell>
          <cell r="B1047" t="e">
            <v>#N/A</v>
          </cell>
          <cell r="C1047" t="str">
            <v>G01</v>
          </cell>
          <cell r="D1047" t="str">
            <v>Autres Produits d' Exploitation</v>
          </cell>
        </row>
        <row r="1048">
          <cell r="A1048">
            <v>703305</v>
          </cell>
          <cell r="B1048" t="str">
            <v>VTES CASIERS VID NEUFS EXPORT GM</v>
          </cell>
          <cell r="C1048" t="str">
            <v>G01</v>
          </cell>
          <cell r="D1048" t="str">
            <v>Autres Produits d' Exploitation</v>
          </cell>
        </row>
        <row r="1049">
          <cell r="A1049">
            <v>703306</v>
          </cell>
          <cell r="B1049" t="str">
            <v>VTES CASIERS VID NEUFS EXPORT PM</v>
          </cell>
          <cell r="C1049" t="str">
            <v>G01</v>
          </cell>
          <cell r="D1049" t="str">
            <v>Autres Produits d' Exploitation</v>
          </cell>
        </row>
        <row r="1050">
          <cell r="A1050">
            <v>704100</v>
          </cell>
          <cell r="B1050" t="str">
            <v>VENTES PRODUITS RESIDUELS</v>
          </cell>
          <cell r="C1050" t="str">
            <v>G01</v>
          </cell>
          <cell r="D1050" t="str">
            <v>Autres Produits d' Exploitation</v>
          </cell>
        </row>
        <row r="1051">
          <cell r="A1051">
            <v>704110</v>
          </cell>
          <cell r="B1051" t="str">
            <v>VENTES DE GROISIL</v>
          </cell>
          <cell r="C1051" t="str">
            <v>G01</v>
          </cell>
          <cell r="D1051" t="str">
            <v>Autres Produits d' Exploitation</v>
          </cell>
        </row>
        <row r="1052">
          <cell r="A1052">
            <v>704111</v>
          </cell>
          <cell r="B1052" t="str">
            <v>VENTES SABLE REJET</v>
          </cell>
          <cell r="C1052" t="str">
            <v>G01</v>
          </cell>
          <cell r="D1052" t="str">
            <v>Autres Produits d' Exploitation</v>
          </cell>
        </row>
        <row r="1053">
          <cell r="A1053">
            <v>704120</v>
          </cell>
          <cell r="B1053" t="e">
            <v>#N/A</v>
          </cell>
          <cell r="C1053" t="str">
            <v>G01</v>
          </cell>
          <cell r="D1053" t="str">
            <v>Autres Produits d' Exploitation</v>
          </cell>
        </row>
        <row r="1054">
          <cell r="A1054">
            <v>704130</v>
          </cell>
          <cell r="B1054" t="str">
            <v>VENTES DE CASIERS BROYES</v>
          </cell>
          <cell r="C1054" t="str">
            <v>G01</v>
          </cell>
          <cell r="D1054" t="str">
            <v>Autres Produits d' Exploitation</v>
          </cell>
        </row>
        <row r="1055">
          <cell r="A1055">
            <v>704140</v>
          </cell>
          <cell r="B1055" t="str">
            <v>AUTRES VENTES DIVERSES</v>
          </cell>
          <cell r="C1055" t="str">
            <v>G01</v>
          </cell>
          <cell r="D1055" t="str">
            <v>Autres Produits d' Exploitation</v>
          </cell>
        </row>
        <row r="1056">
          <cell r="A1056">
            <v>704149</v>
          </cell>
          <cell r="B1056" t="e">
            <v>#N/A</v>
          </cell>
          <cell r="C1056" t="str">
            <v>G01</v>
          </cell>
          <cell r="D1056" t="str">
            <v>Autres Produits d' Exploitation</v>
          </cell>
        </row>
        <row r="1057">
          <cell r="A1057">
            <v>707100</v>
          </cell>
          <cell r="B1057" t="str">
            <v>VENTES MPC</v>
          </cell>
          <cell r="C1057" t="str">
            <v>G01</v>
          </cell>
          <cell r="D1057" t="str">
            <v>Autres Produits d' Exploitation</v>
          </cell>
        </row>
        <row r="1058">
          <cell r="A1058">
            <v>707101</v>
          </cell>
          <cell r="B1058" t="str">
            <v>VENTES EQUIPEMENTS</v>
          </cell>
          <cell r="C1058" t="str">
            <v>G01</v>
          </cell>
          <cell r="D1058" t="str">
            <v>Autres Produits d' Exploitation</v>
          </cell>
        </row>
        <row r="1059">
          <cell r="A1059">
            <v>707102</v>
          </cell>
          <cell r="B1059" t="str">
            <v>AUTRES PRODUITS ACCESOIRES</v>
          </cell>
          <cell r="C1059" t="str">
            <v>G01</v>
          </cell>
          <cell r="D1059" t="str">
            <v>Autres Produits d' Exploitation</v>
          </cell>
        </row>
        <row r="1060">
          <cell r="A1060">
            <v>707103</v>
          </cell>
          <cell r="B1060" t="str">
            <v>AUTRES VENTES EXPORT</v>
          </cell>
          <cell r="C1060" t="str">
            <v>G01</v>
          </cell>
          <cell r="D1060" t="str">
            <v>Autres Produits d' Exploitation</v>
          </cell>
        </row>
        <row r="1061">
          <cell r="A1061">
            <v>707104</v>
          </cell>
          <cell r="B1061" t="str">
            <v>RETOUR /VENTES D'EMBALLAGES</v>
          </cell>
          <cell r="C1061" t="str">
            <v>G01</v>
          </cell>
          <cell r="D1061" t="str">
            <v>Autres Produits d' Exploitation</v>
          </cell>
        </row>
        <row r="1062">
          <cell r="A1062">
            <v>707105</v>
          </cell>
          <cell r="B1062" t="str">
            <v>VENTES PIECES DE RECHANGE</v>
          </cell>
          <cell r="C1062" t="str">
            <v>G01</v>
          </cell>
          <cell r="D1062" t="str">
            <v>Autres Produits d' Exploitation</v>
          </cell>
        </row>
        <row r="1063">
          <cell r="A1063">
            <v>707110</v>
          </cell>
          <cell r="B1063" t="str">
            <v>FRAIS LIVRAISON/VTES BOISSONS</v>
          </cell>
          <cell r="C1063" t="str">
            <v>D04</v>
          </cell>
          <cell r="D1063" t="str">
            <v>Transports /ventes</v>
          </cell>
        </row>
        <row r="1064">
          <cell r="A1064">
            <v>707111</v>
          </cell>
          <cell r="B1064" t="str">
            <v>DEBOURS FACT.S/VTES EXPORT</v>
          </cell>
          <cell r="C1064" t="str">
            <v>G01</v>
          </cell>
          <cell r="D1064" t="str">
            <v>Autres Produits d' Exploitation</v>
          </cell>
        </row>
        <row r="1065">
          <cell r="A1065">
            <v>707112</v>
          </cell>
          <cell r="B1065" t="str">
            <v>FACT.PREST.GARAGE AUX T/L</v>
          </cell>
          <cell r="C1065" t="str">
            <v>G01</v>
          </cell>
          <cell r="D1065" t="str">
            <v>Autres Produits d' Exploitation</v>
          </cell>
        </row>
        <row r="1066">
          <cell r="A1066">
            <v>707113</v>
          </cell>
          <cell r="B1066" t="str">
            <v>PRESTATIONS DE SERVICES DIVERSES</v>
          </cell>
          <cell r="C1066" t="str">
            <v>G01</v>
          </cell>
          <cell r="D1066" t="str">
            <v>Autres Produits d' Exploitation</v>
          </cell>
        </row>
        <row r="1067">
          <cell r="A1067">
            <v>707114</v>
          </cell>
          <cell r="B1067" t="str">
            <v>PRESTATION EMBOUTEILLAGE CAVINEX</v>
          </cell>
          <cell r="C1067" t="str">
            <v>G01</v>
          </cell>
          <cell r="D1067" t="str">
            <v>Autres Produits d' Exploitation</v>
          </cell>
        </row>
        <row r="1068">
          <cell r="A1068">
            <v>707115</v>
          </cell>
          <cell r="B1068" t="str">
            <v>PREST.D'ASSISTANCES AUX FILIALES</v>
          </cell>
          <cell r="C1068" t="str">
            <v>G01</v>
          </cell>
          <cell r="D1068" t="str">
            <v>Autres Produits d' Exploitation</v>
          </cell>
        </row>
        <row r="1069">
          <cell r="A1069">
            <v>707116</v>
          </cell>
          <cell r="B1069" t="str">
            <v>PREST.BUREAU ACHAT STES HORS CAM</v>
          </cell>
          <cell r="C1069" t="str">
            <v>G01</v>
          </cell>
          <cell r="D1069" t="str">
            <v>Autres Produits d' Exploitation</v>
          </cell>
        </row>
        <row r="1070">
          <cell r="A1070">
            <v>707117</v>
          </cell>
          <cell r="B1070" t="str">
            <v>PRESTATIONS SCE DIV.A L'ETRANGER</v>
          </cell>
          <cell r="C1070" t="str">
            <v>G01</v>
          </cell>
          <cell r="D1070" t="str">
            <v>Autres Produits d' Exploitation</v>
          </cell>
        </row>
        <row r="1071">
          <cell r="A1071">
            <v>707119</v>
          </cell>
          <cell r="B1071" t="e">
            <v>#N/A</v>
          </cell>
          <cell r="C1071" t="str">
            <v>G01</v>
          </cell>
          <cell r="D1071" t="str">
            <v>Autres Produits d' Exploitation</v>
          </cell>
        </row>
        <row r="1072">
          <cell r="A1072">
            <v>707120</v>
          </cell>
          <cell r="B1072" t="str">
            <v>VENTES DIVERS SOUS PRODUITS</v>
          </cell>
          <cell r="C1072" t="str">
            <v>G01</v>
          </cell>
          <cell r="D1072" t="str">
            <v>Autres Produits d' Exploitation</v>
          </cell>
        </row>
        <row r="1073">
          <cell r="A1073">
            <v>707121</v>
          </cell>
          <cell r="B1073" t="str">
            <v>VENTES PALETTES TAXABLES</v>
          </cell>
          <cell r="C1073" t="str">
            <v>G01</v>
          </cell>
          <cell r="D1073" t="str">
            <v>Autres Produits d' Exploitation</v>
          </cell>
        </row>
        <row r="1074">
          <cell r="A1074">
            <v>707123</v>
          </cell>
          <cell r="B1074" t="e">
            <v>#N/A</v>
          </cell>
          <cell r="C1074" t="str">
            <v>G01</v>
          </cell>
          <cell r="D1074" t="str">
            <v>Autres Produits d' Exploitation</v>
          </cell>
        </row>
        <row r="1075">
          <cell r="A1075">
            <v>707125</v>
          </cell>
          <cell r="B1075" t="e">
            <v>#N/A</v>
          </cell>
          <cell r="C1075" t="str">
            <v>G01</v>
          </cell>
          <cell r="D1075" t="str">
            <v>Autres Produits d' Exploitation</v>
          </cell>
        </row>
        <row r="1076">
          <cell r="A1076">
            <v>707128</v>
          </cell>
          <cell r="B1076" t="e">
            <v>#N/A</v>
          </cell>
          <cell r="C1076" t="str">
            <v>G01</v>
          </cell>
          <cell r="D1076" t="str">
            <v>Autres Produits d' Exploitation</v>
          </cell>
        </row>
        <row r="1077">
          <cell r="A1077">
            <v>707129</v>
          </cell>
          <cell r="B1077" t="e">
            <v>#N/A</v>
          </cell>
          <cell r="C1077" t="str">
            <v>G01</v>
          </cell>
          <cell r="D1077" t="str">
            <v>Autres Produits d' Exploitation</v>
          </cell>
        </row>
        <row r="1078">
          <cell r="A1078">
            <v>707130</v>
          </cell>
          <cell r="B1078" t="e">
            <v>#N/A</v>
          </cell>
          <cell r="C1078" t="str">
            <v>D02</v>
          </cell>
          <cell r="D1078" t="str">
            <v>Matières et fournitures de production</v>
          </cell>
        </row>
        <row r="1079">
          <cell r="A1079">
            <v>707131</v>
          </cell>
          <cell r="B1079" t="str">
            <v>VENTES MPC/PR COMPLEMENT VALEUR</v>
          </cell>
          <cell r="C1079" t="str">
            <v>G01</v>
          </cell>
          <cell r="D1079" t="str">
            <v>Autres Produits d' Exploitation</v>
          </cell>
        </row>
        <row r="1080">
          <cell r="A1080">
            <v>707180</v>
          </cell>
          <cell r="B1080" t="e">
            <v>#N/A</v>
          </cell>
          <cell r="C1080" t="str">
            <v>G01</v>
          </cell>
          <cell r="D1080" t="str">
            <v>Autres Produits d' Exploitation</v>
          </cell>
        </row>
        <row r="1081">
          <cell r="A1081">
            <v>707181</v>
          </cell>
          <cell r="B1081" t="str">
            <v>AVARIES-CAS.EMBAL.FAC.TRANSP.</v>
          </cell>
          <cell r="C1081" t="str">
            <v>G01</v>
          </cell>
          <cell r="D1081" t="str">
            <v>Autres Produits d' Exploitation</v>
          </cell>
        </row>
        <row r="1082">
          <cell r="A1082">
            <v>707182</v>
          </cell>
          <cell r="B1082" t="e">
            <v>#N/A</v>
          </cell>
          <cell r="C1082" t="str">
            <v>G01</v>
          </cell>
          <cell r="D1082" t="str">
            <v>Autres Produits d' Exploitation</v>
          </cell>
        </row>
        <row r="1083">
          <cell r="A1083">
            <v>707183</v>
          </cell>
          <cell r="B1083" t="e">
            <v>#N/A</v>
          </cell>
          <cell r="C1083" t="str">
            <v>G01</v>
          </cell>
          <cell r="D1083" t="str">
            <v>Autres Produits d' Exploitation</v>
          </cell>
        </row>
        <row r="1084">
          <cell r="A1084">
            <v>707184</v>
          </cell>
          <cell r="B1084" t="str">
            <v>AVARIES CASSES EMB TRANSPORTEURS TIERS</v>
          </cell>
          <cell r="C1084" t="str">
            <v>G01</v>
          </cell>
          <cell r="D1084" t="str">
            <v>Autres Produits d' Exploitation</v>
          </cell>
        </row>
        <row r="1085">
          <cell r="A1085">
            <v>707185</v>
          </cell>
          <cell r="B1085" t="e">
            <v>#N/A</v>
          </cell>
          <cell r="C1085" t="str">
            <v>G01</v>
          </cell>
          <cell r="D1085" t="str">
            <v>Autres Produits d' Exploitation</v>
          </cell>
        </row>
        <row r="1086">
          <cell r="A1086">
            <v>707186</v>
          </cell>
          <cell r="B1086" t="str">
            <v>AVARIES MPC FACT.AUX TRANSPORT.</v>
          </cell>
          <cell r="C1086" t="str">
            <v>G01</v>
          </cell>
          <cell r="D1086" t="str">
            <v>Autres Produits d' Exploitation</v>
          </cell>
        </row>
        <row r="1087">
          <cell r="A1087">
            <v>707188</v>
          </cell>
          <cell r="B1087" t="e">
            <v>#N/A</v>
          </cell>
          <cell r="C1087" t="str">
            <v>G01</v>
          </cell>
          <cell r="D1087" t="str">
            <v>Autres Produits d' Exploitation</v>
          </cell>
        </row>
        <row r="1088">
          <cell r="A1088">
            <v>707189</v>
          </cell>
          <cell r="B1088" t="e">
            <v>#N/A</v>
          </cell>
          <cell r="C1088" t="str">
            <v>G01</v>
          </cell>
          <cell r="D1088" t="str">
            <v>Autres Produits d' Exploitation</v>
          </cell>
        </row>
        <row r="1089">
          <cell r="A1089">
            <v>707200</v>
          </cell>
          <cell r="B1089" t="str">
            <v>COMMISSIONS/COURTAGE FAC FILIALE</v>
          </cell>
          <cell r="C1089" t="str">
            <v>G01</v>
          </cell>
          <cell r="D1089" t="str">
            <v>Autres Produits d' Exploitation</v>
          </cell>
        </row>
        <row r="1090">
          <cell r="A1090">
            <v>707300</v>
          </cell>
          <cell r="B1090" t="str">
            <v>LOCATIONS DE CAMIONS</v>
          </cell>
          <cell r="C1090" t="str">
            <v>G01</v>
          </cell>
          <cell r="D1090" t="str">
            <v>Autres Produits d' Exploitation</v>
          </cell>
        </row>
        <row r="1091">
          <cell r="A1091">
            <v>707305</v>
          </cell>
          <cell r="B1091" t="e">
            <v>#N/A</v>
          </cell>
          <cell r="C1091" t="str">
            <v>G01</v>
          </cell>
          <cell r="D1091" t="str">
            <v>Autres Produits d' Exploitation</v>
          </cell>
        </row>
        <row r="1092">
          <cell r="A1092">
            <v>707306</v>
          </cell>
          <cell r="B1092" t="e">
            <v>#N/A</v>
          </cell>
          <cell r="C1092" t="str">
            <v>G01</v>
          </cell>
          <cell r="D1092" t="str">
            <v>Autres Produits d' Exploitation</v>
          </cell>
        </row>
        <row r="1093">
          <cell r="A1093">
            <v>707400</v>
          </cell>
          <cell r="B1093" t="str">
            <v>CONSIGNATION EMBALLAGES</v>
          </cell>
          <cell r="C1093" t="str">
            <v>G01</v>
          </cell>
          <cell r="D1093" t="str">
            <v>Autres Produits d' Exploitation</v>
          </cell>
        </row>
        <row r="1094">
          <cell r="A1094">
            <v>707411</v>
          </cell>
          <cell r="B1094" t="e">
            <v>#N/A</v>
          </cell>
          <cell r="C1094" t="str">
            <v>G01</v>
          </cell>
          <cell r="D1094" t="str">
            <v>Autres Produits d' Exploitation</v>
          </cell>
        </row>
        <row r="1095">
          <cell r="A1095">
            <v>707410</v>
          </cell>
          <cell r="B1095" t="str">
            <v>DECONSIGNATION EMBALLAGES</v>
          </cell>
          <cell r="C1095" t="str">
            <v>G01</v>
          </cell>
          <cell r="D1095" t="str">
            <v>Autres Produits d' Exploitation</v>
          </cell>
        </row>
        <row r="1096">
          <cell r="A1096">
            <v>707412</v>
          </cell>
          <cell r="B1096" t="e">
            <v>#N/A</v>
          </cell>
          <cell r="C1096" t="str">
            <v>G01</v>
          </cell>
          <cell r="D1096" t="str">
            <v>Autres Produits d' Exploitation</v>
          </cell>
        </row>
        <row r="1097">
          <cell r="A1097">
            <v>707413</v>
          </cell>
          <cell r="B1097" t="e">
            <v>#N/A</v>
          </cell>
          <cell r="C1097" t="str">
            <v>G01</v>
          </cell>
          <cell r="D1097" t="str">
            <v>Autres Produits d' Exploitation</v>
          </cell>
        </row>
        <row r="1098">
          <cell r="A1098">
            <v>707414</v>
          </cell>
          <cell r="B1098" t="e">
            <v>#N/A</v>
          </cell>
          <cell r="C1098" t="str">
            <v>G01</v>
          </cell>
          <cell r="D1098" t="str">
            <v>Autres Produits d' Exploitation</v>
          </cell>
        </row>
        <row r="1099">
          <cell r="A1099">
            <v>707415</v>
          </cell>
          <cell r="B1099" t="str">
            <v>VTES EMB H CLT CAS VID GM A 1800</v>
          </cell>
          <cell r="C1099" t="str">
            <v>G01</v>
          </cell>
          <cell r="D1099" t="str">
            <v>Autres Produits d' Exploitation</v>
          </cell>
        </row>
        <row r="1100">
          <cell r="A1100">
            <v>707416</v>
          </cell>
          <cell r="B1100" t="str">
            <v>VTES EMB H CLT CAS VID PM A 870</v>
          </cell>
          <cell r="C1100" t="str">
            <v>G01</v>
          </cell>
          <cell r="D1100" t="str">
            <v>Autres Produits d' Exploitation</v>
          </cell>
        </row>
        <row r="1101">
          <cell r="A1101">
            <v>707417</v>
          </cell>
          <cell r="B1101" t="e">
            <v>#N/A</v>
          </cell>
          <cell r="C1101" t="str">
            <v>G01</v>
          </cell>
          <cell r="D1101" t="str">
            <v>Autres Produits d' Exploitation</v>
          </cell>
        </row>
        <row r="1102">
          <cell r="A1102">
            <v>707418</v>
          </cell>
          <cell r="B1102" t="e">
            <v>#N/A</v>
          </cell>
          <cell r="C1102" t="str">
            <v>G01</v>
          </cell>
          <cell r="D1102" t="str">
            <v>Autres Produits d' Exploitation</v>
          </cell>
        </row>
        <row r="1103">
          <cell r="A1103">
            <v>707419</v>
          </cell>
          <cell r="B1103" t="e">
            <v>#N/A</v>
          </cell>
          <cell r="C1103" t="str">
            <v>G01</v>
          </cell>
          <cell r="D1103" t="str">
            <v>Autres Produits d' Exploitation</v>
          </cell>
        </row>
        <row r="1104">
          <cell r="A1104">
            <v>707420</v>
          </cell>
          <cell r="B1104" t="e">
            <v>#N/A</v>
          </cell>
          <cell r="C1104" t="str">
            <v>G01</v>
          </cell>
          <cell r="D1104" t="str">
            <v>Autres Produits d' Exploitation</v>
          </cell>
        </row>
        <row r="1105">
          <cell r="A1105">
            <v>707440</v>
          </cell>
          <cell r="B1105" t="str">
            <v>VTES EMB CAS COM. GM A 3000</v>
          </cell>
          <cell r="C1105" t="str">
            <v>G01</v>
          </cell>
          <cell r="D1105" t="str">
            <v>Autres Produits d' Exploitation</v>
          </cell>
        </row>
        <row r="1106">
          <cell r="A1106">
            <v>707441</v>
          </cell>
          <cell r="B1106" t="str">
            <v>VTES EMB CAS COM. PM A 3000</v>
          </cell>
          <cell r="C1106" t="str">
            <v>G01</v>
          </cell>
          <cell r="D1106" t="str">
            <v>Autres Produits d' Exploitation</v>
          </cell>
        </row>
        <row r="1107">
          <cell r="A1107">
            <v>707442</v>
          </cell>
          <cell r="B1107" t="str">
            <v>VTES EMB CAS VIDES GM A 1200</v>
          </cell>
          <cell r="C1107" t="str">
            <v>G01</v>
          </cell>
          <cell r="D1107" t="str">
            <v>Autres Produits d' Exploitation</v>
          </cell>
        </row>
        <row r="1108">
          <cell r="A1108">
            <v>707443</v>
          </cell>
          <cell r="B1108" t="str">
            <v>VTES EMB CAS VIDES PM A 1200</v>
          </cell>
          <cell r="C1108" t="str">
            <v>G01</v>
          </cell>
          <cell r="D1108" t="str">
            <v>Autres Produits d' Exploitation</v>
          </cell>
        </row>
        <row r="1109">
          <cell r="A1109">
            <v>707444</v>
          </cell>
          <cell r="B1109" t="str">
            <v>VTES EMB BLLES GM A 150</v>
          </cell>
          <cell r="C1109" t="str">
            <v>G01</v>
          </cell>
          <cell r="D1109" t="str">
            <v>Autres Produits d' Exploitation</v>
          </cell>
        </row>
        <row r="1110">
          <cell r="A1110">
            <v>707445</v>
          </cell>
          <cell r="B1110" t="str">
            <v>VTES EMB BLLES PM A 75</v>
          </cell>
          <cell r="C1110" t="str">
            <v>G01</v>
          </cell>
          <cell r="D1110" t="str">
            <v>Autres Produits d' Exploitation</v>
          </cell>
        </row>
        <row r="1111">
          <cell r="A1111">
            <v>707450</v>
          </cell>
          <cell r="B1111" t="e">
            <v>#N/A</v>
          </cell>
          <cell r="C1111" t="str">
            <v>G01</v>
          </cell>
          <cell r="D1111" t="str">
            <v>Autres Produits d' Exploitation</v>
          </cell>
        </row>
        <row r="1112">
          <cell r="A1112">
            <v>707451</v>
          </cell>
          <cell r="B1112" t="e">
            <v>#N/A</v>
          </cell>
          <cell r="C1112" t="str">
            <v>G01</v>
          </cell>
          <cell r="D1112" t="str">
            <v>Autres Produits d' Exploitation</v>
          </cell>
        </row>
        <row r="1113">
          <cell r="A1113">
            <v>707452</v>
          </cell>
          <cell r="B1113" t="e">
            <v>#N/A</v>
          </cell>
          <cell r="C1113" t="str">
            <v>G01</v>
          </cell>
          <cell r="D1113" t="str">
            <v>Autres Produits d' Exploitation</v>
          </cell>
        </row>
        <row r="1114">
          <cell r="A1114">
            <v>707453</v>
          </cell>
          <cell r="B1114" t="e">
            <v>#N/A</v>
          </cell>
          <cell r="C1114" t="str">
            <v>G01</v>
          </cell>
          <cell r="D1114" t="str">
            <v>Autres Produits d' Exploitation</v>
          </cell>
        </row>
        <row r="1115">
          <cell r="A1115">
            <v>707454</v>
          </cell>
          <cell r="B1115" t="e">
            <v>#N/A</v>
          </cell>
          <cell r="C1115" t="str">
            <v>G01</v>
          </cell>
          <cell r="D1115" t="str">
            <v>Autres Produits d' Exploitation</v>
          </cell>
        </row>
        <row r="1116">
          <cell r="A1116">
            <v>707455</v>
          </cell>
          <cell r="B1116" t="e">
            <v>#N/A</v>
          </cell>
          <cell r="C1116" t="str">
            <v>G01</v>
          </cell>
          <cell r="D1116" t="str">
            <v>Autres Produits d' Exploitation</v>
          </cell>
        </row>
        <row r="1117">
          <cell r="A1117">
            <v>707456</v>
          </cell>
          <cell r="B1117" t="e">
            <v>#N/A</v>
          </cell>
          <cell r="C1117" t="str">
            <v>G01</v>
          </cell>
          <cell r="D1117" t="str">
            <v>Autres Produits d' Exploitation</v>
          </cell>
        </row>
        <row r="1118">
          <cell r="A1118">
            <v>707457</v>
          </cell>
          <cell r="B1118" t="str">
            <v>VENTE FUT A 8000</v>
          </cell>
          <cell r="C1118" t="str">
            <v>G01</v>
          </cell>
          <cell r="D1118" t="str">
            <v>Autres Produits d' Exploitation</v>
          </cell>
        </row>
        <row r="1119">
          <cell r="A1119">
            <v>707458</v>
          </cell>
          <cell r="B1119" t="e">
            <v>#N/A</v>
          </cell>
          <cell r="C1119" t="str">
            <v>G01</v>
          </cell>
          <cell r="D1119" t="str">
            <v>Autres Produits d' Exploitation</v>
          </cell>
        </row>
        <row r="1120">
          <cell r="A1120">
            <v>707459</v>
          </cell>
          <cell r="B1120" t="e">
            <v>#N/A</v>
          </cell>
          <cell r="C1120" t="str">
            <v>G01</v>
          </cell>
          <cell r="D1120" t="str">
            <v>Autres Produits d' Exploitation</v>
          </cell>
        </row>
        <row r="1121">
          <cell r="A1121">
            <v>707460</v>
          </cell>
          <cell r="B1121" t="e">
            <v>#N/A</v>
          </cell>
          <cell r="C1121" t="str">
            <v>G01</v>
          </cell>
          <cell r="D1121" t="str">
            <v>Autres Produits d' Exploitation</v>
          </cell>
        </row>
        <row r="1122">
          <cell r="A1122">
            <v>707461</v>
          </cell>
          <cell r="B1122" t="e">
            <v>#N/A</v>
          </cell>
          <cell r="C1122" t="str">
            <v>G01</v>
          </cell>
          <cell r="D1122" t="str">
            <v>Autres Produits d' Exploitation</v>
          </cell>
        </row>
        <row r="1123">
          <cell r="A1123">
            <v>707462</v>
          </cell>
          <cell r="B1123" t="e">
            <v>#N/A</v>
          </cell>
          <cell r="C1123" t="str">
            <v>G01</v>
          </cell>
          <cell r="D1123" t="str">
            <v>Autres Produits d' Exploitation</v>
          </cell>
        </row>
        <row r="1124">
          <cell r="A1124">
            <v>707463</v>
          </cell>
          <cell r="B1124" t="e">
            <v>#N/A</v>
          </cell>
          <cell r="C1124" t="str">
            <v>G01</v>
          </cell>
          <cell r="D1124" t="str">
            <v>Autres Produits d' Exploitation</v>
          </cell>
        </row>
        <row r="1125">
          <cell r="A1125">
            <v>707464</v>
          </cell>
          <cell r="B1125" t="e">
            <v>#N/A</v>
          </cell>
          <cell r="C1125" t="str">
            <v>G01</v>
          </cell>
          <cell r="D1125" t="str">
            <v>Autres Produits d' Exploitation</v>
          </cell>
        </row>
        <row r="1126">
          <cell r="A1126">
            <v>707465</v>
          </cell>
          <cell r="B1126" t="e">
            <v>#N/A</v>
          </cell>
          <cell r="C1126" t="str">
            <v>G01</v>
          </cell>
          <cell r="D1126" t="str">
            <v>Autres Produits d' Exploitation</v>
          </cell>
        </row>
        <row r="1127">
          <cell r="A1127">
            <v>707466</v>
          </cell>
          <cell r="B1127" t="e">
            <v>#N/A</v>
          </cell>
          <cell r="C1127" t="str">
            <v>G01</v>
          </cell>
          <cell r="D1127" t="str">
            <v>Autres Produits d' Exploitation</v>
          </cell>
        </row>
        <row r="1128">
          <cell r="A1128">
            <v>707467</v>
          </cell>
          <cell r="B1128" t="str">
            <v>RETR/VTES FUTS A 8000</v>
          </cell>
          <cell r="C1128" t="str">
            <v>G01</v>
          </cell>
          <cell r="D1128" t="str">
            <v>Autres Produits d' Exploitation</v>
          </cell>
        </row>
        <row r="1129">
          <cell r="A1129">
            <v>707468</v>
          </cell>
          <cell r="B1129" t="e">
            <v>#N/A</v>
          </cell>
          <cell r="C1129" t="str">
            <v>G01</v>
          </cell>
          <cell r="D1129" t="str">
            <v>Autres Produits d' Exploitation</v>
          </cell>
        </row>
        <row r="1130">
          <cell r="A1130">
            <v>707469</v>
          </cell>
          <cell r="B1130" t="e">
            <v>#N/A</v>
          </cell>
          <cell r="C1130" t="str">
            <v>G01</v>
          </cell>
          <cell r="D1130" t="str">
            <v>Autres Produits d' Exploitation</v>
          </cell>
        </row>
        <row r="1131">
          <cell r="A1131">
            <v>707470</v>
          </cell>
          <cell r="B1131" t="e">
            <v>#N/A</v>
          </cell>
          <cell r="C1131" t="str">
            <v>G01</v>
          </cell>
          <cell r="D1131" t="str">
            <v>Autres Produits d' Exploitation</v>
          </cell>
        </row>
        <row r="1132">
          <cell r="A1132">
            <v>707471</v>
          </cell>
          <cell r="B1132" t="str">
            <v>RETR /VTES CAS. COMPL GM A 3000</v>
          </cell>
          <cell r="C1132" t="str">
            <v>G01</v>
          </cell>
          <cell r="D1132" t="str">
            <v>Autres Produits d' Exploitation</v>
          </cell>
        </row>
        <row r="1133">
          <cell r="A1133">
            <v>707472</v>
          </cell>
          <cell r="B1133" t="str">
            <v>RETR/ VTES CAS COMPL PM A 3000</v>
          </cell>
          <cell r="C1133" t="str">
            <v>G01</v>
          </cell>
          <cell r="D1133" t="str">
            <v>Autres Produits d' Exploitation</v>
          </cell>
        </row>
        <row r="1134">
          <cell r="A1134">
            <v>707473</v>
          </cell>
          <cell r="B1134" t="str">
            <v>RETR/ VTES CAS VIDES GM  A 1200</v>
          </cell>
          <cell r="C1134" t="str">
            <v>G01</v>
          </cell>
          <cell r="D1134" t="str">
            <v>Autres Produits d' Exploitation</v>
          </cell>
        </row>
        <row r="1135">
          <cell r="A1135">
            <v>707474</v>
          </cell>
          <cell r="B1135" t="str">
            <v>RETR/ VTES CAS VIDES PM A 1200</v>
          </cell>
          <cell r="C1135" t="str">
            <v>G01</v>
          </cell>
          <cell r="D1135" t="str">
            <v>Autres Produits d' Exploitation</v>
          </cell>
        </row>
        <row r="1136">
          <cell r="A1136">
            <v>707475</v>
          </cell>
          <cell r="B1136" t="str">
            <v>RETR / VTES BTL GM A 150</v>
          </cell>
          <cell r="C1136" t="str">
            <v>G01</v>
          </cell>
          <cell r="D1136" t="str">
            <v>Autres Produits d' Exploitation</v>
          </cell>
        </row>
        <row r="1137">
          <cell r="A1137">
            <v>707476</v>
          </cell>
          <cell r="B1137" t="str">
            <v>RETR / VTES BTL GM A 75</v>
          </cell>
          <cell r="C1137" t="str">
            <v>G01</v>
          </cell>
          <cell r="D1137" t="str">
            <v>Autres Produits d' Exploitation</v>
          </cell>
        </row>
        <row r="1138">
          <cell r="A1138">
            <v>707801</v>
          </cell>
          <cell r="B1138" t="str">
            <v>VENTES D'ARTICLES PUBLICITAIRES</v>
          </cell>
          <cell r="C1138" t="str">
            <v>G01</v>
          </cell>
          <cell r="D1138" t="str">
            <v>Autres Produits d' Exploitation</v>
          </cell>
        </row>
        <row r="1139">
          <cell r="A1139">
            <v>707809</v>
          </cell>
          <cell r="B1139" t="e">
            <v>#N/A</v>
          </cell>
          <cell r="C1139" t="str">
            <v>G01</v>
          </cell>
          <cell r="D1139" t="str">
            <v>Autres Produits d' Exploitation</v>
          </cell>
        </row>
        <row r="1140">
          <cell r="A1140">
            <v>707860</v>
          </cell>
          <cell r="B1140" t="str">
            <v>PARTICIP ENTR FRIGOS</v>
          </cell>
          <cell r="C1140" t="str">
            <v>G01</v>
          </cell>
          <cell r="D1140" t="str">
            <v>Autres Produits d' Exploitation</v>
          </cell>
        </row>
        <row r="1141">
          <cell r="A1141">
            <v>722680</v>
          </cell>
          <cell r="B1141" t="e">
            <v>#N/A</v>
          </cell>
          <cell r="C1141" t="str">
            <v>I04</v>
          </cell>
          <cell r="D1141" t="str">
            <v>Produits except HE</v>
          </cell>
        </row>
        <row r="1142">
          <cell r="A1142">
            <v>734100</v>
          </cell>
          <cell r="B1142" t="str">
            <v>VARIAT.STOCKS PROD.EN COURS</v>
          </cell>
          <cell r="C1142" t="str">
            <v>C01</v>
          </cell>
          <cell r="D1142" t="str">
            <v>Production stockée</v>
          </cell>
        </row>
        <row r="1143">
          <cell r="A1143">
            <v>735000</v>
          </cell>
          <cell r="B1143" t="str">
            <v>TRANSP.INCORP.STOCK PROD.FINIS</v>
          </cell>
          <cell r="C1143" t="str">
            <v>C01</v>
          </cell>
          <cell r="D1143" t="str">
            <v>Production stockée</v>
          </cell>
        </row>
        <row r="1144">
          <cell r="A1144">
            <v>735100</v>
          </cell>
          <cell r="B1144" t="str">
            <v>TRANSP.INCORP.STOCKS M.P.C.</v>
          </cell>
          <cell r="C1144" t="str">
            <v>D02</v>
          </cell>
          <cell r="D1144" t="str">
            <v>Matières et fournitures de production</v>
          </cell>
        </row>
        <row r="1145">
          <cell r="A1145">
            <v>735200</v>
          </cell>
          <cell r="B1145" t="e">
            <v>#N/A</v>
          </cell>
          <cell r="C1145" t="str">
            <v>D02</v>
          </cell>
          <cell r="D1145" t="str">
            <v>Matières et fournitures de production</v>
          </cell>
        </row>
        <row r="1146">
          <cell r="A1146">
            <v>736010</v>
          </cell>
          <cell r="B1146" t="str">
            <v>VARIAT°. STKS.PRODUITS POUR VTES BIERE</v>
          </cell>
          <cell r="C1146" t="str">
            <v>C01</v>
          </cell>
          <cell r="D1146" t="str">
            <v>Production stockée</v>
          </cell>
        </row>
        <row r="1147">
          <cell r="A1147">
            <v>736015</v>
          </cell>
          <cell r="B1147" t="str">
            <v>REVALORISATION STOCKS PF BIERES</v>
          </cell>
          <cell r="C1147" t="str">
            <v>C01</v>
          </cell>
          <cell r="D1147" t="str">
            <v>Production stockée</v>
          </cell>
        </row>
        <row r="1148">
          <cell r="A1148">
            <v>736020</v>
          </cell>
          <cell r="B1148" t="str">
            <v>VARIAT° STKS EAU TANGUI</v>
          </cell>
          <cell r="C1148" t="str">
            <v>C01</v>
          </cell>
          <cell r="D1148" t="str">
            <v>Production stockée</v>
          </cell>
        </row>
        <row r="1149">
          <cell r="A1149">
            <v>736025</v>
          </cell>
          <cell r="B1149" t="str">
            <v>VARIAT° STKS ALCOOL MIX</v>
          </cell>
          <cell r="C1149" t="str">
            <v>C01</v>
          </cell>
          <cell r="D1149" t="str">
            <v>Production stockée</v>
          </cell>
        </row>
        <row r="1150">
          <cell r="A1150">
            <v>736030</v>
          </cell>
          <cell r="B1150" t="str">
            <v>VARIAT°. STOCKS.PRODUITS POUR VTES B.G.</v>
          </cell>
          <cell r="C1150" t="str">
            <v>C01</v>
          </cell>
          <cell r="D1150" t="str">
            <v>Production stockée</v>
          </cell>
        </row>
        <row r="1151">
          <cell r="A1151">
            <v>736035</v>
          </cell>
          <cell r="B1151" t="str">
            <v>REVALORISATION STOCKS PF B.G.</v>
          </cell>
          <cell r="C1151" t="str">
            <v>C01</v>
          </cell>
          <cell r="D1151" t="str">
            <v>Production stockée</v>
          </cell>
        </row>
        <row r="1152">
          <cell r="A1152">
            <v>736040</v>
          </cell>
          <cell r="B1152" t="str">
            <v>REVALORISATION STOCKS AQUABELLE</v>
          </cell>
          <cell r="C1152" t="str">
            <v>C01</v>
          </cell>
          <cell r="D1152" t="str">
            <v>Production stockée</v>
          </cell>
        </row>
        <row r="1153">
          <cell r="A1153">
            <v>736050</v>
          </cell>
          <cell r="B1153" t="str">
            <v>CONS.PRODUITS P/VTES ALCOOL MIX</v>
          </cell>
          <cell r="C1153" t="str">
            <v>C01</v>
          </cell>
          <cell r="D1153" t="str">
            <v>Production stockée</v>
          </cell>
        </row>
        <row r="1154">
          <cell r="A1154">
            <v>736055</v>
          </cell>
          <cell r="B1154" t="e">
            <v>#N/A</v>
          </cell>
          <cell r="C1154" t="str">
            <v>C01</v>
          </cell>
          <cell r="D1154" t="str">
            <v>Production stockée</v>
          </cell>
        </row>
        <row r="1155">
          <cell r="A1155">
            <v>736060</v>
          </cell>
          <cell r="B1155" t="str">
            <v>VARIAT°. STKS.P/CASSES/CESSIONS BIERES</v>
          </cell>
          <cell r="C1155" t="str">
            <v>C01</v>
          </cell>
          <cell r="D1155" t="str">
            <v>Production stockée</v>
          </cell>
        </row>
        <row r="1156">
          <cell r="A1156">
            <v>736061</v>
          </cell>
          <cell r="B1156" t="str">
            <v>VARIAT°. STKS.P/CASSES/CESSIONS B.G.</v>
          </cell>
          <cell r="C1156" t="str">
            <v>C01</v>
          </cell>
          <cell r="D1156" t="str">
            <v>Production stockée</v>
          </cell>
        </row>
        <row r="1157">
          <cell r="A1157">
            <v>736063</v>
          </cell>
          <cell r="B1157" t="str">
            <v>CONSOMM.P/CASSES/CESSIONS AL.MIX</v>
          </cell>
          <cell r="C1157" t="str">
            <v>C01</v>
          </cell>
          <cell r="D1157" t="str">
            <v>Production stockée</v>
          </cell>
        </row>
        <row r="1158">
          <cell r="A1158">
            <v>736065</v>
          </cell>
          <cell r="B1158" t="str">
            <v>VARIATION CASSES PREFORME TANGUI</v>
          </cell>
          <cell r="C1158" t="str">
            <v>C01</v>
          </cell>
          <cell r="D1158" t="str">
            <v>Production stockée</v>
          </cell>
        </row>
        <row r="1159">
          <cell r="A1159">
            <v>736066</v>
          </cell>
          <cell r="B1159" t="e">
            <v>#N/A</v>
          </cell>
          <cell r="C1159" t="str">
            <v>C01</v>
          </cell>
          <cell r="D1159" t="str">
            <v>Production stockée</v>
          </cell>
        </row>
        <row r="1160">
          <cell r="A1160">
            <v>736100</v>
          </cell>
          <cell r="B1160" t="str">
            <v>VARIATIONS STKS PF BIERES</v>
          </cell>
          <cell r="C1160" t="str">
            <v>C01</v>
          </cell>
          <cell r="D1160" t="str">
            <v>Production stockée</v>
          </cell>
        </row>
        <row r="1161">
          <cell r="A1161">
            <v>736200</v>
          </cell>
          <cell r="B1161" t="str">
            <v>VARIATIONS STKS PF B.G.</v>
          </cell>
          <cell r="C1161" t="str">
            <v>C01</v>
          </cell>
          <cell r="D1161" t="str">
            <v>Production stockée</v>
          </cell>
        </row>
        <row r="1162">
          <cell r="A1162">
            <v>736300</v>
          </cell>
          <cell r="B1162" t="str">
            <v>VARIATIONS STKS PF EAU MINERALE</v>
          </cell>
          <cell r="C1162" t="str">
            <v>C01</v>
          </cell>
          <cell r="D1162" t="str">
            <v>Production stockée</v>
          </cell>
        </row>
        <row r="1163">
          <cell r="A1163">
            <v>736400</v>
          </cell>
          <cell r="B1163" t="e">
            <v>#N/A</v>
          </cell>
          <cell r="C1163" t="str">
            <v>C01</v>
          </cell>
          <cell r="D1163" t="str">
            <v>Production stockée</v>
          </cell>
        </row>
        <row r="1164">
          <cell r="A1164">
            <v>736500</v>
          </cell>
          <cell r="B1164" t="str">
            <v>VARIATION STOCKS PREFORMES TANGUI</v>
          </cell>
          <cell r="C1164" t="str">
            <v>C01</v>
          </cell>
          <cell r="D1164" t="str">
            <v>Production stockée</v>
          </cell>
        </row>
        <row r="1165">
          <cell r="A1165">
            <v>736600</v>
          </cell>
          <cell r="B1165" t="str">
            <v>VARIAT° STOCKS  CASIERS FABRIQUES</v>
          </cell>
          <cell r="C1165" t="str">
            <v>C01</v>
          </cell>
          <cell r="D1165" t="str">
            <v>Production stockée</v>
          </cell>
        </row>
        <row r="1166">
          <cell r="A1166">
            <v>736710</v>
          </cell>
          <cell r="B1166" t="str">
            <v>VARIAT° STKS PRODUITS FINIS SOCAVER</v>
          </cell>
          <cell r="C1166" t="str">
            <v>C01</v>
          </cell>
          <cell r="D1166" t="str">
            <v>Production stockée</v>
          </cell>
        </row>
        <row r="1167">
          <cell r="A1167">
            <v>736711</v>
          </cell>
          <cell r="B1167" t="str">
            <v>VARIATION CASSES PRODUITS FINIS</v>
          </cell>
          <cell r="C1167" t="str">
            <v>C01</v>
          </cell>
          <cell r="D1167" t="str">
            <v>Production stockée</v>
          </cell>
        </row>
        <row r="1168">
          <cell r="A1168">
            <v>736720</v>
          </cell>
          <cell r="B1168" t="str">
            <v>VARIAT°. STOCKS PRODUITS SEMI-FINIS</v>
          </cell>
          <cell r="C1168" t="str">
            <v>C01</v>
          </cell>
          <cell r="D1168" t="str">
            <v>Production stockée</v>
          </cell>
        </row>
        <row r="1169">
          <cell r="A1169">
            <v>736721</v>
          </cell>
          <cell r="B1169" t="str">
            <v>VARIAT°. STKS CASSES &amp; MANQUANTS P. SEMI</v>
          </cell>
          <cell r="C1169" t="str">
            <v>C01</v>
          </cell>
          <cell r="D1169" t="str">
            <v>Production stockée</v>
          </cell>
        </row>
        <row r="1170">
          <cell r="A1170">
            <v>736730</v>
          </cell>
          <cell r="B1170" t="e">
            <v>#N/A</v>
          </cell>
          <cell r="C1170" t="str">
            <v>C01</v>
          </cell>
          <cell r="D1170" t="str">
            <v>Production stockée</v>
          </cell>
        </row>
        <row r="1171">
          <cell r="A1171">
            <v>736731</v>
          </cell>
          <cell r="B1171" t="str">
            <v>REVALORISATION STOCKS PRODUITS FINIS</v>
          </cell>
          <cell r="C1171" t="str">
            <v>C01</v>
          </cell>
          <cell r="D1171" t="str">
            <v>Production stockée</v>
          </cell>
        </row>
        <row r="1172">
          <cell r="A1172">
            <v>736740</v>
          </cell>
          <cell r="B1172" t="e">
            <v>#N/A</v>
          </cell>
          <cell r="C1172" t="str">
            <v>C01</v>
          </cell>
          <cell r="D1172" t="str">
            <v>Production stockée</v>
          </cell>
        </row>
        <row r="1173">
          <cell r="A1173">
            <v>736741</v>
          </cell>
          <cell r="B1173" t="e">
            <v>#N/A</v>
          </cell>
          <cell r="C1173" t="str">
            <v>C01</v>
          </cell>
          <cell r="D1173" t="str">
            <v>Production stockée</v>
          </cell>
        </row>
        <row r="1174">
          <cell r="A1174">
            <v>737010</v>
          </cell>
          <cell r="B1174" t="e">
            <v>#N/A</v>
          </cell>
          <cell r="C1174" t="str">
            <v>G01</v>
          </cell>
          <cell r="D1174" t="str">
            <v>Autres Produits d' Exploitation</v>
          </cell>
        </row>
        <row r="1175">
          <cell r="A1175">
            <v>737020</v>
          </cell>
          <cell r="B1175" t="e">
            <v>#N/A</v>
          </cell>
          <cell r="C1175" t="str">
            <v>C01</v>
          </cell>
          <cell r="D1175" t="str">
            <v>Production stockée</v>
          </cell>
        </row>
        <row r="1176">
          <cell r="A1176">
            <v>737100</v>
          </cell>
          <cell r="B1176" t="str">
            <v>VARIAT° STOCK PRODUITS INTERMEDIARES</v>
          </cell>
          <cell r="C1176" t="str">
            <v>C01</v>
          </cell>
          <cell r="D1176" t="str">
            <v>Production stockée</v>
          </cell>
        </row>
        <row r="1177">
          <cell r="A1177">
            <v>737110</v>
          </cell>
          <cell r="B1177" t="str">
            <v>PRODUCTION CO2 HT</v>
          </cell>
          <cell r="C1177" t="str">
            <v>G01</v>
          </cell>
          <cell r="D1177" t="str">
            <v>Autres Produits d' Exploitation</v>
          </cell>
        </row>
        <row r="1178">
          <cell r="A1178">
            <v>737120</v>
          </cell>
          <cell r="B1178" t="e">
            <v>#N/A</v>
          </cell>
          <cell r="C1178" t="str">
            <v>G01</v>
          </cell>
          <cell r="D1178" t="str">
            <v>Autres Produits d' Exploitation</v>
          </cell>
        </row>
        <row r="1179">
          <cell r="A1179">
            <v>737130</v>
          </cell>
          <cell r="B1179" t="str">
            <v>PRODUCTION DE CASIERS</v>
          </cell>
          <cell r="C1179" t="str">
            <v>G01</v>
          </cell>
          <cell r="D1179" t="str">
            <v>Autres Produits d' Exploitation</v>
          </cell>
        </row>
        <row r="1180">
          <cell r="A1180">
            <v>737131</v>
          </cell>
          <cell r="B1180" t="e">
            <v>#N/A</v>
          </cell>
          <cell r="C1180" t="str">
            <v>G01</v>
          </cell>
          <cell r="D1180" t="str">
            <v>Autres Produits d' Exploitation</v>
          </cell>
        </row>
        <row r="1181">
          <cell r="A1181">
            <v>737140</v>
          </cell>
          <cell r="B1181" t="str">
            <v>PRODUCTION PREFORME</v>
          </cell>
          <cell r="C1181" t="str">
            <v>G01</v>
          </cell>
          <cell r="D1181" t="str">
            <v>Autres Produits d' Exploitation</v>
          </cell>
        </row>
        <row r="1182">
          <cell r="A1182">
            <v>737150</v>
          </cell>
          <cell r="B1182" t="e">
            <v>#N/A</v>
          </cell>
          <cell r="C1182" t="str">
            <v>G01</v>
          </cell>
          <cell r="D1182" t="str">
            <v>Autres Produits d' Exploitation</v>
          </cell>
        </row>
        <row r="1183">
          <cell r="A1183">
            <v>737160</v>
          </cell>
          <cell r="B1183" t="e">
            <v>#N/A</v>
          </cell>
          <cell r="C1183" t="str">
            <v>G01</v>
          </cell>
          <cell r="D1183" t="str">
            <v>Autres Produits d' Exploitation</v>
          </cell>
        </row>
        <row r="1184">
          <cell r="A1184">
            <v>737190</v>
          </cell>
          <cell r="B1184" t="e">
            <v>#N/A</v>
          </cell>
          <cell r="C1184" t="str">
            <v>G01</v>
          </cell>
          <cell r="D1184" t="str">
            <v>Autres Produits d' Exploitation</v>
          </cell>
        </row>
        <row r="1185">
          <cell r="A1185">
            <v>737200</v>
          </cell>
          <cell r="B1185" t="str">
            <v>VARIAT° STKS PRODUITS RESIDUELS</v>
          </cell>
          <cell r="C1185" t="str">
            <v>C01</v>
          </cell>
          <cell r="D1185" t="str">
            <v>Production stockée</v>
          </cell>
        </row>
        <row r="1186">
          <cell r="A1186">
            <v>737210</v>
          </cell>
          <cell r="B1186" t="e">
            <v>#N/A</v>
          </cell>
          <cell r="C1186" t="str">
            <v>G01</v>
          </cell>
          <cell r="D1186" t="str">
            <v>Autres Produits d' Exploitation</v>
          </cell>
        </row>
        <row r="1187">
          <cell r="A1187">
            <v>737220</v>
          </cell>
          <cell r="B1187" t="e">
            <v>#N/A</v>
          </cell>
          <cell r="C1187" t="str">
            <v>G01</v>
          </cell>
          <cell r="D1187" t="str">
            <v>Autres Produits d' Exploitation</v>
          </cell>
        </row>
        <row r="1188">
          <cell r="A1188">
            <v>737230</v>
          </cell>
          <cell r="B1188" t="str">
            <v>PRODUCTION BROYAT</v>
          </cell>
          <cell r="C1188" t="str">
            <v>G01</v>
          </cell>
          <cell r="D1188" t="str">
            <v>Autres Produits d' Exploitation</v>
          </cell>
        </row>
        <row r="1189">
          <cell r="A1189">
            <v>752100</v>
          </cell>
          <cell r="B1189" t="e">
            <v>#N/A</v>
          </cell>
          <cell r="C1189" t="str">
            <v>I04</v>
          </cell>
          <cell r="D1189" t="str">
            <v>Produits except HE</v>
          </cell>
        </row>
        <row r="1190">
          <cell r="A1190">
            <v>752900</v>
          </cell>
          <cell r="B1190" t="e">
            <v>#N/A</v>
          </cell>
          <cell r="C1190" t="str">
            <v>I04</v>
          </cell>
          <cell r="D1190" t="str">
            <v>Produits except HE</v>
          </cell>
        </row>
        <row r="1191">
          <cell r="A1191">
            <v>754000</v>
          </cell>
          <cell r="B1191" t="e">
            <v>#N/A</v>
          </cell>
          <cell r="C1191" t="str">
            <v>I03</v>
          </cell>
          <cell r="D1191" t="str">
            <v xml:space="preserve"> +/- values de cessions</v>
          </cell>
        </row>
        <row r="1192">
          <cell r="A1192">
            <v>754100</v>
          </cell>
          <cell r="B1192" t="str">
            <v>PRIX DE CESSION IMMOB.CEDEES</v>
          </cell>
          <cell r="C1192" t="str">
            <v>I03</v>
          </cell>
          <cell r="D1192" t="str">
            <v xml:space="preserve"> +/- values de cessions</v>
          </cell>
        </row>
        <row r="1193">
          <cell r="A1193">
            <v>754200</v>
          </cell>
          <cell r="B1193" t="e">
            <v>#N/A</v>
          </cell>
          <cell r="C1193" t="str">
            <v>I03</v>
          </cell>
          <cell r="D1193" t="str">
            <v xml:space="preserve"> +/- values de cessions</v>
          </cell>
        </row>
        <row r="1194">
          <cell r="A1194">
            <v>758100</v>
          </cell>
          <cell r="B1194" t="e">
            <v>#N/A</v>
          </cell>
          <cell r="C1194" t="str">
            <v>G01</v>
          </cell>
          <cell r="D1194" t="str">
            <v>Autres Produits d' Exploitation</v>
          </cell>
        </row>
        <row r="1195">
          <cell r="A1195">
            <v>758200</v>
          </cell>
          <cell r="B1195" t="str">
            <v>INDEMN.PERCUES S/ACCI.TRAVAIL</v>
          </cell>
          <cell r="C1195" t="str">
            <v>G01</v>
          </cell>
          <cell r="D1195" t="str">
            <v>Autres Produits d' Exploitation</v>
          </cell>
        </row>
        <row r="1196">
          <cell r="A1196">
            <v>758210</v>
          </cell>
          <cell r="B1196" t="str">
            <v>PROD.PROFITS/DOSSIERS ASSURANCES</v>
          </cell>
          <cell r="C1196" t="str">
            <v>G01</v>
          </cell>
          <cell r="D1196" t="str">
            <v>Autres Produits d' Exploitation</v>
          </cell>
        </row>
        <row r="1197">
          <cell r="A1197">
            <v>758220</v>
          </cell>
          <cell r="B1197" t="str">
            <v>PRODUITS, PROFITS/DOSS.AVARIES</v>
          </cell>
          <cell r="C1197" t="str">
            <v>G01</v>
          </cell>
          <cell r="D1197" t="str">
            <v>Autres Produits d' Exploitation</v>
          </cell>
        </row>
        <row r="1198">
          <cell r="A1198">
            <v>758300</v>
          </cell>
          <cell r="B1198" t="str">
            <v>AUTRES PRODUITS DIVERS</v>
          </cell>
          <cell r="C1198" t="str">
            <v>G01</v>
          </cell>
          <cell r="D1198" t="str">
            <v>Autres Produits d' Exploitation</v>
          </cell>
        </row>
        <row r="1199">
          <cell r="A1199">
            <v>758330</v>
          </cell>
          <cell r="B1199" t="str">
            <v>PRODUITS ECOLE FOOTBALL DES BRASSERIES</v>
          </cell>
          <cell r="C1199" t="str">
            <v>G01</v>
          </cell>
          <cell r="D1199" t="str">
            <v>Autres Produits d' Exploitation</v>
          </cell>
        </row>
        <row r="1200">
          <cell r="A1200">
            <v>758310</v>
          </cell>
          <cell r="B1200" t="str">
            <v>AUTRES PRODUITS-LOYERS PERCUS</v>
          </cell>
          <cell r="C1200" t="str">
            <v>G01</v>
          </cell>
          <cell r="D1200" t="str">
            <v>Autres Produits d' Exploitation</v>
          </cell>
        </row>
        <row r="1201">
          <cell r="A1201">
            <v>758320</v>
          </cell>
          <cell r="B1201" t="str">
            <v>AUTRES PROD.-CLIENTS CREDITEURS</v>
          </cell>
          <cell r="C1201" t="str">
            <v>G01</v>
          </cell>
          <cell r="D1201" t="str">
            <v>Autres Produits d' Exploitation</v>
          </cell>
        </row>
        <row r="1202">
          <cell r="A1202">
            <v>758390</v>
          </cell>
          <cell r="B1202" t="str">
            <v>TAXES S/LOYES PERCUS</v>
          </cell>
          <cell r="C1202" t="str">
            <v>G01</v>
          </cell>
          <cell r="D1202" t="str">
            <v>Autres Produits d' Exploitation</v>
          </cell>
        </row>
        <row r="1203">
          <cell r="A1203">
            <v>759310</v>
          </cell>
          <cell r="B1203" t="str">
            <v>REPRISE PROV.S/STOCKS PSF</v>
          </cell>
          <cell r="C1203" t="str">
            <v>G04</v>
          </cell>
          <cell r="D1203" t="str">
            <v>Reprises Provisions Exploitation</v>
          </cell>
        </row>
        <row r="1204">
          <cell r="A1204">
            <v>759320</v>
          </cell>
          <cell r="B1204" t="str">
            <v>REPR.PROV.DEPREC.MAT.PREM.N/DED.</v>
          </cell>
          <cell r="C1204" t="str">
            <v>G04</v>
          </cell>
          <cell r="D1204" t="str">
            <v>Reprises Provisions Exploitation</v>
          </cell>
        </row>
        <row r="1205">
          <cell r="A1205">
            <v>759330</v>
          </cell>
          <cell r="B1205" t="str">
            <v>REPR.DEPRECIAT.MAT.PREM.DEDUC.</v>
          </cell>
          <cell r="C1205" t="str">
            <v>G04</v>
          </cell>
          <cell r="D1205" t="str">
            <v>Reprises Provisions Exploitation</v>
          </cell>
        </row>
        <row r="1206">
          <cell r="A1206">
            <v>759340</v>
          </cell>
          <cell r="B1206" t="str">
            <v>REPR.DEPREC.STKS PIECES RECHANGE</v>
          </cell>
          <cell r="C1206" t="str">
            <v>G04</v>
          </cell>
          <cell r="D1206" t="str">
            <v>Reprises Provisions Exploitation</v>
          </cell>
        </row>
        <row r="1207">
          <cell r="A1207">
            <v>759350</v>
          </cell>
          <cell r="B1207" t="str">
            <v>REP.PROV.DEP.EMBAL.HN N.DEDUC.</v>
          </cell>
          <cell r="C1207" t="str">
            <v>G06</v>
          </cell>
          <cell r="D1207" t="str">
            <v>Reprises Provisions Exploitation LT</v>
          </cell>
        </row>
        <row r="1208">
          <cell r="A1208">
            <v>759360</v>
          </cell>
          <cell r="B1208" t="str">
            <v>REP.PROV.DEP.STK EMBALL.DORMANTS</v>
          </cell>
          <cell r="C1208" t="str">
            <v>G06</v>
          </cell>
          <cell r="D1208" t="str">
            <v>Reprises Provisions Exploitation LT</v>
          </cell>
        </row>
        <row r="1209">
          <cell r="A1209">
            <v>759365</v>
          </cell>
          <cell r="B1209" t="str">
            <v>REP.PROV.DEP.STK EMBALL. NEUFS</v>
          </cell>
          <cell r="C1209" t="str">
            <v>G04</v>
          </cell>
          <cell r="D1209" t="str">
            <v>Reprises Provisions Exploitation</v>
          </cell>
        </row>
        <row r="1210">
          <cell r="A1210">
            <v>759370</v>
          </cell>
          <cell r="B1210" t="e">
            <v>#N/A</v>
          </cell>
          <cell r="C1210" t="str">
            <v>G04</v>
          </cell>
          <cell r="D1210" t="str">
            <v>Reprises Provisions Exploitation</v>
          </cell>
        </row>
        <row r="1211">
          <cell r="A1211">
            <v>759380</v>
          </cell>
          <cell r="B1211" t="str">
            <v>REP.PROV.DEPR STK EMB NEUFS</v>
          </cell>
          <cell r="C1211" t="str">
            <v>G06</v>
          </cell>
          <cell r="D1211" t="str">
            <v>Reprises Provisions Exploitation LT</v>
          </cell>
        </row>
        <row r="1212">
          <cell r="A1212">
            <v>759390</v>
          </cell>
          <cell r="B1212" t="str">
            <v>REP.PROV.DEP.STK AUTRES APPRO</v>
          </cell>
          <cell r="C1212" t="str">
            <v>G04</v>
          </cell>
          <cell r="D1212" t="str">
            <v>Reprises Provisions Exploitation</v>
          </cell>
        </row>
        <row r="1213">
          <cell r="A1213">
            <v>759400</v>
          </cell>
          <cell r="B1213" t="str">
            <v>REP.PROV.P/DEP.FOURN.DEBIT.DEDUC</v>
          </cell>
          <cell r="C1213" t="str">
            <v>G04</v>
          </cell>
          <cell r="D1213" t="str">
            <v>Reprises Provisions Exploitation</v>
          </cell>
        </row>
        <row r="1214">
          <cell r="A1214">
            <v>759405</v>
          </cell>
          <cell r="B1214" t="str">
            <v>REPRISE PROVISIONS FOURN DEB NON DEDUCT</v>
          </cell>
          <cell r="C1214" t="str">
            <v>G04</v>
          </cell>
          <cell r="D1214" t="str">
            <v>Reprises Provisions Exploitation</v>
          </cell>
        </row>
        <row r="1215">
          <cell r="A1215">
            <v>759410</v>
          </cell>
          <cell r="B1215" t="str">
            <v>REP.PROV.DEPRECIAT.CLIENTS DEDUC</v>
          </cell>
          <cell r="C1215" t="str">
            <v>G04</v>
          </cell>
          <cell r="D1215" t="str">
            <v>Reprises Provisions Exploitation</v>
          </cell>
        </row>
        <row r="1216">
          <cell r="A1216">
            <v>759420</v>
          </cell>
          <cell r="B1216" t="str">
            <v>REP.PROV.DEPREC.CLIENTS NON/DED.</v>
          </cell>
          <cell r="C1216" t="str">
            <v>G04</v>
          </cell>
          <cell r="D1216" t="str">
            <v>Reprises Provisions Exploitation</v>
          </cell>
        </row>
        <row r="1217">
          <cell r="A1217">
            <v>759430</v>
          </cell>
          <cell r="B1217" t="str">
            <v>REP.PROV.P/RISQ.CLIENTS NON/DED.</v>
          </cell>
          <cell r="C1217" t="str">
            <v>G04</v>
          </cell>
          <cell r="D1217" t="str">
            <v>Reprises Provisions Exploitation</v>
          </cell>
        </row>
        <row r="1218">
          <cell r="A1218">
            <v>759440</v>
          </cell>
          <cell r="B1218" t="str">
            <v>REP.PROV.DEPRECIAT.PERSONNEL</v>
          </cell>
          <cell r="C1218" t="str">
            <v>G04</v>
          </cell>
          <cell r="D1218" t="str">
            <v>Reprises Provisions Exploitation</v>
          </cell>
        </row>
        <row r="1219">
          <cell r="A1219">
            <v>759450</v>
          </cell>
          <cell r="B1219" t="e">
            <v>#N/A</v>
          </cell>
          <cell r="C1219" t="str">
            <v>G04</v>
          </cell>
          <cell r="D1219" t="str">
            <v>Reprises Provisions Exploitation</v>
          </cell>
        </row>
        <row r="1220">
          <cell r="A1220">
            <v>759460</v>
          </cell>
          <cell r="B1220" t="str">
            <v>REPR.PROV.DEPR.TIERS DIVERS DED.</v>
          </cell>
          <cell r="C1220" t="str">
            <v>G04</v>
          </cell>
          <cell r="D1220" t="str">
            <v>Reprises Provisions Exploitation</v>
          </cell>
        </row>
        <row r="1221">
          <cell r="A1221">
            <v>759465</v>
          </cell>
          <cell r="B1221" t="e">
            <v>#N/A</v>
          </cell>
          <cell r="C1221" t="str">
            <v>I05</v>
          </cell>
          <cell r="D1221" t="str">
            <v>Charges except HE</v>
          </cell>
        </row>
        <row r="1222">
          <cell r="A1222">
            <v>759470</v>
          </cell>
          <cell r="B1222" t="str">
            <v>REPR.DEBIT.DIVERS NON DEDUCTIBLE</v>
          </cell>
          <cell r="C1222" t="str">
            <v>G04</v>
          </cell>
          <cell r="D1222" t="str">
            <v>Reprises Provisions Exploitation</v>
          </cell>
        </row>
        <row r="1223">
          <cell r="A1223">
            <v>759480</v>
          </cell>
          <cell r="B1223" t="e">
            <v>#N/A</v>
          </cell>
          <cell r="C1223" t="str">
            <v>G04</v>
          </cell>
          <cell r="D1223" t="str">
            <v>Reprises Provisions Exploitation</v>
          </cell>
        </row>
        <row r="1224">
          <cell r="A1224">
            <v>759800</v>
          </cell>
          <cell r="B1224" t="e">
            <v>#N/A</v>
          </cell>
          <cell r="C1224" t="str">
            <v>G06</v>
          </cell>
          <cell r="D1224" t="str">
            <v>Reprises Provisions Exploitation LT</v>
          </cell>
        </row>
        <row r="1225">
          <cell r="A1225">
            <v>772000</v>
          </cell>
          <cell r="B1225" t="str">
            <v>REVENUS DES TITRES DE PARTICIPAT</v>
          </cell>
          <cell r="C1225" t="str">
            <v>H02</v>
          </cell>
          <cell r="D1225" t="str">
            <v>Produits financiers</v>
          </cell>
        </row>
        <row r="1226">
          <cell r="A1226">
            <v>774000</v>
          </cell>
          <cell r="B1226" t="e">
            <v>#N/A</v>
          </cell>
          <cell r="C1226" t="str">
            <v>H02</v>
          </cell>
          <cell r="D1226" t="str">
            <v>Produits financiers</v>
          </cell>
        </row>
        <row r="1227">
          <cell r="A1227">
            <v>776000</v>
          </cell>
          <cell r="B1227" t="str">
            <v>GAIN DE CHANGE</v>
          </cell>
          <cell r="C1227" t="str">
            <v>H02</v>
          </cell>
          <cell r="D1227" t="str">
            <v>Produits financiers</v>
          </cell>
        </row>
        <row r="1228">
          <cell r="A1228">
            <v>778200</v>
          </cell>
          <cell r="B1228" t="str">
            <v>PROD.FINANCIERS/DEPOTS A C.T.LOC</v>
          </cell>
          <cell r="C1228" t="str">
            <v>H02</v>
          </cell>
          <cell r="D1228" t="str">
            <v>Produits financiers</v>
          </cell>
        </row>
        <row r="1229">
          <cell r="A1229">
            <v>778205</v>
          </cell>
          <cell r="B1229" t="str">
            <v>PROD.FINANC/CPTES COURANTS ETRA.</v>
          </cell>
          <cell r="C1229" t="str">
            <v>H02</v>
          </cell>
          <cell r="D1229" t="str">
            <v>Produits financiers</v>
          </cell>
        </row>
        <row r="1230">
          <cell r="A1230">
            <v>778206</v>
          </cell>
          <cell r="B1230" t="str">
            <v>PROD.FIN/AVANCE FONDS STES H/CAM</v>
          </cell>
          <cell r="C1230" t="str">
            <v>H02</v>
          </cell>
          <cell r="D1230" t="str">
            <v>Produits financiers</v>
          </cell>
        </row>
        <row r="1231">
          <cell r="A1231">
            <v>778209</v>
          </cell>
          <cell r="B1231" t="str">
            <v>PROV.PROD.FINANC/DEPOTS A CT.LOC</v>
          </cell>
          <cell r="C1231" t="str">
            <v>H02</v>
          </cell>
          <cell r="D1231" t="str">
            <v>Produits financiers</v>
          </cell>
        </row>
        <row r="1232">
          <cell r="A1232">
            <v>778210</v>
          </cell>
          <cell r="B1232" t="str">
            <v>AUTRES PRODUITS FINANCIERS</v>
          </cell>
          <cell r="C1232" t="str">
            <v>H02</v>
          </cell>
          <cell r="D1232" t="str">
            <v>Produits financiers</v>
          </cell>
        </row>
        <row r="1233">
          <cell r="A1233">
            <v>778211</v>
          </cell>
          <cell r="B1233" t="e">
            <v>#N/A</v>
          </cell>
          <cell r="C1233" t="str">
            <v>H02</v>
          </cell>
          <cell r="D1233" t="str">
            <v>Produits financiers</v>
          </cell>
        </row>
        <row r="1234">
          <cell r="A1234">
            <v>778212</v>
          </cell>
          <cell r="B1234" t="e">
            <v>#N/A</v>
          </cell>
          <cell r="C1234" t="str">
            <v>H02</v>
          </cell>
          <cell r="D1234" t="str">
            <v>Produits financiers</v>
          </cell>
        </row>
        <row r="1235">
          <cell r="A1235">
            <v>779100</v>
          </cell>
          <cell r="B1235" t="str">
            <v>REPRIS.S/PROV.RISQUES FINANCIERS</v>
          </cell>
          <cell r="C1235" t="str">
            <v>G06</v>
          </cell>
          <cell r="D1235" t="str">
            <v>Reprises Provisions Exploitation LT</v>
          </cell>
        </row>
        <row r="1236">
          <cell r="A1236">
            <v>779300</v>
          </cell>
          <cell r="B1236" t="e">
            <v>#N/A</v>
          </cell>
          <cell r="C1236" t="str">
            <v>G06</v>
          </cell>
          <cell r="D1236" t="str">
            <v>Reprises Provisions Exploitation LT</v>
          </cell>
        </row>
        <row r="1237">
          <cell r="A1237">
            <v>779500</v>
          </cell>
          <cell r="B1237" t="e">
            <v>#N/A</v>
          </cell>
          <cell r="C1237" t="str">
            <v>G06</v>
          </cell>
          <cell r="D1237" t="str">
            <v>Reprises Provisions Exploitation LT</v>
          </cell>
        </row>
        <row r="1238">
          <cell r="A1238">
            <v>779510</v>
          </cell>
          <cell r="B1238" t="e">
            <v>#N/A</v>
          </cell>
          <cell r="C1238" t="str">
            <v>G06</v>
          </cell>
          <cell r="D1238" t="str">
            <v>Reprises Provisions Exploitation LT</v>
          </cell>
        </row>
        <row r="1239">
          <cell r="A1239">
            <v>781010</v>
          </cell>
          <cell r="B1239" t="str">
            <v>M.P.C. - TRANSFERT A TIERS</v>
          </cell>
          <cell r="C1239" t="str">
            <v>D02</v>
          </cell>
          <cell r="D1239" t="str">
            <v>Matières et fournitures de production</v>
          </cell>
        </row>
        <row r="1240">
          <cell r="A1240">
            <v>781020</v>
          </cell>
          <cell r="B1240" t="str">
            <v>ENERGIE - TRANSFERT A TIERS</v>
          </cell>
          <cell r="C1240" t="str">
            <v>F01</v>
          </cell>
          <cell r="D1240" t="str">
            <v>Consommations fixes</v>
          </cell>
        </row>
        <row r="1241">
          <cell r="A1241">
            <v>781030</v>
          </cell>
          <cell r="B1241" t="str">
            <v>PIECES RECHANGE-TRANSF.A TIERS</v>
          </cell>
          <cell r="C1241" t="str">
            <v>E03</v>
          </cell>
          <cell r="D1241" t="str">
            <v>Maintenance (PdeR et entretien usine)</v>
          </cell>
        </row>
        <row r="1242">
          <cell r="A1242">
            <v>781040</v>
          </cell>
          <cell r="B1242" t="str">
            <v>AUTRES CONSOM.-TRANSFERT A TIERS</v>
          </cell>
          <cell r="C1242" t="str">
            <v>F01</v>
          </cell>
          <cell r="D1242" t="str">
            <v>Consommations fixes</v>
          </cell>
        </row>
        <row r="1243">
          <cell r="A1243">
            <v>781045</v>
          </cell>
          <cell r="B1243" t="str">
            <v>TRANSPORT TRANSFERE A TIERS</v>
          </cell>
          <cell r="C1243" t="str">
            <v>F02</v>
          </cell>
          <cell r="D1243" t="str">
            <v>Transports Fixes</v>
          </cell>
        </row>
        <row r="1244">
          <cell r="A1244">
            <v>781050</v>
          </cell>
          <cell r="B1244" t="str">
            <v>SERVICES - TRANSFERT A TIERS</v>
          </cell>
          <cell r="C1244" t="str">
            <v>F03</v>
          </cell>
          <cell r="D1244" t="str">
            <v>Autres Services</v>
          </cell>
        </row>
        <row r="1245">
          <cell r="A1245">
            <v>781055</v>
          </cell>
          <cell r="B1245" t="str">
            <v>PUBLICITE - TRANSFERT A TIERS</v>
          </cell>
          <cell r="C1245" t="str">
            <v>E04</v>
          </cell>
          <cell r="D1245" t="str">
            <v>Publicité et Marketing local</v>
          </cell>
        </row>
        <row r="1246">
          <cell r="A1246">
            <v>781060</v>
          </cell>
          <cell r="B1246" t="str">
            <v>FRAIS PERSONNEL TRNSFERT A TIERS</v>
          </cell>
          <cell r="C1246" t="str">
            <v>F06</v>
          </cell>
          <cell r="D1246" t="str">
            <v>Frais de Personnel</v>
          </cell>
        </row>
        <row r="1247">
          <cell r="A1247">
            <v>781100</v>
          </cell>
          <cell r="B1247" t="str">
            <v>AVARIES TRANSFERT A TIERS</v>
          </cell>
          <cell r="C1247" t="str">
            <v>G01</v>
          </cell>
          <cell r="D1247" t="str">
            <v>Autres Produits d' Exploitation</v>
          </cell>
        </row>
        <row r="1248">
          <cell r="A1248">
            <v>781200</v>
          </cell>
          <cell r="B1248" t="str">
            <v>CHARGES IMPUTABLES A TIERS</v>
          </cell>
          <cell r="C1248" t="str">
            <v>F03</v>
          </cell>
          <cell r="D1248" t="str">
            <v>Autres Services</v>
          </cell>
        </row>
        <row r="1249">
          <cell r="A1249">
            <v>781210</v>
          </cell>
          <cell r="B1249" t="e">
            <v>#N/A</v>
          </cell>
          <cell r="C1249" t="str">
            <v>F07</v>
          </cell>
          <cell r="D1249" t="str">
            <v>Impôts &amp; Taxes</v>
          </cell>
        </row>
        <row r="1250">
          <cell r="A1250">
            <v>781211</v>
          </cell>
          <cell r="B1250" t="str">
            <v>TVA S/ASSISTANCE TECHN.ETRANGERE</v>
          </cell>
          <cell r="C1250" t="str">
            <v>F07</v>
          </cell>
          <cell r="D1250" t="str">
            <v>Impôts &amp; Taxes</v>
          </cell>
        </row>
        <row r="1251">
          <cell r="A1251">
            <v>781220</v>
          </cell>
          <cell r="B1251" t="str">
            <v>CHARGES IMPUT.TRANSPT/LIVREURS</v>
          </cell>
          <cell r="C1251" t="str">
            <v>F03</v>
          </cell>
          <cell r="D1251" t="str">
            <v>Autres Services</v>
          </cell>
        </row>
        <row r="1252">
          <cell r="A1252">
            <v>781250</v>
          </cell>
          <cell r="B1252" t="str">
            <v>FRAIS TRANSFERES A.T.</v>
          </cell>
          <cell r="C1252" t="str">
            <v>F03</v>
          </cell>
          <cell r="D1252" t="str">
            <v>Autres Services</v>
          </cell>
        </row>
        <row r="1253">
          <cell r="A1253">
            <v>781300</v>
          </cell>
          <cell r="B1253" t="e">
            <v>#N/A</v>
          </cell>
          <cell r="C1253" t="str">
            <v>F06</v>
          </cell>
          <cell r="D1253" t="str">
            <v>Frais de Personnel</v>
          </cell>
        </row>
        <row r="1254">
          <cell r="A1254">
            <v>781350</v>
          </cell>
          <cell r="B1254" t="str">
            <v>CHARGES IMPUT.TIERS PUBLIC.</v>
          </cell>
          <cell r="C1254" t="str">
            <v>E04</v>
          </cell>
          <cell r="D1254" t="str">
            <v>Publicité et Marketing local</v>
          </cell>
        </row>
        <row r="1255">
          <cell r="A1255">
            <v>781410</v>
          </cell>
          <cell r="B1255" t="str">
            <v>TVA TRSFT RECUP.S/PROD.A NS-MEME</v>
          </cell>
          <cell r="C1255" t="str">
            <v>F07</v>
          </cell>
          <cell r="D1255" t="str">
            <v>Impôts &amp; Taxes</v>
          </cell>
        </row>
        <row r="1256">
          <cell r="A1256">
            <v>791000</v>
          </cell>
          <cell r="B1256" t="str">
            <v>REP. PROV. P/EXPLOITATION</v>
          </cell>
          <cell r="C1256" t="str">
            <v>G06</v>
          </cell>
          <cell r="D1256" t="str">
            <v>Reprises Provisions Exploitation LT</v>
          </cell>
        </row>
        <row r="1257">
          <cell r="A1257">
            <v>791110</v>
          </cell>
          <cell r="B1257" t="str">
            <v>REPRIS.S/PROV. POUR LITIGES</v>
          </cell>
          <cell r="C1257" t="str">
            <v>G06</v>
          </cell>
          <cell r="D1257" t="str">
            <v>Reprises Provisions Exploitation LT</v>
          </cell>
        </row>
        <row r="1258">
          <cell r="A1258">
            <v>791115</v>
          </cell>
          <cell r="B1258" t="str">
            <v>REP.PROV.DEPC.LITIGES DEDUCT.</v>
          </cell>
          <cell r="C1258" t="str">
            <v>G06</v>
          </cell>
          <cell r="D1258" t="str">
            <v>Reprises Provisions Exploitation LT</v>
          </cell>
        </row>
        <row r="1259">
          <cell r="A1259">
            <v>791120</v>
          </cell>
          <cell r="B1259" t="e">
            <v>#N/A</v>
          </cell>
          <cell r="C1259" t="str">
            <v>G06</v>
          </cell>
          <cell r="D1259" t="str">
            <v>Reprises Provisions Exploitation LT</v>
          </cell>
        </row>
        <row r="1260">
          <cell r="A1260">
            <v>791121</v>
          </cell>
          <cell r="B1260" t="e">
            <v>#N/A</v>
          </cell>
          <cell r="C1260" t="str">
            <v>G06</v>
          </cell>
          <cell r="D1260" t="str">
            <v>Reprises Provisions Exploitation LT</v>
          </cell>
        </row>
        <row r="1261">
          <cell r="A1261">
            <v>791122</v>
          </cell>
          <cell r="B1261" t="str">
            <v>REPR.P/EVENTUALITES DIVERSES</v>
          </cell>
          <cell r="C1261" t="str">
            <v>G06</v>
          </cell>
          <cell r="D1261" t="str">
            <v>Reprises Provisions Exploitation LT</v>
          </cell>
        </row>
        <row r="1262">
          <cell r="A1262">
            <v>791123</v>
          </cell>
          <cell r="B1262" t="str">
            <v>REPR.PROV.P/RIS.FISCAL &amp; DOUANIE</v>
          </cell>
          <cell r="C1262" t="str">
            <v>G06</v>
          </cell>
          <cell r="D1262" t="str">
            <v>Reprises Provisions Exploitation LT</v>
          </cell>
        </row>
        <row r="1263">
          <cell r="A1263">
            <v>791127</v>
          </cell>
          <cell r="B1263" t="str">
            <v>REPR.PROV.P/RENOUVEL.DU MATERIEL</v>
          </cell>
          <cell r="C1263" t="str">
            <v>I02</v>
          </cell>
          <cell r="D1263" t="str">
            <v>Reprises provisions HE</v>
          </cell>
        </row>
        <row r="1264">
          <cell r="A1264">
            <v>791128</v>
          </cell>
          <cell r="B1264" t="e">
            <v>#N/A</v>
          </cell>
          <cell r="C1264" t="str">
            <v>G06</v>
          </cell>
          <cell r="D1264" t="str">
            <v>Reprises Provisions Exploitation LT</v>
          </cell>
        </row>
        <row r="1265">
          <cell r="A1265">
            <v>791150</v>
          </cell>
          <cell r="B1265" t="str">
            <v>REP.PR/INDEMN.DEPART RETRAITE</v>
          </cell>
          <cell r="C1265" t="str">
            <v>G06</v>
          </cell>
          <cell r="D1265" t="str">
            <v>Reprises Provisions Exploitation LT</v>
          </cell>
        </row>
        <row r="1266">
          <cell r="A1266">
            <v>791151</v>
          </cell>
          <cell r="B1266" t="str">
            <v>REP.PROV.50% IRRP/RETRAITE</v>
          </cell>
          <cell r="C1266" t="str">
            <v>G06</v>
          </cell>
          <cell r="D1266" t="str">
            <v>Reprises Provisions Exploitation LT</v>
          </cell>
        </row>
        <row r="1267">
          <cell r="A1267">
            <v>791155</v>
          </cell>
          <cell r="B1267" t="str">
            <v>REP.PROV.MEDAILLE TRAVAIL N/DED.</v>
          </cell>
          <cell r="C1267" t="str">
            <v>G06</v>
          </cell>
          <cell r="D1267" t="str">
            <v>Reprises Provisions Exploitation LT</v>
          </cell>
        </row>
        <row r="1268">
          <cell r="A1268">
            <v>791156</v>
          </cell>
          <cell r="B1268" t="str">
            <v>REP.PROV.PRIME ANCIENNETE N/DED.</v>
          </cell>
          <cell r="C1268" t="str">
            <v>G06</v>
          </cell>
          <cell r="D1268" t="str">
            <v>Reprises Provisions Exploitation LT</v>
          </cell>
        </row>
        <row r="1269">
          <cell r="A1269">
            <v>791160</v>
          </cell>
          <cell r="B1269" t="str">
            <v>REP.PROVISION COMPLEMENT DECES</v>
          </cell>
          <cell r="C1269" t="str">
            <v>G06</v>
          </cell>
          <cell r="D1269" t="str">
            <v>Reprises Provisions Exploitation LT</v>
          </cell>
        </row>
        <row r="1270">
          <cell r="A1270">
            <v>791170</v>
          </cell>
          <cell r="B1270" t="str">
            <v>REP. PROV. FRAIS OBSEQUES</v>
          </cell>
          <cell r="C1270" t="str">
            <v>G06</v>
          </cell>
          <cell r="D1270" t="str">
            <v>Reprises Provisions Exploitation LT</v>
          </cell>
        </row>
        <row r="1271">
          <cell r="A1271">
            <v>797100</v>
          </cell>
          <cell r="B1271" t="str">
            <v>REP. PROV. FINANC.P/RISQ ET CHARG.</v>
          </cell>
          <cell r="C1271" t="str">
            <v>G06</v>
          </cell>
          <cell r="D1271" t="str">
            <v>Reprises Provisions Exploitation LT</v>
          </cell>
        </row>
        <row r="1272">
          <cell r="A1272">
            <v>797200</v>
          </cell>
          <cell r="B1272" t="str">
            <v>REP. PROV. TITRE NON DEDUCTIBLE</v>
          </cell>
          <cell r="C1272" t="str">
            <v>G06</v>
          </cell>
          <cell r="D1272" t="str">
            <v>Reprises Provisions Exploitation LT</v>
          </cell>
        </row>
        <row r="1273">
          <cell r="A1273">
            <v>797210</v>
          </cell>
          <cell r="B1273" t="str">
            <v>REP. PROV. TITRE DEDUCTIBLE</v>
          </cell>
          <cell r="C1273" t="str">
            <v>G06</v>
          </cell>
          <cell r="D1273" t="str">
            <v>Reprises Provisions Exploitation LT</v>
          </cell>
        </row>
        <row r="1274">
          <cell r="A1274">
            <v>797215</v>
          </cell>
          <cell r="B1274" t="str">
            <v>REP. PROV. DEPôTS ET CAUTIONS NON DEDUCT</v>
          </cell>
          <cell r="C1274" t="str">
            <v>G06</v>
          </cell>
          <cell r="D1274" t="str">
            <v>Reprises Provisions Exploitation LT</v>
          </cell>
        </row>
        <row r="1275">
          <cell r="A1275">
            <v>797235</v>
          </cell>
          <cell r="B1275" t="str">
            <v>REP.PROV.DIVERS PRETS NON DEDUCT</v>
          </cell>
          <cell r="C1275" t="str">
            <v>G06</v>
          </cell>
          <cell r="D1275" t="str">
            <v>Reprises Provisions Exploitation LT</v>
          </cell>
        </row>
        <row r="1276">
          <cell r="A1276">
            <v>797236</v>
          </cell>
          <cell r="B1276" t="str">
            <v>REP.PROV.DIVERS PRETS DEDUCT</v>
          </cell>
          <cell r="C1276" t="str">
            <v>G06</v>
          </cell>
          <cell r="D1276" t="str">
            <v>Reprises Provisions Exploitation LT</v>
          </cell>
        </row>
        <row r="1277">
          <cell r="A1277">
            <v>798000</v>
          </cell>
          <cell r="B1277" t="e">
            <v>#N/A</v>
          </cell>
          <cell r="C1277" t="str">
            <v>G02</v>
          </cell>
          <cell r="D1277" t="str">
            <v>Dotations aux Amortissements</v>
          </cell>
        </row>
        <row r="1278">
          <cell r="A1278">
            <v>812000</v>
          </cell>
          <cell r="B1278" t="str">
            <v>VALEUR COMPTA .CESS.D'IMMOB. CORP.</v>
          </cell>
          <cell r="C1278" t="str">
            <v>I03</v>
          </cell>
          <cell r="D1278" t="str">
            <v xml:space="preserve"> +/- values de cessions</v>
          </cell>
        </row>
        <row r="1279">
          <cell r="A1279">
            <v>812100</v>
          </cell>
          <cell r="B1279" t="e">
            <v>#N/A</v>
          </cell>
          <cell r="C1279" t="str">
            <v>I03</v>
          </cell>
          <cell r="D1279" t="str">
            <v xml:space="preserve"> +/- values de cessions</v>
          </cell>
        </row>
        <row r="1280">
          <cell r="A1280">
            <v>816200</v>
          </cell>
          <cell r="B1280" t="str">
            <v>SORTIE BRUTE DE TITRES</v>
          </cell>
          <cell r="C1280" t="str">
            <v>I03</v>
          </cell>
          <cell r="D1280" t="str">
            <v xml:space="preserve"> +/- values de cessions</v>
          </cell>
        </row>
        <row r="1281">
          <cell r="A1281">
            <v>822000</v>
          </cell>
          <cell r="B1281" t="str">
            <v>PRODUITS DES CESSIONS D'IMMOB. CORP.</v>
          </cell>
          <cell r="C1281" t="str">
            <v>I03</v>
          </cell>
          <cell r="D1281" t="str">
            <v xml:space="preserve"> +/- values de cessions</v>
          </cell>
        </row>
        <row r="1282">
          <cell r="A1282">
            <v>826300</v>
          </cell>
          <cell r="B1282" t="str">
            <v>PRIX DE CESSION DE TITRES</v>
          </cell>
          <cell r="C1282" t="str">
            <v>I03</v>
          </cell>
          <cell r="D1282" t="str">
            <v xml:space="preserve"> +/- values de cessions</v>
          </cell>
        </row>
        <row r="1283">
          <cell r="A1283">
            <v>831000</v>
          </cell>
          <cell r="B1283" t="str">
            <v>CHARGES HAO CONSTATES PILLAGES</v>
          </cell>
          <cell r="C1283" t="str">
            <v>I05</v>
          </cell>
          <cell r="D1283" t="str">
            <v>Charges except HE</v>
          </cell>
        </row>
        <row r="1284">
          <cell r="A1284">
            <v>841000</v>
          </cell>
          <cell r="B1284" t="str">
            <v>PRODUITS H.A.O PILLAGES</v>
          </cell>
          <cell r="C1284" t="str">
            <v>I04</v>
          </cell>
          <cell r="D1284" t="str">
            <v>Produits except HE</v>
          </cell>
        </row>
        <row r="1285">
          <cell r="A1285">
            <v>841100</v>
          </cell>
          <cell r="B1285" t="str">
            <v>AUTRES PRODUITS H.A.O</v>
          </cell>
          <cell r="C1285" t="str">
            <v>I04</v>
          </cell>
          <cell r="D1285" t="str">
            <v>Produits except HE</v>
          </cell>
        </row>
        <row r="1286">
          <cell r="A1286">
            <v>836000</v>
          </cell>
          <cell r="B1286" t="str">
            <v>ABANDON DE CREANCES S/STES DU GROUPE</v>
          </cell>
          <cell r="C1286" t="str">
            <v>I05</v>
          </cell>
          <cell r="D1286" t="str">
            <v>Charges except HE</v>
          </cell>
        </row>
        <row r="1287">
          <cell r="A1287">
            <v>836170</v>
          </cell>
          <cell r="B1287" t="e">
            <v>#N/A</v>
          </cell>
          <cell r="C1287" t="str">
            <v>I05</v>
          </cell>
          <cell r="D1287" t="str">
            <v>Charges except HE</v>
          </cell>
        </row>
        <row r="1288">
          <cell r="A1288">
            <v>836280</v>
          </cell>
          <cell r="B1288" t="e">
            <v>#N/A</v>
          </cell>
          <cell r="C1288" t="str">
            <v>I05</v>
          </cell>
          <cell r="D1288" t="str">
            <v>Charges except HE</v>
          </cell>
        </row>
        <row r="1289">
          <cell r="A1289">
            <v>851000</v>
          </cell>
          <cell r="B1289" t="e">
            <v>#N/A</v>
          </cell>
          <cell r="C1289" t="str">
            <v>I01</v>
          </cell>
          <cell r="D1289" t="str">
            <v>Dotations provisions HE</v>
          </cell>
        </row>
        <row r="1290">
          <cell r="A1290">
            <v>851900</v>
          </cell>
          <cell r="B1290" t="e">
            <v>#N/A</v>
          </cell>
          <cell r="C1290" t="str">
            <v>I05</v>
          </cell>
          <cell r="D1290" t="str">
            <v>Charges except HE</v>
          </cell>
        </row>
        <row r="1291">
          <cell r="A1291">
            <v>851910</v>
          </cell>
          <cell r="B1291" t="e">
            <v>#N/A</v>
          </cell>
          <cell r="C1291" t="str">
            <v>I05</v>
          </cell>
          <cell r="D1291" t="str">
            <v>Charges except HE</v>
          </cell>
        </row>
        <row r="1292">
          <cell r="A1292">
            <v>853000</v>
          </cell>
          <cell r="B1292" t="str">
            <v>DOTAT° AUX PROV.P/RISQUES ET CHAR. H.A.O</v>
          </cell>
          <cell r="C1292" t="str">
            <v>I01</v>
          </cell>
          <cell r="D1292" t="str">
            <v>Dotations provisions HE</v>
          </cell>
        </row>
        <row r="1293">
          <cell r="A1293">
            <v>863000</v>
          </cell>
          <cell r="B1293" t="str">
            <v>REP.PROV.P/DEPRECAITION. H.A.O</v>
          </cell>
          <cell r="C1293" t="str">
            <v>I01</v>
          </cell>
          <cell r="D1293" t="str">
            <v>Dotations provisions HE</v>
          </cell>
        </row>
        <row r="1294">
          <cell r="A1294">
            <v>861000</v>
          </cell>
          <cell r="B1294" t="e">
            <v>#N/A</v>
          </cell>
          <cell r="C1294" t="str">
            <v>I04</v>
          </cell>
          <cell r="D1294" t="str">
            <v>Produits except HE</v>
          </cell>
        </row>
        <row r="1295">
          <cell r="A1295">
            <v>861900</v>
          </cell>
          <cell r="B1295" t="e">
            <v>#N/A</v>
          </cell>
          <cell r="C1295" t="str">
            <v>I04</v>
          </cell>
          <cell r="D1295" t="str">
            <v>Produits except HE</v>
          </cell>
        </row>
        <row r="1296">
          <cell r="A1296">
            <v>861910</v>
          </cell>
          <cell r="B1296" t="e">
            <v>#N/A</v>
          </cell>
          <cell r="C1296" t="str">
            <v>I04</v>
          </cell>
          <cell r="D1296" t="str">
            <v>Produits except HE</v>
          </cell>
        </row>
        <row r="1297">
          <cell r="A1297">
            <v>891100</v>
          </cell>
          <cell r="B1297" t="str">
            <v>IMPOT S/BENEFICE DE L'EXERCICE</v>
          </cell>
          <cell r="C1297" t="str">
            <v>I06</v>
          </cell>
          <cell r="D1297" t="str">
            <v>Impôt sur le résultat</v>
          </cell>
        </row>
        <row r="1298">
          <cell r="A1298">
            <v>891120</v>
          </cell>
          <cell r="B1298" t="e">
            <v>#N/A</v>
          </cell>
          <cell r="C1298" t="str">
            <v>I06</v>
          </cell>
          <cell r="D1298" t="str">
            <v>Impôt sur le résultat</v>
          </cell>
        </row>
        <row r="1299">
          <cell r="A1299">
            <v>891199</v>
          </cell>
          <cell r="B1299" t="str">
            <v>PROVISION IMPOT S/BENEFICE</v>
          </cell>
          <cell r="C1299" t="str">
            <v>I06</v>
          </cell>
          <cell r="D1299" t="str">
            <v>Impôt sur le résultat</v>
          </cell>
        </row>
        <row r="1300">
          <cell r="A1300">
            <v>892100</v>
          </cell>
          <cell r="B1300" t="str">
            <v>RAPPEL D'IMPOTS S/SOCIETES</v>
          </cell>
          <cell r="C1300" t="str">
            <v>I05</v>
          </cell>
          <cell r="D1300" t="str">
            <v>Charges except HE</v>
          </cell>
        </row>
        <row r="1301">
          <cell r="A1301">
            <v>895000</v>
          </cell>
          <cell r="B1301" t="str">
            <v>IMPOT MINIMUM FORFAITAIRE (I.M.F)</v>
          </cell>
          <cell r="C1301" t="str">
            <v>I06</v>
          </cell>
          <cell r="D1301" t="str">
            <v>Impôt sur le résultat</v>
          </cell>
        </row>
        <row r="1302">
          <cell r="A1302">
            <v>99999990</v>
          </cell>
          <cell r="B1302" t="e">
            <v>#N/A</v>
          </cell>
          <cell r="C1302" t="str">
            <v>F05</v>
          </cell>
          <cell r="D1302" t="str">
            <v>Autres Charges</v>
          </cell>
        </row>
        <row r="1303">
          <cell r="A1303">
            <v>99999996</v>
          </cell>
          <cell r="B1303" t="e">
            <v>#N/A</v>
          </cell>
          <cell r="C1303" t="str">
            <v>F05</v>
          </cell>
          <cell r="D1303" t="str">
            <v>Autres Charges</v>
          </cell>
        </row>
        <row r="1304">
          <cell r="A1304">
            <v>99999997</v>
          </cell>
          <cell r="B1304" t="e">
            <v>#N/A</v>
          </cell>
          <cell r="C1304" t="str">
            <v>F05</v>
          </cell>
          <cell r="D1304" t="str">
            <v>Autres Charges</v>
          </cell>
        </row>
        <row r="1305">
          <cell r="A1305">
            <v>99999998</v>
          </cell>
          <cell r="B1305" t="e">
            <v>#N/A</v>
          </cell>
          <cell r="C1305" t="str">
            <v>F05</v>
          </cell>
          <cell r="D1305" t="str">
            <v>Autres Charges</v>
          </cell>
        </row>
        <row r="1306">
          <cell r="A1306">
            <v>99999999</v>
          </cell>
          <cell r="B1306" t="e">
            <v>#N/A</v>
          </cell>
          <cell r="C1306" t="str">
            <v>F05</v>
          </cell>
          <cell r="D1306" t="str">
            <v>Autres Charges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F9">
            <v>44823.5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C4">
            <v>0</v>
          </cell>
        </row>
      </sheetData>
      <sheetData sheetId="31">
        <row r="4">
          <cell r="C4">
            <v>294513600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UN"/>
      <sheetName val="Rapprochement B 2013"/>
      <sheetName val="Bse suivi MPC"/>
      <sheetName val="Ajustement"/>
      <sheetName val="LITTORAL"/>
      <sheetName val="CENTRE"/>
      <sheetName val="OUEST"/>
      <sheetName val="NORD"/>
      <sheetName val="SWEST"/>
      <sheetName val="Hit parade PF +"/>
      <sheetName val="Hit parade PF-"/>
      <sheetName val="Hit parade FAMILLE"/>
      <sheetName val="Base"/>
      <sheetName val="Base (2)"/>
      <sheetName val="Data"/>
      <sheetName val="BI"/>
      <sheetName val="BG"/>
      <sheetName val="AM"/>
      <sheetName val="Scénario ratio MPC"/>
      <sheetName val="Contribution ETS"/>
      <sheetName val="contribution pour suivi avec ré"/>
      <sheetName val="Feuil2"/>
      <sheetName val="Bal_XMQ"/>
      <sheetName val="RdM_ITS"/>
    </sheetNames>
    <sheetDataSet>
      <sheetData sheetId="0">
        <row r="10">
          <cell r="F10">
            <v>5162792.7403999995</v>
          </cell>
        </row>
      </sheetData>
      <sheetData sheetId="1" refreshError="1"/>
      <sheetData sheetId="2" refreshError="1"/>
      <sheetData sheetId="3" refreshError="1"/>
      <sheetData sheetId="4">
        <row r="85">
          <cell r="S85">
            <v>41501837465.02018</v>
          </cell>
        </row>
      </sheetData>
      <sheetData sheetId="5">
        <row r="85">
          <cell r="S85">
            <v>58089152981.516884</v>
          </cell>
        </row>
      </sheetData>
      <sheetData sheetId="6">
        <row r="85">
          <cell r="S85">
            <v>28311265531.42181</v>
          </cell>
        </row>
      </sheetData>
      <sheetData sheetId="7">
        <row r="85">
          <cell r="S85">
            <v>10513105503.488079</v>
          </cell>
        </row>
      </sheetData>
      <sheetData sheetId="8">
        <row r="85">
          <cell r="S85">
            <v>12287611927.221706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Autres Hypo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Plan Comptable XMQ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Bal_XM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XMQ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COMINFO"/>
      <sheetName val="Ventes + Grat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COM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Volumes_et_CA1"/>
      <sheetName val="Volumes_et_CA2"/>
      <sheetName val="Volumes_et_CA3"/>
      <sheetName val="Volumes_et_CA4"/>
      <sheetName val="Volumes_et_CA5"/>
      <sheetName val="CA_&amp;_Taxes6"/>
      <sheetName val="Cptes_d'exploit6"/>
      <sheetName val="récap_conso6"/>
      <sheetName val="Pièces_détachées6"/>
      <sheetName val="autres_mpc6"/>
      <sheetName val="freintes_matières6"/>
      <sheetName val="couts_produits6"/>
      <sheetName val="Malta_Guinness6"/>
      <sheetName val="Y__Ananas6"/>
      <sheetName val="Y__Limonade6"/>
      <sheetName val="Y__Orange6"/>
      <sheetName val="Y__Cocktail6"/>
      <sheetName val="Y__Pamplem6"/>
      <sheetName val="Y__Tonic_PET6"/>
      <sheetName val="Fizzi_cocktail6"/>
      <sheetName val="Fizzi_pampl6"/>
      <sheetName val="Fanta_orange6"/>
      <sheetName val="guinness_bte6"/>
      <sheetName val="Coca_bte6"/>
      <sheetName val="Coca_ligth_bte6"/>
      <sheetName val="Fanta_bte6"/>
      <sheetName val="Sprite_bte6"/>
      <sheetName val="effectifs_totaux6"/>
      <sheetName val="Effectifs_Cot6"/>
      <sheetName val="Effectifs_PRK6"/>
      <sheetName val="Effectifs_Pos6"/>
      <sheetName val="masse_salariale6"/>
      <sheetName val="Conso_MPC6"/>
      <sheetName val="Volumes_et_CA6"/>
      <sheetName val="CA_&amp;_Taxes7"/>
      <sheetName val="Cptes_d'exploit7"/>
      <sheetName val="récap_conso7"/>
      <sheetName val="Pièces_détachées7"/>
      <sheetName val="autres_mpc7"/>
      <sheetName val="freintes_matières7"/>
      <sheetName val="couts_produits7"/>
      <sheetName val="Malta_Guinness7"/>
      <sheetName val="Y__Ananas7"/>
      <sheetName val="Y__Limonade7"/>
      <sheetName val="Y__Orange7"/>
      <sheetName val="Y__Cocktail7"/>
      <sheetName val="Y__Pamplem7"/>
      <sheetName val="Y__Tonic_PET7"/>
      <sheetName val="Fizzi_cocktail7"/>
      <sheetName val="Fizzi_pampl7"/>
      <sheetName val="Fanta_orange7"/>
      <sheetName val="guinness_bte7"/>
      <sheetName val="Coca_bte7"/>
      <sheetName val="Coca_ligth_bte7"/>
      <sheetName val="Fanta_bte7"/>
      <sheetName val="Sprite_bte7"/>
      <sheetName val="effectifs_totaux7"/>
      <sheetName val="Effectifs_Cot7"/>
      <sheetName val="Effectifs_PRK7"/>
      <sheetName val="Effectifs_Pos7"/>
      <sheetName val="masse_salariale7"/>
      <sheetName val="Conso_MPC7"/>
      <sheetName val="Volumes_et_CA7"/>
      <sheetName val="CA_&amp;_Taxes8"/>
      <sheetName val="Cptes_d'exploit8"/>
      <sheetName val="récap_conso8"/>
      <sheetName val="Pièces_détachées8"/>
      <sheetName val="autres_mpc8"/>
      <sheetName val="freintes_matières8"/>
      <sheetName val="couts_produits8"/>
      <sheetName val="Malta_Guinness8"/>
      <sheetName val="Y__Ananas8"/>
      <sheetName val="Y__Limonade8"/>
      <sheetName val="Y__Orange8"/>
      <sheetName val="Y__Cocktail8"/>
      <sheetName val="Y__Pamplem8"/>
      <sheetName val="Y__Tonic_PET8"/>
      <sheetName val="Fizzi_cocktail8"/>
      <sheetName val="Fizzi_pampl8"/>
      <sheetName val="Fanta_orange8"/>
      <sheetName val="guinness_bte8"/>
      <sheetName val="Coca_bte8"/>
      <sheetName val="Coca_ligth_bte8"/>
      <sheetName val="Fanta_bte8"/>
      <sheetName val="Sprite_bte8"/>
      <sheetName val="effectifs_totaux8"/>
      <sheetName val="Effectifs_Cot8"/>
      <sheetName val="Effectifs_PRK8"/>
      <sheetName val="Effectifs_Pos8"/>
      <sheetName val="masse_salariale8"/>
      <sheetName val="Conso_MPC8"/>
      <sheetName val="Volumes_et_CA8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Autres Hypothèses"/>
      <sheetName val="Titre Résultats"/>
      <sheetName val="XMQ_Cumul"/>
      <sheetName val="XMQ_Mensuel"/>
      <sheetName val="TER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Titre Invest. &amp; Cessions"/>
      <sheetName val="Investissements"/>
      <sheetName val="Cessions"/>
      <sheetName val="Achat_Emb"/>
      <sheetName val="Titre Effectifs"/>
      <sheetName val="Effectifs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la béninoise"/>
      <sheetName val="castel"/>
      <sheetName val="beaufort"/>
      <sheetName val="flag"/>
      <sheetName val="pelforth"/>
      <sheetName val="tuborg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pomme"/>
      <sheetName val="bullvit"/>
      <sheetName val="pompom"/>
      <sheetName val="y.pomme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fanta fiesta"/>
      <sheetName val="sprite"/>
      <sheetName val="coca pet"/>
      <sheetName val="coca light pet "/>
      <sheetName val="fanta pet"/>
      <sheetName val="fanta citron pet"/>
      <sheetName val="fanta mandarine pet "/>
      <sheetName val="fanta fiesta pet"/>
      <sheetName val="sprite pet"/>
      <sheetName val="Malta guinness"/>
      <sheetName val="emp"/>
      <sheetName val="emg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pompom canette"/>
      <sheetName val="sprite canette"/>
      <sheetName val="cocktail canette"/>
      <sheetName val="pamplem canette"/>
      <sheetName val="sport actif canette"/>
      <sheetName val="malta tonic canette"/>
      <sheetName val="malta guinness canette "/>
      <sheetName val="Liste documents"/>
      <sheetName val="Titre Présentation"/>
      <sheetName val="Hypothèses"/>
      <sheetName val="Synth_Act"/>
      <sheetName val="Page_de_garde"/>
      <sheetName val="Autres_Hypothèses"/>
      <sheetName val="Titre_Résultat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"/>
      <sheetName val="Hors_Exploitation"/>
      <sheetName val="Titre_Invest__&amp;_Cessions"/>
      <sheetName val="Titre_Effectifs"/>
      <sheetName val="Masse_salariale"/>
      <sheetName val="Titre_Production"/>
      <sheetName val="Titre_Fiches_Produits"/>
      <sheetName val="Tableaux_annexes"/>
      <sheetName val="Coût_Produit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pomme"/>
      <sheetName val="y_pomme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fanta_fiesta"/>
      <sheetName val="coca_pet"/>
      <sheetName val="coca_light_pet_"/>
      <sheetName val="fanta_pet"/>
      <sheetName val="fanta_citron_pet"/>
      <sheetName val="fanta_mandarine_pet_"/>
      <sheetName val="fanta_fiesta_pet"/>
      <sheetName val="sprite_pet"/>
      <sheetName val="Malta_guinness"/>
      <sheetName val="castel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pompom_canette"/>
      <sheetName val="sprite_canette"/>
      <sheetName val="cocktail_canette"/>
      <sheetName val="pamplem_canette"/>
      <sheetName val="sport_actif_canette"/>
      <sheetName val="malta_tonic_canette"/>
      <sheetName val="malta_guinness_canette_"/>
      <sheetName val="Liste_documents"/>
      <sheetName val="Titre_Présentation"/>
      <sheetName val="Page_de_garde1"/>
      <sheetName val="Autres_Hypothèses1"/>
      <sheetName val="Titre_Résultat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1"/>
      <sheetName val="Hors_Exploitation1"/>
      <sheetName val="Titre_Invest__&amp;_Cessions1"/>
      <sheetName val="Titre_Effectifs1"/>
      <sheetName val="Masse_salariale1"/>
      <sheetName val="Titre_Production1"/>
      <sheetName val="Titre_Fiches_Produits1"/>
      <sheetName val="Tableaux_annexes1"/>
      <sheetName val="Coût_Produit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pomme1"/>
      <sheetName val="y_pomme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fanta_fiesta1"/>
      <sheetName val="coca_pet1"/>
      <sheetName val="coca_light_pet_1"/>
      <sheetName val="fanta_pet1"/>
      <sheetName val="fanta_citron_pet1"/>
      <sheetName val="fanta_mandarine_pet_1"/>
      <sheetName val="fanta_fiesta_pet1"/>
      <sheetName val="sprite_pet1"/>
      <sheetName val="Malta_guinness1"/>
      <sheetName val="castel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pompom_canette1"/>
      <sheetName val="sprite_canette1"/>
      <sheetName val="cocktail_canette1"/>
      <sheetName val="pamplem_canette1"/>
      <sheetName val="sport_actif_canette1"/>
      <sheetName val="malta_tonic_canette1"/>
      <sheetName val="malta_guinness_canette_1"/>
      <sheetName val="Liste_documents1"/>
      <sheetName val="Titre_Présentation1"/>
      <sheetName val="Page_de_garde2"/>
      <sheetName val="Autres_Hypothèses2"/>
      <sheetName val="Titre_Résultat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2"/>
      <sheetName val="Hors_Exploitation2"/>
      <sheetName val="Titre_Invest__&amp;_Cessions2"/>
      <sheetName val="Titre_Effectifs2"/>
      <sheetName val="Masse_salariale2"/>
      <sheetName val="Titre_Production2"/>
      <sheetName val="Titre_Fiches_Produits2"/>
      <sheetName val="Tableaux_annexes2"/>
      <sheetName val="Coût_Produit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pomme2"/>
      <sheetName val="y_pomme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fanta_fiesta2"/>
      <sheetName val="coca_pet2"/>
      <sheetName val="coca_light_pet_2"/>
      <sheetName val="fanta_pet2"/>
      <sheetName val="fanta_citron_pet2"/>
      <sheetName val="fanta_mandarine_pet_2"/>
      <sheetName val="fanta_fiesta_pet2"/>
      <sheetName val="sprite_pet2"/>
      <sheetName val="Malta_guinness2"/>
      <sheetName val="castel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pompom_canette2"/>
      <sheetName val="sprite_canette2"/>
      <sheetName val="cocktail_canette2"/>
      <sheetName val="pamplem_canette2"/>
      <sheetName val="sport_actif_canette2"/>
      <sheetName val="malta_tonic_canette2"/>
      <sheetName val="malta_guinness_canette_2"/>
      <sheetName val="Liste_documents2"/>
      <sheetName val="Titre_Présentation2"/>
      <sheetName val="Page_de_garde4"/>
      <sheetName val="Autres_Hypothèses4"/>
      <sheetName val="Titre_Résultat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4"/>
      <sheetName val="Hors_Exploitation4"/>
      <sheetName val="Titre_Invest__&amp;_Cessions4"/>
      <sheetName val="Titre_Effectifs4"/>
      <sheetName val="Masse_salariale4"/>
      <sheetName val="Titre_Production4"/>
      <sheetName val="Titre_Fiches_Produits4"/>
      <sheetName val="Tableaux_annexes4"/>
      <sheetName val="Coût_Produit4"/>
      <sheetName val="la_béninoise4"/>
      <sheetName val="beaufort_Light4"/>
      <sheetName val="33_export4"/>
      <sheetName val="y_moka4"/>
      <sheetName val="youki_tonic4"/>
      <sheetName val="youki_cocktail4"/>
      <sheetName val="youki_pampl4"/>
      <sheetName val="youki_pomme4"/>
      <sheetName val="y_pomme_pet4"/>
      <sheetName val="y_moka_pet4"/>
      <sheetName val="y_cocktail_pet4"/>
      <sheetName val="y_pamplem_pet4"/>
      <sheetName val="Y_tonic_pet4"/>
      <sheetName val="fanta_orange4"/>
      <sheetName val="fanta_citron4"/>
      <sheetName val="fanta_mandarine4"/>
      <sheetName val="fanta_fiesta4"/>
      <sheetName val="coca_pet4"/>
      <sheetName val="coca_light_pet_4"/>
      <sheetName val="fanta_pet4"/>
      <sheetName val="fanta_citron_pet4"/>
      <sheetName val="fanta_mandarine_pet_4"/>
      <sheetName val="fanta_fiesta_pet4"/>
      <sheetName val="sprite_pet4"/>
      <sheetName val="Malta_guinness4"/>
      <sheetName val="castel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pompom_canette4"/>
      <sheetName val="sprite_canette4"/>
      <sheetName val="cocktail_canette4"/>
      <sheetName val="pamplem_canette4"/>
      <sheetName val="sport_actif_canette4"/>
      <sheetName val="malta_tonic_canette4"/>
      <sheetName val="malta_guinness_canette_4"/>
      <sheetName val="Liste_documents4"/>
      <sheetName val="Titre_Présentation4"/>
      <sheetName val="Page_de_garde3"/>
      <sheetName val="Autres_Hypothèses3"/>
      <sheetName val="Titre_Résultat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3"/>
      <sheetName val="Hors_Exploitation3"/>
      <sheetName val="Titre_Invest__&amp;_Cessions3"/>
      <sheetName val="Titre_Effectifs3"/>
      <sheetName val="Masse_salariale3"/>
      <sheetName val="Titre_Production3"/>
      <sheetName val="Titre_Fiches_Produits3"/>
      <sheetName val="Tableaux_annexes3"/>
      <sheetName val="Coût_Produit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pomme3"/>
      <sheetName val="y_pomme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fanta_fiesta3"/>
      <sheetName val="coca_pet3"/>
      <sheetName val="coca_light_pet_3"/>
      <sheetName val="fanta_pet3"/>
      <sheetName val="fanta_citron_pet3"/>
      <sheetName val="fanta_mandarine_pet_3"/>
      <sheetName val="fanta_fiesta_pet3"/>
      <sheetName val="sprite_pet3"/>
      <sheetName val="Malta_guinness3"/>
      <sheetName val="castel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pompom_canette3"/>
      <sheetName val="sprite_canette3"/>
      <sheetName val="cocktail_canette3"/>
      <sheetName val="pamplem_canette3"/>
      <sheetName val="sport_actif_canette3"/>
      <sheetName val="malta_tonic_canette3"/>
      <sheetName val="malta_guinness_canette_3"/>
      <sheetName val="Liste_documents3"/>
      <sheetName val="Titre_Présentation3"/>
      <sheetName val="Page_de_garde5"/>
      <sheetName val="Autres_Hypothèses5"/>
      <sheetName val="Titre_Résultat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5"/>
      <sheetName val="Hors_Exploitation5"/>
      <sheetName val="Titre_Invest__&amp;_Cessions5"/>
      <sheetName val="Titre_Effectifs5"/>
      <sheetName val="Masse_salariale5"/>
      <sheetName val="Titre_Production5"/>
      <sheetName val="Titre_Fiches_Produits5"/>
      <sheetName val="Tableaux_annexes5"/>
      <sheetName val="Coût_Produit5"/>
      <sheetName val="la_béninoise5"/>
      <sheetName val="beaufort_Light5"/>
      <sheetName val="33_export5"/>
      <sheetName val="y_moka5"/>
      <sheetName val="youki_tonic5"/>
      <sheetName val="youki_cocktail5"/>
      <sheetName val="youki_pampl5"/>
      <sheetName val="youki_pomme5"/>
      <sheetName val="y_pomme_pet5"/>
      <sheetName val="y_moka_pet5"/>
      <sheetName val="y_cocktail_pet5"/>
      <sheetName val="y_pamplem_pet5"/>
      <sheetName val="Y_tonic_pet5"/>
      <sheetName val="fanta_orange5"/>
      <sheetName val="fanta_citron5"/>
      <sheetName val="fanta_mandarine5"/>
      <sheetName val="fanta_fiesta5"/>
      <sheetName val="coca_pet5"/>
      <sheetName val="coca_light_pet_5"/>
      <sheetName val="fanta_pet5"/>
      <sheetName val="fanta_citron_pet5"/>
      <sheetName val="fanta_mandarine_pet_5"/>
      <sheetName val="fanta_fiesta_pet5"/>
      <sheetName val="sprite_pet5"/>
      <sheetName val="Malta_guinness5"/>
      <sheetName val="castel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pompom_canette5"/>
      <sheetName val="sprite_canette5"/>
      <sheetName val="cocktail_canette5"/>
      <sheetName val="pamplem_canette5"/>
      <sheetName val="sport_actif_canette5"/>
      <sheetName val="malta_tonic_canette5"/>
      <sheetName val="malta_guinness_canette_5"/>
      <sheetName val="Liste_documents5"/>
      <sheetName val="Titre_Présentation5"/>
      <sheetName val="Page_de_garde6"/>
      <sheetName val="Autres_Hypothèses6"/>
      <sheetName val="Titre_Résultat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6"/>
      <sheetName val="Hors_Exploitation6"/>
      <sheetName val="Titre_Invest__&amp;_Cessions6"/>
      <sheetName val="Titre_Effectifs6"/>
      <sheetName val="Masse_salariale6"/>
      <sheetName val="Titre_Production6"/>
      <sheetName val="Titre_Fiches_Produits6"/>
      <sheetName val="Tableaux_annexes6"/>
      <sheetName val="Coût_Produit6"/>
      <sheetName val="la_béninoise6"/>
      <sheetName val="beaufort_Light6"/>
      <sheetName val="33_export6"/>
      <sheetName val="y_moka6"/>
      <sheetName val="youki_tonic6"/>
      <sheetName val="youki_cocktail6"/>
      <sheetName val="youki_pampl6"/>
      <sheetName val="youki_pomme6"/>
      <sheetName val="y_pomme_pet6"/>
      <sheetName val="y_moka_pet6"/>
      <sheetName val="y_cocktail_pet6"/>
      <sheetName val="y_pamplem_pet6"/>
      <sheetName val="Y_tonic_pet6"/>
      <sheetName val="fanta_orange6"/>
      <sheetName val="fanta_citron6"/>
      <sheetName val="fanta_mandarine6"/>
      <sheetName val="fanta_fiesta6"/>
      <sheetName val="coca_pet6"/>
      <sheetName val="coca_light_pet_6"/>
      <sheetName val="fanta_pet6"/>
      <sheetName val="fanta_citron_pet6"/>
      <sheetName val="fanta_mandarine_pet_6"/>
      <sheetName val="fanta_fiesta_pet6"/>
      <sheetName val="sprite_pet6"/>
      <sheetName val="Malta_guinness6"/>
      <sheetName val="castel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pompom_canette6"/>
      <sheetName val="sprite_canette6"/>
      <sheetName val="cocktail_canette6"/>
      <sheetName val="pamplem_canette6"/>
      <sheetName val="sport_actif_canette6"/>
      <sheetName val="malta_tonic_canette6"/>
      <sheetName val="malta_guinness_canette_6"/>
      <sheetName val="Liste_documents6"/>
      <sheetName val="Titre_Présentation6"/>
      <sheetName val="Page_de_garde7"/>
      <sheetName val="Autres_Hypothèses7"/>
      <sheetName val="Titre_Résultat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7"/>
      <sheetName val="Hors_Exploitation7"/>
      <sheetName val="Titre_Invest__&amp;_Cessions7"/>
      <sheetName val="Titre_Effectifs7"/>
      <sheetName val="Masse_salariale7"/>
      <sheetName val="Titre_Production7"/>
      <sheetName val="Titre_Fiches_Produits7"/>
      <sheetName val="Tableaux_annexes7"/>
      <sheetName val="Coût_Produit7"/>
      <sheetName val="la_béninoise7"/>
      <sheetName val="beaufort_Light7"/>
      <sheetName val="33_export7"/>
      <sheetName val="y_moka7"/>
      <sheetName val="youki_tonic7"/>
      <sheetName val="youki_cocktail7"/>
      <sheetName val="youki_pampl7"/>
      <sheetName val="youki_pomme7"/>
      <sheetName val="y_pomme_pet7"/>
      <sheetName val="y_moka_pet7"/>
      <sheetName val="y_cocktail_pet7"/>
      <sheetName val="y_pamplem_pet7"/>
      <sheetName val="Y_tonic_pet7"/>
      <sheetName val="fanta_orange7"/>
      <sheetName val="fanta_citron7"/>
      <sheetName val="fanta_mandarine7"/>
      <sheetName val="fanta_fiesta7"/>
      <sheetName val="coca_pet7"/>
      <sheetName val="coca_light_pet_7"/>
      <sheetName val="fanta_pet7"/>
      <sheetName val="fanta_citron_pet7"/>
      <sheetName val="fanta_mandarine_pet_7"/>
      <sheetName val="fanta_fiesta_pet7"/>
      <sheetName val="sprite_pet7"/>
      <sheetName val="Malta_guinness7"/>
      <sheetName val="castel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pompom_canette7"/>
      <sheetName val="sprite_canette7"/>
      <sheetName val="cocktail_canette7"/>
      <sheetName val="pamplem_canette7"/>
      <sheetName val="sport_actif_canette7"/>
      <sheetName val="malta_tonic_canette7"/>
      <sheetName val="malta_guinness_canette_7"/>
      <sheetName val="Liste_documents7"/>
      <sheetName val="Titre_Présentation7"/>
      <sheetName val="Page_de_garde8"/>
      <sheetName val="Autres_Hypothèses8"/>
      <sheetName val="Titre_Résultat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8"/>
      <sheetName val="Hors_Exploitation8"/>
      <sheetName val="Titre_Invest__&amp;_Cessions8"/>
      <sheetName val="Titre_Effectifs8"/>
      <sheetName val="Masse_salariale8"/>
      <sheetName val="Titre_Production8"/>
      <sheetName val="Titre_Fiches_Produits8"/>
      <sheetName val="Tableaux_annexes8"/>
      <sheetName val="Coût_Produit8"/>
      <sheetName val="la_béninoise8"/>
      <sheetName val="beaufort_Light8"/>
      <sheetName val="33_export8"/>
      <sheetName val="y_moka8"/>
      <sheetName val="youki_tonic8"/>
      <sheetName val="youki_cocktail8"/>
      <sheetName val="youki_pampl8"/>
      <sheetName val="youki_pomme8"/>
      <sheetName val="y_pomme_pet8"/>
      <sheetName val="y_moka_pet8"/>
      <sheetName val="y_cocktail_pet8"/>
      <sheetName val="y_pamplem_pet8"/>
      <sheetName val="Y_tonic_pet8"/>
      <sheetName val="fanta_orange8"/>
      <sheetName val="fanta_citron8"/>
      <sheetName val="fanta_mandarine8"/>
      <sheetName val="fanta_fiesta8"/>
      <sheetName val="coca_pet8"/>
      <sheetName val="coca_light_pet_8"/>
      <sheetName val="fanta_pet8"/>
      <sheetName val="fanta_citron_pet8"/>
      <sheetName val="fanta_mandarine_pet_8"/>
      <sheetName val="fanta_fiesta_pet8"/>
      <sheetName val="sprite_pet8"/>
      <sheetName val="Malta_guinness8"/>
      <sheetName val="castel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pompom_canette8"/>
      <sheetName val="sprite_canette8"/>
      <sheetName val="cocktail_canette8"/>
      <sheetName val="pamplem_canette8"/>
      <sheetName val="sport_actif_canette8"/>
      <sheetName val="malta_tonic_canette8"/>
      <sheetName val="malta_guinness_canette_8"/>
      <sheetName val="Liste_documents8"/>
      <sheetName val="Titre_Présentation8"/>
      <sheetName val="Page_de_garde9"/>
      <sheetName val="Autres_Hypothèses9"/>
      <sheetName val="Titre_Résultat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9"/>
      <sheetName val="Hors_Exploitation9"/>
      <sheetName val="Titre_Invest__&amp;_Cessions9"/>
      <sheetName val="Titre_Effectifs9"/>
      <sheetName val="Masse_salariale9"/>
      <sheetName val="Titre_Production9"/>
      <sheetName val="Titre_Fiches_Produits9"/>
      <sheetName val="Tableaux_annexes9"/>
      <sheetName val="Coût_Produit9"/>
      <sheetName val="la_béninoise9"/>
      <sheetName val="beaufort_Light9"/>
      <sheetName val="33_export9"/>
      <sheetName val="y_moka9"/>
      <sheetName val="youki_tonic9"/>
      <sheetName val="youki_cocktail9"/>
      <sheetName val="youki_pampl9"/>
      <sheetName val="youki_pomme9"/>
      <sheetName val="y_pomme_pet9"/>
      <sheetName val="y_moka_pet9"/>
      <sheetName val="y_cocktail_pet9"/>
      <sheetName val="y_pamplem_pet9"/>
      <sheetName val="Y_tonic_pet9"/>
      <sheetName val="fanta_orange9"/>
      <sheetName val="fanta_citron9"/>
      <sheetName val="fanta_mandarine9"/>
      <sheetName val="fanta_fiesta9"/>
      <sheetName val="coca_pet9"/>
      <sheetName val="coca_light_pet_9"/>
      <sheetName val="fanta_pet9"/>
      <sheetName val="fanta_citron_pet9"/>
      <sheetName val="fanta_mandarine_pet_9"/>
      <sheetName val="fanta_fiesta_pet9"/>
      <sheetName val="sprite_pet9"/>
      <sheetName val="Malta_guinness9"/>
      <sheetName val="castel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pompom_canette9"/>
      <sheetName val="sprite_canette9"/>
      <sheetName val="cocktail_canette9"/>
      <sheetName val="pamplem_canette9"/>
      <sheetName val="sport_actif_canette9"/>
      <sheetName val="malta_tonic_canette9"/>
      <sheetName val="malta_guinness_canette_9"/>
      <sheetName val="Liste_documents9"/>
      <sheetName val="Titre_Présentation9"/>
      <sheetName val="Page_de_garde10"/>
      <sheetName val="Autres_Hypothèses10"/>
      <sheetName val="Titre_Résultat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10"/>
      <sheetName val="Hors_Exploitation10"/>
      <sheetName val="Titre_Invest__&amp;_Cessions10"/>
      <sheetName val="Titre_Effectifs10"/>
      <sheetName val="Masse_salariale10"/>
      <sheetName val="Titre_Production10"/>
      <sheetName val="Titre_Fiches_Produits10"/>
      <sheetName val="Tableaux_annexes10"/>
      <sheetName val="Coût_Produit10"/>
      <sheetName val="la_béninoise10"/>
      <sheetName val="beaufort_Light10"/>
      <sheetName val="33_export10"/>
      <sheetName val="y_moka10"/>
      <sheetName val="youki_tonic10"/>
      <sheetName val="youki_cocktail10"/>
      <sheetName val="youki_pampl10"/>
      <sheetName val="youki_pomme10"/>
      <sheetName val="y_pomme_pet10"/>
      <sheetName val="y_moka_pet10"/>
      <sheetName val="y_cocktail_pet10"/>
      <sheetName val="y_pamplem_pet10"/>
      <sheetName val="Y_tonic_pet10"/>
      <sheetName val="fanta_orange10"/>
      <sheetName val="fanta_citron10"/>
      <sheetName val="fanta_mandarine10"/>
      <sheetName val="fanta_fiesta10"/>
      <sheetName val="coca_pet10"/>
      <sheetName val="coca_light_pet_10"/>
      <sheetName val="fanta_pet10"/>
      <sheetName val="fanta_citron_pet10"/>
      <sheetName val="fanta_mandarine_pet_10"/>
      <sheetName val="fanta_fiesta_pet10"/>
      <sheetName val="sprite_pet10"/>
      <sheetName val="Malta_guinness10"/>
      <sheetName val="castel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pompom_canette10"/>
      <sheetName val="sprite_canette10"/>
      <sheetName val="cocktail_canette10"/>
      <sheetName val="pamplem_canette10"/>
      <sheetName val="sport_actif_canette10"/>
      <sheetName val="malta_tonic_canette10"/>
      <sheetName val="malta_guinness_canette_10"/>
      <sheetName val="Liste_documents10"/>
      <sheetName val="Titre_Présentation10"/>
      <sheetName val="Page_de_garde11"/>
      <sheetName val="Autres_Hypothèses11"/>
      <sheetName val="Titre_Résultat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11"/>
      <sheetName val="Hors_Exploitation11"/>
      <sheetName val="Titre_Invest__&amp;_Cessions11"/>
      <sheetName val="Titre_Effectifs11"/>
      <sheetName val="Masse_salariale11"/>
      <sheetName val="Titre_Production11"/>
      <sheetName val="Titre_Fiches_Produits11"/>
      <sheetName val="Tableaux_annexes11"/>
      <sheetName val="Coût_Produit11"/>
      <sheetName val="la_béninoise11"/>
      <sheetName val="beaufort_Light11"/>
      <sheetName val="33_export11"/>
      <sheetName val="y_moka11"/>
      <sheetName val="youki_tonic11"/>
      <sheetName val="youki_cocktail11"/>
      <sheetName val="youki_pampl11"/>
      <sheetName val="youki_pomme11"/>
      <sheetName val="y_pomme_pet11"/>
      <sheetName val="y_moka_pet11"/>
      <sheetName val="y_cocktail_pet11"/>
      <sheetName val="y_pamplem_pet11"/>
      <sheetName val="Y_tonic_pet11"/>
      <sheetName val="fanta_orange11"/>
      <sheetName val="fanta_citron11"/>
      <sheetName val="fanta_mandarine11"/>
      <sheetName val="fanta_fiesta11"/>
      <sheetName val="coca_pet11"/>
      <sheetName val="coca_light_pet_11"/>
      <sheetName val="fanta_pet11"/>
      <sheetName val="fanta_citron_pet11"/>
      <sheetName val="fanta_mandarine_pet_11"/>
      <sheetName val="fanta_fiesta_pet11"/>
      <sheetName val="sprite_pet11"/>
      <sheetName val="Malta_guinness11"/>
      <sheetName val="castel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pompom_canette11"/>
      <sheetName val="sprite_canette11"/>
      <sheetName val="cocktail_canette11"/>
      <sheetName val="pamplem_canette11"/>
      <sheetName val="sport_actif_canette11"/>
      <sheetName val="malta_tonic_canette11"/>
      <sheetName val="malta_guinness_canette_11"/>
      <sheetName val="Liste_documents11"/>
      <sheetName val="Titre_Présentation11"/>
      <sheetName val="Page_de_garde12"/>
      <sheetName val="Autres_Hypothèses12"/>
      <sheetName val="Titre_Résultat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12"/>
      <sheetName val="Hors_Exploitation12"/>
      <sheetName val="Titre_Invest__&amp;_Cessions12"/>
      <sheetName val="Titre_Effectifs12"/>
      <sheetName val="Masse_salariale12"/>
      <sheetName val="Titre_Production12"/>
      <sheetName val="Titre_Fiches_Produits12"/>
      <sheetName val="Tableaux_annexes12"/>
      <sheetName val="Coût_Produit12"/>
      <sheetName val="la_béninoise12"/>
      <sheetName val="beaufort_Light12"/>
      <sheetName val="33_export12"/>
      <sheetName val="y_moka12"/>
      <sheetName val="youki_tonic12"/>
      <sheetName val="youki_cocktail12"/>
      <sheetName val="youki_pampl12"/>
      <sheetName val="youki_pomme12"/>
      <sheetName val="y_pomme_pet12"/>
      <sheetName val="y_moka_pet12"/>
      <sheetName val="y_cocktail_pet12"/>
      <sheetName val="y_pamplem_pet12"/>
      <sheetName val="Y_tonic_pet12"/>
      <sheetName val="fanta_orange12"/>
      <sheetName val="fanta_citron12"/>
      <sheetName val="fanta_mandarine12"/>
      <sheetName val="fanta_fiesta12"/>
      <sheetName val="coca_pet12"/>
      <sheetName val="coca_light_pet_12"/>
      <sheetName val="fanta_pet12"/>
      <sheetName val="fanta_citron_pet12"/>
      <sheetName val="fanta_mandarine_pet_12"/>
      <sheetName val="fanta_fiesta_pet12"/>
      <sheetName val="sprite_pet12"/>
      <sheetName val="Malta_guinness12"/>
      <sheetName val="castel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pompom_canette12"/>
      <sheetName val="sprite_canette12"/>
      <sheetName val="cocktail_canette12"/>
      <sheetName val="pamplem_canette12"/>
      <sheetName val="sport_actif_canette12"/>
      <sheetName val="malta_tonic_canette12"/>
      <sheetName val="malta_guinness_canette_12"/>
      <sheetName val="Liste_documents12"/>
      <sheetName val="Titre_Présentation12"/>
      <sheetName val="Page_de_garde13"/>
      <sheetName val="Autres_Hypothèses13"/>
      <sheetName val="Titre_Résultat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13"/>
      <sheetName val="Hors_Exploitation13"/>
      <sheetName val="Titre_Invest__&amp;_Cessions13"/>
      <sheetName val="Titre_Effectifs13"/>
      <sheetName val="Masse_salariale13"/>
      <sheetName val="Titre_Production13"/>
      <sheetName val="Titre_Fiches_Produits13"/>
      <sheetName val="Tableaux_annexes13"/>
      <sheetName val="Coût_Produit13"/>
      <sheetName val="la_béninoise13"/>
      <sheetName val="beaufort_Light13"/>
      <sheetName val="33_export13"/>
      <sheetName val="y_moka13"/>
      <sheetName val="youki_tonic13"/>
      <sheetName val="youki_cocktail13"/>
      <sheetName val="youki_pampl13"/>
      <sheetName val="youki_pomme13"/>
      <sheetName val="y_pomme_pet13"/>
      <sheetName val="y_moka_pet13"/>
      <sheetName val="y_cocktail_pet13"/>
      <sheetName val="y_pamplem_pet13"/>
      <sheetName val="Y_tonic_pet13"/>
      <sheetName val="fanta_orange13"/>
      <sheetName val="fanta_citron13"/>
      <sheetName val="fanta_mandarine13"/>
      <sheetName val="fanta_fiesta13"/>
      <sheetName val="coca_pet13"/>
      <sheetName val="coca_light_pet_13"/>
      <sheetName val="fanta_pet13"/>
      <sheetName val="fanta_citron_pet13"/>
      <sheetName val="fanta_mandarine_pet_13"/>
      <sheetName val="fanta_fiesta_pet13"/>
      <sheetName val="sprite_pet13"/>
      <sheetName val="Malta_guinness13"/>
      <sheetName val="castel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pompom_canette13"/>
      <sheetName val="sprite_canette13"/>
      <sheetName val="cocktail_canette13"/>
      <sheetName val="pamplem_canette13"/>
      <sheetName val="sport_actif_canette13"/>
      <sheetName val="malta_tonic_canette13"/>
      <sheetName val="malta_guinness_canette_13"/>
      <sheetName val="Liste_documents13"/>
      <sheetName val="Titre_Présentation13"/>
      <sheetName val="Page_de_garde14"/>
      <sheetName val="Autres_Hypothèses14"/>
      <sheetName val="Titre_Résultat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14"/>
      <sheetName val="Hors_Exploitation14"/>
      <sheetName val="Titre_Invest__&amp;_Cessions14"/>
      <sheetName val="Titre_Effectifs14"/>
      <sheetName val="Masse_salariale14"/>
      <sheetName val="Titre_Production14"/>
      <sheetName val="Titre_Fiches_Produits14"/>
      <sheetName val="Tableaux_annexes14"/>
      <sheetName val="Coût_Produit14"/>
      <sheetName val="la_béninoise14"/>
      <sheetName val="beaufort_Light14"/>
      <sheetName val="33_export14"/>
      <sheetName val="y_moka14"/>
      <sheetName val="youki_tonic14"/>
      <sheetName val="youki_cocktail14"/>
      <sheetName val="youki_pampl14"/>
      <sheetName val="youki_pomme14"/>
      <sheetName val="y_pomme_pet14"/>
      <sheetName val="y_moka_pet14"/>
      <sheetName val="y_cocktail_pet14"/>
      <sheetName val="y_pamplem_pet14"/>
      <sheetName val="Y_tonic_pet14"/>
      <sheetName val="fanta_orange14"/>
      <sheetName val="fanta_citron14"/>
      <sheetName val="fanta_mandarine14"/>
      <sheetName val="fanta_fiesta14"/>
      <sheetName val="coca_pet14"/>
      <sheetName val="coca_light_pet_14"/>
      <sheetName val="fanta_pet14"/>
      <sheetName val="fanta_citron_pet14"/>
      <sheetName val="fanta_mandarine_pet_14"/>
      <sheetName val="fanta_fiesta_pet14"/>
      <sheetName val="sprite_pet14"/>
      <sheetName val="Malta_guinness14"/>
      <sheetName val="castel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pompom_canette14"/>
      <sheetName val="sprite_canette14"/>
      <sheetName val="cocktail_canette14"/>
      <sheetName val="pamplem_canette14"/>
      <sheetName val="sport_actif_canette14"/>
      <sheetName val="malta_tonic_canette14"/>
      <sheetName val="malta_guinness_canette_14"/>
      <sheetName val="Liste_documents14"/>
      <sheetName val="Titre_Présentation14"/>
      <sheetName val="Page_de_garde15"/>
      <sheetName val="Autres_Hypothèses15"/>
      <sheetName val="Titre_Résultat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15"/>
      <sheetName val="Hors_Exploitation15"/>
      <sheetName val="Titre_Invest__&amp;_Cessions15"/>
      <sheetName val="Titre_Effectifs15"/>
      <sheetName val="Masse_salariale15"/>
      <sheetName val="Titre_Production15"/>
      <sheetName val="Titre_Fiches_Produits15"/>
      <sheetName val="Tableaux_annexes15"/>
      <sheetName val="Coût_Produit15"/>
      <sheetName val="la_béninoise15"/>
      <sheetName val="beaufort_Light15"/>
      <sheetName val="33_export15"/>
      <sheetName val="y_moka15"/>
      <sheetName val="youki_tonic15"/>
      <sheetName val="youki_cocktail15"/>
      <sheetName val="youki_pampl15"/>
      <sheetName val="youki_pomme15"/>
      <sheetName val="y_pomme_pet15"/>
      <sheetName val="y_moka_pet15"/>
      <sheetName val="y_cocktail_pet15"/>
      <sheetName val="y_pamplem_pet15"/>
      <sheetName val="Y_tonic_pet15"/>
      <sheetName val="fanta_orange15"/>
      <sheetName val="fanta_citron15"/>
      <sheetName val="fanta_mandarine15"/>
      <sheetName val="fanta_fiesta15"/>
      <sheetName val="coca_pet15"/>
      <sheetName val="coca_light_pet_15"/>
      <sheetName val="fanta_pet15"/>
      <sheetName val="fanta_citron_pet15"/>
      <sheetName val="fanta_mandarine_pet_15"/>
      <sheetName val="fanta_fiesta_pet15"/>
      <sheetName val="sprite_pet15"/>
      <sheetName val="Malta_guinness15"/>
      <sheetName val="castel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pompom_canette15"/>
      <sheetName val="sprite_canette15"/>
      <sheetName val="cocktail_canette15"/>
      <sheetName val="pamplem_canette15"/>
      <sheetName val="sport_actif_canette15"/>
      <sheetName val="malta_tonic_canette15"/>
      <sheetName val="malta_guinness_canette_15"/>
      <sheetName val="Liste_documents15"/>
      <sheetName val="Titre_Présentation15"/>
      <sheetName val="Page_de_garde16"/>
      <sheetName val="Autres_Hypothèses16"/>
      <sheetName val="Titre_Résultat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16"/>
      <sheetName val="Hors_Exploitation16"/>
      <sheetName val="Titre_Invest__&amp;_Cessions16"/>
      <sheetName val="Titre_Effectifs16"/>
      <sheetName val="Masse_salariale16"/>
      <sheetName val="Titre_Production16"/>
      <sheetName val="Titre_Fiches_Produits16"/>
      <sheetName val="Tableaux_annexes16"/>
      <sheetName val="Coût_Produit16"/>
      <sheetName val="la_béninoise16"/>
      <sheetName val="beaufort_Light16"/>
      <sheetName val="33_export16"/>
      <sheetName val="y_moka16"/>
      <sheetName val="youki_tonic16"/>
      <sheetName val="youki_cocktail16"/>
      <sheetName val="youki_pampl16"/>
      <sheetName val="youki_pomme16"/>
      <sheetName val="y_pomme_pet16"/>
      <sheetName val="y_moka_pet16"/>
      <sheetName val="y_cocktail_pet16"/>
      <sheetName val="y_pamplem_pet16"/>
      <sheetName val="Y_tonic_pet16"/>
      <sheetName val="fanta_orange16"/>
      <sheetName val="fanta_citron16"/>
      <sheetName val="fanta_mandarine16"/>
      <sheetName val="fanta_fiesta16"/>
      <sheetName val="coca_pet16"/>
      <sheetName val="coca_light_pet_16"/>
      <sheetName val="fanta_pet16"/>
      <sheetName val="fanta_citron_pet16"/>
      <sheetName val="fanta_mandarine_pet_16"/>
      <sheetName val="fanta_fiesta_pet16"/>
      <sheetName val="sprite_pet16"/>
      <sheetName val="Malta_guinness16"/>
      <sheetName val="castel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pompom_canette16"/>
      <sheetName val="sprite_canette16"/>
      <sheetName val="cocktail_canette16"/>
      <sheetName val="pamplem_canette16"/>
      <sheetName val="sport_actif_canette16"/>
      <sheetName val="malta_tonic_canette16"/>
      <sheetName val="malta_guinness_canette_16"/>
      <sheetName val="Liste_documents16"/>
      <sheetName val="Titre_Présentation16"/>
      <sheetName val="Page_de_garde17"/>
      <sheetName val="Autres_Hypothèses17"/>
      <sheetName val="Titre_Résultat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17"/>
      <sheetName val="Hors_Exploitation17"/>
      <sheetName val="Titre_Invest__&amp;_Cessions17"/>
      <sheetName val="Titre_Effectifs17"/>
      <sheetName val="Masse_salariale17"/>
      <sheetName val="Titre_Production17"/>
      <sheetName val="Titre_Fiches_Produits17"/>
      <sheetName val="Tableaux_annexes17"/>
      <sheetName val="Coût_Produit17"/>
      <sheetName val="la_béninoise17"/>
      <sheetName val="beaufort_Light17"/>
      <sheetName val="33_export17"/>
      <sheetName val="y_moka17"/>
      <sheetName val="youki_tonic17"/>
      <sheetName val="youki_cocktail17"/>
      <sheetName val="youki_pampl17"/>
      <sheetName val="youki_pomme17"/>
      <sheetName val="y_pomme_pet17"/>
      <sheetName val="y_moka_pet17"/>
      <sheetName val="y_cocktail_pet17"/>
      <sheetName val="y_pamplem_pet17"/>
      <sheetName val="Y_tonic_pet17"/>
      <sheetName val="fanta_orange17"/>
      <sheetName val="fanta_citron17"/>
      <sheetName val="fanta_mandarine17"/>
      <sheetName val="fanta_fiesta17"/>
      <sheetName val="coca_pet17"/>
      <sheetName val="coca_light_pet_17"/>
      <sheetName val="fanta_pet17"/>
      <sheetName val="fanta_citron_pet17"/>
      <sheetName val="fanta_mandarine_pet_17"/>
      <sheetName val="fanta_fiesta_pet17"/>
      <sheetName val="sprite_pet17"/>
      <sheetName val="Malta_guinness17"/>
      <sheetName val="castel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pompom_canette17"/>
      <sheetName val="sprite_canette17"/>
      <sheetName val="cocktail_canette17"/>
      <sheetName val="pamplem_canette17"/>
      <sheetName val="sport_actif_canette17"/>
      <sheetName val="malta_tonic_canette17"/>
      <sheetName val="malta_guinness_canette_17"/>
      <sheetName val="Liste_documents17"/>
      <sheetName val="Titre_Présentation17"/>
      <sheetName val="mvt clas.2"/>
    </sheetNames>
    <sheetDataSet>
      <sheetData sheetId="0" refreshError="1"/>
      <sheetData sheetId="1">
        <row r="8">
          <cell r="E8">
            <v>0.02</v>
          </cell>
        </row>
        <row r="9">
          <cell r="E9">
            <v>0.02</v>
          </cell>
        </row>
        <row r="10">
          <cell r="E10">
            <v>0</v>
          </cell>
        </row>
        <row r="11">
          <cell r="E11">
            <v>0</v>
          </cell>
        </row>
        <row r="15">
          <cell r="E15">
            <v>0.1</v>
          </cell>
        </row>
        <row r="16">
          <cell r="E16">
            <v>0.03</v>
          </cell>
        </row>
        <row r="17">
          <cell r="E17">
            <v>0.03</v>
          </cell>
        </row>
        <row r="18">
          <cell r="E18">
            <v>0</v>
          </cell>
        </row>
        <row r="19">
          <cell r="E19">
            <v>0</v>
          </cell>
        </row>
        <row r="21">
          <cell r="E21">
            <v>0.01</v>
          </cell>
        </row>
        <row r="23">
          <cell r="E23">
            <v>1.25E-3</v>
          </cell>
        </row>
        <row r="24">
          <cell r="E24">
            <v>1.25E-3</v>
          </cell>
        </row>
        <row r="25">
          <cell r="E25">
            <v>1.25E-3</v>
          </cell>
        </row>
        <row r="26">
          <cell r="E26">
            <v>1.25E-3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>
        <row r="8">
          <cell r="E8">
            <v>0.02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E8">
            <v>0.02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0.02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8">
          <cell r="E8">
            <v>0.02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8">
          <cell r="E8">
            <v>0.02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8">
          <cell r="E8">
            <v>0.02</v>
          </cell>
        </row>
      </sheetData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8">
          <cell r="E8">
            <v>0.02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8">
          <cell r="E8">
            <v>0.02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8">
          <cell r="E8">
            <v>0.02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8">
          <cell r="E8">
            <v>0.02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8">
          <cell r="E8">
            <v>0.02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8">
          <cell r="E8">
            <v>0.02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8">
          <cell r="E8">
            <v>0.02</v>
          </cell>
        </row>
      </sheetData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8">
          <cell r="E8">
            <v>0.02</v>
          </cell>
        </row>
      </sheetData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8">
          <cell r="E8">
            <v>0.02</v>
          </cell>
        </row>
      </sheetData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>
        <row r="8">
          <cell r="E8">
            <v>0.02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8">
          <cell r="E8">
            <v>0.02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>
        <row r="8">
          <cell r="E8">
            <v>0.02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Year BPs Adjusted"/>
      <sheetName val="Only Valpre Adjusted"/>
      <sheetName val="SEAD at 649 (Approved)"/>
      <sheetName val="SEAD at 655.5"/>
      <sheetName val="SEAD at 655.5 with N&amp;WAD Ad."/>
      <sheetName val="N&amp;WAD - Internal Summary"/>
      <sheetName val="Weekly Analysis - Rafik"/>
      <sheetName val="WEEKLY SALES Analysis-Internal"/>
      <sheetName val="N&amp;WAD Territories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 t="str">
            <v>Prior Year</v>
          </cell>
          <cell r="C5" t="str">
            <v>Plan</v>
          </cell>
          <cell r="D5" t="str">
            <v>03 RE</v>
          </cell>
          <cell r="E5" t="str">
            <v>Previous</v>
          </cell>
          <cell r="F5" t="str">
            <v>Latest F/c</v>
          </cell>
          <cell r="G5" t="str">
            <v>+/- Plan</v>
          </cell>
          <cell r="H5" t="str">
            <v>+/- R/E</v>
          </cell>
          <cell r="I5" t="str">
            <v>+/- P F/c</v>
          </cell>
          <cell r="J5" t="str">
            <v>% vs PY</v>
          </cell>
          <cell r="K5" t="str">
            <v>% vs RE</v>
          </cell>
          <cell r="L5" t="str">
            <v>% vs Plan</v>
          </cell>
          <cell r="N5" t="str">
            <v>Prior Year</v>
          </cell>
          <cell r="O5" t="str">
            <v>Plan</v>
          </cell>
          <cell r="P5" t="str">
            <v>08 RE</v>
          </cell>
          <cell r="Q5" t="str">
            <v>Actual</v>
          </cell>
          <cell r="R5" t="str">
            <v>+/- PY</v>
          </cell>
          <cell r="S5" t="str">
            <v>+/- Plan</v>
          </cell>
          <cell r="T5" t="str">
            <v>+/- R/E</v>
          </cell>
          <cell r="U5" t="str">
            <v xml:space="preserve"> vs PY</v>
          </cell>
          <cell r="V5" t="str">
            <v>vs Plan</v>
          </cell>
          <cell r="W5" t="str">
            <v>vs RE</v>
          </cell>
        </row>
        <row r="6">
          <cell r="E6" t="str">
            <v>Week 5</v>
          </cell>
          <cell r="F6" t="str">
            <v>Week 1</v>
          </cell>
        </row>
        <row r="7">
          <cell r="B7">
            <v>6894.3530000000001</v>
          </cell>
          <cell r="C7">
            <v>7000</v>
          </cell>
          <cell r="D7">
            <v>7000</v>
          </cell>
          <cell r="E7">
            <v>7000</v>
          </cell>
          <cell r="F7">
            <v>7000</v>
          </cell>
          <cell r="G7">
            <v>0</v>
          </cell>
          <cell r="H7">
            <v>0</v>
          </cell>
          <cell r="I7">
            <v>0</v>
          </cell>
          <cell r="J7">
            <v>1.532370042555109E-2</v>
          </cell>
          <cell r="K7">
            <v>0</v>
          </cell>
          <cell r="L7">
            <v>0</v>
          </cell>
          <cell r="N7">
            <v>3089</v>
          </cell>
          <cell r="O7">
            <v>3050</v>
          </cell>
          <cell r="P7">
            <v>3050</v>
          </cell>
          <cell r="Q7">
            <v>3050</v>
          </cell>
          <cell r="R7">
            <v>-39</v>
          </cell>
          <cell r="S7">
            <v>0</v>
          </cell>
          <cell r="T7">
            <v>0</v>
          </cell>
          <cell r="U7">
            <v>-1.2625445127873114E-2</v>
          </cell>
          <cell r="V7">
            <v>0</v>
          </cell>
          <cell r="W7">
            <v>0</v>
          </cell>
        </row>
        <row r="8">
          <cell r="N8">
            <v>0</v>
          </cell>
          <cell r="O8">
            <v>11.199999999999996</v>
          </cell>
          <cell r="P8">
            <v>13.5</v>
          </cell>
          <cell r="Q8">
            <v>13</v>
          </cell>
          <cell r="R8">
            <v>13</v>
          </cell>
          <cell r="S8">
            <v>1.8000000000000043</v>
          </cell>
          <cell r="T8">
            <v>-0.5</v>
          </cell>
          <cell r="U8" t="e">
            <v>#DIV/0!</v>
          </cell>
          <cell r="V8">
            <v>0.16071428571428625</v>
          </cell>
          <cell r="W8">
            <v>-3.703703703703709E-2</v>
          </cell>
        </row>
        <row r="9">
          <cell r="B9">
            <v>2689.605</v>
          </cell>
          <cell r="C9">
            <v>2800</v>
          </cell>
          <cell r="D9">
            <v>2800</v>
          </cell>
          <cell r="E9">
            <v>2800</v>
          </cell>
          <cell r="F9">
            <v>2800</v>
          </cell>
          <cell r="G9">
            <v>0</v>
          </cell>
          <cell r="H9">
            <v>0</v>
          </cell>
          <cell r="I9">
            <v>0</v>
          </cell>
          <cell r="J9">
            <v>4.10450605200392E-2</v>
          </cell>
          <cell r="K9">
            <v>0</v>
          </cell>
          <cell r="L9">
            <v>0</v>
          </cell>
          <cell r="N9">
            <v>897</v>
          </cell>
          <cell r="O9">
            <v>950</v>
          </cell>
          <cell r="P9">
            <v>720</v>
          </cell>
          <cell r="Q9">
            <v>567</v>
          </cell>
          <cell r="R9">
            <v>-330</v>
          </cell>
          <cell r="S9">
            <v>-383</v>
          </cell>
          <cell r="T9">
            <v>-153</v>
          </cell>
          <cell r="U9">
            <v>-0.36789297658862874</v>
          </cell>
          <cell r="V9">
            <v>-0.40315789473684216</v>
          </cell>
          <cell r="W9">
            <v>-0.21250000000000002</v>
          </cell>
        </row>
        <row r="10">
          <cell r="B10">
            <v>2858.8490000000002</v>
          </cell>
          <cell r="C10">
            <v>3660</v>
          </cell>
          <cell r="D10">
            <v>3300</v>
          </cell>
          <cell r="E10">
            <v>3300</v>
          </cell>
          <cell r="F10">
            <v>3300</v>
          </cell>
          <cell r="G10">
            <v>-360</v>
          </cell>
          <cell r="H10">
            <v>0</v>
          </cell>
          <cell r="I10">
            <v>0</v>
          </cell>
          <cell r="J10">
            <v>0.15431070336348651</v>
          </cell>
          <cell r="K10">
            <v>0</v>
          </cell>
          <cell r="L10">
            <v>-9.8360655737704916E-2</v>
          </cell>
          <cell r="N10">
            <v>1091</v>
          </cell>
          <cell r="O10">
            <v>1156.5</v>
          </cell>
          <cell r="P10">
            <v>1150</v>
          </cell>
          <cell r="Q10">
            <v>1250</v>
          </cell>
          <cell r="R10">
            <v>159</v>
          </cell>
          <cell r="S10">
            <v>93.5</v>
          </cell>
          <cell r="T10">
            <v>100</v>
          </cell>
          <cell r="U10">
            <v>0.14573785517873517</v>
          </cell>
          <cell r="V10">
            <v>8.0847384349329809E-2</v>
          </cell>
          <cell r="W10">
            <v>8.6956521739130377E-2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N11">
            <v>5077</v>
          </cell>
          <cell r="O11">
            <v>5167.7000000000007</v>
          </cell>
          <cell r="P11">
            <v>4933.5</v>
          </cell>
          <cell r="Q11">
            <v>4880</v>
          </cell>
          <cell r="R11">
            <v>-197</v>
          </cell>
          <cell r="S11">
            <v>-287.70000000000073</v>
          </cell>
          <cell r="T11">
            <v>-53.5</v>
          </cell>
          <cell r="U11">
            <v>-3.8802442387236513E-2</v>
          </cell>
          <cell r="V11">
            <v>-5.5672736420458002E-2</v>
          </cell>
          <cell r="W11">
            <v>-1.0844228235532549E-2</v>
          </cell>
        </row>
        <row r="13">
          <cell r="B13">
            <v>7816.3917325499997</v>
          </cell>
          <cell r="C13">
            <v>8482.4829059829062</v>
          </cell>
          <cell r="D13">
            <v>8500</v>
          </cell>
          <cell r="E13">
            <v>8500</v>
          </cell>
          <cell r="F13">
            <v>8500</v>
          </cell>
          <cell r="G13">
            <v>17.517094017093768</v>
          </cell>
          <cell r="H13">
            <v>0</v>
          </cell>
          <cell r="I13">
            <v>0</v>
          </cell>
          <cell r="J13">
            <v>8.7458291605733152E-2</v>
          </cell>
          <cell r="K13">
            <v>0</v>
          </cell>
          <cell r="L13">
            <v>2.0650903999746006E-3</v>
          </cell>
          <cell r="N13">
            <v>1376</v>
          </cell>
          <cell r="O13">
            <v>1758.1415598290596</v>
          </cell>
          <cell r="P13">
            <v>2275</v>
          </cell>
          <cell r="Q13">
            <v>2174</v>
          </cell>
          <cell r="R13">
            <v>798</v>
          </cell>
          <cell r="S13">
            <v>415.85844017094041</v>
          </cell>
          <cell r="T13">
            <v>-101</v>
          </cell>
          <cell r="U13">
            <v>0.57994186046511631</v>
          </cell>
          <cell r="V13">
            <v>0.23653296735182883</v>
          </cell>
          <cell r="W13">
            <v>-4.4395604395604416E-2</v>
          </cell>
        </row>
        <row r="14">
          <cell r="B14">
            <v>887.49744116000011</v>
          </cell>
          <cell r="C14">
            <v>1011.08</v>
          </cell>
          <cell r="D14">
            <v>1062.08</v>
          </cell>
          <cell r="E14">
            <v>1062.08</v>
          </cell>
          <cell r="F14">
            <v>1062.08</v>
          </cell>
          <cell r="G14">
            <v>50.999999999999886</v>
          </cell>
          <cell r="H14">
            <v>0</v>
          </cell>
          <cell r="I14">
            <v>0</v>
          </cell>
          <cell r="J14">
            <v>0.19671330951874344</v>
          </cell>
          <cell r="K14">
            <v>0</v>
          </cell>
          <cell r="L14">
            <v>5.0441112473790239E-2</v>
          </cell>
          <cell r="N14">
            <v>151</v>
          </cell>
          <cell r="O14">
            <v>198.60499999999996</v>
          </cell>
          <cell r="P14">
            <v>249.99999999999955</v>
          </cell>
          <cell r="Q14">
            <v>251</v>
          </cell>
          <cell r="R14">
            <v>100</v>
          </cell>
          <cell r="S14">
            <v>52.395000000000039</v>
          </cell>
          <cell r="T14">
            <v>1.0000000000004547</v>
          </cell>
          <cell r="U14">
            <v>0.66225165562913912</v>
          </cell>
          <cell r="V14">
            <v>0.26381511039500549</v>
          </cell>
          <cell r="W14">
            <v>4.0000000000017799E-3</v>
          </cell>
        </row>
        <row r="15">
          <cell r="B15">
            <v>386.36799999999999</v>
          </cell>
          <cell r="C15">
            <v>450</v>
          </cell>
          <cell r="D15">
            <v>490</v>
          </cell>
          <cell r="E15">
            <v>490</v>
          </cell>
          <cell r="F15">
            <v>490</v>
          </cell>
          <cell r="G15">
            <v>40</v>
          </cell>
          <cell r="H15">
            <v>0</v>
          </cell>
          <cell r="I15">
            <v>0</v>
          </cell>
          <cell r="J15">
            <v>0.26822097068080164</v>
          </cell>
          <cell r="K15">
            <v>0</v>
          </cell>
          <cell r="L15">
            <v>8.8888888888888795E-2</v>
          </cell>
          <cell r="N15">
            <v>59</v>
          </cell>
          <cell r="O15">
            <v>112.5</v>
          </cell>
          <cell r="P15">
            <v>50</v>
          </cell>
          <cell r="Q15">
            <v>6</v>
          </cell>
          <cell r="R15">
            <v>-53</v>
          </cell>
          <cell r="S15">
            <v>-106.5</v>
          </cell>
          <cell r="T15">
            <v>-44</v>
          </cell>
          <cell r="U15">
            <v>-0.89830508474576276</v>
          </cell>
          <cell r="V15">
            <v>-0.94666666666666666</v>
          </cell>
          <cell r="W15">
            <v>-0.88</v>
          </cell>
        </row>
        <row r="16">
          <cell r="B16">
            <v>0</v>
          </cell>
          <cell r="C16">
            <v>38.46153846153846</v>
          </cell>
          <cell r="D16">
            <v>38.46153846153846</v>
          </cell>
          <cell r="E16">
            <v>38.46153846153846</v>
          </cell>
          <cell r="F16">
            <v>38.46153846153846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9.6153846153846168</v>
          </cell>
          <cell r="P16">
            <v>6.5</v>
          </cell>
          <cell r="Q16">
            <v>0</v>
          </cell>
          <cell r="R16">
            <v>0</v>
          </cell>
          <cell r="S16">
            <v>-9.6153846153846168</v>
          </cell>
          <cell r="T16">
            <v>-6.5</v>
          </cell>
          <cell r="U16">
            <v>0</v>
          </cell>
          <cell r="V16">
            <v>-1</v>
          </cell>
          <cell r="W16">
            <v>-1</v>
          </cell>
        </row>
        <row r="17">
          <cell r="B17">
            <v>0</v>
          </cell>
          <cell r="C17">
            <v>155.97555555555556</v>
          </cell>
          <cell r="D17">
            <v>95.975555555556014</v>
          </cell>
          <cell r="E17">
            <v>95.975555555556014</v>
          </cell>
          <cell r="F17">
            <v>95.975555555556014</v>
          </cell>
          <cell r="G17">
            <v>-59.999999999999545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-0.38467566142842602</v>
          </cell>
          <cell r="N17">
            <v>0</v>
          </cell>
          <cell r="O17">
            <v>30.638055555555546</v>
          </cell>
          <cell r="P17">
            <v>87.5</v>
          </cell>
          <cell r="Q17">
            <v>0</v>
          </cell>
          <cell r="R17">
            <v>0</v>
          </cell>
          <cell r="S17">
            <v>-30.638055555555546</v>
          </cell>
          <cell r="T17">
            <v>-87.5</v>
          </cell>
          <cell r="U17">
            <v>0</v>
          </cell>
          <cell r="V17">
            <v>-1</v>
          </cell>
          <cell r="W17">
            <v>-1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N18">
            <v>1586</v>
          </cell>
          <cell r="O18">
            <v>2109.4999999999991</v>
          </cell>
          <cell r="P18">
            <v>2669</v>
          </cell>
          <cell r="Q18">
            <v>2431</v>
          </cell>
          <cell r="R18">
            <v>845</v>
          </cell>
          <cell r="S18">
            <v>321.50000000000091</v>
          </cell>
          <cell r="T18">
            <v>-238</v>
          </cell>
          <cell r="U18">
            <v>0.53278688524590168</v>
          </cell>
          <cell r="V18">
            <v>0.15240578336098642</v>
          </cell>
          <cell r="W18">
            <v>-8.9171974522292974E-2</v>
          </cell>
        </row>
        <row r="20">
          <cell r="B20">
            <v>5465.0720000000001</v>
          </cell>
          <cell r="C20">
            <v>5986</v>
          </cell>
          <cell r="D20">
            <v>5986</v>
          </cell>
          <cell r="E20">
            <v>5986</v>
          </cell>
          <cell r="F20">
            <v>5986</v>
          </cell>
          <cell r="G20">
            <v>0</v>
          </cell>
          <cell r="H20">
            <v>0</v>
          </cell>
          <cell r="I20">
            <v>0</v>
          </cell>
          <cell r="J20">
            <v>9.5319512716392385E-2</v>
          </cell>
          <cell r="K20">
            <v>0</v>
          </cell>
          <cell r="L20">
            <v>0</v>
          </cell>
          <cell r="N20">
            <v>1145</v>
          </cell>
          <cell r="O20">
            <v>1223.25</v>
          </cell>
          <cell r="P20">
            <v>1164.5</v>
          </cell>
          <cell r="Q20">
            <v>1095</v>
          </cell>
          <cell r="R20">
            <v>-50</v>
          </cell>
          <cell r="S20">
            <v>-128.25</v>
          </cell>
          <cell r="T20">
            <v>-69.5</v>
          </cell>
          <cell r="U20">
            <v>-4.3668122270742349E-2</v>
          </cell>
          <cell r="V20">
            <v>-0.1048436541998774</v>
          </cell>
          <cell r="W20">
            <v>-5.9682267067410866E-2</v>
          </cell>
        </row>
        <row r="21">
          <cell r="B21">
            <v>1963.7030000000002</v>
          </cell>
          <cell r="C21">
            <v>2259</v>
          </cell>
          <cell r="D21">
            <v>2259</v>
          </cell>
          <cell r="E21">
            <v>2259</v>
          </cell>
          <cell r="F21">
            <v>2259</v>
          </cell>
          <cell r="G21">
            <v>0</v>
          </cell>
          <cell r="H21">
            <v>0</v>
          </cell>
          <cell r="I21">
            <v>0</v>
          </cell>
          <cell r="J21">
            <v>0.1503776283888143</v>
          </cell>
          <cell r="K21">
            <v>0</v>
          </cell>
          <cell r="L21">
            <v>0</v>
          </cell>
          <cell r="N21">
            <v>415</v>
          </cell>
          <cell r="O21">
            <v>471.05000000000007</v>
          </cell>
          <cell r="P21">
            <v>461.25</v>
          </cell>
          <cell r="Q21">
            <v>433</v>
          </cell>
          <cell r="R21">
            <v>18</v>
          </cell>
          <cell r="S21">
            <v>-38.050000000000068</v>
          </cell>
          <cell r="T21">
            <v>-28.25</v>
          </cell>
          <cell r="U21">
            <v>4.3373493975903621E-2</v>
          </cell>
          <cell r="V21">
            <v>-8.0776987580936321E-2</v>
          </cell>
          <cell r="W21">
            <v>-6.1246612466124617E-2</v>
          </cell>
        </row>
        <row r="22">
          <cell r="B22">
            <v>1633.58</v>
          </cell>
          <cell r="C22">
            <v>1818</v>
          </cell>
          <cell r="D22">
            <v>1785.6</v>
          </cell>
          <cell r="E22">
            <v>1785.6</v>
          </cell>
          <cell r="F22">
            <v>1785.6</v>
          </cell>
          <cell r="G22">
            <v>-32.400000000000091</v>
          </cell>
          <cell r="H22">
            <v>0</v>
          </cell>
          <cell r="I22">
            <v>0</v>
          </cell>
          <cell r="J22">
            <v>9.3059415516840494E-2</v>
          </cell>
          <cell r="K22">
            <v>0</v>
          </cell>
          <cell r="L22">
            <v>-1.7821782178217838E-2</v>
          </cell>
          <cell r="N22">
            <v>332</v>
          </cell>
          <cell r="O22">
            <v>386.35000000000014</v>
          </cell>
          <cell r="P22">
            <v>380</v>
          </cell>
          <cell r="Q22">
            <v>341</v>
          </cell>
          <cell r="R22">
            <v>9</v>
          </cell>
          <cell r="S22">
            <v>-45.350000000000136</v>
          </cell>
          <cell r="T22">
            <v>-39</v>
          </cell>
          <cell r="U22">
            <v>2.7108433734939652E-2</v>
          </cell>
          <cell r="V22">
            <v>-0.11738061343341566</v>
          </cell>
          <cell r="W22">
            <v>-0.10263157894736841</v>
          </cell>
        </row>
        <row r="23">
          <cell r="B23">
            <v>7428.7750000000005</v>
          </cell>
          <cell r="C23">
            <v>8245</v>
          </cell>
          <cell r="D23">
            <v>8245</v>
          </cell>
          <cell r="E23">
            <v>557</v>
          </cell>
          <cell r="F23">
            <v>8245</v>
          </cell>
          <cell r="G23">
            <v>0</v>
          </cell>
          <cell r="H23">
            <v>0</v>
          </cell>
          <cell r="I23">
            <v>0</v>
          </cell>
          <cell r="J23">
            <v>0.10987343135308314</v>
          </cell>
          <cell r="K23">
            <v>0</v>
          </cell>
          <cell r="L23">
            <v>0</v>
          </cell>
          <cell r="N23">
            <v>1892</v>
          </cell>
          <cell r="O23">
            <v>2080.6499999999996</v>
          </cell>
          <cell r="P23">
            <v>2005.75</v>
          </cell>
          <cell r="Q23">
            <v>1869</v>
          </cell>
          <cell r="R23">
            <v>-23</v>
          </cell>
          <cell r="S23">
            <v>-211.64999999999964</v>
          </cell>
          <cell r="T23">
            <v>-136.75</v>
          </cell>
          <cell r="U23">
            <v>-1.2156448202959802E-2</v>
          </cell>
          <cell r="V23">
            <v>-0.10172301924879223</v>
          </cell>
          <cell r="W23">
            <v>-6.8178985416926352E-2</v>
          </cell>
        </row>
        <row r="25">
          <cell r="B25">
            <v>30595.419173710001</v>
          </cell>
          <cell r="C25">
            <v>33661</v>
          </cell>
          <cell r="D25">
            <v>33317.117094017092</v>
          </cell>
          <cell r="E25">
            <v>33317.117094017092</v>
          </cell>
          <cell r="F25">
            <v>33317.117094017092</v>
          </cell>
          <cell r="G25">
            <v>-343.88290598290769</v>
          </cell>
          <cell r="H25">
            <v>0</v>
          </cell>
          <cell r="I25">
            <v>0</v>
          </cell>
          <cell r="J25">
            <v>8.8957693465621546E-2</v>
          </cell>
          <cell r="K25">
            <v>0</v>
          </cell>
          <cell r="L25">
            <v>-1.0216063277469711E-2</v>
          </cell>
          <cell r="N25">
            <v>8555</v>
          </cell>
          <cell r="O25">
            <v>9357.8499999999985</v>
          </cell>
          <cell r="P25">
            <v>9608.25</v>
          </cell>
          <cell r="Q25">
            <v>9180</v>
          </cell>
          <cell r="R25">
            <v>625</v>
          </cell>
          <cell r="S25">
            <v>-177.84999999999854</v>
          </cell>
          <cell r="T25">
            <v>-428.25</v>
          </cell>
          <cell r="U25">
            <v>7.3056691992986478E-2</v>
          </cell>
          <cell r="V25">
            <v>-1.900543394048837E-2</v>
          </cell>
          <cell r="W25">
            <v>-4.4571071735227563E-2</v>
          </cell>
        </row>
        <row r="29">
          <cell r="B29" t="str">
            <v>Prior Year</v>
          </cell>
          <cell r="C29" t="str">
            <v>Plan</v>
          </cell>
          <cell r="D29" t="str">
            <v>08 RE</v>
          </cell>
          <cell r="E29" t="str">
            <v>Previous</v>
          </cell>
          <cell r="F29" t="str">
            <v>Latest F/c</v>
          </cell>
          <cell r="G29" t="str">
            <v>+/- Plan</v>
          </cell>
          <cell r="H29" t="str">
            <v>+/- R/E</v>
          </cell>
          <cell r="I29" t="str">
            <v>+/- P F/c</v>
          </cell>
          <cell r="J29" t="str">
            <v>% vs PY</v>
          </cell>
          <cell r="K29" t="str">
            <v>% vs RE</v>
          </cell>
          <cell r="L29" t="str">
            <v>% vs Plan</v>
          </cell>
          <cell r="N29" t="str">
            <v>Prior Year</v>
          </cell>
          <cell r="O29" t="str">
            <v>Plan</v>
          </cell>
          <cell r="P29" t="str">
            <v>08 RE</v>
          </cell>
          <cell r="Q29" t="str">
            <v>Actual</v>
          </cell>
          <cell r="R29" t="str">
            <v>+/- PY</v>
          </cell>
          <cell r="S29" t="str">
            <v>+/- Plan</v>
          </cell>
          <cell r="T29" t="str">
            <v>+/- R/E</v>
          </cell>
          <cell r="U29" t="str">
            <v xml:space="preserve"> vs PY</v>
          </cell>
          <cell r="V29" t="str">
            <v>vs Plan</v>
          </cell>
          <cell r="W29" t="str">
            <v>vs RE</v>
          </cell>
        </row>
        <row r="30">
          <cell r="E30" t="e">
            <v>#REF!</v>
          </cell>
          <cell r="F30" t="str">
            <v>Week2</v>
          </cell>
        </row>
        <row r="31">
          <cell r="B31">
            <v>12026.67</v>
          </cell>
          <cell r="C31">
            <v>12200</v>
          </cell>
          <cell r="D31">
            <v>12200</v>
          </cell>
          <cell r="E31">
            <v>12200</v>
          </cell>
          <cell r="F31">
            <v>12200</v>
          </cell>
          <cell r="G31">
            <v>0</v>
          </cell>
          <cell r="H31">
            <v>0</v>
          </cell>
          <cell r="I31">
            <v>0</v>
          </cell>
          <cell r="J31">
            <v>1.4412135695084372E-2</v>
          </cell>
          <cell r="K31">
            <v>0</v>
          </cell>
          <cell r="L31">
            <v>0</v>
          </cell>
          <cell r="N31">
            <v>9141</v>
          </cell>
          <cell r="O31">
            <v>9150</v>
          </cell>
          <cell r="P31">
            <v>9150</v>
          </cell>
          <cell r="Q31">
            <v>8760</v>
          </cell>
          <cell r="R31">
            <v>-381</v>
          </cell>
          <cell r="S31">
            <v>-390</v>
          </cell>
          <cell r="T31">
            <v>-390</v>
          </cell>
          <cell r="U31">
            <v>-4.1680341319330516E-2</v>
          </cell>
          <cell r="V31">
            <v>-4.2622950819672156E-2</v>
          </cell>
          <cell r="W31">
            <v>-4.2622950819672156E-2</v>
          </cell>
        </row>
        <row r="32">
          <cell r="N32">
            <v>22</v>
          </cell>
          <cell r="O32">
            <v>33.599999999999994</v>
          </cell>
          <cell r="P32">
            <v>40.5</v>
          </cell>
          <cell r="Q32">
            <v>39</v>
          </cell>
          <cell r="R32">
            <v>17</v>
          </cell>
          <cell r="S32">
            <v>5.4000000000000057</v>
          </cell>
          <cell r="T32">
            <v>-1.5</v>
          </cell>
          <cell r="U32">
            <v>0.77272727272727271</v>
          </cell>
          <cell r="V32">
            <v>0.16071428571428581</v>
          </cell>
          <cell r="W32">
            <v>-3.703703703703709E-2</v>
          </cell>
        </row>
        <row r="33">
          <cell r="B33">
            <v>3684.2930000000001</v>
          </cell>
          <cell r="C33">
            <v>3800</v>
          </cell>
          <cell r="D33">
            <v>2880</v>
          </cell>
          <cell r="E33">
            <v>2880</v>
          </cell>
          <cell r="F33">
            <v>2630</v>
          </cell>
          <cell r="G33">
            <v>-1170</v>
          </cell>
          <cell r="H33">
            <v>-250</v>
          </cell>
          <cell r="I33">
            <v>-250</v>
          </cell>
          <cell r="J33">
            <v>-0.2861588369871777</v>
          </cell>
          <cell r="K33">
            <v>-8.680555555555558E-2</v>
          </cell>
          <cell r="L33">
            <v>-0.30789473684210522</v>
          </cell>
          <cell r="N33">
            <v>2654</v>
          </cell>
          <cell r="O33">
            <v>2850</v>
          </cell>
          <cell r="P33">
            <v>2160</v>
          </cell>
          <cell r="Q33">
            <v>1732</v>
          </cell>
          <cell r="R33">
            <v>-922</v>
          </cell>
          <cell r="S33">
            <v>-1118</v>
          </cell>
          <cell r="T33">
            <v>-428</v>
          </cell>
          <cell r="U33">
            <v>-0.34740015071590058</v>
          </cell>
          <cell r="V33">
            <v>-0.39228070175438601</v>
          </cell>
          <cell r="W33">
            <v>-0.19814814814814818</v>
          </cell>
        </row>
        <row r="34">
          <cell r="B34">
            <v>4401.0720000000001</v>
          </cell>
          <cell r="C34">
            <v>4626</v>
          </cell>
          <cell r="D34">
            <v>4600</v>
          </cell>
          <cell r="E34">
            <v>4600</v>
          </cell>
          <cell r="F34">
            <v>4850</v>
          </cell>
          <cell r="G34">
            <v>224</v>
          </cell>
          <cell r="H34">
            <v>250</v>
          </cell>
          <cell r="I34">
            <v>250</v>
          </cell>
          <cell r="J34">
            <v>0.10200423896723332</v>
          </cell>
          <cell r="K34">
            <v>5.4347826086956541E-2</v>
          </cell>
          <cell r="L34">
            <v>4.8421962818850028E-2</v>
          </cell>
          <cell r="N34">
            <v>3160</v>
          </cell>
          <cell r="O34">
            <v>3469.5</v>
          </cell>
          <cell r="P34">
            <v>3450</v>
          </cell>
          <cell r="Q34">
            <v>3682</v>
          </cell>
          <cell r="R34">
            <v>522</v>
          </cell>
          <cell r="S34">
            <v>212.5</v>
          </cell>
          <cell r="T34">
            <v>232</v>
          </cell>
          <cell r="U34">
            <v>0.16518987341772151</v>
          </cell>
          <cell r="V34">
            <v>6.1248018446462105E-2</v>
          </cell>
          <cell r="W34">
            <v>6.7246376811594288E-2</v>
          </cell>
        </row>
        <row r="35">
          <cell r="B35">
            <v>20152.722000000002</v>
          </cell>
          <cell r="C35">
            <v>20670.8</v>
          </cell>
          <cell r="D35">
            <v>19734</v>
          </cell>
          <cell r="E35">
            <v>19734</v>
          </cell>
          <cell r="F35">
            <v>19734</v>
          </cell>
          <cell r="G35">
            <v>-936.79999999999927</v>
          </cell>
          <cell r="H35">
            <v>0</v>
          </cell>
          <cell r="I35">
            <v>0</v>
          </cell>
          <cell r="J35">
            <v>-2.0777441379879136E-2</v>
          </cell>
          <cell r="K35">
            <v>0</v>
          </cell>
          <cell r="L35">
            <v>-4.5319968264411647E-2</v>
          </cell>
          <cell r="N35">
            <v>14977</v>
          </cell>
          <cell r="O35">
            <v>15503.1</v>
          </cell>
          <cell r="P35">
            <v>14800.5</v>
          </cell>
          <cell r="Q35">
            <v>14213</v>
          </cell>
          <cell r="R35">
            <v>-764</v>
          </cell>
          <cell r="S35">
            <v>-1290.1000000000004</v>
          </cell>
          <cell r="T35">
            <v>-587.5</v>
          </cell>
          <cell r="U35">
            <v>-5.1011551044935599E-2</v>
          </cell>
          <cell r="V35">
            <v>-8.3215614941527849E-2</v>
          </cell>
          <cell r="W35">
            <v>-3.9694604911996167E-2</v>
          </cell>
        </row>
        <row r="37">
          <cell r="B37">
            <v>5529.710383319999</v>
          </cell>
          <cell r="C37">
            <v>7032.5662393162384</v>
          </cell>
          <cell r="D37">
            <v>9100</v>
          </cell>
          <cell r="E37">
            <v>9100</v>
          </cell>
          <cell r="F37">
            <v>9100</v>
          </cell>
          <cell r="G37">
            <v>2067.4337606837616</v>
          </cell>
          <cell r="H37">
            <v>0</v>
          </cell>
          <cell r="I37">
            <v>0</v>
          </cell>
          <cell r="J37">
            <v>0.64565580639621567</v>
          </cell>
          <cell r="K37">
            <v>0</v>
          </cell>
          <cell r="L37">
            <v>0.29397999113404349</v>
          </cell>
          <cell r="N37">
            <v>3576</v>
          </cell>
          <cell r="O37">
            <v>5274.4246794871788</v>
          </cell>
          <cell r="P37">
            <v>6825</v>
          </cell>
          <cell r="Q37">
            <v>6630</v>
          </cell>
          <cell r="R37">
            <v>3054</v>
          </cell>
          <cell r="S37">
            <v>1355.5753205128212</v>
          </cell>
          <cell r="T37">
            <v>-195</v>
          </cell>
          <cell r="U37">
            <v>0.85402684563758391</v>
          </cell>
          <cell r="V37">
            <v>0.25700913424449934</v>
          </cell>
          <cell r="W37">
            <v>-2.8571428571428581E-2</v>
          </cell>
        </row>
        <row r="38">
          <cell r="B38">
            <v>690.07952005999994</v>
          </cell>
          <cell r="C38">
            <v>794.42</v>
          </cell>
          <cell r="D38">
            <v>999.99999999999932</v>
          </cell>
          <cell r="E38">
            <v>999.99999999999932</v>
          </cell>
          <cell r="F38">
            <v>999.99999999999932</v>
          </cell>
          <cell r="G38">
            <v>205.57999999999936</v>
          </cell>
          <cell r="H38">
            <v>0</v>
          </cell>
          <cell r="I38">
            <v>0</v>
          </cell>
          <cell r="J38">
            <v>0.44910835770499746</v>
          </cell>
          <cell r="K38">
            <v>0</v>
          </cell>
          <cell r="L38">
            <v>0.25877999043327127</v>
          </cell>
          <cell r="N38">
            <v>540</v>
          </cell>
          <cell r="O38">
            <v>595.81499999999994</v>
          </cell>
          <cell r="P38">
            <v>749.99999999999955</v>
          </cell>
          <cell r="Q38">
            <v>798</v>
          </cell>
          <cell r="R38">
            <v>258</v>
          </cell>
          <cell r="S38">
            <v>202.18500000000006</v>
          </cell>
          <cell r="T38">
            <v>48.000000000000455</v>
          </cell>
          <cell r="U38">
            <v>0.47777777777777786</v>
          </cell>
          <cell r="V38">
            <v>0.33934190982100154</v>
          </cell>
          <cell r="W38">
            <v>6.4000000000000723E-2</v>
          </cell>
        </row>
        <row r="39">
          <cell r="B39">
            <v>259.68900000000002</v>
          </cell>
          <cell r="C39">
            <v>450</v>
          </cell>
          <cell r="D39">
            <v>200</v>
          </cell>
          <cell r="E39">
            <v>200</v>
          </cell>
          <cell r="F39">
            <v>200</v>
          </cell>
          <cell r="G39">
            <v>-250</v>
          </cell>
          <cell r="H39">
            <v>0</v>
          </cell>
          <cell r="I39">
            <v>0</v>
          </cell>
          <cell r="J39">
            <v>-0.22984801050487325</v>
          </cell>
          <cell r="K39">
            <v>0</v>
          </cell>
          <cell r="L39">
            <v>-0.55555555555555558</v>
          </cell>
          <cell r="N39">
            <v>192</v>
          </cell>
          <cell r="O39">
            <v>337.5</v>
          </cell>
          <cell r="P39">
            <v>150</v>
          </cell>
          <cell r="Q39">
            <v>92</v>
          </cell>
          <cell r="R39">
            <v>-100</v>
          </cell>
          <cell r="S39">
            <v>-245.5</v>
          </cell>
          <cell r="T39">
            <v>-58</v>
          </cell>
          <cell r="U39">
            <v>-0.52083333333333326</v>
          </cell>
          <cell r="V39">
            <v>-0.72740740740740739</v>
          </cell>
          <cell r="W39">
            <v>-0.38666666666666671</v>
          </cell>
        </row>
        <row r="40">
          <cell r="B40">
            <v>0</v>
          </cell>
          <cell r="C40">
            <v>38.46153846153846</v>
          </cell>
          <cell r="D40">
            <v>26</v>
          </cell>
          <cell r="E40">
            <v>26</v>
          </cell>
          <cell r="F40">
            <v>26</v>
          </cell>
          <cell r="G40">
            <v>-12.46153846153846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-0.32399999999999995</v>
          </cell>
          <cell r="N40">
            <v>0</v>
          </cell>
          <cell r="O40">
            <v>28.846153846153847</v>
          </cell>
          <cell r="P40">
            <v>19.5</v>
          </cell>
          <cell r="Q40">
            <v>0</v>
          </cell>
          <cell r="R40">
            <v>0</v>
          </cell>
          <cell r="S40">
            <v>-28.846153846153847</v>
          </cell>
          <cell r="T40">
            <v>-19.5</v>
          </cell>
          <cell r="U40" t="e">
            <v>#DIV/0!</v>
          </cell>
          <cell r="V40">
            <v>-1</v>
          </cell>
          <cell r="W40">
            <v>-1</v>
          </cell>
        </row>
        <row r="41">
          <cell r="B41">
            <v>0</v>
          </cell>
          <cell r="C41">
            <v>122.5522222222222</v>
          </cell>
          <cell r="D41">
            <v>350</v>
          </cell>
          <cell r="E41">
            <v>350</v>
          </cell>
          <cell r="F41">
            <v>350</v>
          </cell>
          <cell r="G41">
            <v>227.44777777777779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1.8559253651504579</v>
          </cell>
          <cell r="N41">
            <v>0</v>
          </cell>
          <cell r="O41">
            <v>91.914166666666645</v>
          </cell>
          <cell r="P41">
            <v>262.5</v>
          </cell>
          <cell r="Q41">
            <v>200</v>
          </cell>
          <cell r="R41">
            <v>200</v>
          </cell>
          <cell r="S41">
            <v>108.08583333333335</v>
          </cell>
          <cell r="T41">
            <v>-62.5</v>
          </cell>
          <cell r="U41" t="e">
            <v>#DIV/0!</v>
          </cell>
          <cell r="V41">
            <v>1.1759431353527301</v>
          </cell>
          <cell r="W41">
            <v>-0.23809523809523814</v>
          </cell>
        </row>
        <row r="42">
          <cell r="B42">
            <v>6479.4789033799989</v>
          </cell>
          <cell r="C42">
            <v>8438</v>
          </cell>
          <cell r="D42">
            <v>10676</v>
          </cell>
          <cell r="E42">
            <v>10676</v>
          </cell>
          <cell r="F42">
            <v>10676</v>
          </cell>
          <cell r="G42">
            <v>2238</v>
          </cell>
          <cell r="H42">
            <v>0</v>
          </cell>
          <cell r="I42">
            <v>0</v>
          </cell>
          <cell r="J42">
            <v>0.64766336293353777</v>
          </cell>
          <cell r="K42">
            <v>0</v>
          </cell>
          <cell r="L42">
            <v>0.26522872718653701</v>
          </cell>
          <cell r="N42">
            <v>4308</v>
          </cell>
          <cell r="O42">
            <v>6328.4999999999991</v>
          </cell>
          <cell r="P42">
            <v>8007</v>
          </cell>
          <cell r="Q42">
            <v>7720</v>
          </cell>
          <cell r="R42">
            <v>3412</v>
          </cell>
          <cell r="S42">
            <v>1391.5000000000009</v>
          </cell>
          <cell r="T42">
            <v>-287</v>
          </cell>
          <cell r="U42">
            <v>0.79201485608170841</v>
          </cell>
          <cell r="V42">
            <v>0.21987832819783537</v>
          </cell>
          <cell r="W42">
            <v>-3.5843636817784463E-2</v>
          </cell>
        </row>
        <row r="44">
          <cell r="B44">
            <v>4475.6809999999996</v>
          </cell>
          <cell r="C44">
            <v>4893</v>
          </cell>
          <cell r="D44">
            <v>4658</v>
          </cell>
          <cell r="E44">
            <v>4658</v>
          </cell>
          <cell r="F44">
            <v>4658</v>
          </cell>
          <cell r="G44">
            <v>-235</v>
          </cell>
          <cell r="H44">
            <v>0</v>
          </cell>
          <cell r="I44">
            <v>0</v>
          </cell>
          <cell r="J44">
            <v>4.0735476902844514E-2</v>
          </cell>
          <cell r="K44">
            <v>0</v>
          </cell>
          <cell r="L44">
            <v>-4.8027794808910729E-2</v>
          </cell>
          <cell r="N44">
            <v>3234</v>
          </cell>
          <cell r="O44">
            <v>3669.75</v>
          </cell>
          <cell r="P44">
            <v>3493.5</v>
          </cell>
          <cell r="Q44">
            <v>3279</v>
          </cell>
          <cell r="R44">
            <v>45</v>
          </cell>
          <cell r="S44">
            <v>-390.75</v>
          </cell>
          <cell r="T44">
            <v>-214.5</v>
          </cell>
          <cell r="U44">
            <v>1.3914656771799594E-2</v>
          </cell>
          <cell r="V44">
            <v>-0.10647864295932963</v>
          </cell>
          <cell r="W44">
            <v>-6.139974237870327E-2</v>
          </cell>
        </row>
        <row r="45">
          <cell r="B45">
            <v>1673.442</v>
          </cell>
          <cell r="C45">
            <v>1884.2</v>
          </cell>
          <cell r="D45">
            <v>1845</v>
          </cell>
          <cell r="E45">
            <v>1845</v>
          </cell>
          <cell r="F45">
            <v>1845</v>
          </cell>
          <cell r="G45">
            <v>-39.200000000000045</v>
          </cell>
          <cell r="H45">
            <v>0</v>
          </cell>
          <cell r="I45">
            <v>0</v>
          </cell>
          <cell r="J45">
            <v>0.10251804364895833</v>
          </cell>
          <cell r="K45">
            <v>0</v>
          </cell>
          <cell r="L45">
            <v>-2.0804585500477701E-2</v>
          </cell>
          <cell r="N45">
            <v>1257</v>
          </cell>
          <cell r="O45">
            <v>1413.15</v>
          </cell>
          <cell r="P45">
            <v>1383.75</v>
          </cell>
          <cell r="Q45">
            <v>1190</v>
          </cell>
          <cell r="R45">
            <v>-67</v>
          </cell>
          <cell r="S45">
            <v>-223.15000000000009</v>
          </cell>
          <cell r="T45">
            <v>-193.75</v>
          </cell>
          <cell r="U45">
            <v>-5.3301511535401747E-2</v>
          </cell>
          <cell r="V45">
            <v>-0.15790963450447582</v>
          </cell>
          <cell r="W45">
            <v>-0.14001806684733509</v>
          </cell>
        </row>
        <row r="46">
          <cell r="B46">
            <v>1380.5350000000001</v>
          </cell>
          <cell r="C46">
            <v>1545.4</v>
          </cell>
          <cell r="D46">
            <v>1520</v>
          </cell>
          <cell r="E46">
            <v>1520</v>
          </cell>
          <cell r="F46">
            <v>1520</v>
          </cell>
          <cell r="G46">
            <v>-25.400000000000091</v>
          </cell>
          <cell r="H46">
            <v>0</v>
          </cell>
          <cell r="I46">
            <v>0</v>
          </cell>
          <cell r="J46">
            <v>0.10102242971022091</v>
          </cell>
          <cell r="K46">
            <v>0</v>
          </cell>
          <cell r="L46">
            <v>-1.6435874207325063E-2</v>
          </cell>
          <cell r="N46">
            <v>952</v>
          </cell>
          <cell r="O46">
            <v>1159.0500000000002</v>
          </cell>
          <cell r="P46">
            <v>1140</v>
          </cell>
          <cell r="Q46">
            <v>1034</v>
          </cell>
          <cell r="R46">
            <v>82</v>
          </cell>
          <cell r="S46">
            <v>-125.05000000000018</v>
          </cell>
          <cell r="T46">
            <v>-106</v>
          </cell>
          <cell r="U46">
            <v>8.6134453781512521E-2</v>
          </cell>
          <cell r="V46">
            <v>-0.10789008239506503</v>
          </cell>
          <cell r="W46">
            <v>-9.2982456140350833E-2</v>
          </cell>
        </row>
        <row r="47">
          <cell r="B47">
            <v>7529.6579999999994</v>
          </cell>
          <cell r="C47">
            <v>8322.6</v>
          </cell>
          <cell r="D47">
            <v>8023</v>
          </cell>
          <cell r="E47">
            <v>8023</v>
          </cell>
          <cell r="F47">
            <v>8023</v>
          </cell>
          <cell r="G47">
            <v>-299.60000000000036</v>
          </cell>
          <cell r="H47">
            <v>0</v>
          </cell>
          <cell r="I47">
            <v>0</v>
          </cell>
          <cell r="J47">
            <v>6.5519841671427992E-2</v>
          </cell>
          <cell r="K47">
            <v>0</v>
          </cell>
          <cell r="L47">
            <v>-3.5998365895273166E-2</v>
          </cell>
          <cell r="N47">
            <v>5443</v>
          </cell>
          <cell r="O47">
            <v>6241.95</v>
          </cell>
          <cell r="P47">
            <v>6017.25</v>
          </cell>
          <cell r="Q47">
            <v>5503</v>
          </cell>
          <cell r="R47">
            <v>60</v>
          </cell>
          <cell r="S47">
            <v>-738.94999999999982</v>
          </cell>
          <cell r="T47">
            <v>-514.25</v>
          </cell>
          <cell r="U47">
            <v>1.1023332720925927E-2</v>
          </cell>
          <cell r="V47">
            <v>-0.11838447920922146</v>
          </cell>
          <cell r="W47">
            <v>-8.5462628277036878E-2</v>
          </cell>
        </row>
        <row r="49">
          <cell r="B49">
            <v>34161.858903379994</v>
          </cell>
          <cell r="C49">
            <v>37431.4</v>
          </cell>
          <cell r="D49">
            <v>38433</v>
          </cell>
          <cell r="E49">
            <v>38433</v>
          </cell>
          <cell r="F49">
            <v>38433</v>
          </cell>
          <cell r="G49">
            <v>1001.5999999999985</v>
          </cell>
          <cell r="H49">
            <v>0</v>
          </cell>
          <cell r="I49">
            <v>0</v>
          </cell>
          <cell r="J49">
            <v>0.12502660082696537</v>
          </cell>
          <cell r="K49">
            <v>0</v>
          </cell>
          <cell r="L49">
            <v>2.6758283152647167E-2</v>
          </cell>
          <cell r="N49">
            <v>24728</v>
          </cell>
          <cell r="O49">
            <v>28073.55</v>
          </cell>
          <cell r="P49">
            <v>28824.75</v>
          </cell>
          <cell r="Q49">
            <v>27436</v>
          </cell>
          <cell r="R49">
            <v>2708</v>
          </cell>
          <cell r="S49">
            <v>-637.54999999999927</v>
          </cell>
          <cell r="T49">
            <v>-1388.75</v>
          </cell>
          <cell r="U49">
            <v>0.10951148495632479</v>
          </cell>
          <cell r="V49">
            <v>-2.2709988583559992E-2</v>
          </cell>
          <cell r="W49">
            <v>-4.8179082212334912E-2</v>
          </cell>
        </row>
        <row r="50">
          <cell r="D50">
            <v>1534</v>
          </cell>
          <cell r="E50">
            <v>2479</v>
          </cell>
        </row>
        <row r="51">
          <cell r="D51">
            <v>2774</v>
          </cell>
          <cell r="E51">
            <v>5241</v>
          </cell>
        </row>
        <row r="52">
          <cell r="B52" t="str">
            <v>Prior Year</v>
          </cell>
          <cell r="C52" t="str">
            <v>Plan</v>
          </cell>
          <cell r="D52" t="str">
            <v>03 RE</v>
          </cell>
          <cell r="E52" t="str">
            <v>Previous</v>
          </cell>
          <cell r="F52" t="str">
            <v>Latest F/c</v>
          </cell>
          <cell r="G52" t="str">
            <v>+/- Plan</v>
          </cell>
          <cell r="H52" t="str">
            <v>+/- R/E</v>
          </cell>
          <cell r="I52" t="str">
            <v>+/- P F/c</v>
          </cell>
          <cell r="J52" t="str">
            <v>% vs PY</v>
          </cell>
          <cell r="K52" t="str">
            <v>% vs RE</v>
          </cell>
          <cell r="L52" t="str">
            <v>% vs Plan</v>
          </cell>
          <cell r="N52" t="str">
            <v>Prior Year</v>
          </cell>
          <cell r="O52" t="str">
            <v>Plan</v>
          </cell>
          <cell r="P52" t="str">
            <v>08 RE</v>
          </cell>
          <cell r="Q52" t="str">
            <v>Actual</v>
          </cell>
          <cell r="R52" t="str">
            <v>+/- PY</v>
          </cell>
          <cell r="S52" t="str">
            <v>+/- Plan</v>
          </cell>
          <cell r="T52" t="str">
            <v>+/- R/E</v>
          </cell>
          <cell r="U52" t="str">
            <v xml:space="preserve"> vs PY</v>
          </cell>
          <cell r="V52" t="str">
            <v>vs Plan</v>
          </cell>
          <cell r="W52" t="str">
            <v>vs RE</v>
          </cell>
        </row>
        <row r="53">
          <cell r="E53" t="str">
            <v>Week 5</v>
          </cell>
          <cell r="F53" t="str">
            <v>Week 1</v>
          </cell>
        </row>
        <row r="54">
          <cell r="B54">
            <v>6894.3530000000001</v>
          </cell>
          <cell r="C54">
            <v>7000</v>
          </cell>
          <cell r="D54">
            <v>7000</v>
          </cell>
          <cell r="E54">
            <v>7000</v>
          </cell>
          <cell r="F54">
            <v>7000</v>
          </cell>
          <cell r="G54">
            <v>0</v>
          </cell>
          <cell r="H54">
            <v>0</v>
          </cell>
          <cell r="I54">
            <v>0</v>
          </cell>
          <cell r="J54">
            <v>1.532370042555109E-2</v>
          </cell>
          <cell r="K54">
            <v>0</v>
          </cell>
          <cell r="L54">
            <v>0</v>
          </cell>
          <cell r="N54">
            <v>6052</v>
          </cell>
          <cell r="O54">
            <v>6100</v>
          </cell>
          <cell r="P54">
            <v>6100</v>
          </cell>
          <cell r="Q54">
            <v>5710</v>
          </cell>
          <cell r="R54">
            <v>-342</v>
          </cell>
          <cell r="S54">
            <v>-390</v>
          </cell>
          <cell r="T54">
            <v>-390</v>
          </cell>
          <cell r="U54">
            <v>-5.651024454725706E-2</v>
          </cell>
          <cell r="V54">
            <v>-6.3934426229508179E-2</v>
          </cell>
          <cell r="W54">
            <v>-6.3934426229508179E-2</v>
          </cell>
        </row>
        <row r="55">
          <cell r="N55">
            <v>22</v>
          </cell>
          <cell r="O55">
            <v>22.4</v>
          </cell>
          <cell r="P55">
            <v>27</v>
          </cell>
          <cell r="Q55">
            <v>26</v>
          </cell>
        </row>
        <row r="56">
          <cell r="B56">
            <v>2689.605</v>
          </cell>
          <cell r="C56">
            <v>2800</v>
          </cell>
          <cell r="D56">
            <v>2800</v>
          </cell>
          <cell r="E56">
            <v>2800</v>
          </cell>
          <cell r="F56">
            <v>2800</v>
          </cell>
          <cell r="G56">
            <v>0</v>
          </cell>
          <cell r="H56">
            <v>0</v>
          </cell>
          <cell r="I56">
            <v>0</v>
          </cell>
          <cell r="J56">
            <v>4.10450605200392E-2</v>
          </cell>
          <cell r="K56">
            <v>0</v>
          </cell>
          <cell r="L56">
            <v>0</v>
          </cell>
          <cell r="N56">
            <v>1757</v>
          </cell>
          <cell r="O56">
            <v>1900</v>
          </cell>
          <cell r="P56">
            <v>1440</v>
          </cell>
          <cell r="Q56">
            <v>1165</v>
          </cell>
          <cell r="R56">
            <v>-592</v>
          </cell>
          <cell r="S56">
            <v>-735</v>
          </cell>
          <cell r="T56">
            <v>-275</v>
          </cell>
          <cell r="U56">
            <v>-0.33693796243597041</v>
          </cell>
          <cell r="V56">
            <v>-0.38684210526315788</v>
          </cell>
          <cell r="W56">
            <v>-0.19097222222222221</v>
          </cell>
        </row>
        <row r="57">
          <cell r="B57">
            <v>2858.8490000000002</v>
          </cell>
          <cell r="C57">
            <v>3660</v>
          </cell>
          <cell r="D57">
            <v>3300</v>
          </cell>
          <cell r="E57">
            <v>3300</v>
          </cell>
          <cell r="F57">
            <v>3300</v>
          </cell>
          <cell r="G57">
            <v>-360</v>
          </cell>
          <cell r="H57">
            <v>0</v>
          </cell>
          <cell r="I57">
            <v>0</v>
          </cell>
          <cell r="J57">
            <v>0.15431070336348651</v>
          </cell>
          <cell r="K57">
            <v>0</v>
          </cell>
          <cell r="L57">
            <v>-9.8360655737704916E-2</v>
          </cell>
          <cell r="N57">
            <v>2069</v>
          </cell>
          <cell r="O57">
            <v>2313</v>
          </cell>
          <cell r="P57">
            <v>2300</v>
          </cell>
          <cell r="Q57">
            <v>2432</v>
          </cell>
          <cell r="R57">
            <v>363</v>
          </cell>
          <cell r="S57">
            <v>119</v>
          </cell>
          <cell r="T57">
            <v>132</v>
          </cell>
          <cell r="U57">
            <v>0.17544707588206854</v>
          </cell>
          <cell r="V57">
            <v>5.1448335495028141E-2</v>
          </cell>
          <cell r="W57">
            <v>5.7391304347826022E-2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N58">
            <v>9900</v>
          </cell>
          <cell r="O58">
            <v>10335.4</v>
          </cell>
          <cell r="P58">
            <v>9867</v>
          </cell>
          <cell r="Q58">
            <v>9333</v>
          </cell>
          <cell r="R58">
            <v>-567</v>
          </cell>
          <cell r="S58">
            <v>-1002.3999999999996</v>
          </cell>
          <cell r="T58">
            <v>-534</v>
          </cell>
          <cell r="U58">
            <v>-5.7272727272727253E-2</v>
          </cell>
          <cell r="V58">
            <v>-9.6987054202062772E-2</v>
          </cell>
          <cell r="W58">
            <v>-5.4119793250228088E-2</v>
          </cell>
        </row>
        <row r="59">
          <cell r="D59">
            <v>958</v>
          </cell>
          <cell r="E59">
            <v>1112</v>
          </cell>
        </row>
        <row r="60">
          <cell r="B60">
            <v>7816.3917325499997</v>
          </cell>
          <cell r="C60">
            <v>8482.4829059829062</v>
          </cell>
          <cell r="D60">
            <v>2276</v>
          </cell>
          <cell r="E60">
            <v>2167</v>
          </cell>
          <cell r="F60">
            <v>8500</v>
          </cell>
          <cell r="G60">
            <v>17.517094017093768</v>
          </cell>
          <cell r="H60">
            <v>0</v>
          </cell>
          <cell r="I60">
            <v>0</v>
          </cell>
          <cell r="J60">
            <v>8.7458291605733152E-2</v>
          </cell>
          <cell r="K60">
            <v>0</v>
          </cell>
          <cell r="L60">
            <v>2.0650903999746006E-3</v>
          </cell>
          <cell r="N60">
            <v>2200</v>
          </cell>
          <cell r="O60">
            <v>3516.2831196581192</v>
          </cell>
          <cell r="P60">
            <v>4550</v>
          </cell>
          <cell r="Q60">
            <v>4456</v>
          </cell>
          <cell r="R60">
            <v>2256</v>
          </cell>
          <cell r="S60">
            <v>939.71688034188082</v>
          </cell>
          <cell r="T60">
            <v>-94</v>
          </cell>
          <cell r="U60">
            <v>1.0254545454545454</v>
          </cell>
          <cell r="V60">
            <v>0.2672472176908347</v>
          </cell>
          <cell r="W60">
            <v>-2.0659340659340608E-2</v>
          </cell>
        </row>
        <row r="61">
          <cell r="B61">
            <v>887.49744116000011</v>
          </cell>
          <cell r="C61">
            <v>1011.08</v>
          </cell>
          <cell r="D61">
            <v>1062.08</v>
          </cell>
          <cell r="E61">
            <v>1062.08</v>
          </cell>
          <cell r="F61">
            <v>1062.08</v>
          </cell>
          <cell r="G61">
            <v>50.999999999999886</v>
          </cell>
          <cell r="H61">
            <v>0</v>
          </cell>
          <cell r="I61">
            <v>0</v>
          </cell>
          <cell r="J61">
            <v>0.19671330951874344</v>
          </cell>
          <cell r="K61">
            <v>0</v>
          </cell>
          <cell r="L61">
            <v>5.0441112473790239E-2</v>
          </cell>
          <cell r="N61">
            <v>389</v>
          </cell>
          <cell r="O61">
            <v>397.21</v>
          </cell>
          <cell r="P61">
            <v>500</v>
          </cell>
          <cell r="Q61">
            <v>547</v>
          </cell>
          <cell r="R61">
            <v>158</v>
          </cell>
          <cell r="S61">
            <v>149.79000000000002</v>
          </cell>
          <cell r="T61">
            <v>47</v>
          </cell>
          <cell r="U61">
            <v>0.40616966580976865</v>
          </cell>
          <cell r="V61">
            <v>0.37710530953399979</v>
          </cell>
          <cell r="W61">
            <v>9.4000000000000083E-2</v>
          </cell>
        </row>
        <row r="62">
          <cell r="B62">
            <v>386.36799999999999</v>
          </cell>
          <cell r="C62">
            <v>450</v>
          </cell>
          <cell r="D62">
            <v>490</v>
          </cell>
          <cell r="E62">
            <v>490</v>
          </cell>
          <cell r="F62">
            <v>490</v>
          </cell>
          <cell r="G62">
            <v>40</v>
          </cell>
          <cell r="H62">
            <v>0</v>
          </cell>
          <cell r="I62">
            <v>0</v>
          </cell>
          <cell r="J62">
            <v>0.26822097068080164</v>
          </cell>
          <cell r="K62">
            <v>0</v>
          </cell>
          <cell r="L62">
            <v>8.8888888888888795E-2</v>
          </cell>
          <cell r="N62">
            <v>133</v>
          </cell>
          <cell r="O62">
            <v>225</v>
          </cell>
          <cell r="P62">
            <v>100</v>
          </cell>
          <cell r="Q62">
            <v>86</v>
          </cell>
          <cell r="R62">
            <v>-47</v>
          </cell>
          <cell r="S62">
            <v>-139</v>
          </cell>
          <cell r="T62">
            <v>-14</v>
          </cell>
          <cell r="U62">
            <v>-0.35338345864661658</v>
          </cell>
          <cell r="V62">
            <v>-0.61777777777777776</v>
          </cell>
          <cell r="W62">
            <v>-0.14000000000000001</v>
          </cell>
        </row>
        <row r="63">
          <cell r="B63">
            <v>0</v>
          </cell>
          <cell r="C63">
            <v>38.46153846153846</v>
          </cell>
          <cell r="D63">
            <v>38.46153846153846</v>
          </cell>
          <cell r="E63">
            <v>38.46153846153846</v>
          </cell>
          <cell r="F63">
            <v>38.46153846153846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19.23076923076923</v>
          </cell>
          <cell r="P63">
            <v>13</v>
          </cell>
          <cell r="Q63">
            <v>0</v>
          </cell>
          <cell r="R63">
            <v>0</v>
          </cell>
          <cell r="S63">
            <v>-19.23076923076923</v>
          </cell>
          <cell r="T63">
            <v>-13</v>
          </cell>
          <cell r="U63" t="e">
            <v>#DIV/0!</v>
          </cell>
          <cell r="V63">
            <v>-1</v>
          </cell>
          <cell r="W63">
            <v>-1</v>
          </cell>
        </row>
        <row r="64">
          <cell r="B64">
            <v>0</v>
          </cell>
          <cell r="C64">
            <v>155.97555555555556</v>
          </cell>
          <cell r="D64">
            <v>95.975555555556014</v>
          </cell>
          <cell r="E64">
            <v>95.975555555556014</v>
          </cell>
          <cell r="F64">
            <v>95.975555555556014</v>
          </cell>
          <cell r="G64">
            <v>-59.999999999999545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-0.38467566142842602</v>
          </cell>
          <cell r="N64">
            <v>0</v>
          </cell>
          <cell r="O64">
            <v>61.276111111111099</v>
          </cell>
          <cell r="P64">
            <v>175</v>
          </cell>
          <cell r="Q64">
            <v>200</v>
          </cell>
          <cell r="R64">
            <v>200</v>
          </cell>
          <cell r="S64">
            <v>138.72388888888889</v>
          </cell>
          <cell r="T64">
            <v>25</v>
          </cell>
          <cell r="U64" t="e">
            <v>#DIV/0!</v>
          </cell>
          <cell r="V64">
            <v>2.2639147030290947</v>
          </cell>
          <cell r="W64">
            <v>0.14285714285714279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N65">
            <v>2722</v>
          </cell>
          <cell r="O65">
            <v>4219</v>
          </cell>
          <cell r="P65">
            <v>5338</v>
          </cell>
          <cell r="Q65">
            <v>5289</v>
          </cell>
          <cell r="R65">
            <v>2567</v>
          </cell>
          <cell r="S65">
            <v>1070</v>
          </cell>
          <cell r="T65">
            <v>-49</v>
          </cell>
          <cell r="U65">
            <v>0.9430565760470242</v>
          </cell>
          <cell r="V65">
            <v>0.25361460061625984</v>
          </cell>
          <cell r="W65">
            <v>-9.1794679655301525E-3</v>
          </cell>
        </row>
        <row r="67">
          <cell r="B67">
            <v>5465.0720000000001</v>
          </cell>
          <cell r="C67">
            <v>5986</v>
          </cell>
          <cell r="D67">
            <v>5986</v>
          </cell>
          <cell r="E67">
            <v>5986</v>
          </cell>
          <cell r="F67">
            <v>5986</v>
          </cell>
          <cell r="G67">
            <v>0</v>
          </cell>
          <cell r="H67">
            <v>0</v>
          </cell>
          <cell r="I67">
            <v>0</v>
          </cell>
          <cell r="J67">
            <v>9.5319512716392385E-2</v>
          </cell>
          <cell r="K67">
            <v>0</v>
          </cell>
          <cell r="L67">
            <v>0</v>
          </cell>
          <cell r="N67">
            <v>2089</v>
          </cell>
          <cell r="O67">
            <v>2446.5</v>
          </cell>
          <cell r="P67">
            <v>2329</v>
          </cell>
          <cell r="Q67">
            <v>2184</v>
          </cell>
          <cell r="R67">
            <v>95</v>
          </cell>
          <cell r="S67">
            <v>-262.5</v>
          </cell>
          <cell r="T67">
            <v>-145</v>
          </cell>
          <cell r="U67">
            <v>4.5476304451890881E-2</v>
          </cell>
          <cell r="V67">
            <v>-0.10729613733905574</v>
          </cell>
          <cell r="W67">
            <v>-6.2258480034349528E-2</v>
          </cell>
        </row>
        <row r="68">
          <cell r="B68">
            <v>1963.7030000000002</v>
          </cell>
          <cell r="C68">
            <v>2259</v>
          </cell>
          <cell r="D68">
            <v>361</v>
          </cell>
          <cell r="E68">
            <v>360</v>
          </cell>
          <cell r="F68">
            <v>2259</v>
          </cell>
          <cell r="G68">
            <v>0</v>
          </cell>
          <cell r="H68">
            <v>0</v>
          </cell>
          <cell r="I68">
            <v>0</v>
          </cell>
          <cell r="J68">
            <v>0.1503776283888143</v>
          </cell>
          <cell r="K68">
            <v>0</v>
          </cell>
          <cell r="L68">
            <v>0</v>
          </cell>
          <cell r="N68">
            <v>842</v>
          </cell>
          <cell r="O68">
            <v>942.1</v>
          </cell>
          <cell r="P68">
            <v>922.5</v>
          </cell>
          <cell r="Q68">
            <v>757</v>
          </cell>
          <cell r="R68">
            <v>-85</v>
          </cell>
          <cell r="S68">
            <v>-185.10000000000002</v>
          </cell>
          <cell r="T68">
            <v>-165.5</v>
          </cell>
          <cell r="U68">
            <v>-0.10095011876484561</v>
          </cell>
          <cell r="V68">
            <v>-0.19647595796624562</v>
          </cell>
          <cell r="W68">
            <v>-0.17940379403794038</v>
          </cell>
        </row>
        <row r="69">
          <cell r="B69">
            <v>1633.58</v>
          </cell>
          <cell r="C69">
            <v>1818</v>
          </cell>
          <cell r="D69">
            <v>896</v>
          </cell>
          <cell r="E69">
            <v>830</v>
          </cell>
          <cell r="F69">
            <v>1785.6</v>
          </cell>
          <cell r="G69">
            <v>-32.400000000000091</v>
          </cell>
          <cell r="H69">
            <v>0</v>
          </cell>
          <cell r="I69">
            <v>0</v>
          </cell>
          <cell r="J69">
            <v>9.3059415516840494E-2</v>
          </cell>
          <cell r="K69">
            <v>0</v>
          </cell>
          <cell r="L69">
            <v>-1.7821782178217838E-2</v>
          </cell>
          <cell r="N69">
            <v>620</v>
          </cell>
          <cell r="O69">
            <v>772.7</v>
          </cell>
          <cell r="P69">
            <v>760</v>
          </cell>
          <cell r="Q69">
            <v>693</v>
          </cell>
          <cell r="R69">
            <v>73</v>
          </cell>
          <cell r="S69">
            <v>-79.700000000000045</v>
          </cell>
          <cell r="T69">
            <v>-67</v>
          </cell>
          <cell r="U69">
            <v>0.11774193548387091</v>
          </cell>
          <cell r="V69">
            <v>-0.10314481687588983</v>
          </cell>
          <cell r="W69">
            <v>-8.8157894736842102E-2</v>
          </cell>
        </row>
        <row r="70">
          <cell r="B70">
            <v>7428.7750000000005</v>
          </cell>
          <cell r="C70">
            <v>8245</v>
          </cell>
          <cell r="D70">
            <v>8245</v>
          </cell>
          <cell r="E70">
            <v>8245</v>
          </cell>
          <cell r="F70">
            <v>8245</v>
          </cell>
          <cell r="G70">
            <v>0</v>
          </cell>
          <cell r="H70">
            <v>0</v>
          </cell>
          <cell r="I70">
            <v>0</v>
          </cell>
          <cell r="J70">
            <v>0.10987343135308314</v>
          </cell>
          <cell r="K70">
            <v>0</v>
          </cell>
          <cell r="L70">
            <v>0</v>
          </cell>
          <cell r="N70">
            <v>3551</v>
          </cell>
          <cell r="O70">
            <v>4161.3</v>
          </cell>
          <cell r="P70">
            <v>4011.5</v>
          </cell>
          <cell r="Q70">
            <v>3634</v>
          </cell>
          <cell r="R70">
            <v>83</v>
          </cell>
          <cell r="S70">
            <v>-527.30000000000018</v>
          </cell>
          <cell r="T70">
            <v>-377.5</v>
          </cell>
          <cell r="U70">
            <v>2.3373697549985861E-2</v>
          </cell>
          <cell r="V70">
            <v>-0.12671520918943602</v>
          </cell>
          <cell r="W70">
            <v>-9.4104449707092086E-2</v>
          </cell>
        </row>
        <row r="72">
          <cell r="B72">
            <v>30595.419173710001</v>
          </cell>
          <cell r="C72">
            <v>33661</v>
          </cell>
          <cell r="D72">
            <v>33317.117094017092</v>
          </cell>
          <cell r="E72">
            <v>33317.117094017092</v>
          </cell>
          <cell r="F72">
            <v>33317.117094017092</v>
          </cell>
          <cell r="G72">
            <v>-343.88290598290769</v>
          </cell>
          <cell r="H72">
            <v>0</v>
          </cell>
          <cell r="I72">
            <v>0</v>
          </cell>
          <cell r="J72">
            <v>8.8957693465621546E-2</v>
          </cell>
          <cell r="K72">
            <v>0</v>
          </cell>
          <cell r="L72">
            <v>-1.0216063277469711E-2</v>
          </cell>
          <cell r="N72">
            <v>16173</v>
          </cell>
          <cell r="O72">
            <v>18715.7</v>
          </cell>
          <cell r="P72">
            <v>19216.5</v>
          </cell>
          <cell r="Q72">
            <v>18256</v>
          </cell>
          <cell r="R72">
            <v>2083</v>
          </cell>
          <cell r="S72">
            <v>-459.70000000000073</v>
          </cell>
          <cell r="T72">
            <v>-960.5</v>
          </cell>
          <cell r="U72">
            <v>0.12879490508872804</v>
          </cell>
          <cell r="V72">
            <v>-2.4562265905095804E-2</v>
          </cell>
          <cell r="W72">
            <v>-4.998308745088853E-2</v>
          </cell>
        </row>
        <row r="74">
          <cell r="O74" t="str">
            <v>Week</v>
          </cell>
          <cell r="P74">
            <v>3</v>
          </cell>
          <cell r="Q74" t="str">
            <v>of</v>
          </cell>
          <cell r="R74">
            <v>4</v>
          </cell>
        </row>
        <row r="77">
          <cell r="D77">
            <v>328</v>
          </cell>
          <cell r="E77">
            <v>292</v>
          </cell>
        </row>
        <row r="78">
          <cell r="D78">
            <v>624</v>
          </cell>
          <cell r="E78">
            <v>742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 Total"/>
      <sheetName val="Stockslb"/>
      <sheetName val=" Pleins01"/>
      <sheetName val=" Vides01"/>
      <sheetName val="Pleins 2"/>
      <sheetName val=" Vides02"/>
      <sheetName val=" Pleins  9703"/>
      <sheetName val="Vides9703"/>
      <sheetName val="SLB0397"/>
      <sheetName val="Inventaire Total 3"/>
      <sheetName val="Pleins  9708"/>
      <sheetName val="Vides9708"/>
      <sheetName val="Inventotal0897"/>
      <sheetName val="SLB9708"/>
      <sheetName val="SLB9707"/>
      <sheetName val="Vides9709"/>
      <sheetName val="Pleins9709"/>
      <sheetName val="inventotal9709"/>
      <sheetName val="SLB9709"/>
      <sheetName val="SLB9712"/>
      <sheetName val="Inventaire des Vides9712"/>
      <sheetName val="Inventaire des Pleins  9712"/>
      <sheetName val="Inventaire total9712"/>
      <sheetName val="Feuil2"/>
      <sheetName val="Feuil1"/>
      <sheetName val="Weekly Analysis - Rafik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20630.454000000002</v>
          </cell>
          <cell r="E2">
            <v>19452.108</v>
          </cell>
          <cell r="F2">
            <v>20934.810000000001</v>
          </cell>
          <cell r="G2">
            <v>21500.777999999998</v>
          </cell>
          <cell r="H2">
            <v>21338.304</v>
          </cell>
          <cell r="I2">
            <v>19444.932000000001</v>
          </cell>
          <cell r="J2">
            <v>21949.59</v>
          </cell>
          <cell r="K2">
            <v>20150.598000000002</v>
          </cell>
          <cell r="L2">
            <v>17666.844000000001</v>
          </cell>
          <cell r="M2">
            <v>18119.400000000001</v>
          </cell>
          <cell r="N2">
            <v>15416.154</v>
          </cell>
          <cell r="O2">
            <v>22873.187999999998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8830.0679999999993</v>
          </cell>
          <cell r="E3">
            <v>8649.6540000000005</v>
          </cell>
          <cell r="F3">
            <v>8876.01</v>
          </cell>
          <cell r="G3">
            <v>9589.0859999999993</v>
          </cell>
          <cell r="H3">
            <v>10096.476000000001</v>
          </cell>
          <cell r="I3">
            <v>9075.8459999999995</v>
          </cell>
          <cell r="J3">
            <v>10360.662</v>
          </cell>
          <cell r="K3">
            <v>9684.3240000000005</v>
          </cell>
          <cell r="L3">
            <v>8650.5120000000006</v>
          </cell>
          <cell r="M3">
            <v>9041.6039999999994</v>
          </cell>
          <cell r="N3">
            <v>7439.8739999999998</v>
          </cell>
          <cell r="O3">
            <v>11197.29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2783.1671999999999</v>
          </cell>
          <cell r="E4">
            <v>2353.3488000000002</v>
          </cell>
          <cell r="F4">
            <v>2548.8935999999999</v>
          </cell>
          <cell r="G4">
            <v>2899.2743999999998</v>
          </cell>
          <cell r="H4">
            <v>3388.2552000000001</v>
          </cell>
          <cell r="I4">
            <v>2761.5455999999999</v>
          </cell>
          <cell r="J4">
            <v>3921.6671999999999</v>
          </cell>
          <cell r="K4">
            <v>4284.2448000000004</v>
          </cell>
          <cell r="L4">
            <v>3871.5336000000002</v>
          </cell>
          <cell r="M4">
            <v>4055.5944</v>
          </cell>
          <cell r="N4">
            <v>3259.5551999999998</v>
          </cell>
          <cell r="O4">
            <v>5277.4920000000002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191.98079999999999</v>
          </cell>
          <cell r="E5">
            <v>204.5736</v>
          </cell>
          <cell r="F5">
            <v>166.32</v>
          </cell>
          <cell r="G5">
            <v>147.8664</v>
          </cell>
          <cell r="H5">
            <v>207.58320000000001</v>
          </cell>
          <cell r="I5">
            <v>172.73519999999999</v>
          </cell>
          <cell r="J5">
            <v>287.81279999999998</v>
          </cell>
          <cell r="K5">
            <v>171.94319999999999</v>
          </cell>
          <cell r="L5">
            <v>139.2336</v>
          </cell>
          <cell r="M5">
            <v>144.54</v>
          </cell>
          <cell r="N5">
            <v>159.42959999999999</v>
          </cell>
          <cell r="O5">
            <v>778.2192</v>
          </cell>
        </row>
        <row r="6">
          <cell r="A6" t="str">
            <v>FCAS20</v>
          </cell>
          <cell r="B6" t="str">
            <v xml:space="preserve">CASTEL EN FUT 20 L                      </v>
          </cell>
          <cell r="C6">
            <v>2003</v>
          </cell>
          <cell r="D6">
            <v>14.4</v>
          </cell>
          <cell r="E6">
            <v>11.8</v>
          </cell>
          <cell r="F6">
            <v>12.2</v>
          </cell>
          <cell r="G6">
            <v>18.399999999999999</v>
          </cell>
          <cell r="H6">
            <v>20.2</v>
          </cell>
          <cell r="I6">
            <v>19.2</v>
          </cell>
          <cell r="J6">
            <v>18.8</v>
          </cell>
          <cell r="K6">
            <v>11.2</v>
          </cell>
          <cell r="L6">
            <v>12.8</v>
          </cell>
          <cell r="M6">
            <v>14.8</v>
          </cell>
          <cell r="N6">
            <v>18.399999999999999</v>
          </cell>
          <cell r="O6">
            <v>13</v>
          </cell>
        </row>
        <row r="7">
          <cell r="A7" t="str">
            <v>EXP65</v>
          </cell>
          <cell r="B7" t="str">
            <v xml:space="preserve">33 EXPORT 65 CL                         </v>
          </cell>
          <cell r="C7">
            <v>2003</v>
          </cell>
          <cell r="D7">
            <v>3607.9679999999998</v>
          </cell>
          <cell r="E7">
            <v>3473.2620000000002</v>
          </cell>
          <cell r="F7">
            <v>5118.4380000000001</v>
          </cell>
          <cell r="G7">
            <v>3865.68</v>
          </cell>
          <cell r="H7">
            <v>5391.9059999999999</v>
          </cell>
          <cell r="I7">
            <v>3169.3739999999998</v>
          </cell>
          <cell r="J7">
            <v>3932.9160000000002</v>
          </cell>
          <cell r="K7">
            <v>5161.4939999999997</v>
          </cell>
          <cell r="L7">
            <v>3289.884</v>
          </cell>
          <cell r="M7">
            <v>5899.53</v>
          </cell>
          <cell r="N7">
            <v>2673.6060000000002</v>
          </cell>
          <cell r="O7">
            <v>3707.4180000000001</v>
          </cell>
        </row>
        <row r="8">
          <cell r="A8" t="str">
            <v>EXP33</v>
          </cell>
          <cell r="B8" t="str">
            <v xml:space="preserve">33 EXPORT 33 CL                         </v>
          </cell>
          <cell r="C8">
            <v>2003</v>
          </cell>
          <cell r="D8">
            <v>1212.7103999999999</v>
          </cell>
          <cell r="E8">
            <v>1179.4464</v>
          </cell>
          <cell r="F8">
            <v>1085.8320000000001</v>
          </cell>
          <cell r="G8">
            <v>1295.8704</v>
          </cell>
          <cell r="H8">
            <v>1367.7840000000001</v>
          </cell>
          <cell r="I8">
            <v>1443.816</v>
          </cell>
          <cell r="J8">
            <v>1546.5383999999999</v>
          </cell>
          <cell r="K8">
            <v>1457.5175999999999</v>
          </cell>
          <cell r="L8">
            <v>1264.8240000000001</v>
          </cell>
          <cell r="M8">
            <v>1234.5696</v>
          </cell>
          <cell r="N8">
            <v>855.59760000000006</v>
          </cell>
          <cell r="O8">
            <v>1634.3712</v>
          </cell>
        </row>
        <row r="9">
          <cell r="A9" t="str">
            <v>EXPBT</v>
          </cell>
          <cell r="B9" t="str">
            <v xml:space="preserve">33 EXPORT BOITES 33 CL                  </v>
          </cell>
          <cell r="C9">
            <v>2003</v>
          </cell>
          <cell r="D9">
            <v>63.6768</v>
          </cell>
          <cell r="E9">
            <v>61.063200000000002</v>
          </cell>
          <cell r="F9">
            <v>49.5792</v>
          </cell>
          <cell r="G9">
            <v>41.263199999999998</v>
          </cell>
          <cell r="H9">
            <v>81.575999999999993</v>
          </cell>
          <cell r="I9">
            <v>83.793599999999998</v>
          </cell>
          <cell r="J9">
            <v>154.67760000000001</v>
          </cell>
          <cell r="K9">
            <v>126.324</v>
          </cell>
          <cell r="L9">
            <v>82.526399999999995</v>
          </cell>
          <cell r="M9">
            <v>122.0472</v>
          </cell>
          <cell r="N9">
            <v>82.051199999999994</v>
          </cell>
          <cell r="O9">
            <v>187.78319999999999</v>
          </cell>
        </row>
        <row r="10">
          <cell r="A10" t="str">
            <v>BFO65</v>
          </cell>
          <cell r="B10" t="str">
            <v xml:space="preserve">BEAUFORT 65 CL                          </v>
          </cell>
          <cell r="C10">
            <v>2003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143.52000000000001</v>
          </cell>
          <cell r="N10">
            <v>255.84</v>
          </cell>
          <cell r="O10">
            <v>1041.222</v>
          </cell>
        </row>
        <row r="11">
          <cell r="A11" t="str">
            <v>BFOBT</v>
          </cell>
          <cell r="B11" t="str">
            <v xml:space="preserve">BEAUFORT BOITES 33 CL                   </v>
          </cell>
          <cell r="C11">
            <v>2003</v>
          </cell>
          <cell r="D11">
            <v>109.92959999999999</v>
          </cell>
          <cell r="E11">
            <v>212.33519999999999</v>
          </cell>
          <cell r="F11">
            <v>645.24239999999998</v>
          </cell>
          <cell r="G11">
            <v>580.14</v>
          </cell>
          <cell r="H11">
            <v>271.41840000000002</v>
          </cell>
          <cell r="I11">
            <v>279.41759999999999</v>
          </cell>
          <cell r="J11">
            <v>294.7824</v>
          </cell>
          <cell r="K11">
            <v>269.1216</v>
          </cell>
          <cell r="L11">
            <v>170.4384</v>
          </cell>
          <cell r="M11">
            <v>165.92400000000001</v>
          </cell>
          <cell r="N11">
            <v>191.03039999999999</v>
          </cell>
          <cell r="O11">
            <v>305.87040000000002</v>
          </cell>
        </row>
        <row r="12">
          <cell r="A12" t="str">
            <v>GUI33</v>
          </cell>
          <cell r="B12" t="str">
            <v xml:space="preserve">GUINNESS 33 CL                          </v>
          </cell>
          <cell r="C12">
            <v>2003</v>
          </cell>
          <cell r="D12">
            <v>2229.0048000000002</v>
          </cell>
          <cell r="E12">
            <v>2254.5864000000001</v>
          </cell>
          <cell r="F12">
            <v>2172.6143999999999</v>
          </cell>
          <cell r="G12">
            <v>2400.4728</v>
          </cell>
          <cell r="H12">
            <v>2615.8968</v>
          </cell>
          <cell r="I12">
            <v>2463.0408000000002</v>
          </cell>
          <cell r="J12">
            <v>3009.4416000000001</v>
          </cell>
          <cell r="K12">
            <v>2967.0695999999998</v>
          </cell>
          <cell r="L12">
            <v>2561.5655999999999</v>
          </cell>
          <cell r="M12">
            <v>2692.4832000000001</v>
          </cell>
          <cell r="N12">
            <v>2081.6927999999998</v>
          </cell>
          <cell r="O12">
            <v>3254.328</v>
          </cell>
        </row>
        <row r="13">
          <cell r="A13" t="str">
            <v>GIN33</v>
          </cell>
          <cell r="B13" t="str">
            <v xml:space="preserve">GIN TONIC 33 CL                         </v>
          </cell>
          <cell r="C13">
            <v>2003</v>
          </cell>
          <cell r="D13">
            <v>490.16879999999998</v>
          </cell>
          <cell r="E13">
            <v>423.64080000000001</v>
          </cell>
          <cell r="F13">
            <v>375.09120000000001</v>
          </cell>
          <cell r="G13">
            <v>416.0376</v>
          </cell>
          <cell r="H13">
            <v>481.45679999999999</v>
          </cell>
          <cell r="I13">
            <v>486.92160000000001</v>
          </cell>
          <cell r="J13">
            <v>545.37120000000004</v>
          </cell>
          <cell r="K13">
            <v>541.17359999999996</v>
          </cell>
          <cell r="L13">
            <v>477.97199999999998</v>
          </cell>
          <cell r="M13">
            <v>442.33199999999999</v>
          </cell>
          <cell r="N13">
            <v>370.26</v>
          </cell>
          <cell r="O13">
            <v>545.7672</v>
          </cell>
        </row>
        <row r="14">
          <cell r="A14" t="str">
            <v>WHI33</v>
          </cell>
          <cell r="B14" t="str">
            <v xml:space="preserve">WHISKY BLACK 33 CL                      </v>
          </cell>
          <cell r="C14">
            <v>2003</v>
          </cell>
          <cell r="D14">
            <v>570.31920000000002</v>
          </cell>
          <cell r="E14">
            <v>495.71280000000002</v>
          </cell>
          <cell r="F14">
            <v>494.6832</v>
          </cell>
          <cell r="G14">
            <v>497.29680000000002</v>
          </cell>
          <cell r="H14">
            <v>523.67039999999997</v>
          </cell>
          <cell r="I14">
            <v>432.59039999999999</v>
          </cell>
          <cell r="J14">
            <v>797.86080000000004</v>
          </cell>
          <cell r="K14">
            <v>653.4</v>
          </cell>
          <cell r="L14">
            <v>514.00800000000004</v>
          </cell>
          <cell r="M14">
            <v>518.99760000000003</v>
          </cell>
          <cell r="N14">
            <v>380.87279999999998</v>
          </cell>
          <cell r="O14">
            <v>674.15039999999999</v>
          </cell>
        </row>
        <row r="15">
          <cell r="A15" t="str">
            <v>DPA75</v>
          </cell>
          <cell r="B15" t="str">
            <v xml:space="preserve">DJINO PAMPLEMOUSSE 75 CL                </v>
          </cell>
          <cell r="C15">
            <v>2003</v>
          </cell>
          <cell r="D15">
            <v>4669.92</v>
          </cell>
          <cell r="E15">
            <v>2851.65</v>
          </cell>
          <cell r="F15">
            <v>4494.6899999999996</v>
          </cell>
          <cell r="G15">
            <v>7713.72</v>
          </cell>
          <cell r="H15">
            <v>6232.77</v>
          </cell>
          <cell r="I15">
            <v>5538.33</v>
          </cell>
          <cell r="J15">
            <v>7495.56</v>
          </cell>
          <cell r="K15">
            <v>7836.39</v>
          </cell>
          <cell r="L15">
            <v>7230.6</v>
          </cell>
          <cell r="M15">
            <v>6118.83</v>
          </cell>
          <cell r="N15">
            <v>5995.71</v>
          </cell>
          <cell r="O15">
            <v>9312.84</v>
          </cell>
        </row>
        <row r="16">
          <cell r="A16" t="str">
            <v>DPA30</v>
          </cell>
          <cell r="B16" t="str">
            <v xml:space="preserve">DJINO PAMPLEMOUSSE 30 CL                </v>
          </cell>
          <cell r="C16">
            <v>2003</v>
          </cell>
          <cell r="D16">
            <v>997.92</v>
          </cell>
          <cell r="E16">
            <v>1145.376</v>
          </cell>
          <cell r="F16">
            <v>1594.8720000000001</v>
          </cell>
          <cell r="G16">
            <v>2497.9679999999998</v>
          </cell>
          <cell r="H16">
            <v>1499.184</v>
          </cell>
          <cell r="I16">
            <v>2823.768</v>
          </cell>
          <cell r="J16">
            <v>2787.0479999999998</v>
          </cell>
          <cell r="K16">
            <v>2536.3440000000001</v>
          </cell>
          <cell r="L16">
            <v>2629.2959999999998</v>
          </cell>
          <cell r="M16">
            <v>2932.4879999999998</v>
          </cell>
          <cell r="N16">
            <v>2283.48</v>
          </cell>
          <cell r="O16">
            <v>3847.8960000000002</v>
          </cell>
        </row>
        <row r="17">
          <cell r="A17" t="str">
            <v>DPABT</v>
          </cell>
          <cell r="B17" t="str">
            <v xml:space="preserve">DJINO PAMPLEMOUSSE BOITES 33 CL         </v>
          </cell>
          <cell r="C17">
            <v>2003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135.43199999999999</v>
          </cell>
          <cell r="M17">
            <v>171.78479999999999</v>
          </cell>
          <cell r="N17">
            <v>254.7072</v>
          </cell>
          <cell r="O17">
            <v>586.00080000000003</v>
          </cell>
        </row>
        <row r="18">
          <cell r="A18" t="str">
            <v>TON75</v>
          </cell>
          <cell r="B18" t="str">
            <v xml:space="preserve">TONIC 75 CL                             </v>
          </cell>
          <cell r="C18">
            <v>2003</v>
          </cell>
          <cell r="D18">
            <v>1087.29</v>
          </cell>
          <cell r="E18">
            <v>888.39</v>
          </cell>
          <cell r="F18">
            <v>691.38</v>
          </cell>
          <cell r="G18">
            <v>854.64</v>
          </cell>
          <cell r="H18">
            <v>925.65</v>
          </cell>
          <cell r="I18">
            <v>586.44000000000005</v>
          </cell>
          <cell r="J18">
            <v>752.22</v>
          </cell>
          <cell r="K18">
            <v>630.80999999999995</v>
          </cell>
          <cell r="L18">
            <v>546.12</v>
          </cell>
          <cell r="M18">
            <v>687.87</v>
          </cell>
          <cell r="N18">
            <v>496.08</v>
          </cell>
          <cell r="O18">
            <v>695.88</v>
          </cell>
        </row>
        <row r="19">
          <cell r="A19" t="str">
            <v>TON30</v>
          </cell>
          <cell r="B19" t="str">
            <v xml:space="preserve">TONIC 30 CL                             </v>
          </cell>
          <cell r="C19">
            <v>2003</v>
          </cell>
          <cell r="D19">
            <v>767.37599999999998</v>
          </cell>
          <cell r="E19">
            <v>452.44799999999998</v>
          </cell>
          <cell r="F19">
            <v>449.13600000000002</v>
          </cell>
          <cell r="G19">
            <v>380.30399999999997</v>
          </cell>
          <cell r="H19">
            <v>624.24</v>
          </cell>
          <cell r="I19">
            <v>492.84</v>
          </cell>
          <cell r="J19">
            <v>462.38400000000001</v>
          </cell>
          <cell r="K19">
            <v>474.69600000000003</v>
          </cell>
          <cell r="L19">
            <v>389.44799999999998</v>
          </cell>
          <cell r="M19">
            <v>444.74400000000003</v>
          </cell>
          <cell r="N19">
            <v>365.61599999999999</v>
          </cell>
          <cell r="O19">
            <v>529.20000000000005</v>
          </cell>
        </row>
        <row r="20">
          <cell r="A20" t="str">
            <v>TONBT</v>
          </cell>
          <cell r="B20" t="str">
            <v xml:space="preserve">TONIC BOITES 33 CL                      </v>
          </cell>
          <cell r="C20">
            <v>2003</v>
          </cell>
          <cell r="D20">
            <v>146.20320000000001</v>
          </cell>
          <cell r="E20">
            <v>150.79679999999999</v>
          </cell>
          <cell r="F20">
            <v>187.38720000000001</v>
          </cell>
          <cell r="G20">
            <v>158.95439999999999</v>
          </cell>
          <cell r="H20">
            <v>34.610399999999998</v>
          </cell>
          <cell r="I20">
            <v>138.12479999999999</v>
          </cell>
          <cell r="J20">
            <v>193.0104</v>
          </cell>
          <cell r="K20">
            <v>164.1816</v>
          </cell>
          <cell r="L20">
            <v>99.633600000000001</v>
          </cell>
          <cell r="M20">
            <v>139.78800000000001</v>
          </cell>
          <cell r="N20">
            <v>69.854399999999998</v>
          </cell>
          <cell r="O20">
            <v>207.18719999999999</v>
          </cell>
        </row>
        <row r="21">
          <cell r="A21" t="str">
            <v>COCA75</v>
          </cell>
          <cell r="B21" t="str">
            <v xml:space="preserve">COCA COLA 75 CL                         </v>
          </cell>
          <cell r="C21">
            <v>2003</v>
          </cell>
          <cell r="D21">
            <v>12513.42</v>
          </cell>
          <cell r="E21">
            <v>11960.46</v>
          </cell>
          <cell r="F21">
            <v>11641.77</v>
          </cell>
          <cell r="G21">
            <v>11239.83</v>
          </cell>
          <cell r="H21">
            <v>11544.3</v>
          </cell>
          <cell r="I21">
            <v>9271.17</v>
          </cell>
          <cell r="J21">
            <v>9784.98</v>
          </cell>
          <cell r="K21">
            <v>8722.5300000000007</v>
          </cell>
          <cell r="L21">
            <v>8178.66</v>
          </cell>
          <cell r="M21">
            <v>9209.7000000000007</v>
          </cell>
          <cell r="N21">
            <v>7575.39</v>
          </cell>
          <cell r="O21">
            <v>12810.6</v>
          </cell>
        </row>
        <row r="22">
          <cell r="A22" t="str">
            <v>COCA30</v>
          </cell>
          <cell r="B22" t="str">
            <v xml:space="preserve">COCA COLA 30 CL                         </v>
          </cell>
          <cell r="C22">
            <v>2003</v>
          </cell>
          <cell r="D22">
            <v>4370.04</v>
          </cell>
          <cell r="E22">
            <v>2809.5839999999998</v>
          </cell>
          <cell r="F22">
            <v>4082.1840000000002</v>
          </cell>
          <cell r="G22">
            <v>4025.4479999999999</v>
          </cell>
          <cell r="H22">
            <v>4141.2240000000002</v>
          </cell>
          <cell r="I22">
            <v>3180.1680000000001</v>
          </cell>
          <cell r="J22">
            <v>3608.4960000000001</v>
          </cell>
          <cell r="K22">
            <v>3268.2240000000002</v>
          </cell>
          <cell r="L22">
            <v>3128.9760000000001</v>
          </cell>
          <cell r="M22">
            <v>3222.0720000000001</v>
          </cell>
          <cell r="N22">
            <v>3022.9920000000002</v>
          </cell>
          <cell r="O22">
            <v>5188.32</v>
          </cell>
        </row>
        <row r="23">
          <cell r="A23" t="str">
            <v>COCABT</v>
          </cell>
          <cell r="B23" t="str">
            <v xml:space="preserve">COCA COLA BOITES 33 CL                  </v>
          </cell>
          <cell r="C23">
            <v>2003</v>
          </cell>
          <cell r="D23">
            <v>724.60080000000005</v>
          </cell>
          <cell r="E23">
            <v>779.40719999999999</v>
          </cell>
          <cell r="F23">
            <v>804.19680000000005</v>
          </cell>
          <cell r="G23">
            <v>949.05359999999996</v>
          </cell>
          <cell r="H23">
            <v>972.33839999999998</v>
          </cell>
          <cell r="I23">
            <v>110.32559999999999</v>
          </cell>
          <cell r="J23">
            <v>1216.9079999999999</v>
          </cell>
          <cell r="K23">
            <v>820.27440000000001</v>
          </cell>
          <cell r="L23">
            <v>704.64239999999995</v>
          </cell>
          <cell r="M23">
            <v>738.54</v>
          </cell>
          <cell r="N23">
            <v>733.47119999999995</v>
          </cell>
          <cell r="O23">
            <v>1196.0784000000001</v>
          </cell>
        </row>
        <row r="24">
          <cell r="A24" t="str">
            <v>FOR75</v>
          </cell>
          <cell r="B24" t="str">
            <v xml:space="preserve">FANTA ORANGE 75 CL                      </v>
          </cell>
          <cell r="C24">
            <v>2003</v>
          </cell>
          <cell r="D24">
            <v>5438.25</v>
          </cell>
          <cell r="E24">
            <v>5140.26</v>
          </cell>
          <cell r="F24">
            <v>4104.54</v>
          </cell>
          <cell r="G24">
            <v>4161.24</v>
          </cell>
          <cell r="H24">
            <v>4196.34</v>
          </cell>
          <cell r="I24">
            <v>4140.54</v>
          </cell>
          <cell r="J24">
            <v>3992.4</v>
          </cell>
          <cell r="K24">
            <v>3630.6</v>
          </cell>
          <cell r="L24">
            <v>3371.49</v>
          </cell>
          <cell r="M24">
            <v>3832.74</v>
          </cell>
          <cell r="N24">
            <v>2589.21</v>
          </cell>
          <cell r="O24">
            <v>4002.48</v>
          </cell>
        </row>
        <row r="25">
          <cell r="A25" t="str">
            <v>FOR30</v>
          </cell>
          <cell r="B25" t="str">
            <v xml:space="preserve">FANTA ORANGE 30 CL                      </v>
          </cell>
          <cell r="C25">
            <v>2003</v>
          </cell>
          <cell r="D25">
            <v>1808.2080000000001</v>
          </cell>
          <cell r="E25">
            <v>1371.3119999999999</v>
          </cell>
          <cell r="F25">
            <v>1801.5840000000001</v>
          </cell>
          <cell r="G25">
            <v>1724.4</v>
          </cell>
          <cell r="H25">
            <v>1426.1759999999999</v>
          </cell>
          <cell r="I25">
            <v>1614.1679999999999</v>
          </cell>
          <cell r="J25">
            <v>1598.4</v>
          </cell>
          <cell r="K25">
            <v>1307.808</v>
          </cell>
          <cell r="L25">
            <v>1351.944</v>
          </cell>
          <cell r="M25">
            <v>1428.12</v>
          </cell>
          <cell r="N25">
            <v>1146.24</v>
          </cell>
          <cell r="O25">
            <v>1880.9280000000001</v>
          </cell>
        </row>
        <row r="26">
          <cell r="A26" t="str">
            <v>FORBT</v>
          </cell>
          <cell r="B26" t="str">
            <v xml:space="preserve">FANTA ORANGE BOITES 33 CL               </v>
          </cell>
          <cell r="C26">
            <v>2003</v>
          </cell>
          <cell r="D26">
            <v>487.71359999999999</v>
          </cell>
          <cell r="E26">
            <v>509.4144</v>
          </cell>
          <cell r="F26">
            <v>479.3184</v>
          </cell>
          <cell r="G26">
            <v>552.97439999999995</v>
          </cell>
          <cell r="H26">
            <v>360.5976</v>
          </cell>
          <cell r="I26">
            <v>276.40800000000002</v>
          </cell>
          <cell r="J26">
            <v>727.68960000000004</v>
          </cell>
          <cell r="K26">
            <v>463.08240000000001</v>
          </cell>
          <cell r="L26">
            <v>243.46080000000001</v>
          </cell>
          <cell r="M26">
            <v>614.98800000000006</v>
          </cell>
          <cell r="N26">
            <v>314.74079999999998</v>
          </cell>
          <cell r="O26">
            <v>932.50080000000003</v>
          </cell>
        </row>
        <row r="27">
          <cell r="A27" t="str">
            <v>FCK75</v>
          </cell>
          <cell r="B27" t="str">
            <v xml:space="preserve">FANTA COCKTAIL 75 CL                    </v>
          </cell>
          <cell r="C27">
            <v>2003</v>
          </cell>
          <cell r="D27">
            <v>2701.35</v>
          </cell>
          <cell r="E27">
            <v>3141.45</v>
          </cell>
          <cell r="F27">
            <v>2635.83</v>
          </cell>
          <cell r="G27">
            <v>2536.02</v>
          </cell>
          <cell r="H27">
            <v>1684.71</v>
          </cell>
          <cell r="I27">
            <v>889.56</v>
          </cell>
          <cell r="J27">
            <v>1622.97</v>
          </cell>
          <cell r="K27">
            <v>827.73</v>
          </cell>
          <cell r="L27">
            <v>686.52</v>
          </cell>
          <cell r="M27">
            <v>922.23</v>
          </cell>
          <cell r="N27">
            <v>458.64</v>
          </cell>
          <cell r="O27">
            <v>702.99</v>
          </cell>
        </row>
        <row r="28">
          <cell r="A28" t="str">
            <v>FCK30</v>
          </cell>
          <cell r="B28" t="str">
            <v xml:space="preserve">FANTA COCKTAIL 30 CL                    </v>
          </cell>
          <cell r="C28">
            <v>2003</v>
          </cell>
          <cell r="D28">
            <v>997.27200000000005</v>
          </cell>
          <cell r="E28">
            <v>1314.432</v>
          </cell>
          <cell r="F28">
            <v>1264.248</v>
          </cell>
          <cell r="G28">
            <v>838.22400000000005</v>
          </cell>
          <cell r="H28">
            <v>927.072</v>
          </cell>
          <cell r="I28">
            <v>841.46400000000006</v>
          </cell>
          <cell r="J28">
            <v>470.37599999999998</v>
          </cell>
          <cell r="K28">
            <v>409.82400000000001</v>
          </cell>
          <cell r="L28">
            <v>455.904</v>
          </cell>
          <cell r="M28">
            <v>379.00799999999998</v>
          </cell>
          <cell r="N28">
            <v>210.744</v>
          </cell>
          <cell r="O28">
            <v>393.12</v>
          </cell>
        </row>
        <row r="29">
          <cell r="A29" t="str">
            <v>FCKBT</v>
          </cell>
          <cell r="B29" t="str">
            <v xml:space="preserve">FANTA COCKTAIL BOITE                    </v>
          </cell>
          <cell r="C29">
            <v>2003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11.3256</v>
          </cell>
        </row>
        <row r="30">
          <cell r="A30" t="str">
            <v>SPR75</v>
          </cell>
          <cell r="B30" t="str">
            <v xml:space="preserve">SPRITE 75 CL                            </v>
          </cell>
          <cell r="C30">
            <v>2003</v>
          </cell>
          <cell r="D30">
            <v>457.2</v>
          </cell>
          <cell r="E30">
            <v>467.91</v>
          </cell>
          <cell r="F30">
            <v>705.6</v>
          </cell>
          <cell r="G30">
            <v>447.03</v>
          </cell>
          <cell r="H30">
            <v>546.75</v>
          </cell>
          <cell r="I30">
            <v>354.15</v>
          </cell>
          <cell r="J30">
            <v>350.01</v>
          </cell>
          <cell r="K30">
            <v>280.44</v>
          </cell>
          <cell r="L30">
            <v>258.3</v>
          </cell>
          <cell r="M30">
            <v>280.35000000000002</v>
          </cell>
          <cell r="N30">
            <v>159.12</v>
          </cell>
          <cell r="O30">
            <v>252</v>
          </cell>
        </row>
        <row r="31">
          <cell r="A31" t="str">
            <v>SPR30</v>
          </cell>
          <cell r="B31" t="str">
            <v xml:space="preserve">SPRITE 30 CL                            </v>
          </cell>
          <cell r="C31">
            <v>2003</v>
          </cell>
          <cell r="D31">
            <v>635.61599999999999</v>
          </cell>
          <cell r="E31">
            <v>694.87199999999996</v>
          </cell>
          <cell r="F31">
            <v>514.15200000000004</v>
          </cell>
          <cell r="G31">
            <v>311.32799999999997</v>
          </cell>
          <cell r="H31">
            <v>414.50400000000002</v>
          </cell>
          <cell r="I31">
            <v>275.976</v>
          </cell>
          <cell r="J31">
            <v>249.55199999999999</v>
          </cell>
          <cell r="K31">
            <v>228.45599999999999</v>
          </cell>
          <cell r="L31">
            <v>185.47200000000001</v>
          </cell>
          <cell r="M31">
            <v>216</v>
          </cell>
          <cell r="N31">
            <v>137.232</v>
          </cell>
          <cell r="O31">
            <v>274.392</v>
          </cell>
        </row>
        <row r="32">
          <cell r="A32" t="str">
            <v>SPRBT</v>
          </cell>
          <cell r="B32" t="str">
            <v xml:space="preserve">SPRITE BOITES 33 CL                     </v>
          </cell>
          <cell r="C32">
            <v>2003</v>
          </cell>
          <cell r="D32">
            <v>111.5136</v>
          </cell>
          <cell r="E32">
            <v>129.2544</v>
          </cell>
          <cell r="F32">
            <v>144.14400000000001</v>
          </cell>
          <cell r="G32">
            <v>142.48079999999999</v>
          </cell>
          <cell r="H32">
            <v>97.178399999999996</v>
          </cell>
          <cell r="I32">
            <v>78.091200000000001</v>
          </cell>
          <cell r="J32">
            <v>189.2088</v>
          </cell>
          <cell r="K32">
            <v>213.6816</v>
          </cell>
          <cell r="L32">
            <v>168.3</v>
          </cell>
          <cell r="M32">
            <v>107.0784</v>
          </cell>
          <cell r="N32">
            <v>109.13760000000001</v>
          </cell>
          <cell r="O32">
            <v>185.8032</v>
          </cell>
        </row>
        <row r="33">
          <cell r="A33" t="str">
            <v>KSO75</v>
          </cell>
          <cell r="B33" t="str">
            <v xml:space="preserve">KREST SODA WATER 75 CL                  </v>
          </cell>
          <cell r="C33">
            <v>2003</v>
          </cell>
          <cell r="D33">
            <v>105.66</v>
          </cell>
          <cell r="E33">
            <v>67.77</v>
          </cell>
          <cell r="F33">
            <v>154.88999999999999</v>
          </cell>
          <cell r="G33">
            <v>170.01</v>
          </cell>
          <cell r="H33">
            <v>123.03</v>
          </cell>
          <cell r="I33">
            <v>77.22</v>
          </cell>
          <cell r="J33">
            <v>150.93</v>
          </cell>
          <cell r="K33">
            <v>91.17</v>
          </cell>
          <cell r="L33">
            <v>85.23</v>
          </cell>
          <cell r="M33">
            <v>149.58000000000001</v>
          </cell>
          <cell r="N33">
            <v>67.77</v>
          </cell>
          <cell r="O33">
            <v>108.72</v>
          </cell>
        </row>
        <row r="34">
          <cell r="A34" t="str">
            <v>KSO30</v>
          </cell>
          <cell r="B34" t="str">
            <v xml:space="preserve">KREST SODA WATER 30 CL                  </v>
          </cell>
          <cell r="C34">
            <v>2003</v>
          </cell>
          <cell r="D34">
            <v>14.904</v>
          </cell>
          <cell r="E34">
            <v>23.4</v>
          </cell>
          <cell r="F34">
            <v>10.295999999999999</v>
          </cell>
          <cell r="G34">
            <v>10.151999999999999</v>
          </cell>
          <cell r="H34">
            <v>24.48</v>
          </cell>
          <cell r="I34">
            <v>24.047999999999998</v>
          </cell>
          <cell r="J34">
            <v>21.384</v>
          </cell>
          <cell r="K34">
            <v>25.704000000000001</v>
          </cell>
          <cell r="L34">
            <v>14.4</v>
          </cell>
          <cell r="M34">
            <v>9.36</v>
          </cell>
          <cell r="N34">
            <v>9.5039999999999996</v>
          </cell>
          <cell r="O34">
            <v>13.824</v>
          </cell>
        </row>
        <row r="35">
          <cell r="A35" t="str">
            <v>KSOBT</v>
          </cell>
          <cell r="B35" t="str">
            <v xml:space="preserve">KREST SODA WATER BOITES 33 CL           </v>
          </cell>
          <cell r="C35">
            <v>2003</v>
          </cell>
          <cell r="D35">
            <v>21.0672</v>
          </cell>
          <cell r="E35">
            <v>-1.0296000000000001</v>
          </cell>
          <cell r="F35">
            <v>41.342399999999998</v>
          </cell>
          <cell r="G35">
            <v>46.807200000000002</v>
          </cell>
          <cell r="H35">
            <v>81.259200000000007</v>
          </cell>
          <cell r="I35">
            <v>41.263199999999998</v>
          </cell>
          <cell r="J35">
            <v>67.319999999999993</v>
          </cell>
          <cell r="K35">
            <v>18.611999999999998</v>
          </cell>
          <cell r="L35">
            <v>32.313600000000001</v>
          </cell>
          <cell r="M35">
            <v>41.104799999999997</v>
          </cell>
          <cell r="N35">
            <v>19.8</v>
          </cell>
          <cell r="O35">
            <v>70.171199999999999</v>
          </cell>
        </row>
        <row r="36">
          <cell r="A36" t="str">
            <v>ORA75</v>
          </cell>
          <cell r="B36" t="str">
            <v xml:space="preserve">ORANGINA JAUNE 75 CL                    </v>
          </cell>
          <cell r="C36">
            <v>2003</v>
          </cell>
          <cell r="D36">
            <v>1055.3399999999999</v>
          </cell>
          <cell r="E36">
            <v>894.15</v>
          </cell>
          <cell r="F36">
            <v>731.52</v>
          </cell>
          <cell r="G36">
            <v>768.69</v>
          </cell>
          <cell r="H36">
            <v>793.26</v>
          </cell>
          <cell r="I36">
            <v>512.01</v>
          </cell>
          <cell r="J36">
            <v>460.8</v>
          </cell>
          <cell r="K36">
            <v>518.04</v>
          </cell>
          <cell r="L36">
            <v>335.52</v>
          </cell>
          <cell r="M36">
            <v>394.47</v>
          </cell>
          <cell r="N36">
            <v>273.69</v>
          </cell>
          <cell r="O36">
            <v>418.59</v>
          </cell>
        </row>
        <row r="37">
          <cell r="A37" t="str">
            <v>ORA30</v>
          </cell>
          <cell r="B37" t="str">
            <v xml:space="preserve">ORANGINA JAUNE 30 CL                    </v>
          </cell>
          <cell r="C37">
            <v>2003</v>
          </cell>
          <cell r="D37">
            <v>782.20799999999997</v>
          </cell>
          <cell r="E37">
            <v>635.25599999999997</v>
          </cell>
          <cell r="F37">
            <v>651.67200000000003</v>
          </cell>
          <cell r="G37">
            <v>494.28</v>
          </cell>
          <cell r="H37">
            <v>511.99200000000002</v>
          </cell>
          <cell r="I37">
            <v>416.23200000000003</v>
          </cell>
          <cell r="J37">
            <v>346.89600000000002</v>
          </cell>
          <cell r="K37">
            <v>342.14400000000001</v>
          </cell>
          <cell r="L37">
            <v>253.512</v>
          </cell>
          <cell r="M37">
            <v>292.96800000000002</v>
          </cell>
          <cell r="N37">
            <v>140.68799999999999</v>
          </cell>
          <cell r="O37">
            <v>391.03199999999998</v>
          </cell>
        </row>
        <row r="38">
          <cell r="A38" t="str">
            <v>ORABT</v>
          </cell>
          <cell r="B38" t="str">
            <v xml:space="preserve">ORANGINA JAUNE BOITES 33 CL             </v>
          </cell>
          <cell r="C38">
            <v>2003</v>
          </cell>
          <cell r="D38">
            <v>512.50319999999999</v>
          </cell>
          <cell r="E38">
            <v>459.83519999999999</v>
          </cell>
          <cell r="F38">
            <v>505.05840000000001</v>
          </cell>
          <cell r="G38">
            <v>476.70479999999998</v>
          </cell>
          <cell r="H38">
            <v>550.59839999999997</v>
          </cell>
          <cell r="I38">
            <v>380.39760000000001</v>
          </cell>
          <cell r="J38">
            <v>488.34719999999999</v>
          </cell>
          <cell r="K38">
            <v>363.60719999999998</v>
          </cell>
          <cell r="L38">
            <v>372.71519999999998</v>
          </cell>
          <cell r="M38">
            <v>524.14559999999994</v>
          </cell>
          <cell r="N38">
            <v>385.94159999999999</v>
          </cell>
          <cell r="O38">
            <v>692.04960000000005</v>
          </cell>
        </row>
        <row r="39">
          <cell r="A39" t="str">
            <v>ORAR75</v>
          </cell>
          <cell r="B39" t="str">
            <v xml:space="preserve">ORANGINA ROUGE 75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187.2</v>
          </cell>
          <cell r="K39">
            <v>201.6</v>
          </cell>
          <cell r="L39">
            <v>-18.899999999999999</v>
          </cell>
          <cell r="M39">
            <v>-20.43</v>
          </cell>
          <cell r="N39">
            <v>0.18</v>
          </cell>
          <cell r="O39">
            <v>-8.2799999999999994</v>
          </cell>
        </row>
        <row r="40">
          <cell r="A40" t="str">
            <v>ORAR30</v>
          </cell>
          <cell r="B40" t="str">
            <v xml:space="preserve">ORANGINA ROUGE 30 CL                    </v>
          </cell>
          <cell r="C40">
            <v>2003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140.4</v>
          </cell>
          <cell r="K40">
            <v>72.72</v>
          </cell>
          <cell r="L40">
            <v>-2.448</v>
          </cell>
          <cell r="M40">
            <v>-15.696</v>
          </cell>
          <cell r="N40">
            <v>-3.7440000000000002</v>
          </cell>
          <cell r="O40">
            <v>0.14399999999999999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Analyse des écarts cumulés"/>
      <sheetName val="XMQ_Cumul"/>
      <sheetName val="XMQ_Mois"/>
      <sheetName val="Bilan"/>
      <sheetName val="TER"/>
      <sheetName val="Ventes"/>
      <sheetName val="Prod"/>
      <sheetName val="XMQ_Mensuel"/>
      <sheetName val="Invest NDJ"/>
      <sheetName val="Invest MDOU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 NDJ"/>
      <sheetName val="Suivi_MP MND"/>
      <sheetName val="Suivi_FLUIDES"/>
      <sheetName val="Redevances"/>
      <sheetName val="Impôts"/>
      <sheetName val="Cashflow mois"/>
      <sheetName val="Cashflow cumulé"/>
      <sheetName val="XMQ_Budget"/>
      <sheetName val="Ventes_Budget"/>
      <sheetName val="XMQ_N-1"/>
      <sheetName val="Détails_Actif"/>
      <sheetName val="Détails_Passif"/>
      <sheetName val="Détails_XMQ"/>
      <sheetName val="Bal_Bilan"/>
      <sheetName val="Bal_XMQ"/>
      <sheetName val="Contrôle"/>
      <sheetName val="Feuil1"/>
      <sheetName val="Volu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6">
          <cell r="C36">
            <v>94486162</v>
          </cell>
        </row>
        <row r="37">
          <cell r="C37">
            <v>0</v>
          </cell>
        </row>
        <row r="38">
          <cell r="C38">
            <v>-5984862741</v>
          </cell>
        </row>
        <row r="39">
          <cell r="C39">
            <v>3762278113</v>
          </cell>
        </row>
        <row r="40">
          <cell r="C40">
            <v>29773474</v>
          </cell>
        </row>
        <row r="41">
          <cell r="C41">
            <v>17116121</v>
          </cell>
        </row>
        <row r="42">
          <cell r="C42">
            <v>15998086</v>
          </cell>
        </row>
        <row r="43">
          <cell r="C43">
            <v>14638400</v>
          </cell>
        </row>
        <row r="44">
          <cell r="C44">
            <v>-9814000</v>
          </cell>
        </row>
        <row r="45">
          <cell r="C45">
            <v>244115600</v>
          </cell>
        </row>
        <row r="46">
          <cell r="C46">
            <v>54837600</v>
          </cell>
        </row>
        <row r="47">
          <cell r="C47">
            <v>12636000</v>
          </cell>
        </row>
        <row r="48">
          <cell r="C48">
            <v>9019800</v>
          </cell>
        </row>
        <row r="49">
          <cell r="C49">
            <v>278027600</v>
          </cell>
        </row>
        <row r="50">
          <cell r="C50">
            <v>33646623</v>
          </cell>
        </row>
        <row r="51">
          <cell r="C51">
            <v>-518839</v>
          </cell>
        </row>
        <row r="52">
          <cell r="C52">
            <v>-288339021</v>
          </cell>
        </row>
        <row r="53">
          <cell r="C53">
            <v>0</v>
          </cell>
        </row>
        <row r="54">
          <cell r="C54">
            <v>144334949</v>
          </cell>
        </row>
        <row r="55">
          <cell r="C55">
            <v>461345</v>
          </cell>
        </row>
        <row r="56">
          <cell r="C56">
            <v>1388587</v>
          </cell>
        </row>
        <row r="57">
          <cell r="C57">
            <v>685864674</v>
          </cell>
        </row>
        <row r="58">
          <cell r="C58">
            <v>35645122</v>
          </cell>
        </row>
        <row r="59">
          <cell r="C59">
            <v>15571399</v>
          </cell>
        </row>
        <row r="60">
          <cell r="C60">
            <v>1130335</v>
          </cell>
        </row>
        <row r="61">
          <cell r="C61">
            <v>2547910</v>
          </cell>
        </row>
        <row r="62">
          <cell r="C62">
            <v>10334840</v>
          </cell>
        </row>
        <row r="63">
          <cell r="C63">
            <v>806554</v>
          </cell>
        </row>
        <row r="64">
          <cell r="C64">
            <v>0</v>
          </cell>
        </row>
        <row r="65">
          <cell r="C65">
            <v>32171550</v>
          </cell>
        </row>
        <row r="66">
          <cell r="C66">
            <v>147821925</v>
          </cell>
        </row>
        <row r="67">
          <cell r="C67">
            <v>53213991</v>
          </cell>
        </row>
        <row r="68">
          <cell r="C68">
            <v>180000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1131500</v>
          </cell>
        </row>
        <row r="72">
          <cell r="C72">
            <v>27781268</v>
          </cell>
        </row>
        <row r="73">
          <cell r="C73">
            <v>2359050</v>
          </cell>
        </row>
        <row r="74">
          <cell r="C74">
            <v>0</v>
          </cell>
        </row>
        <row r="75">
          <cell r="C75">
            <v>526332931</v>
          </cell>
        </row>
        <row r="76">
          <cell r="C76">
            <v>15526503</v>
          </cell>
        </row>
        <row r="78">
          <cell r="C78">
            <v>0</v>
          </cell>
        </row>
        <row r="80">
          <cell r="C80">
            <v>1247528810</v>
          </cell>
        </row>
        <row r="81">
          <cell r="C81">
            <v>836589952</v>
          </cell>
        </row>
        <row r="82">
          <cell r="C82">
            <v>73200000</v>
          </cell>
        </row>
        <row r="83">
          <cell r="C83">
            <v>3789778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8">
          <cell r="C88">
            <v>0</v>
          </cell>
        </row>
        <row r="89">
          <cell r="C89">
            <v>0</v>
          </cell>
        </row>
        <row r="91">
          <cell r="C91">
            <v>732048</v>
          </cell>
        </row>
        <row r="93">
          <cell r="C93">
            <v>1971661</v>
          </cell>
        </row>
        <row r="94">
          <cell r="C94">
            <v>45988220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101">
          <cell r="C101">
            <v>1754275937</v>
          </cell>
        </row>
        <row r="102">
          <cell r="C102">
            <v>31000000</v>
          </cell>
        </row>
        <row r="103">
          <cell r="C103">
            <v>0</v>
          </cell>
        </row>
        <row r="104">
          <cell r="C104">
            <v>919899</v>
          </cell>
        </row>
        <row r="105">
          <cell r="C105">
            <v>52976776</v>
          </cell>
        </row>
        <row r="106">
          <cell r="C106">
            <v>1737000</v>
          </cell>
        </row>
        <row r="107">
          <cell r="C107">
            <v>15114598</v>
          </cell>
        </row>
        <row r="108">
          <cell r="C108">
            <v>31401402</v>
          </cell>
        </row>
        <row r="110">
          <cell r="C110">
            <v>0</v>
          </cell>
        </row>
        <row r="112">
          <cell r="C112">
            <v>300</v>
          </cell>
        </row>
        <row r="113">
          <cell r="C113">
            <v>21000</v>
          </cell>
        </row>
        <row r="114">
          <cell r="C114">
            <v>0</v>
          </cell>
        </row>
        <row r="115">
          <cell r="C115">
            <v>42131955</v>
          </cell>
        </row>
        <row r="116">
          <cell r="C116">
            <v>44566543</v>
          </cell>
        </row>
        <row r="117">
          <cell r="C117">
            <v>13416550</v>
          </cell>
        </row>
        <row r="118">
          <cell r="C118">
            <v>24578356</v>
          </cell>
        </row>
        <row r="119">
          <cell r="C119">
            <v>59611761</v>
          </cell>
        </row>
        <row r="120">
          <cell r="C120">
            <v>39917011</v>
          </cell>
        </row>
        <row r="121">
          <cell r="C121">
            <v>30167658</v>
          </cell>
        </row>
        <row r="123">
          <cell r="C123">
            <v>2237500</v>
          </cell>
        </row>
        <row r="124">
          <cell r="C124">
            <v>3600000</v>
          </cell>
        </row>
        <row r="125">
          <cell r="C125">
            <v>0</v>
          </cell>
        </row>
        <row r="126">
          <cell r="C126">
            <v>23328443</v>
          </cell>
        </row>
        <row r="127">
          <cell r="C127">
            <v>0</v>
          </cell>
        </row>
        <row r="128">
          <cell r="C128">
            <v>30929936</v>
          </cell>
        </row>
        <row r="129">
          <cell r="C129">
            <v>0</v>
          </cell>
        </row>
        <row r="130">
          <cell r="C130">
            <v>54978555</v>
          </cell>
        </row>
        <row r="133">
          <cell r="C133">
            <v>90975569</v>
          </cell>
        </row>
        <row r="134">
          <cell r="C134">
            <v>335000</v>
          </cell>
        </row>
        <row r="135">
          <cell r="C135">
            <v>17410417</v>
          </cell>
        </row>
        <row r="136">
          <cell r="C136">
            <v>1036724</v>
          </cell>
        </row>
        <row r="137">
          <cell r="C137">
            <v>7688585</v>
          </cell>
        </row>
        <row r="139">
          <cell r="C139">
            <v>35274700</v>
          </cell>
        </row>
        <row r="141">
          <cell r="C141">
            <v>50218254</v>
          </cell>
        </row>
        <row r="142">
          <cell r="C142">
            <v>0</v>
          </cell>
        </row>
        <row r="144">
          <cell r="C144">
            <v>27176850</v>
          </cell>
        </row>
        <row r="145">
          <cell r="C145">
            <v>919258</v>
          </cell>
        </row>
        <row r="146">
          <cell r="C146">
            <v>70193010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39541</v>
          </cell>
        </row>
        <row r="150">
          <cell r="C150">
            <v>0</v>
          </cell>
        </row>
        <row r="151">
          <cell r="C151">
            <v>2625714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4386339</v>
          </cell>
        </row>
        <row r="156">
          <cell r="C156">
            <v>4052250</v>
          </cell>
        </row>
        <row r="157">
          <cell r="C157">
            <v>3508773</v>
          </cell>
        </row>
        <row r="158">
          <cell r="C158">
            <v>2690000</v>
          </cell>
        </row>
        <row r="160">
          <cell r="C160">
            <v>20000</v>
          </cell>
        </row>
        <row r="161">
          <cell r="C161">
            <v>87518580</v>
          </cell>
        </row>
        <row r="162">
          <cell r="C162">
            <v>39365304</v>
          </cell>
        </row>
        <row r="164">
          <cell r="C164">
            <v>15068177</v>
          </cell>
        </row>
        <row r="165">
          <cell r="C165">
            <v>0</v>
          </cell>
        </row>
        <row r="166">
          <cell r="C166">
            <v>42531208</v>
          </cell>
        </row>
        <row r="167">
          <cell r="C167">
            <v>92661711</v>
          </cell>
        </row>
        <row r="168">
          <cell r="C168">
            <v>45251673</v>
          </cell>
        </row>
        <row r="170">
          <cell r="C170">
            <v>7252182</v>
          </cell>
        </row>
        <row r="171">
          <cell r="C171">
            <v>700000</v>
          </cell>
        </row>
        <row r="172">
          <cell r="C172">
            <v>9200000</v>
          </cell>
        </row>
        <row r="174">
          <cell r="C174">
            <v>600000</v>
          </cell>
        </row>
        <row r="176">
          <cell r="C176">
            <v>0</v>
          </cell>
        </row>
        <row r="177">
          <cell r="C177">
            <v>0</v>
          </cell>
        </row>
        <row r="180">
          <cell r="C180">
            <v>597366</v>
          </cell>
        </row>
        <row r="181">
          <cell r="C181">
            <v>2308930</v>
          </cell>
        </row>
        <row r="182">
          <cell r="C182">
            <v>0</v>
          </cell>
        </row>
        <row r="183">
          <cell r="C183">
            <v>21378463</v>
          </cell>
        </row>
        <row r="184">
          <cell r="C184">
            <v>28181660</v>
          </cell>
        </row>
        <row r="185">
          <cell r="C185">
            <v>3225</v>
          </cell>
        </row>
        <row r="186">
          <cell r="C186">
            <v>139806575</v>
          </cell>
        </row>
        <row r="187">
          <cell r="C187">
            <v>6663990</v>
          </cell>
        </row>
        <row r="188">
          <cell r="C188">
            <v>1099588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92847963</v>
          </cell>
        </row>
        <row r="192">
          <cell r="C192">
            <v>1033528</v>
          </cell>
        </row>
        <row r="193">
          <cell r="C193">
            <v>0</v>
          </cell>
        </row>
        <row r="194">
          <cell r="C194">
            <v>100000</v>
          </cell>
        </row>
        <row r="195">
          <cell r="C195">
            <v>0</v>
          </cell>
        </row>
        <row r="196">
          <cell r="C196">
            <v>6735963</v>
          </cell>
        </row>
        <row r="197">
          <cell r="C197">
            <v>828000</v>
          </cell>
        </row>
        <row r="198">
          <cell r="C198">
            <v>1381122</v>
          </cell>
        </row>
        <row r="199">
          <cell r="C199">
            <v>0</v>
          </cell>
        </row>
        <row r="200">
          <cell r="C200">
            <v>137518252</v>
          </cell>
        </row>
        <row r="201">
          <cell r="C201">
            <v>3644000</v>
          </cell>
        </row>
        <row r="202">
          <cell r="C202">
            <v>0</v>
          </cell>
        </row>
        <row r="203">
          <cell r="C203">
            <v>369695</v>
          </cell>
        </row>
        <row r="204">
          <cell r="C204">
            <v>0</v>
          </cell>
        </row>
        <row r="205">
          <cell r="C205">
            <v>22019186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17712600</v>
          </cell>
        </row>
        <row r="211">
          <cell r="C211">
            <v>6450000</v>
          </cell>
        </row>
        <row r="212">
          <cell r="C212">
            <v>16850000</v>
          </cell>
        </row>
        <row r="213">
          <cell r="C213">
            <v>17750000</v>
          </cell>
        </row>
        <row r="214">
          <cell r="C214">
            <v>0</v>
          </cell>
        </row>
        <row r="215">
          <cell r="C215">
            <v>207174272</v>
          </cell>
        </row>
        <row r="216">
          <cell r="C216">
            <v>92715190</v>
          </cell>
        </row>
        <row r="217">
          <cell r="C217">
            <v>113676000</v>
          </cell>
        </row>
        <row r="219">
          <cell r="C219">
            <v>6820943</v>
          </cell>
        </row>
        <row r="220">
          <cell r="C220">
            <v>4382242</v>
          </cell>
        </row>
        <row r="221">
          <cell r="C221">
            <v>133471139</v>
          </cell>
        </row>
        <row r="222">
          <cell r="C222">
            <v>0</v>
          </cell>
        </row>
        <row r="223">
          <cell r="C223">
            <v>0</v>
          </cell>
        </row>
        <row r="226">
          <cell r="C226">
            <v>1406000</v>
          </cell>
        </row>
        <row r="227">
          <cell r="C227">
            <v>245122013</v>
          </cell>
        </row>
        <row r="228">
          <cell r="C228">
            <v>752040991</v>
          </cell>
        </row>
        <row r="229">
          <cell r="C229">
            <v>13417643</v>
          </cell>
        </row>
        <row r="230">
          <cell r="C230">
            <v>185722064</v>
          </cell>
        </row>
        <row r="231">
          <cell r="C231">
            <v>102732814</v>
          </cell>
        </row>
        <row r="232">
          <cell r="C232">
            <v>11928055</v>
          </cell>
        </row>
        <row r="233">
          <cell r="C233">
            <v>1500000</v>
          </cell>
        </row>
        <row r="234">
          <cell r="C234">
            <v>-150000</v>
          </cell>
        </row>
        <row r="235">
          <cell r="C235">
            <v>3900421</v>
          </cell>
        </row>
        <row r="237">
          <cell r="C237">
            <v>18847970</v>
          </cell>
        </row>
        <row r="238">
          <cell r="C238">
            <v>0</v>
          </cell>
        </row>
        <row r="239">
          <cell r="C239">
            <v>42436008</v>
          </cell>
        </row>
        <row r="240">
          <cell r="C240">
            <v>6092761</v>
          </cell>
        </row>
        <row r="241">
          <cell r="C241">
            <v>14421204</v>
          </cell>
        </row>
        <row r="242">
          <cell r="C242">
            <v>82049100</v>
          </cell>
        </row>
        <row r="243">
          <cell r="C243">
            <v>207000</v>
          </cell>
        </row>
        <row r="244">
          <cell r="C244">
            <v>40000</v>
          </cell>
        </row>
        <row r="245">
          <cell r="C245">
            <v>138500</v>
          </cell>
        </row>
        <row r="246">
          <cell r="C246">
            <v>2145500</v>
          </cell>
        </row>
        <row r="247">
          <cell r="C247">
            <v>165600</v>
          </cell>
        </row>
        <row r="248">
          <cell r="C248">
            <v>202000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1245000</v>
          </cell>
        </row>
        <row r="252">
          <cell r="C252">
            <v>60088355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-41780</v>
          </cell>
        </row>
        <row r="257">
          <cell r="C257">
            <v>0</v>
          </cell>
        </row>
        <row r="259">
          <cell r="C259">
            <v>44420194</v>
          </cell>
        </row>
        <row r="260">
          <cell r="C260">
            <v>11997000</v>
          </cell>
        </row>
        <row r="261">
          <cell r="C261">
            <v>13060356</v>
          </cell>
        </row>
        <row r="262">
          <cell r="C262">
            <v>39891573</v>
          </cell>
        </row>
        <row r="263">
          <cell r="C263">
            <v>21609310</v>
          </cell>
        </row>
        <row r="264">
          <cell r="C264">
            <v>23691525</v>
          </cell>
        </row>
        <row r="265">
          <cell r="C265">
            <v>34001215</v>
          </cell>
        </row>
        <row r="266">
          <cell r="C266">
            <v>286804200</v>
          </cell>
        </row>
        <row r="267">
          <cell r="C267">
            <v>0</v>
          </cell>
        </row>
        <row r="268">
          <cell r="C268">
            <v>1418614</v>
          </cell>
        </row>
        <row r="270">
          <cell r="C270">
            <v>0</v>
          </cell>
        </row>
        <row r="271">
          <cell r="C271">
            <v>355394444</v>
          </cell>
        </row>
        <row r="272">
          <cell r="C272">
            <v>996033</v>
          </cell>
        </row>
        <row r="273">
          <cell r="C273">
            <v>18549809</v>
          </cell>
        </row>
        <row r="274">
          <cell r="C274">
            <v>11129203</v>
          </cell>
        </row>
        <row r="275">
          <cell r="C275">
            <v>3989306</v>
          </cell>
        </row>
        <row r="276">
          <cell r="C276">
            <v>160421010</v>
          </cell>
        </row>
        <row r="277">
          <cell r="C277">
            <v>43728236</v>
          </cell>
        </row>
        <row r="278">
          <cell r="C278">
            <v>5923100</v>
          </cell>
        </row>
        <row r="279">
          <cell r="C279">
            <v>5616123</v>
          </cell>
        </row>
        <row r="280">
          <cell r="C280">
            <v>1509677</v>
          </cell>
        </row>
        <row r="281">
          <cell r="C281">
            <v>185375193</v>
          </cell>
        </row>
        <row r="282">
          <cell r="C282">
            <v>31219645</v>
          </cell>
        </row>
        <row r="283">
          <cell r="C283">
            <v>0</v>
          </cell>
        </row>
        <row r="284">
          <cell r="C284">
            <v>9570437</v>
          </cell>
        </row>
        <row r="285">
          <cell r="C285">
            <v>630000</v>
          </cell>
        </row>
        <row r="286">
          <cell r="C286">
            <v>5157402</v>
          </cell>
        </row>
        <row r="287">
          <cell r="C287">
            <v>0</v>
          </cell>
        </row>
        <row r="288">
          <cell r="C288">
            <v>41572484</v>
          </cell>
        </row>
        <row r="289">
          <cell r="C289">
            <v>17993364</v>
          </cell>
        </row>
        <row r="290">
          <cell r="C290">
            <v>23302268</v>
          </cell>
        </row>
        <row r="291">
          <cell r="C291">
            <v>6693781</v>
          </cell>
        </row>
        <row r="292">
          <cell r="C292">
            <v>0</v>
          </cell>
        </row>
        <row r="293">
          <cell r="C293">
            <v>122668061</v>
          </cell>
        </row>
        <row r="294">
          <cell r="C294">
            <v>-11462</v>
          </cell>
        </row>
        <row r="295">
          <cell r="C295">
            <v>3510000</v>
          </cell>
        </row>
        <row r="296">
          <cell r="C296">
            <v>6675000</v>
          </cell>
        </row>
        <row r="297">
          <cell r="C297">
            <v>6945000</v>
          </cell>
        </row>
        <row r="298">
          <cell r="C298">
            <v>44773387</v>
          </cell>
        </row>
        <row r="299">
          <cell r="C299">
            <v>51870814</v>
          </cell>
        </row>
        <row r="300">
          <cell r="C300">
            <v>17915333</v>
          </cell>
        </row>
        <row r="301">
          <cell r="C301">
            <v>8647333</v>
          </cell>
        </row>
        <row r="303">
          <cell r="C303">
            <v>9685726</v>
          </cell>
        </row>
        <row r="304">
          <cell r="C304">
            <v>304054</v>
          </cell>
        </row>
        <row r="305">
          <cell r="C305">
            <v>0</v>
          </cell>
        </row>
        <row r="306">
          <cell r="C306">
            <v>3690500</v>
          </cell>
        </row>
        <row r="307">
          <cell r="C307">
            <v>0</v>
          </cell>
        </row>
        <row r="309">
          <cell r="C309">
            <v>18876236</v>
          </cell>
        </row>
        <row r="310">
          <cell r="C310">
            <v>8001635</v>
          </cell>
        </row>
        <row r="311">
          <cell r="C311">
            <v>3917012</v>
          </cell>
        </row>
        <row r="312">
          <cell r="C312">
            <v>35721875</v>
          </cell>
        </row>
        <row r="313">
          <cell r="C313">
            <v>15003072</v>
          </cell>
        </row>
        <row r="314">
          <cell r="C314">
            <v>7344397</v>
          </cell>
        </row>
        <row r="315">
          <cell r="C315">
            <v>755360</v>
          </cell>
        </row>
        <row r="316">
          <cell r="C316">
            <v>1087500</v>
          </cell>
        </row>
        <row r="317">
          <cell r="C317">
            <v>118025</v>
          </cell>
        </row>
        <row r="318">
          <cell r="C318">
            <v>2136361</v>
          </cell>
        </row>
        <row r="319">
          <cell r="C319">
            <v>2539000</v>
          </cell>
        </row>
        <row r="320">
          <cell r="C320">
            <v>100000</v>
          </cell>
        </row>
        <row r="321">
          <cell r="C321">
            <v>2407452</v>
          </cell>
        </row>
        <row r="322">
          <cell r="C322">
            <v>0</v>
          </cell>
        </row>
        <row r="323">
          <cell r="C323">
            <v>25175007</v>
          </cell>
        </row>
        <row r="324">
          <cell r="C324">
            <v>54579342</v>
          </cell>
        </row>
        <row r="325">
          <cell r="C325">
            <v>23595365</v>
          </cell>
        </row>
        <row r="326">
          <cell r="C326">
            <v>10002042</v>
          </cell>
        </row>
        <row r="328">
          <cell r="C328">
            <v>1517950</v>
          </cell>
        </row>
        <row r="329">
          <cell r="C329">
            <v>4896266</v>
          </cell>
        </row>
        <row r="331">
          <cell r="C331">
            <v>13500000</v>
          </cell>
        </row>
        <row r="332">
          <cell r="C332">
            <v>202508720</v>
          </cell>
        </row>
        <row r="333">
          <cell r="C333">
            <v>44847000</v>
          </cell>
        </row>
        <row r="334">
          <cell r="C334">
            <v>19845000</v>
          </cell>
        </row>
        <row r="335">
          <cell r="C335">
            <v>0</v>
          </cell>
        </row>
        <row r="336">
          <cell r="C336">
            <v>90212400</v>
          </cell>
        </row>
        <row r="337">
          <cell r="C337">
            <v>0</v>
          </cell>
        </row>
        <row r="338">
          <cell r="C338">
            <v>1223230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37800000</v>
          </cell>
        </row>
        <row r="342">
          <cell r="C342">
            <v>0</v>
          </cell>
        </row>
        <row r="343">
          <cell r="C343">
            <v>22500000</v>
          </cell>
        </row>
        <row r="344">
          <cell r="C344">
            <v>2845060</v>
          </cell>
        </row>
        <row r="345">
          <cell r="C345">
            <v>1481322</v>
          </cell>
        </row>
        <row r="346">
          <cell r="C346">
            <v>8712238</v>
          </cell>
        </row>
        <row r="348">
          <cell r="C348">
            <v>101503616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3505056355</v>
          </cell>
        </row>
        <row r="352">
          <cell r="C352">
            <v>25000000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36524775</v>
          </cell>
        </row>
        <row r="357">
          <cell r="C357">
            <v>0</v>
          </cell>
        </row>
        <row r="358">
          <cell r="C358">
            <v>0</v>
          </cell>
        </row>
        <row r="370">
          <cell r="C370">
            <v>0</v>
          </cell>
        </row>
        <row r="371">
          <cell r="C371">
            <v>356660074</v>
          </cell>
        </row>
        <row r="372">
          <cell r="C372">
            <v>2365673481</v>
          </cell>
        </row>
        <row r="373">
          <cell r="C373">
            <v>24340321</v>
          </cell>
        </row>
        <row r="374">
          <cell r="C374">
            <v>117497288</v>
          </cell>
        </row>
        <row r="375">
          <cell r="C375">
            <v>481056981</v>
          </cell>
        </row>
        <row r="378">
          <cell r="C378">
            <v>0</v>
          </cell>
        </row>
        <row r="399">
          <cell r="C399">
            <v>138683050</v>
          </cell>
        </row>
        <row r="402">
          <cell r="C402">
            <v>5042030</v>
          </cell>
        </row>
        <row r="421">
          <cell r="C421">
            <v>0</v>
          </cell>
        </row>
        <row r="422">
          <cell r="C422">
            <v>1221464451</v>
          </cell>
        </row>
        <row r="426">
          <cell r="C426">
            <v>245210022</v>
          </cell>
        </row>
        <row r="428">
          <cell r="C428">
            <v>1268952294</v>
          </cell>
        </row>
        <row r="429">
          <cell r="C429">
            <v>2846730462</v>
          </cell>
        </row>
        <row r="430">
          <cell r="C430">
            <v>7429614983</v>
          </cell>
        </row>
        <row r="434">
          <cell r="C434">
            <v>47147598555</v>
          </cell>
        </row>
        <row r="435">
          <cell r="C435">
            <v>-9557864045</v>
          </cell>
        </row>
        <row r="436">
          <cell r="C436">
            <v>9557864044</v>
          </cell>
        </row>
        <row r="437">
          <cell r="C437">
            <v>-1</v>
          </cell>
        </row>
      </sheetData>
      <sheetData sheetId="34"/>
      <sheetData sheetId="35"/>
      <sheetData sheetId="3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 (1)"/>
      <sheetName val="PARAMETRES (2)"/>
      <sheetName val="TARIFS"/>
      <sheetName val="VOLUMES"/>
      <sheetName val="NOMENCLATURE"/>
      <sheetName val="BG"/>
      <sheetName val="PET"/>
      <sheetName val="Bières"/>
      <sheetName val="REGAB"/>
      <sheetName val="CASTEL"/>
      <sheetName val="EXPORT"/>
      <sheetName val="BEAUFORT"/>
      <sheetName val="BEAUFORT 6.9"/>
      <sheetName val="BEAUFORT LIGHT"/>
      <sheetName val="GUINNESS"/>
      <sheetName val="MALTA GUINNESS"/>
      <sheetName val="WHISKY BLACK"/>
      <sheetName val="GIN TONIC"/>
      <sheetName val="COCA"/>
      <sheetName val="FANTA ORANGE"/>
      <sheetName val="FANTA FIESTA"/>
      <sheetName val="SPRITE"/>
      <sheetName val="KREST"/>
      <sheetName val="DJINO PAMPLEMOUSSE"/>
      <sheetName val="DJINO ANANAS"/>
      <sheetName val="TONIC"/>
      <sheetName val="SCHWEPPES TONIC"/>
      <sheetName val="GINGER"/>
      <sheetName val="ORANGINA"/>
      <sheetName val="PET ORANGINA"/>
      <sheetName val="PET DJINO PAMPLEMOUSSE"/>
      <sheetName val="PET DJINO ANANAS"/>
      <sheetName val="PET DJINO GRENADINE"/>
      <sheetName val="PET COCA COLA"/>
      <sheetName val="PET COCA COLA LIGHT"/>
      <sheetName val="PET SPRITE"/>
      <sheetName val="PET FANTA ORANGE"/>
      <sheetName val="PET FANTA FIESTA"/>
      <sheetName val="PET GINGER"/>
      <sheetName val="Autres Hypothès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ETS</v>
          </cell>
          <cell r="B1" t="str">
            <v>PRODUIT</v>
          </cell>
          <cell r="C1" t="str">
            <v>REGROUPEMENT</v>
          </cell>
          <cell r="D1" t="str">
            <v>DESAR</v>
          </cell>
          <cell r="E1" t="str">
            <v>PRIX</v>
          </cell>
          <cell r="F1" t="str">
            <v>THCOEF1</v>
          </cell>
          <cell r="G1" t="str">
            <v>%FREINTE</v>
          </cell>
          <cell r="H1" t="str">
            <v>FHL</v>
          </cell>
          <cell r="I1" t="str">
            <v>FCOL</v>
          </cell>
        </row>
        <row r="2">
          <cell r="A2" t="str">
            <v>01</v>
          </cell>
          <cell r="B2" t="str">
            <v>ANANAS</v>
          </cell>
          <cell r="C2" t="str">
            <v>AUTREMC</v>
          </cell>
          <cell r="D2" t="str">
            <v/>
          </cell>
          <cell r="E2">
            <v>2252.5543691149755</v>
          </cell>
          <cell r="F2">
            <v>0.14808918510732574</v>
          </cell>
          <cell r="G2">
            <v>0</v>
          </cell>
          <cell r="H2">
            <v>315.04770099787106</v>
          </cell>
          <cell r="I2">
            <v>1.4165393009219198</v>
          </cell>
        </row>
        <row r="3">
          <cell r="A3" t="str">
            <v>01</v>
          </cell>
          <cell r="B3" t="str">
            <v>ANANAS</v>
          </cell>
          <cell r="C3" t="str">
            <v>AUTREMP</v>
          </cell>
          <cell r="D3" t="str">
            <v/>
          </cell>
          <cell r="E3">
            <v>1482.1523482245134</v>
          </cell>
          <cell r="F3">
            <v>0.17459999999999998</v>
          </cell>
          <cell r="G3">
            <v>0</v>
          </cell>
          <cell r="H3">
            <v>258.78379999999993</v>
          </cell>
          <cell r="I3">
            <v>1.163561651079609</v>
          </cell>
        </row>
        <row r="4">
          <cell r="A4" t="str">
            <v>01</v>
          </cell>
          <cell r="B4" t="str">
            <v>ANANAS</v>
          </cell>
          <cell r="C4" t="str">
            <v>BOITESPM</v>
          </cell>
          <cell r="D4" t="str">
            <v/>
          </cell>
          <cell r="E4">
            <v>51.45</v>
          </cell>
          <cell r="F4">
            <v>2</v>
          </cell>
          <cell r="G4">
            <v>0.02</v>
          </cell>
          <cell r="H4">
            <v>5741.5516491637227</v>
          </cell>
          <cell r="I4">
            <v>25.815562321365533</v>
          </cell>
        </row>
        <row r="5">
          <cell r="A5" t="str">
            <v>01</v>
          </cell>
          <cell r="B5" t="str">
            <v>ANANAS</v>
          </cell>
          <cell r="C5" t="str">
            <v>CAPSULE</v>
          </cell>
          <cell r="D5" t="str">
            <v/>
          </cell>
          <cell r="E5">
            <v>5.81</v>
          </cell>
          <cell r="F5">
            <v>1</v>
          </cell>
          <cell r="G5">
            <v>0.02</v>
          </cell>
          <cell r="H5">
            <v>967.9995441845391</v>
          </cell>
          <cell r="I5">
            <v>4.3523866172290209</v>
          </cell>
        </row>
        <row r="6">
          <cell r="A6" t="str">
            <v>01</v>
          </cell>
          <cell r="B6" t="str">
            <v>ANANAS</v>
          </cell>
          <cell r="C6" t="str">
            <v>CARBURANT</v>
          </cell>
          <cell r="D6" t="str">
            <v/>
          </cell>
          <cell r="E6">
            <v>337.43078666328859</v>
          </cell>
          <cell r="F6">
            <v>3.6182848468968065</v>
          </cell>
          <cell r="G6">
            <v>0</v>
          </cell>
          <cell r="H6">
            <v>1220.9207022602461</v>
          </cell>
          <cell r="I6">
            <v>5.4895882515026351</v>
          </cell>
        </row>
        <row r="7">
          <cell r="A7" t="str">
            <v>01</v>
          </cell>
          <cell r="B7" t="str">
            <v>ANANAS</v>
          </cell>
          <cell r="C7" t="str">
            <v>CARTONSPM</v>
          </cell>
          <cell r="D7" t="str">
            <v/>
          </cell>
          <cell r="E7">
            <v>222.19212962962965</v>
          </cell>
          <cell r="F7">
            <v>4.3200000000000002E-2</v>
          </cell>
          <cell r="G7">
            <v>0.02</v>
          </cell>
          <cell r="H7">
            <v>535.58242774371058</v>
          </cell>
          <cell r="I7">
            <v>2.4081228187958339</v>
          </cell>
        </row>
        <row r="8">
          <cell r="A8" t="str">
            <v>01</v>
          </cell>
          <cell r="B8" t="str">
            <v>ANANAS</v>
          </cell>
          <cell r="C8" t="str">
            <v>COLLERETTEGM</v>
          </cell>
          <cell r="D8" t="str">
            <v/>
          </cell>
          <cell r="E8">
            <v>3.1</v>
          </cell>
          <cell r="F8">
            <v>1</v>
          </cell>
          <cell r="G8">
            <v>0.02</v>
          </cell>
          <cell r="H8">
            <v>217.71710467824616</v>
          </cell>
          <cell r="I8">
            <v>0.97891473031809639</v>
          </cell>
        </row>
        <row r="9">
          <cell r="A9" t="str">
            <v>01</v>
          </cell>
          <cell r="B9" t="str">
            <v>ANANAS</v>
          </cell>
          <cell r="C9" t="str">
            <v>COLLES</v>
          </cell>
          <cell r="D9" t="str">
            <v/>
          </cell>
          <cell r="E9">
            <v>2445</v>
          </cell>
          <cell r="F9">
            <v>5.0000000000000001E-4</v>
          </cell>
          <cell r="G9">
            <v>0.02</v>
          </cell>
          <cell r="H9">
            <v>203.67976639683292</v>
          </cell>
          <cell r="I9">
            <v>0.91579907737736288</v>
          </cell>
        </row>
        <row r="10">
          <cell r="A10" t="str">
            <v>01</v>
          </cell>
          <cell r="B10" t="str">
            <v>ANANAS</v>
          </cell>
          <cell r="C10" t="str">
            <v>DETERSIF</v>
          </cell>
          <cell r="D10" t="str">
            <v/>
          </cell>
          <cell r="E10">
            <v>750.75</v>
          </cell>
          <cell r="F10">
            <v>0.5</v>
          </cell>
          <cell r="G10">
            <v>0</v>
          </cell>
          <cell r="H10">
            <v>306.25667797856221</v>
          </cell>
          <cell r="I10">
            <v>1.3770124941472073</v>
          </cell>
        </row>
        <row r="11">
          <cell r="A11" t="str">
            <v>01</v>
          </cell>
          <cell r="B11" t="str">
            <v>ANANAS</v>
          </cell>
          <cell r="C11" t="str">
            <v>ETIQUETTEGM</v>
          </cell>
          <cell r="D11" t="str">
            <v/>
          </cell>
          <cell r="E11">
            <v>4.1100000000000003</v>
          </cell>
          <cell r="F11">
            <v>1</v>
          </cell>
          <cell r="G11">
            <v>0.02</v>
          </cell>
          <cell r="H11">
            <v>288.65074200890058</v>
          </cell>
          <cell r="I11">
            <v>1.2978514650346376</v>
          </cell>
        </row>
        <row r="12">
          <cell r="A12" t="str">
            <v>01</v>
          </cell>
          <cell r="B12" t="str">
            <v>ANANAS</v>
          </cell>
          <cell r="C12" t="str">
            <v>ETIQUETTEPM</v>
          </cell>
          <cell r="D12" t="str">
            <v/>
          </cell>
          <cell r="E12">
            <v>2.7</v>
          </cell>
          <cell r="F12">
            <v>1</v>
          </cell>
          <cell r="G12">
            <v>0.02</v>
          </cell>
          <cell r="H12">
            <v>260.22030779728755</v>
          </cell>
          <cell r="I12">
            <v>1.1700205769644623</v>
          </cell>
        </row>
        <row r="13">
          <cell r="A13" t="str">
            <v>01</v>
          </cell>
          <cell r="B13" t="str">
            <v>ANANAS</v>
          </cell>
          <cell r="C13" t="str">
            <v>EXTRAIT</v>
          </cell>
          <cell r="D13" t="str">
            <v/>
          </cell>
          <cell r="E13">
            <v>9653.35</v>
          </cell>
          <cell r="F13">
            <v>0.15</v>
          </cell>
          <cell r="G13">
            <v>0</v>
          </cell>
          <cell r="H13">
            <v>1448.0025000000001</v>
          </cell>
          <cell r="I13">
            <v>6.5106091635852072</v>
          </cell>
        </row>
        <row r="14">
          <cell r="A14" t="str">
            <v>01</v>
          </cell>
          <cell r="B14" t="str">
            <v>ANANAS</v>
          </cell>
          <cell r="C14" t="str">
            <v>KIESELGHUR</v>
          </cell>
          <cell r="D14" t="str">
            <v/>
          </cell>
          <cell r="E14">
            <v>883.2</v>
          </cell>
          <cell r="F14">
            <v>0.03</v>
          </cell>
          <cell r="G14">
            <v>0</v>
          </cell>
          <cell r="H14">
            <v>26.495999999999999</v>
          </cell>
          <cell r="I14">
            <v>0.1191331509430085</v>
          </cell>
        </row>
        <row r="15">
          <cell r="A15" t="str">
            <v>01</v>
          </cell>
          <cell r="B15" t="str">
            <v>ANANAS</v>
          </cell>
          <cell r="C15" t="str">
            <v>LU</v>
          </cell>
          <cell r="D15" t="str">
            <v/>
          </cell>
          <cell r="E15">
            <v>1252.327512650173</v>
          </cell>
          <cell r="F15">
            <v>1.9199452391448067E-2</v>
          </cell>
          <cell r="G15">
            <v>0</v>
          </cell>
          <cell r="H15">
            <v>120.79869014780795</v>
          </cell>
          <cell r="I15">
            <v>0.54314344003232629</v>
          </cell>
        </row>
        <row r="16">
          <cell r="A16" t="str">
            <v>01</v>
          </cell>
          <cell r="B16" t="str">
            <v>ANANAS</v>
          </cell>
          <cell r="C16" t="str">
            <v>PLAQUES</v>
          </cell>
          <cell r="D16" t="str">
            <v/>
          </cell>
          <cell r="E16">
            <v>14000</v>
          </cell>
          <cell r="F16">
            <v>2.0421659273090025E-3</v>
          </cell>
          <cell r="G16">
            <v>0</v>
          </cell>
          <cell r="H16">
            <v>28.029728414045131</v>
          </cell>
          <cell r="I16">
            <v>0.12602920690073871</v>
          </cell>
        </row>
        <row r="17">
          <cell r="A17" t="str">
            <v>01</v>
          </cell>
          <cell r="B17" t="str">
            <v>ANANAS</v>
          </cell>
          <cell r="C17" t="str">
            <v>SUCRE</v>
          </cell>
          <cell r="D17" t="str">
            <v/>
          </cell>
          <cell r="E17">
            <v>580</v>
          </cell>
          <cell r="F17">
            <v>10.33</v>
          </cell>
          <cell r="G17">
            <v>0.01</v>
          </cell>
          <cell r="H17">
            <v>6051.3139999999985</v>
          </cell>
          <cell r="I17">
            <v>27.208337264701857</v>
          </cell>
        </row>
        <row r="18">
          <cell r="A18" t="str">
            <v>01</v>
          </cell>
          <cell r="B18" t="str">
            <v>BFORT</v>
          </cell>
          <cell r="C18" t="str">
            <v>10113002</v>
          </cell>
          <cell r="D18" t="str">
            <v xml:space="preserve">HOUBLON EXTRAITS 40 % CO2               </v>
          </cell>
          <cell r="E18">
            <v>45000</v>
          </cell>
          <cell r="F18">
            <v>6.1999999999999998E-3</v>
          </cell>
          <cell r="G18">
            <v>0.04</v>
          </cell>
          <cell r="H18">
            <v>290.16000000000003</v>
          </cell>
          <cell r="I18">
            <v>1.3802809432896039</v>
          </cell>
        </row>
        <row r="19">
          <cell r="A19" t="str">
            <v>01</v>
          </cell>
          <cell r="B19" t="str">
            <v>BFORT</v>
          </cell>
          <cell r="C19" t="str">
            <v>10113005</v>
          </cell>
          <cell r="D19" t="str">
            <v xml:space="preserve">HOUBLON ISOMERISE IKE (Kilo Iso Alpha)  </v>
          </cell>
          <cell r="E19">
            <v>142225</v>
          </cell>
          <cell r="F19">
            <v>1.6999999999999999E-3</v>
          </cell>
          <cell r="G19">
            <v>0.04</v>
          </cell>
          <cell r="H19">
            <v>251.45380000000003</v>
          </cell>
          <cell r="I19">
            <v>1.1961569074226477</v>
          </cell>
        </row>
        <row r="20">
          <cell r="A20" t="str">
            <v>01</v>
          </cell>
          <cell r="B20" t="str">
            <v>BFORT</v>
          </cell>
          <cell r="C20" t="str">
            <v>10113009</v>
          </cell>
          <cell r="D20" t="str">
            <v xml:space="preserve">MAIS GRITS                              </v>
          </cell>
          <cell r="E20">
            <v>400</v>
          </cell>
          <cell r="F20">
            <v>5.31</v>
          </cell>
          <cell r="G20">
            <v>0.04</v>
          </cell>
          <cell r="H20">
            <v>2208.96</v>
          </cell>
          <cell r="I20">
            <v>10.5079452456886</v>
          </cell>
        </row>
        <row r="21">
          <cell r="A21" t="str">
            <v>01</v>
          </cell>
          <cell r="B21" t="str">
            <v>BFORT</v>
          </cell>
          <cell r="C21" t="str">
            <v>10113015</v>
          </cell>
          <cell r="D21" t="str">
            <v xml:space="preserve">MALT                                    </v>
          </cell>
          <cell r="E21">
            <v>489</v>
          </cell>
          <cell r="F21">
            <v>9.89</v>
          </cell>
          <cell r="G21">
            <v>0.04</v>
          </cell>
          <cell r="H21">
            <v>5029.6583999999984</v>
          </cell>
          <cell r="I21">
            <v>23.925908604826574</v>
          </cell>
        </row>
        <row r="22">
          <cell r="A22" t="str">
            <v>01</v>
          </cell>
          <cell r="B22" t="str">
            <v>BFORT</v>
          </cell>
          <cell r="C22" t="str">
            <v>AUTREMC</v>
          </cell>
          <cell r="D22" t="str">
            <v/>
          </cell>
          <cell r="E22">
            <v>2364.0681059167568</v>
          </cell>
          <cell r="F22">
            <v>0.16308918510732576</v>
          </cell>
          <cell r="G22">
            <v>0</v>
          </cell>
          <cell r="H22">
            <v>366.97239997085609</v>
          </cell>
          <cell r="I22">
            <v>1.745674835928533</v>
          </cell>
        </row>
        <row r="23">
          <cell r="A23" t="str">
            <v>01</v>
          </cell>
          <cell r="B23" t="str">
            <v>BFORT</v>
          </cell>
          <cell r="C23" t="str">
            <v>AUTREMP</v>
          </cell>
          <cell r="D23" t="str">
            <v/>
          </cell>
          <cell r="E23">
            <v>2054.805797404772</v>
          </cell>
          <cell r="F23">
            <v>5.9725E-2</v>
          </cell>
          <cell r="G23">
            <v>0</v>
          </cell>
          <cell r="H23">
            <v>112.83588984850424</v>
          </cell>
          <cell r="I23">
            <v>0.53675637054389058</v>
          </cell>
        </row>
        <row r="24">
          <cell r="A24" t="str">
            <v>01</v>
          </cell>
          <cell r="B24" t="str">
            <v>BFORT</v>
          </cell>
          <cell r="C24" t="str">
            <v>BOITESGM</v>
          </cell>
          <cell r="D24" t="str">
            <v/>
          </cell>
          <cell r="E24">
            <v>105.9847186168389</v>
          </cell>
          <cell r="F24">
            <v>2.0417000000000001</v>
          </cell>
          <cell r="G24">
            <v>0.02</v>
          </cell>
          <cell r="H24">
            <v>321.02132845193995</v>
          </cell>
          <cell r="I24">
            <v>1.5270872003436913</v>
          </cell>
        </row>
        <row r="25">
          <cell r="A25" t="str">
            <v>01</v>
          </cell>
          <cell r="B25" t="str">
            <v>BFORT</v>
          </cell>
          <cell r="C25" t="str">
            <v>BOITESPM</v>
          </cell>
          <cell r="D25" t="str">
            <v/>
          </cell>
          <cell r="E25">
            <v>51.45</v>
          </cell>
          <cell r="F25">
            <v>2</v>
          </cell>
          <cell r="G25">
            <v>0.02</v>
          </cell>
          <cell r="H25">
            <v>3249.248067482974</v>
          </cell>
          <cell r="I25">
            <v>15.456559096937283</v>
          </cell>
        </row>
        <row r="26">
          <cell r="A26" t="str">
            <v>01</v>
          </cell>
          <cell r="B26" t="str">
            <v>BFORT</v>
          </cell>
          <cell r="C26" t="str">
            <v>CAPSULE</v>
          </cell>
          <cell r="D26" t="str">
            <v/>
          </cell>
          <cell r="E26">
            <v>5.94</v>
          </cell>
          <cell r="F26">
            <v>1</v>
          </cell>
          <cell r="G26">
            <v>0.02</v>
          </cell>
          <cell r="H26">
            <v>1051.975124244877</v>
          </cell>
          <cell r="I26">
            <v>5.0042087703677876</v>
          </cell>
        </row>
        <row r="27">
          <cell r="A27" t="str">
            <v>01</v>
          </cell>
          <cell r="B27" t="str">
            <v>BFORT</v>
          </cell>
          <cell r="C27" t="str">
            <v>CARBURANT</v>
          </cell>
          <cell r="D27" t="str">
            <v/>
          </cell>
          <cell r="E27">
            <v>337.43078666328859</v>
          </cell>
          <cell r="F27">
            <v>3.6182848468968065</v>
          </cell>
          <cell r="G27">
            <v>0</v>
          </cell>
          <cell r="H27">
            <v>1220.9207022602461</v>
          </cell>
          <cell r="I27">
            <v>5.8078769596001454</v>
          </cell>
        </row>
        <row r="28">
          <cell r="A28" t="str">
            <v>01</v>
          </cell>
          <cell r="B28" t="str">
            <v>BFORT</v>
          </cell>
          <cell r="C28" t="str">
            <v>CARTONSPM</v>
          </cell>
          <cell r="D28" t="str">
            <v/>
          </cell>
          <cell r="E28">
            <v>231.84490740740742</v>
          </cell>
          <cell r="F28">
            <v>4.3200000000000002E-2</v>
          </cell>
          <cell r="G28">
            <v>0.02</v>
          </cell>
          <cell r="H28">
            <v>319.98653850941326</v>
          </cell>
          <cell r="I28">
            <v>1.5221647408800254</v>
          </cell>
        </row>
        <row r="29">
          <cell r="A29" t="str">
            <v>01</v>
          </cell>
          <cell r="B29" t="str">
            <v>BFORT</v>
          </cell>
          <cell r="C29" t="str">
            <v>COLLERETTEGM</v>
          </cell>
          <cell r="D29" t="str">
            <v/>
          </cell>
          <cell r="E29">
            <v>2</v>
          </cell>
          <cell r="F29">
            <v>1</v>
          </cell>
          <cell r="G29">
            <v>0.02</v>
          </cell>
          <cell r="H29">
            <v>186.36832346659543</v>
          </cell>
          <cell r="I29">
            <v>0.88654757828017094</v>
          </cell>
        </row>
        <row r="30">
          <cell r="A30" t="str">
            <v>01</v>
          </cell>
          <cell r="B30" t="str">
            <v>BFORT</v>
          </cell>
          <cell r="C30" t="str">
            <v>COLLERETTEPM</v>
          </cell>
          <cell r="D30" t="str">
            <v/>
          </cell>
          <cell r="E30">
            <v>1.91</v>
          </cell>
          <cell r="F30">
            <v>1</v>
          </cell>
          <cell r="G30">
            <v>0.02</v>
          </cell>
          <cell r="H30">
            <v>160.27961258901666</v>
          </cell>
          <cell r="I30">
            <v>0.76244449563847605</v>
          </cell>
        </row>
        <row r="31">
          <cell r="A31" t="str">
            <v>01</v>
          </cell>
          <cell r="B31" t="str">
            <v>BFORT</v>
          </cell>
          <cell r="C31" t="str">
            <v>COLLES</v>
          </cell>
          <cell r="D31" t="str">
            <v/>
          </cell>
          <cell r="E31">
            <v>2445</v>
          </cell>
          <cell r="F31">
            <v>1E-3</v>
          </cell>
          <cell r="G31">
            <v>0.02</v>
          </cell>
          <cell r="H31">
            <v>433.009962757361</v>
          </cell>
          <cell r="I31">
            <v>2.0598132059847205</v>
          </cell>
        </row>
        <row r="32">
          <cell r="A32" t="str">
            <v>01</v>
          </cell>
          <cell r="B32" t="str">
            <v>BFORT</v>
          </cell>
          <cell r="C32" t="str">
            <v>DETERSIF</v>
          </cell>
          <cell r="D32" t="str">
            <v/>
          </cell>
          <cell r="E32">
            <v>750.75</v>
          </cell>
          <cell r="F32">
            <v>0.5</v>
          </cell>
          <cell r="G32">
            <v>0</v>
          </cell>
          <cell r="H32">
            <v>331.31346077593764</v>
          </cell>
          <cell r="I32">
            <v>1.5760465128355199</v>
          </cell>
        </row>
        <row r="33">
          <cell r="A33" t="str">
            <v>01</v>
          </cell>
          <cell r="B33" t="str">
            <v>BFORT</v>
          </cell>
          <cell r="C33" t="str">
            <v>ETIQUETTEGM</v>
          </cell>
          <cell r="D33" t="str">
            <v/>
          </cell>
          <cell r="E33">
            <v>4.24</v>
          </cell>
          <cell r="F33">
            <v>2</v>
          </cell>
          <cell r="G33">
            <v>0.02</v>
          </cell>
          <cell r="H33">
            <v>790.20169149836465</v>
          </cell>
          <cell r="I33">
            <v>3.7589617319079247</v>
          </cell>
        </row>
        <row r="34">
          <cell r="A34" t="str">
            <v>01</v>
          </cell>
          <cell r="B34" t="str">
            <v>BFORT</v>
          </cell>
          <cell r="C34" t="str">
            <v>ETIQUETTEPM</v>
          </cell>
          <cell r="D34" t="str">
            <v/>
          </cell>
          <cell r="E34">
            <v>3.13</v>
          </cell>
          <cell r="F34">
            <v>2</v>
          </cell>
          <cell r="G34">
            <v>0.02</v>
          </cell>
          <cell r="H34">
            <v>525.31433235981376</v>
          </cell>
          <cell r="I34">
            <v>2.4989018548151098</v>
          </cell>
        </row>
        <row r="35">
          <cell r="A35" t="str">
            <v>01</v>
          </cell>
          <cell r="B35" t="str">
            <v>BFORT</v>
          </cell>
          <cell r="C35" t="str">
            <v>KIESELGHUR</v>
          </cell>
          <cell r="D35" t="str">
            <v/>
          </cell>
          <cell r="E35">
            <v>887.05675675675684</v>
          </cell>
          <cell r="F35">
            <v>0.29599999999999999</v>
          </cell>
          <cell r="G35">
            <v>0</v>
          </cell>
          <cell r="H35">
            <v>262.56880000000001</v>
          </cell>
          <cell r="I35">
            <v>1.2490305725889832</v>
          </cell>
        </row>
        <row r="36">
          <cell r="A36" t="str">
            <v>01</v>
          </cell>
          <cell r="B36" t="str">
            <v>BFORT</v>
          </cell>
          <cell r="C36" t="str">
            <v>LU</v>
          </cell>
          <cell r="D36" t="str">
            <v/>
          </cell>
          <cell r="E36">
            <v>1252.327512650173</v>
          </cell>
          <cell r="F36">
            <v>1.9199452391448067E-2</v>
          </cell>
          <cell r="G36">
            <v>0</v>
          </cell>
          <cell r="H36">
            <v>115.47230032792893</v>
          </cell>
          <cell r="I36">
            <v>0.54929768272833679</v>
          </cell>
        </row>
        <row r="37">
          <cell r="A37" t="str">
            <v>01</v>
          </cell>
          <cell r="B37" t="str">
            <v>BFORT</v>
          </cell>
          <cell r="C37" t="str">
            <v>PLAQUES</v>
          </cell>
          <cell r="D37" t="str">
            <v/>
          </cell>
          <cell r="E37">
            <v>14000</v>
          </cell>
          <cell r="F37">
            <v>2.0421659273090025E-3</v>
          </cell>
          <cell r="G37">
            <v>0</v>
          </cell>
          <cell r="H37">
            <v>27.490695175313498</v>
          </cell>
          <cell r="I37">
            <v>0.1307722727745681</v>
          </cell>
        </row>
        <row r="38">
          <cell r="A38" t="str">
            <v>01</v>
          </cell>
          <cell r="B38" t="str">
            <v>BOOST</v>
          </cell>
          <cell r="C38" t="str">
            <v>AUTREMC</v>
          </cell>
          <cell r="D38" t="str">
            <v/>
          </cell>
          <cell r="E38">
            <v>2252.5543691149755</v>
          </cell>
          <cell r="F38">
            <v>0.14808918510732574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01</v>
          </cell>
          <cell r="B39" t="str">
            <v>BOOST</v>
          </cell>
          <cell r="C39" t="str">
            <v>AUTREMP</v>
          </cell>
          <cell r="D39" t="str">
            <v/>
          </cell>
          <cell r="E39">
            <v>1187.8531812799899</v>
          </cell>
          <cell r="F39">
            <v>7.54209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01</v>
          </cell>
          <cell r="B40" t="str">
            <v>BOOST</v>
          </cell>
          <cell r="C40" t="str">
            <v>CAPSULE</v>
          </cell>
          <cell r="D40" t="str">
            <v/>
          </cell>
          <cell r="E40">
            <v>6.28</v>
          </cell>
          <cell r="F40">
            <v>1</v>
          </cell>
          <cell r="G40">
            <v>0.02</v>
          </cell>
          <cell r="H40">
            <v>0</v>
          </cell>
          <cell r="I40">
            <v>0</v>
          </cell>
        </row>
        <row r="41">
          <cell r="A41" t="str">
            <v>01</v>
          </cell>
          <cell r="B41" t="str">
            <v>BOOST</v>
          </cell>
          <cell r="C41" t="str">
            <v>CARBURANT</v>
          </cell>
          <cell r="D41" t="str">
            <v/>
          </cell>
          <cell r="E41">
            <v>337.43078666328859</v>
          </cell>
          <cell r="F41">
            <v>3.6182848468968065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01</v>
          </cell>
          <cell r="B42" t="str">
            <v>BOOST</v>
          </cell>
          <cell r="C42" t="str">
            <v>COLLERETTEPM</v>
          </cell>
          <cell r="D42" t="str">
            <v/>
          </cell>
          <cell r="E42">
            <v>2.2000000000000002</v>
          </cell>
          <cell r="F42">
            <v>1</v>
          </cell>
          <cell r="G42">
            <v>0.02</v>
          </cell>
          <cell r="H42">
            <v>0</v>
          </cell>
          <cell r="I42">
            <v>0</v>
          </cell>
        </row>
        <row r="43">
          <cell r="A43" t="str">
            <v>01</v>
          </cell>
          <cell r="B43" t="str">
            <v>BOOST</v>
          </cell>
          <cell r="C43" t="str">
            <v>COLLES</v>
          </cell>
          <cell r="D43" t="str">
            <v/>
          </cell>
          <cell r="E43">
            <v>2445</v>
          </cell>
          <cell r="F43">
            <v>5.0000000000000001E-4</v>
          </cell>
          <cell r="G43">
            <v>0.02</v>
          </cell>
          <cell r="H43">
            <v>0</v>
          </cell>
          <cell r="I43">
            <v>0</v>
          </cell>
        </row>
        <row r="44">
          <cell r="A44" t="str">
            <v>01</v>
          </cell>
          <cell r="B44" t="str">
            <v>BOOST</v>
          </cell>
          <cell r="C44" t="str">
            <v>DETERSIF</v>
          </cell>
          <cell r="D44" t="str">
            <v/>
          </cell>
          <cell r="E44">
            <v>750.75</v>
          </cell>
          <cell r="F44">
            <v>0.5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01</v>
          </cell>
          <cell r="B45" t="str">
            <v>BOOST</v>
          </cell>
          <cell r="C45" t="str">
            <v>EXTRAIT</v>
          </cell>
          <cell r="D45" t="str">
            <v/>
          </cell>
          <cell r="E45">
            <v>13000</v>
          </cell>
          <cell r="F45">
            <v>0.08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01</v>
          </cell>
          <cell r="B46" t="str">
            <v>BOOST</v>
          </cell>
          <cell r="C46" t="str">
            <v>KIESELGHUR</v>
          </cell>
          <cell r="D46" t="str">
            <v/>
          </cell>
          <cell r="E46">
            <v>883.2</v>
          </cell>
          <cell r="F46">
            <v>2.1270000000000001E-2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01</v>
          </cell>
          <cell r="B47" t="str">
            <v>BOOST</v>
          </cell>
          <cell r="C47" t="str">
            <v>LU</v>
          </cell>
          <cell r="D47" t="str">
            <v/>
          </cell>
          <cell r="E47">
            <v>1252.327512650173</v>
          </cell>
          <cell r="F47">
            <v>1.9199452391448067E-2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01</v>
          </cell>
          <cell r="B48" t="str">
            <v>BOOST</v>
          </cell>
          <cell r="C48" t="str">
            <v>PLAQUES</v>
          </cell>
          <cell r="D48" t="str">
            <v/>
          </cell>
          <cell r="E48">
            <v>14000</v>
          </cell>
          <cell r="F48">
            <v>2.0421659273090025E-3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01</v>
          </cell>
          <cell r="B49" t="str">
            <v>BOOST</v>
          </cell>
          <cell r="C49" t="str">
            <v>SUCRE</v>
          </cell>
          <cell r="D49" t="str">
            <v/>
          </cell>
          <cell r="E49">
            <v>580</v>
          </cell>
          <cell r="F49">
            <v>7.0885999999999996</v>
          </cell>
          <cell r="G49">
            <v>0.01</v>
          </cell>
          <cell r="H49">
            <v>0</v>
          </cell>
          <cell r="I49">
            <v>0</v>
          </cell>
        </row>
        <row r="50">
          <cell r="A50" t="str">
            <v>01</v>
          </cell>
          <cell r="B50" t="str">
            <v>CASTEL</v>
          </cell>
          <cell r="C50" t="str">
            <v>10113002</v>
          </cell>
          <cell r="D50" t="str">
            <v xml:space="preserve">HOUBLON EXTRAITS 40 % CO2               </v>
          </cell>
          <cell r="E50">
            <v>45000</v>
          </cell>
          <cell r="F50">
            <v>8.3000000000000001E-3</v>
          </cell>
          <cell r="G50">
            <v>0.04</v>
          </cell>
          <cell r="H50">
            <v>388.44</v>
          </cell>
          <cell r="I50">
            <v>1.7080878943082418</v>
          </cell>
        </row>
        <row r="51">
          <cell r="A51" t="str">
            <v>01</v>
          </cell>
          <cell r="B51" t="str">
            <v>CASTEL</v>
          </cell>
          <cell r="C51" t="str">
            <v>10113005</v>
          </cell>
          <cell r="D51" t="str">
            <v xml:space="preserve">HOUBLON ISOMERISE IKE (Kilo Iso Alpha)  </v>
          </cell>
          <cell r="E51">
            <v>142225</v>
          </cell>
          <cell r="F51">
            <v>1.6999999999999999E-3</v>
          </cell>
          <cell r="G51">
            <v>0.04</v>
          </cell>
          <cell r="H51">
            <v>251.45380000000006</v>
          </cell>
          <cell r="I51">
            <v>1.1057182364272624</v>
          </cell>
        </row>
        <row r="52">
          <cell r="A52" t="str">
            <v>01</v>
          </cell>
          <cell r="B52" t="str">
            <v>CASTEL</v>
          </cell>
          <cell r="C52" t="str">
            <v>10113009</v>
          </cell>
          <cell r="D52" t="str">
            <v xml:space="preserve">MAIS GRITS                              </v>
          </cell>
          <cell r="E52">
            <v>400</v>
          </cell>
          <cell r="F52">
            <v>4.37</v>
          </cell>
          <cell r="G52">
            <v>0.04</v>
          </cell>
          <cell r="H52">
            <v>1817.92</v>
          </cell>
          <cell r="I52">
            <v>7.9939428092391083</v>
          </cell>
        </row>
        <row r="53">
          <cell r="A53" t="str">
            <v>01</v>
          </cell>
          <cell r="B53" t="str">
            <v>CASTEL</v>
          </cell>
          <cell r="C53" t="str">
            <v>10113015</v>
          </cell>
          <cell r="D53" t="str">
            <v xml:space="preserve">MALT                                    </v>
          </cell>
          <cell r="E53">
            <v>489</v>
          </cell>
          <cell r="F53">
            <v>12.29</v>
          </cell>
          <cell r="G53">
            <v>0.04</v>
          </cell>
          <cell r="H53">
            <v>6250.202400000001</v>
          </cell>
          <cell r="I53">
            <v>27.484025992215834</v>
          </cell>
        </row>
        <row r="54">
          <cell r="A54" t="str">
            <v>01</v>
          </cell>
          <cell r="B54" t="str">
            <v>CASTEL</v>
          </cell>
          <cell r="C54" t="str">
            <v>AUTREMC</v>
          </cell>
          <cell r="D54" t="str">
            <v/>
          </cell>
          <cell r="E54">
            <v>2364.0681059167568</v>
          </cell>
          <cell r="F54">
            <v>0.16308918510732576</v>
          </cell>
          <cell r="G54">
            <v>0</v>
          </cell>
          <cell r="H54">
            <v>372.76207853903406</v>
          </cell>
          <cell r="I54">
            <v>1.6391473427291268</v>
          </cell>
        </row>
        <row r="55">
          <cell r="A55" t="str">
            <v>01</v>
          </cell>
          <cell r="B55" t="str">
            <v>CASTEL</v>
          </cell>
          <cell r="C55" t="str">
            <v>AUTREMP</v>
          </cell>
          <cell r="D55" t="str">
            <v/>
          </cell>
          <cell r="E55">
            <v>2054.805797404772</v>
          </cell>
          <cell r="F55">
            <v>5.9725E-2</v>
          </cell>
          <cell r="G55">
            <v>0</v>
          </cell>
          <cell r="H55">
            <v>112.56340634838284</v>
          </cell>
          <cell r="I55">
            <v>0.49497526445724482</v>
          </cell>
        </row>
        <row r="56">
          <cell r="A56" t="str">
            <v>01</v>
          </cell>
          <cell r="B56" t="str">
            <v>CASTEL</v>
          </cell>
          <cell r="C56" t="str">
            <v>BOITESPM</v>
          </cell>
          <cell r="D56" t="str">
            <v/>
          </cell>
          <cell r="E56">
            <v>51.45</v>
          </cell>
          <cell r="F56">
            <v>2</v>
          </cell>
          <cell r="G56">
            <v>0.02</v>
          </cell>
          <cell r="H56">
            <v>1176.6891683495303</v>
          </cell>
          <cell r="I56">
            <v>5.1742573468784503</v>
          </cell>
        </row>
        <row r="57">
          <cell r="A57" t="str">
            <v>01</v>
          </cell>
          <cell r="B57" t="str">
            <v>CASTEL</v>
          </cell>
          <cell r="C57" t="str">
            <v>CAPSULE</v>
          </cell>
          <cell r="D57" t="str">
            <v/>
          </cell>
          <cell r="E57">
            <v>5.81</v>
          </cell>
          <cell r="F57">
            <v>1</v>
          </cell>
          <cell r="G57">
            <v>0.02</v>
          </cell>
          <cell r="H57">
            <v>1254.8200016763358</v>
          </cell>
          <cell r="I57">
            <v>5.517822197505911</v>
          </cell>
        </row>
        <row r="58">
          <cell r="A58" t="str">
            <v>01</v>
          </cell>
          <cell r="B58" t="str">
            <v>CASTEL</v>
          </cell>
          <cell r="C58" t="str">
            <v>CARBURANT</v>
          </cell>
          <cell r="D58" t="str">
            <v/>
          </cell>
          <cell r="E58">
            <v>337.43078666328859</v>
          </cell>
          <cell r="F58">
            <v>3.6182848468968065</v>
          </cell>
          <cell r="G58">
            <v>0</v>
          </cell>
          <cell r="H58">
            <v>1220.9207022602461</v>
          </cell>
          <cell r="I58">
            <v>5.3687567486382539</v>
          </cell>
        </row>
        <row r="59">
          <cell r="A59" t="str">
            <v>01</v>
          </cell>
          <cell r="B59" t="str">
            <v>CASTEL</v>
          </cell>
          <cell r="C59" t="str">
            <v>CARTONSPM</v>
          </cell>
          <cell r="D59" t="str">
            <v/>
          </cell>
          <cell r="E59">
            <v>233.77546296296296</v>
          </cell>
          <cell r="F59">
            <v>4.3200000000000002E-2</v>
          </cell>
          <cell r="G59">
            <v>0.02</v>
          </cell>
          <cell r="H59">
            <v>115.48592400465252</v>
          </cell>
          <cell r="I59">
            <v>0.50782645648066238</v>
          </cell>
        </row>
        <row r="60">
          <cell r="A60" t="str">
            <v>01</v>
          </cell>
          <cell r="B60" t="str">
            <v>CASTEL</v>
          </cell>
          <cell r="C60" t="str">
            <v>COLLES</v>
          </cell>
          <cell r="D60" t="str">
            <v/>
          </cell>
          <cell r="E60">
            <v>2445</v>
          </cell>
          <cell r="F60">
            <v>5.0000000000000001E-4</v>
          </cell>
          <cell r="G60">
            <v>0.02</v>
          </cell>
          <cell r="H60">
            <v>264.03054252139765</v>
          </cell>
          <cell r="I60">
            <v>1.1610219684080854</v>
          </cell>
        </row>
        <row r="61">
          <cell r="A61" t="str">
            <v>01</v>
          </cell>
          <cell r="B61" t="str">
            <v>CASTEL</v>
          </cell>
          <cell r="C61" t="str">
            <v>DETERSIF</v>
          </cell>
          <cell r="D61" t="str">
            <v/>
          </cell>
          <cell r="E61">
            <v>750.75</v>
          </cell>
          <cell r="F61">
            <v>0.5</v>
          </cell>
          <cell r="G61">
            <v>0</v>
          </cell>
          <cell r="H61">
            <v>361.13372137596167</v>
          </cell>
          <cell r="I61">
            <v>1.5880139473503385</v>
          </cell>
        </row>
        <row r="62">
          <cell r="A62" t="str">
            <v>01</v>
          </cell>
          <cell r="B62" t="str">
            <v>CASTEL</v>
          </cell>
          <cell r="C62" t="str">
            <v>ETIQUETTEGM</v>
          </cell>
          <cell r="D62" t="str">
            <v/>
          </cell>
          <cell r="E62">
            <v>5.87</v>
          </cell>
          <cell r="F62">
            <v>1</v>
          </cell>
          <cell r="G62">
            <v>0.02</v>
          </cell>
          <cell r="H62">
            <v>457.38437027530267</v>
          </cell>
          <cell r="I62">
            <v>2.0112570948229913</v>
          </cell>
        </row>
        <row r="63">
          <cell r="A63" t="str">
            <v>01</v>
          </cell>
          <cell r="B63" t="str">
            <v>CASTEL</v>
          </cell>
          <cell r="C63" t="str">
            <v>ETIQUETTEPM</v>
          </cell>
          <cell r="D63" t="str">
            <v/>
          </cell>
          <cell r="E63">
            <v>4.0199999999999996</v>
          </cell>
          <cell r="F63">
            <v>1</v>
          </cell>
          <cell r="G63">
            <v>0.02</v>
          </cell>
          <cell r="H63">
            <v>554.98886307556256</v>
          </cell>
          <cell r="I63">
            <v>2.4404535024592282</v>
          </cell>
        </row>
        <row r="64">
          <cell r="A64" t="str">
            <v>01</v>
          </cell>
          <cell r="B64" t="str">
            <v>CASTEL</v>
          </cell>
          <cell r="C64" t="str">
            <v>KIESELGHUR</v>
          </cell>
          <cell r="D64" t="str">
            <v/>
          </cell>
          <cell r="E64">
            <v>887.05675675675684</v>
          </cell>
          <cell r="F64">
            <v>0.29599999999999999</v>
          </cell>
          <cell r="G64">
            <v>0</v>
          </cell>
          <cell r="H64">
            <v>262.56880000000007</v>
          </cell>
          <cell r="I64">
            <v>1.1545942454511426</v>
          </cell>
        </row>
        <row r="65">
          <cell r="A65" t="str">
            <v>01</v>
          </cell>
          <cell r="B65" t="str">
            <v>CASTEL</v>
          </cell>
          <cell r="C65" t="str">
            <v>LU</v>
          </cell>
          <cell r="D65" t="str">
            <v/>
          </cell>
          <cell r="E65">
            <v>1252.327512650173</v>
          </cell>
          <cell r="F65">
            <v>1.9199452391448067E-2</v>
          </cell>
          <cell r="G65">
            <v>0</v>
          </cell>
          <cell r="H65">
            <v>122.98612724719021</v>
          </cell>
          <cell r="I65">
            <v>0.54080711337343879</v>
          </cell>
        </row>
        <row r="66">
          <cell r="A66" t="str">
            <v>01</v>
          </cell>
          <cell r="B66" t="str">
            <v>CASTEL</v>
          </cell>
          <cell r="C66" t="str">
            <v>PLAQUES</v>
          </cell>
          <cell r="D66" t="str">
            <v/>
          </cell>
          <cell r="E66">
            <v>14000</v>
          </cell>
          <cell r="F66">
            <v>2.0421659273090025E-3</v>
          </cell>
          <cell r="G66">
            <v>0</v>
          </cell>
          <cell r="H66">
            <v>27.490695175313494</v>
          </cell>
          <cell r="I66">
            <v>0.12088488218275913</v>
          </cell>
        </row>
        <row r="67">
          <cell r="A67" t="str">
            <v>01</v>
          </cell>
          <cell r="B67" t="str">
            <v>CASTEL</v>
          </cell>
          <cell r="C67" t="str">
            <v>STANIOLE</v>
          </cell>
          <cell r="D67" t="str">
            <v/>
          </cell>
          <cell r="E67">
            <v>4.04</v>
          </cell>
          <cell r="F67">
            <v>1</v>
          </cell>
          <cell r="G67">
            <v>0.02</v>
          </cell>
          <cell r="H67">
            <v>872.54265176805438</v>
          </cell>
          <cell r="I67">
            <v>3.8368333352708919</v>
          </cell>
        </row>
        <row r="68">
          <cell r="A68" t="str">
            <v>01</v>
          </cell>
          <cell r="B68" t="str">
            <v>CLIGHT</v>
          </cell>
          <cell r="C68" t="str">
            <v>AUTREMC</v>
          </cell>
          <cell r="D68" t="str">
            <v/>
          </cell>
          <cell r="E68">
            <v>2035.2923684676705</v>
          </cell>
          <cell r="F68">
            <v>0.12808918510732575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01</v>
          </cell>
          <cell r="B69" t="str">
            <v>CLIGHT</v>
          </cell>
          <cell r="C69" t="str">
            <v>AUTREMP</v>
          </cell>
          <cell r="D69" t="str">
            <v/>
          </cell>
          <cell r="E69">
            <v>2133</v>
          </cell>
          <cell r="F69">
            <v>1.6000000000000001E-3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01</v>
          </cell>
          <cell r="B70" t="str">
            <v>CLIGHT</v>
          </cell>
          <cell r="C70" t="str">
            <v>BOITESPM</v>
          </cell>
          <cell r="D70" t="str">
            <v/>
          </cell>
          <cell r="E70">
            <v>51.45</v>
          </cell>
          <cell r="F70">
            <v>2</v>
          </cell>
          <cell r="G70">
            <v>0.02</v>
          </cell>
          <cell r="H70">
            <v>0</v>
          </cell>
          <cell r="I70">
            <v>0</v>
          </cell>
        </row>
        <row r="71">
          <cell r="A71" t="str">
            <v>01</v>
          </cell>
          <cell r="B71" t="str">
            <v>CLIGHT</v>
          </cell>
          <cell r="C71" t="str">
            <v>CARBURANT</v>
          </cell>
          <cell r="D71" t="str">
            <v/>
          </cell>
          <cell r="E71">
            <v>337.43078666328859</v>
          </cell>
          <cell r="F71">
            <v>3.6182848468968065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01</v>
          </cell>
          <cell r="B72" t="str">
            <v>CLIGHT</v>
          </cell>
          <cell r="C72" t="str">
            <v>CARTONSPM</v>
          </cell>
          <cell r="D72" t="str">
            <v/>
          </cell>
          <cell r="E72">
            <v>231.84490740740742</v>
          </cell>
          <cell r="F72">
            <v>4.3200000000000002E-2</v>
          </cell>
          <cell r="G72">
            <v>0.02</v>
          </cell>
          <cell r="H72">
            <v>0</v>
          </cell>
          <cell r="I72">
            <v>0</v>
          </cell>
        </row>
        <row r="73">
          <cell r="A73" t="str">
            <v>01</v>
          </cell>
          <cell r="B73" t="str">
            <v>CLIGHT</v>
          </cell>
          <cell r="C73" t="str">
            <v>EXTRAIT</v>
          </cell>
          <cell r="D73" t="str">
            <v/>
          </cell>
          <cell r="E73">
            <v>68000</v>
          </cell>
          <cell r="F73">
            <v>0.15389999999999998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01</v>
          </cell>
          <cell r="B74" t="str">
            <v>CLIGHT</v>
          </cell>
          <cell r="C74" t="str">
            <v>KIESELGHUR</v>
          </cell>
          <cell r="D74" t="str">
            <v/>
          </cell>
          <cell r="E74">
            <v>883.2</v>
          </cell>
          <cell r="F74">
            <v>0.03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01</v>
          </cell>
          <cell r="B75" t="str">
            <v>CLIGHT</v>
          </cell>
          <cell r="C75" t="str">
            <v>LU</v>
          </cell>
          <cell r="D75" t="str">
            <v/>
          </cell>
          <cell r="E75">
            <v>1252.327512650173</v>
          </cell>
          <cell r="F75">
            <v>1.9199452391448067E-2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01</v>
          </cell>
          <cell r="B76" t="str">
            <v>CLIGHT</v>
          </cell>
          <cell r="C76" t="str">
            <v>PLAQUES</v>
          </cell>
          <cell r="D76" t="str">
            <v/>
          </cell>
          <cell r="E76">
            <v>14000</v>
          </cell>
          <cell r="F76">
            <v>2.0421659273090025E-3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01</v>
          </cell>
          <cell r="B77" t="str">
            <v>COCA</v>
          </cell>
          <cell r="C77" t="str">
            <v>AUTREMC</v>
          </cell>
          <cell r="D77" t="str">
            <v/>
          </cell>
          <cell r="E77">
            <v>2252.5543691149755</v>
          </cell>
          <cell r="F77">
            <v>0.14808918510732574</v>
          </cell>
          <cell r="G77">
            <v>0</v>
          </cell>
          <cell r="H77">
            <v>321.83494817291415</v>
          </cell>
          <cell r="I77">
            <v>1.6911775721623052</v>
          </cell>
        </row>
        <row r="78">
          <cell r="A78" t="str">
            <v>01</v>
          </cell>
          <cell r="B78" t="str">
            <v>COCA</v>
          </cell>
          <cell r="C78" t="str">
            <v>AUTREMP</v>
          </cell>
          <cell r="D78" t="str">
            <v/>
          </cell>
          <cell r="E78">
            <v>2133</v>
          </cell>
          <cell r="F78">
            <v>1.6000000000000001E-3</v>
          </cell>
          <cell r="G78">
            <v>0</v>
          </cell>
          <cell r="H78">
            <v>3.4127999999999998</v>
          </cell>
          <cell r="I78">
            <v>1.7933573873942822E-2</v>
          </cell>
        </row>
        <row r="79">
          <cell r="A79" t="str">
            <v>01</v>
          </cell>
          <cell r="B79" t="str">
            <v>COCA</v>
          </cell>
          <cell r="C79" t="str">
            <v>BOITESPM</v>
          </cell>
          <cell r="D79" t="str">
            <v/>
          </cell>
          <cell r="E79">
            <v>51.45</v>
          </cell>
          <cell r="F79">
            <v>2</v>
          </cell>
          <cell r="G79">
            <v>0.02</v>
          </cell>
          <cell r="H79">
            <v>2837.6176841903748</v>
          </cell>
          <cell r="I79">
            <v>14.911107115985303</v>
          </cell>
        </row>
        <row r="80">
          <cell r="A80" t="str">
            <v>01</v>
          </cell>
          <cell r="B80" t="str">
            <v>COCA</v>
          </cell>
          <cell r="C80" t="str">
            <v>CAPSULE</v>
          </cell>
          <cell r="D80" t="str">
            <v/>
          </cell>
          <cell r="E80">
            <v>5.84</v>
          </cell>
          <cell r="F80">
            <v>1</v>
          </cell>
          <cell r="G80">
            <v>0.02</v>
          </cell>
          <cell r="H80">
            <v>950.31879268207649</v>
          </cell>
          <cell r="I80">
            <v>4.9937330849625452</v>
          </cell>
        </row>
        <row r="81">
          <cell r="A81" t="str">
            <v>01</v>
          </cell>
          <cell r="B81" t="str">
            <v>COCA</v>
          </cell>
          <cell r="C81" t="str">
            <v>CARBURANT</v>
          </cell>
          <cell r="D81" t="str">
            <v/>
          </cell>
          <cell r="E81">
            <v>337.43078666328859</v>
          </cell>
          <cell r="F81">
            <v>3.6182848468968065</v>
          </cell>
          <cell r="G81">
            <v>0</v>
          </cell>
          <cell r="H81">
            <v>1220.9207022602461</v>
          </cell>
          <cell r="I81">
            <v>6.4156913994990257</v>
          </cell>
        </row>
        <row r="82">
          <cell r="A82" t="str">
            <v>01</v>
          </cell>
          <cell r="B82" t="str">
            <v>COCA</v>
          </cell>
          <cell r="C82" t="str">
            <v>CARTONSPM</v>
          </cell>
          <cell r="D82" t="str">
            <v/>
          </cell>
          <cell r="E82">
            <v>231.84490740740742</v>
          </cell>
          <cell r="F82">
            <v>4.3200000000000002E-2</v>
          </cell>
          <cell r="G82">
            <v>0.02</v>
          </cell>
          <cell r="H82">
            <v>276.19754557381469</v>
          </cell>
          <cell r="I82">
            <v>1.4513622501610688</v>
          </cell>
        </row>
        <row r="83">
          <cell r="A83" t="str">
            <v>01</v>
          </cell>
          <cell r="B83" t="str">
            <v>COCA</v>
          </cell>
          <cell r="C83" t="str">
            <v>DETERSIF</v>
          </cell>
          <cell r="D83" t="str">
            <v/>
          </cell>
          <cell r="E83">
            <v>750.75</v>
          </cell>
          <cell r="F83">
            <v>0.5</v>
          </cell>
          <cell r="G83">
            <v>0</v>
          </cell>
          <cell r="H83">
            <v>341.21500548037147</v>
          </cell>
          <cell r="I83">
            <v>1.793015854336629</v>
          </cell>
        </row>
        <row r="84">
          <cell r="A84" t="str">
            <v>01</v>
          </cell>
          <cell r="B84" t="str">
            <v>COCA</v>
          </cell>
          <cell r="C84" t="str">
            <v>EXTRAIT</v>
          </cell>
          <cell r="D84" t="str">
            <v/>
          </cell>
          <cell r="E84">
            <v>75115.5</v>
          </cell>
          <cell r="F84">
            <v>0.1042</v>
          </cell>
          <cell r="G84">
            <v>0</v>
          </cell>
          <cell r="H84">
            <v>7827.0351000000001</v>
          </cell>
          <cell r="I84">
            <v>41.12948669121937</v>
          </cell>
        </row>
        <row r="85">
          <cell r="A85" t="str">
            <v>01</v>
          </cell>
          <cell r="B85" t="str">
            <v>COCA</v>
          </cell>
          <cell r="C85" t="str">
            <v>KIESELGHUR</v>
          </cell>
          <cell r="D85" t="str">
            <v/>
          </cell>
          <cell r="E85">
            <v>883.2</v>
          </cell>
          <cell r="F85">
            <v>0.03</v>
          </cell>
          <cell r="G85">
            <v>0</v>
          </cell>
          <cell r="H85">
            <v>26.495999999999995</v>
          </cell>
          <cell r="I85">
            <v>0.13923112205930291</v>
          </cell>
        </row>
        <row r="86">
          <cell r="A86" t="str">
            <v>01</v>
          </cell>
          <cell r="B86" t="str">
            <v>COCA</v>
          </cell>
          <cell r="C86" t="str">
            <v>LU</v>
          </cell>
          <cell r="D86" t="str">
            <v/>
          </cell>
          <cell r="E86">
            <v>1252.327512650173</v>
          </cell>
          <cell r="F86">
            <v>1.9199452391448067E-2</v>
          </cell>
          <cell r="G86">
            <v>0</v>
          </cell>
          <cell r="H86">
            <v>106.76909889658496</v>
          </cell>
          <cell r="I86">
            <v>0.56105002417844985</v>
          </cell>
        </row>
        <row r="87">
          <cell r="A87" t="str">
            <v>01</v>
          </cell>
          <cell r="B87" t="str">
            <v>COCA</v>
          </cell>
          <cell r="C87" t="str">
            <v>PLAQUES</v>
          </cell>
          <cell r="D87" t="str">
            <v/>
          </cell>
          <cell r="E87">
            <v>14000</v>
          </cell>
          <cell r="F87">
            <v>2.0421659273090025E-3</v>
          </cell>
          <cell r="G87">
            <v>0</v>
          </cell>
          <cell r="H87">
            <v>28.029728414045135</v>
          </cell>
          <cell r="I87">
            <v>0.14729055472920552</v>
          </cell>
        </row>
        <row r="88">
          <cell r="A88" t="str">
            <v>01</v>
          </cell>
          <cell r="B88" t="str">
            <v>COCA</v>
          </cell>
          <cell r="C88" t="str">
            <v>SUCRE</v>
          </cell>
          <cell r="D88" t="str">
            <v/>
          </cell>
          <cell r="E88">
            <v>580</v>
          </cell>
          <cell r="F88">
            <v>10.58</v>
          </cell>
          <cell r="G88">
            <v>0.01</v>
          </cell>
          <cell r="H88">
            <v>6197.7639999999992</v>
          </cell>
          <cell r="I88">
            <v>32.567996526975904</v>
          </cell>
        </row>
        <row r="89">
          <cell r="A89" t="str">
            <v>01</v>
          </cell>
          <cell r="B89" t="str">
            <v>COCLGM</v>
          </cell>
          <cell r="C89" t="str">
            <v>AUTREMC</v>
          </cell>
          <cell r="D89" t="str">
            <v/>
          </cell>
          <cell r="E89">
            <v>2035.2923684676705</v>
          </cell>
          <cell r="F89">
            <v>0.12808918510732575</v>
          </cell>
          <cell r="G89">
            <v>0</v>
          </cell>
          <cell r="H89">
            <v>258.11776329919104</v>
          </cell>
          <cell r="I89">
            <v>3.8717664494878652</v>
          </cell>
        </row>
        <row r="90">
          <cell r="A90" t="str">
            <v>01</v>
          </cell>
          <cell r="B90" t="str">
            <v>COCLGM</v>
          </cell>
          <cell r="C90" t="str">
            <v>AUTREMP</v>
          </cell>
          <cell r="D90" t="str">
            <v/>
          </cell>
          <cell r="E90">
            <v>2133</v>
          </cell>
          <cell r="F90">
            <v>1.6000000000000001E-3</v>
          </cell>
          <cell r="G90">
            <v>0</v>
          </cell>
          <cell r="H90">
            <v>3.4128000000000003</v>
          </cell>
          <cell r="I90">
            <v>5.1191999999999994E-2</v>
          </cell>
        </row>
        <row r="91">
          <cell r="A91" t="str">
            <v>01</v>
          </cell>
          <cell r="B91" t="str">
            <v>COCLGM</v>
          </cell>
          <cell r="C91" t="str">
            <v>BOUCHON</v>
          </cell>
          <cell r="D91" t="str">
            <v/>
          </cell>
          <cell r="E91">
            <v>18.7</v>
          </cell>
          <cell r="F91">
            <v>1</v>
          </cell>
          <cell r="G91">
            <v>0.01</v>
          </cell>
          <cell r="H91">
            <v>1246.6666666666667</v>
          </cell>
          <cell r="I91">
            <v>18.7</v>
          </cell>
        </row>
        <row r="92">
          <cell r="A92" t="str">
            <v>01</v>
          </cell>
          <cell r="B92" t="str">
            <v>COCLGM</v>
          </cell>
          <cell r="C92" t="str">
            <v>CARBURANT</v>
          </cell>
          <cell r="D92" t="str">
            <v/>
          </cell>
          <cell r="E92">
            <v>337.43078666328859</v>
          </cell>
          <cell r="F92">
            <v>3.6182848468968065</v>
          </cell>
          <cell r="G92">
            <v>0</v>
          </cell>
          <cell r="H92">
            <v>1220.9207022602459</v>
          </cell>
          <cell r="I92">
            <v>18.313810533903688</v>
          </cell>
        </row>
        <row r="93">
          <cell r="A93" t="str">
            <v>01</v>
          </cell>
          <cell r="B93" t="str">
            <v>COCLGM</v>
          </cell>
          <cell r="C93" t="str">
            <v>COLLES</v>
          </cell>
          <cell r="D93" t="str">
            <v/>
          </cell>
          <cell r="E93">
            <v>4147.5</v>
          </cell>
          <cell r="F93">
            <v>1.4999999999999999E-4</v>
          </cell>
          <cell r="G93">
            <v>0.02</v>
          </cell>
          <cell r="H93">
            <v>41.475000000000001</v>
          </cell>
          <cell r="I93">
            <v>0.62212499999999993</v>
          </cell>
        </row>
        <row r="94">
          <cell r="A94" t="str">
            <v>01</v>
          </cell>
          <cell r="B94" t="str">
            <v>COCLGM</v>
          </cell>
          <cell r="C94" t="str">
            <v>ETIQUETTEGM</v>
          </cell>
          <cell r="D94" t="str">
            <v/>
          </cell>
          <cell r="E94">
            <v>16.14</v>
          </cell>
          <cell r="F94">
            <v>1</v>
          </cell>
          <cell r="G94">
            <v>0.02</v>
          </cell>
          <cell r="H94">
            <v>1076</v>
          </cell>
          <cell r="I94">
            <v>16.14</v>
          </cell>
        </row>
        <row r="95">
          <cell r="A95" t="str">
            <v>01</v>
          </cell>
          <cell r="B95" t="str">
            <v>COCLGM</v>
          </cell>
          <cell r="C95" t="str">
            <v>EXTRAIT</v>
          </cell>
          <cell r="D95" t="str">
            <v/>
          </cell>
          <cell r="E95">
            <v>68000</v>
          </cell>
          <cell r="F95">
            <v>0.15389999999999998</v>
          </cell>
          <cell r="G95">
            <v>0</v>
          </cell>
          <cell r="H95">
            <v>10465.200000000001</v>
          </cell>
          <cell r="I95">
            <v>156.97799999999998</v>
          </cell>
        </row>
        <row r="96">
          <cell r="A96" t="str">
            <v>01</v>
          </cell>
          <cell r="B96" t="str">
            <v>COCLGM</v>
          </cell>
          <cell r="C96" t="str">
            <v>INTERCALAIRES</v>
          </cell>
          <cell r="D96" t="str">
            <v/>
          </cell>
          <cell r="E96">
            <v>772.22</v>
          </cell>
          <cell r="F96">
            <v>5.5999999999999999E-3</v>
          </cell>
          <cell r="G96">
            <v>0.01</v>
          </cell>
          <cell r="H96">
            <v>288.2954666666667</v>
          </cell>
          <cell r="I96">
            <v>4.3244319999999998</v>
          </cell>
        </row>
        <row r="97">
          <cell r="A97" t="str">
            <v>01</v>
          </cell>
          <cell r="B97" t="str">
            <v>COCLGM</v>
          </cell>
          <cell r="C97" t="str">
            <v>KIESELGHUR</v>
          </cell>
          <cell r="D97" t="str">
            <v/>
          </cell>
          <cell r="E97">
            <v>883.2</v>
          </cell>
          <cell r="F97">
            <v>0.03</v>
          </cell>
          <cell r="G97">
            <v>0</v>
          </cell>
          <cell r="H97">
            <v>26.495999999999999</v>
          </cell>
          <cell r="I97">
            <v>0.3974399999999999</v>
          </cell>
        </row>
        <row r="98">
          <cell r="A98" t="str">
            <v>01</v>
          </cell>
          <cell r="B98" t="str">
            <v>COCLGM</v>
          </cell>
          <cell r="C98" t="str">
            <v>LU</v>
          </cell>
          <cell r="D98" t="str">
            <v/>
          </cell>
          <cell r="E98">
            <v>1252.327512650173</v>
          </cell>
          <cell r="F98">
            <v>1.9199452391448067E-2</v>
          </cell>
          <cell r="G98">
            <v>0</v>
          </cell>
          <cell r="H98">
            <v>52.740335790960906</v>
          </cell>
          <cell r="I98">
            <v>0.79110503686441347</v>
          </cell>
        </row>
        <row r="99">
          <cell r="A99" t="str">
            <v>01</v>
          </cell>
          <cell r="B99" t="str">
            <v>COCLGM</v>
          </cell>
          <cell r="C99" t="str">
            <v>PACKGM</v>
          </cell>
          <cell r="D99" t="str">
            <v/>
          </cell>
          <cell r="E99">
            <v>1424</v>
          </cell>
          <cell r="F99">
            <v>5.2900000000000004E-3</v>
          </cell>
          <cell r="G99">
            <v>0.02</v>
          </cell>
          <cell r="H99">
            <v>502.19733333333346</v>
          </cell>
          <cell r="I99">
            <v>7.532960000000001</v>
          </cell>
        </row>
        <row r="100">
          <cell r="A100" t="str">
            <v>01</v>
          </cell>
          <cell r="B100" t="str">
            <v>COCLGM</v>
          </cell>
          <cell r="C100" t="str">
            <v>PLAQUES</v>
          </cell>
          <cell r="D100" t="str">
            <v/>
          </cell>
          <cell r="E100">
            <v>14000</v>
          </cell>
          <cell r="F100">
            <v>2.0421659273090025E-3</v>
          </cell>
          <cell r="G100">
            <v>0</v>
          </cell>
          <cell r="H100">
            <v>28.307250477550529</v>
          </cell>
          <cell r="I100">
            <v>0.42460875716325791</v>
          </cell>
        </row>
        <row r="101">
          <cell r="A101" t="str">
            <v>01</v>
          </cell>
          <cell r="B101" t="str">
            <v>COCLGM</v>
          </cell>
          <cell r="C101" t="str">
            <v>PREFORMEGM</v>
          </cell>
          <cell r="D101" t="str">
            <v/>
          </cell>
          <cell r="E101">
            <v>79</v>
          </cell>
          <cell r="F101">
            <v>1</v>
          </cell>
          <cell r="G101">
            <v>0.01</v>
          </cell>
          <cell r="H101">
            <v>5266.666666666667</v>
          </cell>
          <cell r="I101">
            <v>79</v>
          </cell>
        </row>
        <row r="102">
          <cell r="A102" t="str">
            <v>01</v>
          </cell>
          <cell r="B102" t="str">
            <v>COCLPM</v>
          </cell>
          <cell r="C102" t="str">
            <v>AUTREMC</v>
          </cell>
          <cell r="D102" t="str">
            <v/>
          </cell>
          <cell r="E102">
            <v>2035.2923684676705</v>
          </cell>
          <cell r="F102">
            <v>0.12808918510732575</v>
          </cell>
          <cell r="G102">
            <v>0</v>
          </cell>
          <cell r="H102">
            <v>258.11776329919104</v>
          </cell>
          <cell r="I102">
            <v>1.2905888164959549</v>
          </cell>
        </row>
        <row r="103">
          <cell r="A103" t="str">
            <v>01</v>
          </cell>
          <cell r="B103" t="str">
            <v>COCLPM</v>
          </cell>
          <cell r="C103" t="str">
            <v>AUTREMP</v>
          </cell>
          <cell r="D103" t="str">
            <v/>
          </cell>
          <cell r="E103">
            <v>2133</v>
          </cell>
          <cell r="F103">
            <v>1.6000000000000001E-3</v>
          </cell>
          <cell r="G103">
            <v>0</v>
          </cell>
          <cell r="H103">
            <v>3.4127999999999998</v>
          </cell>
          <cell r="I103">
            <v>1.7063999999999996E-2</v>
          </cell>
        </row>
        <row r="104">
          <cell r="A104" t="str">
            <v>01</v>
          </cell>
          <cell r="B104" t="str">
            <v>COCLPM</v>
          </cell>
          <cell r="C104" t="str">
            <v>BOUCHON</v>
          </cell>
          <cell r="D104" t="str">
            <v/>
          </cell>
          <cell r="E104">
            <v>18.7</v>
          </cell>
          <cell r="F104">
            <v>1</v>
          </cell>
          <cell r="G104">
            <v>0.01</v>
          </cell>
          <cell r="H104">
            <v>3740</v>
          </cell>
          <cell r="I104">
            <v>18.7</v>
          </cell>
        </row>
        <row r="105">
          <cell r="A105" t="str">
            <v>01</v>
          </cell>
          <cell r="B105" t="str">
            <v>COCLPM</v>
          </cell>
          <cell r="C105" t="str">
            <v>CARBURANT</v>
          </cell>
          <cell r="D105" t="str">
            <v/>
          </cell>
          <cell r="E105">
            <v>337.43078666328859</v>
          </cell>
          <cell r="F105">
            <v>3.6182848468968065</v>
          </cell>
          <cell r="G105">
            <v>0</v>
          </cell>
          <cell r="H105">
            <v>1220.9207022602461</v>
          </cell>
          <cell r="I105">
            <v>6.1046035113012289</v>
          </cell>
        </row>
        <row r="106">
          <cell r="A106" t="str">
            <v>01</v>
          </cell>
          <cell r="B106" t="str">
            <v>COCLPM</v>
          </cell>
          <cell r="C106" t="str">
            <v>COLLES</v>
          </cell>
          <cell r="D106" t="str">
            <v/>
          </cell>
          <cell r="E106">
            <v>4147.5</v>
          </cell>
          <cell r="F106">
            <v>7.4999999999999993E-5</v>
          </cell>
          <cell r="G106">
            <v>0.02</v>
          </cell>
          <cell r="H106">
            <v>62.212499999999999</v>
          </cell>
          <cell r="I106">
            <v>0.31106249999999996</v>
          </cell>
        </row>
        <row r="107">
          <cell r="A107" t="str">
            <v>01</v>
          </cell>
          <cell r="B107" t="str">
            <v>COCLPM</v>
          </cell>
          <cell r="C107" t="str">
            <v>ETIQUETTEPM</v>
          </cell>
          <cell r="D107" t="str">
            <v/>
          </cell>
          <cell r="E107">
            <v>4.25</v>
          </cell>
          <cell r="F107">
            <v>1</v>
          </cell>
          <cell r="G107">
            <v>0.02</v>
          </cell>
          <cell r="H107">
            <v>850</v>
          </cell>
          <cell r="I107">
            <v>4.25</v>
          </cell>
        </row>
        <row r="108">
          <cell r="A108" t="str">
            <v>01</v>
          </cell>
          <cell r="B108" t="str">
            <v>COCLPM</v>
          </cell>
          <cell r="C108" t="str">
            <v>EXTRAIT</v>
          </cell>
          <cell r="D108" t="str">
            <v/>
          </cell>
          <cell r="E108">
            <v>68000</v>
          </cell>
          <cell r="F108">
            <v>0.15389999999999998</v>
          </cell>
          <cell r="G108">
            <v>0</v>
          </cell>
          <cell r="H108">
            <v>10465.200000000001</v>
          </cell>
          <cell r="I108">
            <v>52.325999999999986</v>
          </cell>
        </row>
        <row r="109">
          <cell r="A109" t="str">
            <v>01</v>
          </cell>
          <cell r="B109" t="str">
            <v>COCLPM</v>
          </cell>
          <cell r="C109" t="str">
            <v>INTERCALAIRES</v>
          </cell>
          <cell r="D109" t="str">
            <v/>
          </cell>
          <cell r="E109">
            <v>772.22</v>
          </cell>
          <cell r="F109">
            <v>2.5999999999999999E-3</v>
          </cell>
          <cell r="G109">
            <v>0.01</v>
          </cell>
          <cell r="H109">
            <v>401.55440000000016</v>
          </cell>
          <cell r="I109">
            <v>2.0077720000000001</v>
          </cell>
        </row>
        <row r="110">
          <cell r="A110" t="str">
            <v>01</v>
          </cell>
          <cell r="B110" t="str">
            <v>COCLPM</v>
          </cell>
          <cell r="C110" t="str">
            <v>KIESELGHUR</v>
          </cell>
          <cell r="D110" t="str">
            <v/>
          </cell>
          <cell r="E110">
            <v>883.2</v>
          </cell>
          <cell r="F110">
            <v>0.03</v>
          </cell>
          <cell r="G110">
            <v>0</v>
          </cell>
          <cell r="H110">
            <v>26.495999999999995</v>
          </cell>
          <cell r="I110">
            <v>0.13247999999999996</v>
          </cell>
        </row>
        <row r="111">
          <cell r="A111" t="str">
            <v>01</v>
          </cell>
          <cell r="B111" t="str">
            <v>COCLPM</v>
          </cell>
          <cell r="C111" t="str">
            <v>LU</v>
          </cell>
          <cell r="D111" t="str">
            <v/>
          </cell>
          <cell r="E111">
            <v>1252.327512650173</v>
          </cell>
          <cell r="F111">
            <v>1.9199452391448067E-2</v>
          </cell>
          <cell r="G111">
            <v>0</v>
          </cell>
          <cell r="H111">
            <v>111.00700245762758</v>
          </cell>
          <cell r="I111">
            <v>0.55503501228813779</v>
          </cell>
        </row>
        <row r="112">
          <cell r="A112" t="str">
            <v>01</v>
          </cell>
          <cell r="B112" t="str">
            <v>COCLPM</v>
          </cell>
          <cell r="C112" t="str">
            <v>PACKGM</v>
          </cell>
          <cell r="D112" t="str">
            <v/>
          </cell>
          <cell r="E112">
            <v>1424</v>
          </cell>
          <cell r="F112">
            <v>3.13E-3</v>
          </cell>
          <cell r="G112">
            <v>0.02</v>
          </cell>
          <cell r="H112">
            <v>891.42400000000009</v>
          </cell>
          <cell r="I112">
            <v>4.4571199999999997</v>
          </cell>
        </row>
        <row r="113">
          <cell r="A113" t="str">
            <v>01</v>
          </cell>
          <cell r="B113" t="str">
            <v>COCLPM</v>
          </cell>
          <cell r="C113" t="str">
            <v>PLAQUES</v>
          </cell>
          <cell r="D113" t="str">
            <v/>
          </cell>
          <cell r="E113">
            <v>14000</v>
          </cell>
          <cell r="F113">
            <v>2.0421659273090025E-3</v>
          </cell>
          <cell r="G113">
            <v>0</v>
          </cell>
          <cell r="H113">
            <v>28.307250477550529</v>
          </cell>
          <cell r="I113">
            <v>0.14153625238775261</v>
          </cell>
        </row>
        <row r="114">
          <cell r="A114" t="str">
            <v>01</v>
          </cell>
          <cell r="B114" t="str">
            <v>COCLPM</v>
          </cell>
          <cell r="C114" t="str">
            <v>PREFORMEPM</v>
          </cell>
          <cell r="D114" t="str">
            <v/>
          </cell>
          <cell r="E114">
            <v>48</v>
          </cell>
          <cell r="F114">
            <v>1</v>
          </cell>
          <cell r="G114">
            <v>0.01</v>
          </cell>
          <cell r="H114">
            <v>9600</v>
          </cell>
          <cell r="I114">
            <v>48</v>
          </cell>
        </row>
        <row r="115">
          <cell r="A115" t="str">
            <v>01</v>
          </cell>
          <cell r="B115" t="str">
            <v>COCPGM</v>
          </cell>
          <cell r="C115" t="str">
            <v>AUTREMC</v>
          </cell>
          <cell r="D115" t="str">
            <v/>
          </cell>
          <cell r="E115">
            <v>2035.2923684676705</v>
          </cell>
          <cell r="F115">
            <v>0.12808918510732575</v>
          </cell>
          <cell r="G115">
            <v>0</v>
          </cell>
          <cell r="H115">
            <v>258.11776329919098</v>
          </cell>
          <cell r="I115">
            <v>3.8717664494878634</v>
          </cell>
        </row>
        <row r="116">
          <cell r="A116" t="str">
            <v>01</v>
          </cell>
          <cell r="B116" t="str">
            <v>COCPGM</v>
          </cell>
          <cell r="C116" t="str">
            <v>AUTREMP</v>
          </cell>
          <cell r="D116" t="str">
            <v/>
          </cell>
          <cell r="E116">
            <v>2133</v>
          </cell>
          <cell r="F116">
            <v>1.6000000000000001E-3</v>
          </cell>
          <cell r="G116">
            <v>0</v>
          </cell>
          <cell r="H116">
            <v>3.4128000000000003</v>
          </cell>
          <cell r="I116">
            <v>5.1191999999999988E-2</v>
          </cell>
        </row>
        <row r="117">
          <cell r="A117" t="str">
            <v>01</v>
          </cell>
          <cell r="B117" t="str">
            <v>COCPGM</v>
          </cell>
          <cell r="C117" t="str">
            <v>BOUCHON</v>
          </cell>
          <cell r="D117" t="str">
            <v/>
          </cell>
          <cell r="E117">
            <v>11.9</v>
          </cell>
          <cell r="F117">
            <v>1</v>
          </cell>
          <cell r="G117">
            <v>0.01</v>
          </cell>
          <cell r="H117">
            <v>793.3333333333336</v>
          </cell>
          <cell r="I117">
            <v>11.9</v>
          </cell>
        </row>
        <row r="118">
          <cell r="A118" t="str">
            <v>01</v>
          </cell>
          <cell r="B118" t="str">
            <v>COCPGM</v>
          </cell>
          <cell r="C118" t="str">
            <v>CARBURANT</v>
          </cell>
          <cell r="D118" t="str">
            <v/>
          </cell>
          <cell r="E118">
            <v>337.43078666328859</v>
          </cell>
          <cell r="F118">
            <v>3.6182848468968065</v>
          </cell>
          <cell r="G118">
            <v>0</v>
          </cell>
          <cell r="H118">
            <v>1220.9207022602459</v>
          </cell>
          <cell r="I118">
            <v>18.313810533903681</v>
          </cell>
        </row>
        <row r="119">
          <cell r="A119" t="str">
            <v>01</v>
          </cell>
          <cell r="B119" t="str">
            <v>COCPGM</v>
          </cell>
          <cell r="C119" t="str">
            <v>COLLES</v>
          </cell>
          <cell r="D119" t="str">
            <v/>
          </cell>
          <cell r="E119">
            <v>4147.5</v>
          </cell>
          <cell r="F119">
            <v>1.4999999999999999E-4</v>
          </cell>
          <cell r="G119">
            <v>0.02</v>
          </cell>
          <cell r="H119">
            <v>41.475000000000001</v>
          </cell>
          <cell r="I119">
            <v>0.62212499999999993</v>
          </cell>
        </row>
        <row r="120">
          <cell r="A120" t="str">
            <v>01</v>
          </cell>
          <cell r="B120" t="str">
            <v>COCPGM</v>
          </cell>
          <cell r="C120" t="str">
            <v>ETIQUETTEGM</v>
          </cell>
          <cell r="D120" t="str">
            <v/>
          </cell>
          <cell r="E120">
            <v>13.9</v>
          </cell>
          <cell r="F120">
            <v>1</v>
          </cell>
          <cell r="G120">
            <v>0.02</v>
          </cell>
          <cell r="H120">
            <v>926.66666666666697</v>
          </cell>
          <cell r="I120">
            <v>13.9</v>
          </cell>
        </row>
        <row r="121">
          <cell r="A121" t="str">
            <v>01</v>
          </cell>
          <cell r="B121" t="str">
            <v>COCPGM</v>
          </cell>
          <cell r="C121" t="str">
            <v>EXTRAIT</v>
          </cell>
          <cell r="D121" t="str">
            <v/>
          </cell>
          <cell r="E121">
            <v>75115.5</v>
          </cell>
          <cell r="F121">
            <v>0.1042</v>
          </cell>
          <cell r="G121">
            <v>0</v>
          </cell>
          <cell r="H121">
            <v>7827.0351000000001</v>
          </cell>
          <cell r="I121">
            <v>117.40552649999997</v>
          </cell>
        </row>
        <row r="122">
          <cell r="A122" t="str">
            <v>01</v>
          </cell>
          <cell r="B122" t="str">
            <v>COCPGM</v>
          </cell>
          <cell r="C122" t="str">
            <v>INTERCALAIRES</v>
          </cell>
          <cell r="D122" t="str">
            <v/>
          </cell>
          <cell r="E122">
            <v>772.22</v>
          </cell>
          <cell r="F122">
            <v>5.5999999999999999E-3</v>
          </cell>
          <cell r="G122">
            <v>0.01</v>
          </cell>
          <cell r="H122">
            <v>288.29546666666675</v>
          </cell>
          <cell r="I122">
            <v>4.3244319999999998</v>
          </cell>
        </row>
        <row r="123">
          <cell r="A123" t="str">
            <v>01</v>
          </cell>
          <cell r="B123" t="str">
            <v>COCPGM</v>
          </cell>
          <cell r="C123" t="str">
            <v>KIESELGHUR</v>
          </cell>
          <cell r="D123" t="str">
            <v/>
          </cell>
          <cell r="E123">
            <v>883.2</v>
          </cell>
          <cell r="F123">
            <v>0.03</v>
          </cell>
          <cell r="G123">
            <v>0</v>
          </cell>
          <cell r="H123">
            <v>26.495999999999999</v>
          </cell>
          <cell r="I123">
            <v>0.39743999999999985</v>
          </cell>
        </row>
        <row r="124">
          <cell r="A124" t="str">
            <v>01</v>
          </cell>
          <cell r="B124" t="str">
            <v>COCPGM</v>
          </cell>
          <cell r="C124" t="str">
            <v>LU</v>
          </cell>
          <cell r="D124" t="str">
            <v/>
          </cell>
          <cell r="E124">
            <v>1252.327512650173</v>
          </cell>
          <cell r="F124">
            <v>1.9199452391448067E-2</v>
          </cell>
          <cell r="G124">
            <v>0</v>
          </cell>
          <cell r="H124">
            <v>52.74033579096092</v>
          </cell>
          <cell r="I124">
            <v>0.79110503686441347</v>
          </cell>
        </row>
        <row r="125">
          <cell r="A125" t="str">
            <v>01</v>
          </cell>
          <cell r="B125" t="str">
            <v>COCPGM</v>
          </cell>
          <cell r="C125" t="str">
            <v>PACKGM</v>
          </cell>
          <cell r="D125" t="str">
            <v/>
          </cell>
          <cell r="E125">
            <v>1424</v>
          </cell>
          <cell r="F125">
            <v>5.2900000000000004E-3</v>
          </cell>
          <cell r="G125">
            <v>0.02</v>
          </cell>
          <cell r="H125">
            <v>502.19733333333352</v>
          </cell>
          <cell r="I125">
            <v>7.532960000000001</v>
          </cell>
        </row>
        <row r="126">
          <cell r="A126" t="str">
            <v>01</v>
          </cell>
          <cell r="B126" t="str">
            <v>COCPGM</v>
          </cell>
          <cell r="C126" t="str">
            <v>PLAQUES</v>
          </cell>
          <cell r="D126" t="str">
            <v/>
          </cell>
          <cell r="E126">
            <v>14000</v>
          </cell>
          <cell r="F126">
            <v>2.0421659273090025E-3</v>
          </cell>
          <cell r="G126">
            <v>0</v>
          </cell>
          <cell r="H126">
            <v>28.307250477550532</v>
          </cell>
          <cell r="I126">
            <v>0.42460875716325786</v>
          </cell>
        </row>
        <row r="127">
          <cell r="A127" t="str">
            <v>01</v>
          </cell>
          <cell r="B127" t="str">
            <v>COCPGM</v>
          </cell>
          <cell r="C127" t="str">
            <v>PREFORMEGM</v>
          </cell>
          <cell r="D127" t="str">
            <v/>
          </cell>
          <cell r="E127">
            <v>79</v>
          </cell>
          <cell r="F127">
            <v>1</v>
          </cell>
          <cell r="G127">
            <v>0.01</v>
          </cell>
          <cell r="H127">
            <v>5266.6666666666688</v>
          </cell>
          <cell r="I127">
            <v>79</v>
          </cell>
        </row>
        <row r="128">
          <cell r="A128" t="str">
            <v>01</v>
          </cell>
          <cell r="B128" t="str">
            <v>COCPGM</v>
          </cell>
          <cell r="C128" t="str">
            <v>SUCRE</v>
          </cell>
          <cell r="D128" t="str">
            <v/>
          </cell>
          <cell r="E128">
            <v>580</v>
          </cell>
          <cell r="F128">
            <v>10.58</v>
          </cell>
          <cell r="G128">
            <v>0.01</v>
          </cell>
          <cell r="H128">
            <v>6197.7640000000001</v>
          </cell>
          <cell r="I128">
            <v>92.966459999999969</v>
          </cell>
        </row>
        <row r="129">
          <cell r="A129" t="str">
            <v>01</v>
          </cell>
          <cell r="B129" t="str">
            <v>COCPPM</v>
          </cell>
          <cell r="C129" t="str">
            <v>AUTREMC</v>
          </cell>
          <cell r="D129" t="str">
            <v/>
          </cell>
          <cell r="E129">
            <v>2035.2923684676705</v>
          </cell>
          <cell r="F129">
            <v>0.12808918510732575</v>
          </cell>
          <cell r="G129">
            <v>0</v>
          </cell>
          <cell r="H129">
            <v>258.11776329919104</v>
          </cell>
          <cell r="I129">
            <v>1.2905888164959554</v>
          </cell>
        </row>
        <row r="130">
          <cell r="A130" t="str">
            <v>01</v>
          </cell>
          <cell r="B130" t="str">
            <v>COCPPM</v>
          </cell>
          <cell r="C130" t="str">
            <v>AUTREMP</v>
          </cell>
          <cell r="D130" t="str">
            <v/>
          </cell>
          <cell r="E130">
            <v>2133</v>
          </cell>
          <cell r="F130">
            <v>1.6000000000000001E-3</v>
          </cell>
          <cell r="G130">
            <v>0</v>
          </cell>
          <cell r="H130">
            <v>3.4128000000000003</v>
          </cell>
          <cell r="I130">
            <v>1.7064000000000003E-2</v>
          </cell>
        </row>
        <row r="131">
          <cell r="A131" t="str">
            <v>01</v>
          </cell>
          <cell r="B131" t="str">
            <v>COCPPM</v>
          </cell>
          <cell r="C131" t="str">
            <v>BOUCHON</v>
          </cell>
          <cell r="D131" t="str">
            <v/>
          </cell>
          <cell r="E131">
            <v>11.9</v>
          </cell>
          <cell r="F131">
            <v>1</v>
          </cell>
          <cell r="G131">
            <v>0.01</v>
          </cell>
          <cell r="H131">
            <v>2380</v>
          </cell>
          <cell r="I131">
            <v>11.9</v>
          </cell>
        </row>
        <row r="132">
          <cell r="A132" t="str">
            <v>01</v>
          </cell>
          <cell r="B132" t="str">
            <v>COCPPM</v>
          </cell>
          <cell r="C132" t="str">
            <v>CARBURANT</v>
          </cell>
          <cell r="D132" t="str">
            <v/>
          </cell>
          <cell r="E132">
            <v>337.43078666328859</v>
          </cell>
          <cell r="F132">
            <v>3.6182848468968065</v>
          </cell>
          <cell r="G132">
            <v>0</v>
          </cell>
          <cell r="H132">
            <v>1220.9207022602461</v>
          </cell>
          <cell r="I132">
            <v>6.1046035113012316</v>
          </cell>
        </row>
        <row r="133">
          <cell r="A133" t="str">
            <v>01</v>
          </cell>
          <cell r="B133" t="str">
            <v>COCPPM</v>
          </cell>
          <cell r="C133" t="str">
            <v>COLLES</v>
          </cell>
          <cell r="D133" t="str">
            <v/>
          </cell>
          <cell r="E133">
            <v>4147.5</v>
          </cell>
          <cell r="F133">
            <v>7.4999999999999993E-5</v>
          </cell>
          <cell r="G133">
            <v>0.02</v>
          </cell>
          <cell r="H133">
            <v>62.212499999999999</v>
          </cell>
          <cell r="I133">
            <v>0.31106249999999996</v>
          </cell>
        </row>
        <row r="134">
          <cell r="A134" t="str">
            <v>01</v>
          </cell>
          <cell r="B134" t="str">
            <v>COCPPM</v>
          </cell>
          <cell r="C134" t="str">
            <v>ETIQUETTEPM</v>
          </cell>
          <cell r="D134" t="str">
            <v/>
          </cell>
          <cell r="E134">
            <v>4.03</v>
          </cell>
          <cell r="F134">
            <v>1</v>
          </cell>
          <cell r="G134">
            <v>0.02</v>
          </cell>
          <cell r="H134">
            <v>806</v>
          </cell>
          <cell r="I134">
            <v>4.03</v>
          </cell>
        </row>
        <row r="135">
          <cell r="A135" t="str">
            <v>01</v>
          </cell>
          <cell r="B135" t="str">
            <v>COCPPM</v>
          </cell>
          <cell r="C135" t="str">
            <v>EXTRAIT</v>
          </cell>
          <cell r="D135" t="str">
            <v/>
          </cell>
          <cell r="E135">
            <v>75115.5</v>
          </cell>
          <cell r="F135">
            <v>0.1042</v>
          </cell>
          <cell r="G135">
            <v>0</v>
          </cell>
          <cell r="H135">
            <v>7827.0351000000001</v>
          </cell>
          <cell r="I135">
            <v>39.135175500000003</v>
          </cell>
        </row>
        <row r="136">
          <cell r="A136" t="str">
            <v>01</v>
          </cell>
          <cell r="B136" t="str">
            <v>COCPPM</v>
          </cell>
          <cell r="C136" t="str">
            <v>INTERCALAIRES</v>
          </cell>
          <cell r="D136" t="str">
            <v/>
          </cell>
          <cell r="E136">
            <v>772.22</v>
          </cell>
          <cell r="F136">
            <v>2.5999999999999999E-3</v>
          </cell>
          <cell r="G136">
            <v>0.01</v>
          </cell>
          <cell r="H136">
            <v>401.55439999999999</v>
          </cell>
          <cell r="I136">
            <v>2.0077720000000001</v>
          </cell>
        </row>
        <row r="137">
          <cell r="A137" t="str">
            <v>01</v>
          </cell>
          <cell r="B137" t="str">
            <v>COCPPM</v>
          </cell>
          <cell r="C137" t="str">
            <v>KIESELGHUR</v>
          </cell>
          <cell r="D137" t="str">
            <v/>
          </cell>
          <cell r="E137">
            <v>883.2</v>
          </cell>
          <cell r="F137">
            <v>0.03</v>
          </cell>
          <cell r="G137">
            <v>0</v>
          </cell>
          <cell r="H137">
            <v>26.495999999999999</v>
          </cell>
          <cell r="I137">
            <v>0.13248000000000001</v>
          </cell>
        </row>
        <row r="138">
          <cell r="A138" t="str">
            <v>01</v>
          </cell>
          <cell r="B138" t="str">
            <v>COCPPM</v>
          </cell>
          <cell r="C138" t="str">
            <v>LU</v>
          </cell>
          <cell r="D138" t="str">
            <v/>
          </cell>
          <cell r="E138">
            <v>1252.327512650173</v>
          </cell>
          <cell r="F138">
            <v>1.9199452391448067E-2</v>
          </cell>
          <cell r="G138">
            <v>0</v>
          </cell>
          <cell r="H138">
            <v>111.00700245762756</v>
          </cell>
          <cell r="I138">
            <v>0.5550350122881379</v>
          </cell>
        </row>
        <row r="139">
          <cell r="A139" t="str">
            <v>01</v>
          </cell>
          <cell r="B139" t="str">
            <v>COCPPM</v>
          </cell>
          <cell r="C139" t="str">
            <v>PACKGM</v>
          </cell>
          <cell r="D139" t="str">
            <v/>
          </cell>
          <cell r="E139">
            <v>1424</v>
          </cell>
          <cell r="F139">
            <v>3.13E-3</v>
          </cell>
          <cell r="G139">
            <v>0.02</v>
          </cell>
          <cell r="H139">
            <v>891.42399999999975</v>
          </cell>
          <cell r="I139">
            <v>4.4571199999999997</v>
          </cell>
        </row>
        <row r="140">
          <cell r="A140" t="str">
            <v>01</v>
          </cell>
          <cell r="B140" t="str">
            <v>COCPPM</v>
          </cell>
          <cell r="C140" t="str">
            <v>PLAQUES</v>
          </cell>
          <cell r="D140" t="str">
            <v/>
          </cell>
          <cell r="E140">
            <v>14000</v>
          </cell>
          <cell r="F140">
            <v>2.0421659273090025E-3</v>
          </cell>
          <cell r="G140">
            <v>0</v>
          </cell>
          <cell r="H140">
            <v>28.307250477550532</v>
          </cell>
          <cell r="I140">
            <v>0.14153625238775266</v>
          </cell>
        </row>
        <row r="141">
          <cell r="A141" t="str">
            <v>01</v>
          </cell>
          <cell r="B141" t="str">
            <v>COCPPM</v>
          </cell>
          <cell r="C141" t="str">
            <v>PREFORMEPM</v>
          </cell>
          <cell r="D141" t="str">
            <v/>
          </cell>
          <cell r="E141">
            <v>48</v>
          </cell>
          <cell r="F141">
            <v>1</v>
          </cell>
          <cell r="G141">
            <v>0.01</v>
          </cell>
          <cell r="H141">
            <v>9600</v>
          </cell>
          <cell r="I141">
            <v>48</v>
          </cell>
        </row>
        <row r="142">
          <cell r="A142" t="str">
            <v>01</v>
          </cell>
          <cell r="B142" t="str">
            <v>COCPPM</v>
          </cell>
          <cell r="C142" t="str">
            <v>SUCRE</v>
          </cell>
          <cell r="D142" t="str">
            <v/>
          </cell>
          <cell r="E142">
            <v>580</v>
          </cell>
          <cell r="F142">
            <v>10.58</v>
          </cell>
          <cell r="G142">
            <v>0.01</v>
          </cell>
          <cell r="H142">
            <v>6197.7639999999992</v>
          </cell>
          <cell r="I142">
            <v>30.98882</v>
          </cell>
        </row>
        <row r="143">
          <cell r="A143" t="str">
            <v>01</v>
          </cell>
          <cell r="B143" t="str">
            <v>COCZPM</v>
          </cell>
          <cell r="C143" t="str">
            <v>AUTREMC</v>
          </cell>
          <cell r="D143" t="str">
            <v/>
          </cell>
          <cell r="E143">
            <v>2035.2923684676705</v>
          </cell>
          <cell r="F143">
            <v>0.12808918510732575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01</v>
          </cell>
          <cell r="B144" t="str">
            <v>COCZPM</v>
          </cell>
          <cell r="C144" t="str">
            <v>AUTREMP</v>
          </cell>
          <cell r="D144" t="str">
            <v/>
          </cell>
          <cell r="E144">
            <v>2133</v>
          </cell>
          <cell r="F144">
            <v>1.6000000000000001E-3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01</v>
          </cell>
          <cell r="B145" t="str">
            <v>COCZPM</v>
          </cell>
          <cell r="C145" t="str">
            <v>BOUCHON</v>
          </cell>
          <cell r="D145" t="str">
            <v/>
          </cell>
          <cell r="E145">
            <v>18.7</v>
          </cell>
          <cell r="F145">
            <v>1</v>
          </cell>
          <cell r="G145">
            <v>0.01</v>
          </cell>
          <cell r="H145">
            <v>0</v>
          </cell>
          <cell r="I145">
            <v>0</v>
          </cell>
        </row>
        <row r="146">
          <cell r="A146" t="str">
            <v>01</v>
          </cell>
          <cell r="B146" t="str">
            <v>COCZPM</v>
          </cell>
          <cell r="C146" t="str">
            <v>CARBURANT</v>
          </cell>
          <cell r="D146" t="str">
            <v/>
          </cell>
          <cell r="E146">
            <v>337.43078666328859</v>
          </cell>
          <cell r="F146">
            <v>3.6182848468968065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01</v>
          </cell>
          <cell r="B147" t="str">
            <v>COCZPM</v>
          </cell>
          <cell r="C147" t="str">
            <v>COLLES</v>
          </cell>
          <cell r="D147" t="str">
            <v/>
          </cell>
          <cell r="E147">
            <v>4147.5</v>
          </cell>
          <cell r="F147">
            <v>7.4999999999999993E-5</v>
          </cell>
          <cell r="G147">
            <v>0.02</v>
          </cell>
          <cell r="H147">
            <v>0</v>
          </cell>
          <cell r="I147">
            <v>0</v>
          </cell>
        </row>
        <row r="148">
          <cell r="A148" t="str">
            <v>01</v>
          </cell>
          <cell r="B148" t="str">
            <v>COCZPM</v>
          </cell>
          <cell r="C148" t="str">
            <v>ETIQUETTEPM</v>
          </cell>
          <cell r="D148" t="str">
            <v/>
          </cell>
          <cell r="E148">
            <v>4.25</v>
          </cell>
          <cell r="F148">
            <v>1</v>
          </cell>
          <cell r="G148">
            <v>0.02</v>
          </cell>
          <cell r="H148">
            <v>0</v>
          </cell>
          <cell r="I148">
            <v>0</v>
          </cell>
        </row>
        <row r="149">
          <cell r="A149" t="str">
            <v>01</v>
          </cell>
          <cell r="B149" t="str">
            <v>COCZPM</v>
          </cell>
          <cell r="C149" t="str">
            <v>EXTRAIT</v>
          </cell>
          <cell r="D149" t="str">
            <v/>
          </cell>
          <cell r="E149">
            <v>68000</v>
          </cell>
          <cell r="F149">
            <v>0.15389999999999998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01</v>
          </cell>
          <cell r="B150" t="str">
            <v>COCZPM</v>
          </cell>
          <cell r="C150" t="str">
            <v>INTERCALAIRES</v>
          </cell>
          <cell r="D150" t="str">
            <v/>
          </cell>
          <cell r="E150">
            <v>772.22</v>
          </cell>
          <cell r="F150">
            <v>2.5999999999999999E-3</v>
          </cell>
          <cell r="G150">
            <v>0.01</v>
          </cell>
          <cell r="H150">
            <v>0</v>
          </cell>
          <cell r="I150">
            <v>0</v>
          </cell>
        </row>
        <row r="151">
          <cell r="A151" t="str">
            <v>01</v>
          </cell>
          <cell r="B151" t="str">
            <v>COCZPM</v>
          </cell>
          <cell r="C151" t="str">
            <v>KIESELGHUR</v>
          </cell>
          <cell r="D151" t="str">
            <v/>
          </cell>
          <cell r="E151">
            <v>883.2</v>
          </cell>
          <cell r="F151">
            <v>0.03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01</v>
          </cell>
          <cell r="B152" t="str">
            <v>COCZPM</v>
          </cell>
          <cell r="C152" t="str">
            <v>LU</v>
          </cell>
          <cell r="D152" t="str">
            <v/>
          </cell>
          <cell r="E152">
            <v>1252.327512650173</v>
          </cell>
          <cell r="F152">
            <v>1.9199452391448067E-2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01</v>
          </cell>
          <cell r="B153" t="str">
            <v>COCZPM</v>
          </cell>
          <cell r="C153" t="str">
            <v>PACKGM</v>
          </cell>
          <cell r="D153" t="str">
            <v/>
          </cell>
          <cell r="E153">
            <v>1424</v>
          </cell>
          <cell r="F153">
            <v>3.13E-3</v>
          </cell>
          <cell r="G153">
            <v>0.02</v>
          </cell>
          <cell r="H153">
            <v>0</v>
          </cell>
          <cell r="I153">
            <v>0</v>
          </cell>
        </row>
        <row r="154">
          <cell r="A154" t="str">
            <v>01</v>
          </cell>
          <cell r="B154" t="str">
            <v>COCZPM</v>
          </cell>
          <cell r="C154" t="str">
            <v>PLAQUES</v>
          </cell>
          <cell r="D154" t="str">
            <v/>
          </cell>
          <cell r="E154">
            <v>14000</v>
          </cell>
          <cell r="F154">
            <v>2.0421659273090025E-3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01</v>
          </cell>
          <cell r="B155" t="str">
            <v>COCZPM</v>
          </cell>
          <cell r="C155" t="str">
            <v>PREFORMEPM</v>
          </cell>
          <cell r="D155" t="str">
            <v/>
          </cell>
          <cell r="E155">
            <v>48</v>
          </cell>
          <cell r="F155">
            <v>1</v>
          </cell>
          <cell r="G155">
            <v>0.01</v>
          </cell>
          <cell r="H155">
            <v>0</v>
          </cell>
          <cell r="I155">
            <v>0</v>
          </cell>
        </row>
        <row r="156">
          <cell r="A156" t="str">
            <v>01</v>
          </cell>
          <cell r="B156" t="str">
            <v>DANPGM</v>
          </cell>
          <cell r="C156" t="str">
            <v>AUTREMC</v>
          </cell>
          <cell r="D156" t="str">
            <v/>
          </cell>
          <cell r="E156">
            <v>2035.2923684676705</v>
          </cell>
          <cell r="F156">
            <v>0.12808918510732575</v>
          </cell>
          <cell r="G156">
            <v>0</v>
          </cell>
          <cell r="H156">
            <v>258.11776329919093</v>
          </cell>
          <cell r="I156">
            <v>3.8717664494878625</v>
          </cell>
        </row>
        <row r="157">
          <cell r="A157" t="str">
            <v>01</v>
          </cell>
          <cell r="B157" t="str">
            <v>DANPGM</v>
          </cell>
          <cell r="C157" t="str">
            <v>AUTREMP</v>
          </cell>
          <cell r="D157" t="str">
            <v/>
          </cell>
          <cell r="E157">
            <v>1482.1523482245134</v>
          </cell>
          <cell r="F157">
            <v>0.17459999999999998</v>
          </cell>
          <cell r="G157">
            <v>0</v>
          </cell>
          <cell r="H157">
            <v>258.78379999999999</v>
          </cell>
          <cell r="I157">
            <v>3.881756999999999</v>
          </cell>
        </row>
        <row r="158">
          <cell r="A158" t="str">
            <v>01</v>
          </cell>
          <cell r="B158" t="str">
            <v>DANPGM</v>
          </cell>
          <cell r="C158" t="str">
            <v>BOUCHON</v>
          </cell>
          <cell r="D158" t="str">
            <v/>
          </cell>
          <cell r="E158">
            <v>9.3000000000000007</v>
          </cell>
          <cell r="F158">
            <v>1</v>
          </cell>
          <cell r="G158">
            <v>0.01</v>
          </cell>
          <cell r="H158">
            <v>620</v>
          </cell>
          <cell r="I158">
            <v>9.3000000000000007</v>
          </cell>
        </row>
        <row r="159">
          <cell r="A159" t="str">
            <v>01</v>
          </cell>
          <cell r="B159" t="str">
            <v>DANPGM</v>
          </cell>
          <cell r="C159" t="str">
            <v>CARBURANT</v>
          </cell>
          <cell r="D159" t="str">
            <v/>
          </cell>
          <cell r="E159">
            <v>337.43078666328859</v>
          </cell>
          <cell r="F159">
            <v>3.6182848468968065</v>
          </cell>
          <cell r="G159">
            <v>0</v>
          </cell>
          <cell r="H159">
            <v>1220.9207022602461</v>
          </cell>
          <cell r="I159">
            <v>18.313810533903688</v>
          </cell>
        </row>
        <row r="160">
          <cell r="A160" t="str">
            <v>01</v>
          </cell>
          <cell r="B160" t="str">
            <v>DANPGM</v>
          </cell>
          <cell r="C160" t="str">
            <v>COLLES</v>
          </cell>
          <cell r="D160" t="str">
            <v/>
          </cell>
          <cell r="E160">
            <v>4147.5</v>
          </cell>
          <cell r="F160">
            <v>1.4999999999999999E-4</v>
          </cell>
          <cell r="G160">
            <v>0.02</v>
          </cell>
          <cell r="H160">
            <v>41.475000000000001</v>
          </cell>
          <cell r="I160">
            <v>0.62212499999999993</v>
          </cell>
        </row>
        <row r="161">
          <cell r="A161" t="str">
            <v>01</v>
          </cell>
          <cell r="B161" t="str">
            <v>DANPGM</v>
          </cell>
          <cell r="C161" t="str">
            <v>ETIQUETTEGM</v>
          </cell>
          <cell r="D161" t="str">
            <v/>
          </cell>
          <cell r="E161">
            <v>12.15</v>
          </cell>
          <cell r="F161">
            <v>1</v>
          </cell>
          <cell r="G161">
            <v>0.02</v>
          </cell>
          <cell r="H161">
            <v>810</v>
          </cell>
          <cell r="I161">
            <v>12.15</v>
          </cell>
        </row>
        <row r="162">
          <cell r="A162" t="str">
            <v>01</v>
          </cell>
          <cell r="B162" t="str">
            <v>DANPGM</v>
          </cell>
          <cell r="C162" t="str">
            <v>EXTRAIT</v>
          </cell>
          <cell r="D162" t="str">
            <v/>
          </cell>
          <cell r="E162">
            <v>9653.35</v>
          </cell>
          <cell r="F162">
            <v>0.15</v>
          </cell>
          <cell r="G162">
            <v>0</v>
          </cell>
          <cell r="H162">
            <v>1448.0025000000001</v>
          </cell>
          <cell r="I162">
            <v>21.720037499999997</v>
          </cell>
        </row>
        <row r="163">
          <cell r="A163" t="str">
            <v>01</v>
          </cell>
          <cell r="B163" t="str">
            <v>DANPGM</v>
          </cell>
          <cell r="C163" t="str">
            <v>INTERCALAIRES</v>
          </cell>
          <cell r="D163" t="str">
            <v/>
          </cell>
          <cell r="E163">
            <v>772.22</v>
          </cell>
          <cell r="F163">
            <v>5.5999999999999999E-3</v>
          </cell>
          <cell r="G163">
            <v>0.01</v>
          </cell>
          <cell r="H163">
            <v>288.2954666666667</v>
          </cell>
          <cell r="I163">
            <v>4.3244319999999998</v>
          </cell>
        </row>
        <row r="164">
          <cell r="A164" t="str">
            <v>01</v>
          </cell>
          <cell r="B164" t="str">
            <v>DANPGM</v>
          </cell>
          <cell r="C164" t="str">
            <v>KIESELGHUR</v>
          </cell>
          <cell r="D164" t="str">
            <v/>
          </cell>
          <cell r="E164">
            <v>883.2</v>
          </cell>
          <cell r="F164">
            <v>0.03</v>
          </cell>
          <cell r="G164">
            <v>0</v>
          </cell>
          <cell r="H164">
            <v>26.495999999999999</v>
          </cell>
          <cell r="I164">
            <v>0.3974399999999999</v>
          </cell>
        </row>
        <row r="165">
          <cell r="A165" t="str">
            <v>01</v>
          </cell>
          <cell r="B165" t="str">
            <v>DANPGM</v>
          </cell>
          <cell r="C165" t="str">
            <v>LU</v>
          </cell>
          <cell r="D165" t="str">
            <v/>
          </cell>
          <cell r="E165">
            <v>1252.327512650173</v>
          </cell>
          <cell r="F165">
            <v>1.9199452391448067E-2</v>
          </cell>
          <cell r="G165">
            <v>0</v>
          </cell>
          <cell r="H165">
            <v>52.740335790960913</v>
          </cell>
          <cell r="I165">
            <v>0.79110503686441347</v>
          </cell>
        </row>
        <row r="166">
          <cell r="A166" t="str">
            <v>01</v>
          </cell>
          <cell r="B166" t="str">
            <v>DANPGM</v>
          </cell>
          <cell r="C166" t="str">
            <v>PACKGM</v>
          </cell>
          <cell r="D166" t="str">
            <v/>
          </cell>
          <cell r="E166">
            <v>1424</v>
          </cell>
          <cell r="F166">
            <v>5.2900000000000004E-3</v>
          </cell>
          <cell r="G166">
            <v>0.02</v>
          </cell>
          <cell r="H166">
            <v>502.19733333333352</v>
          </cell>
          <cell r="I166">
            <v>7.532960000000001</v>
          </cell>
        </row>
        <row r="167">
          <cell r="A167" t="str">
            <v>01</v>
          </cell>
          <cell r="B167" t="str">
            <v>DANPGM</v>
          </cell>
          <cell r="C167" t="str">
            <v>PLAQUES</v>
          </cell>
          <cell r="D167" t="str">
            <v/>
          </cell>
          <cell r="E167">
            <v>14000</v>
          </cell>
          <cell r="F167">
            <v>2.0421659273090025E-3</v>
          </cell>
          <cell r="G167">
            <v>0</v>
          </cell>
          <cell r="H167">
            <v>28.307250477550536</v>
          </cell>
          <cell r="I167">
            <v>0.42460875716325791</v>
          </cell>
        </row>
        <row r="168">
          <cell r="A168" t="str">
            <v>01</v>
          </cell>
          <cell r="B168" t="str">
            <v>DANPGM</v>
          </cell>
          <cell r="C168" t="str">
            <v>PREFORMEGM</v>
          </cell>
          <cell r="D168" t="str">
            <v/>
          </cell>
          <cell r="E168">
            <v>79</v>
          </cell>
          <cell r="F168">
            <v>1</v>
          </cell>
          <cell r="G168">
            <v>0.01</v>
          </cell>
          <cell r="H168">
            <v>5266.6666666666679</v>
          </cell>
          <cell r="I168">
            <v>79</v>
          </cell>
        </row>
        <row r="169">
          <cell r="A169" t="str">
            <v>01</v>
          </cell>
          <cell r="B169" t="str">
            <v>DANPGM</v>
          </cell>
          <cell r="C169" t="str">
            <v>SUCRE</v>
          </cell>
          <cell r="D169" t="str">
            <v/>
          </cell>
          <cell r="E169">
            <v>580</v>
          </cell>
          <cell r="F169">
            <v>10.33</v>
          </cell>
          <cell r="G169">
            <v>0.01</v>
          </cell>
          <cell r="H169">
            <v>6051.3139999999994</v>
          </cell>
          <cell r="I169">
            <v>90.769709999999975</v>
          </cell>
        </row>
        <row r="170">
          <cell r="A170" t="str">
            <v>01</v>
          </cell>
          <cell r="B170" t="str">
            <v>DANPPM</v>
          </cell>
          <cell r="C170" t="str">
            <v>AUTREMC</v>
          </cell>
          <cell r="D170" t="str">
            <v/>
          </cell>
          <cell r="E170">
            <v>2035.2923684676705</v>
          </cell>
          <cell r="F170">
            <v>0.12808918510732575</v>
          </cell>
          <cell r="G170">
            <v>0</v>
          </cell>
          <cell r="H170">
            <v>258.11776329919104</v>
          </cell>
          <cell r="I170">
            <v>1.2905888164959554</v>
          </cell>
        </row>
        <row r="171">
          <cell r="A171" t="str">
            <v>01</v>
          </cell>
          <cell r="B171" t="str">
            <v>DANPPM</v>
          </cell>
          <cell r="C171" t="str">
            <v>AUTREMP</v>
          </cell>
          <cell r="D171" t="str">
            <v/>
          </cell>
          <cell r="E171">
            <v>1482.1523482245134</v>
          </cell>
          <cell r="F171">
            <v>0.17459999999999998</v>
          </cell>
          <cell r="G171">
            <v>0</v>
          </cell>
          <cell r="H171">
            <v>258.78379999999999</v>
          </cell>
          <cell r="I171">
            <v>1.293919</v>
          </cell>
        </row>
        <row r="172">
          <cell r="A172" t="str">
            <v>01</v>
          </cell>
          <cell r="B172" t="str">
            <v>DANPPM</v>
          </cell>
          <cell r="C172" t="str">
            <v>BOUCHON</v>
          </cell>
          <cell r="D172" t="str">
            <v/>
          </cell>
          <cell r="E172">
            <v>9.3000000000000007</v>
          </cell>
          <cell r="F172">
            <v>1</v>
          </cell>
          <cell r="G172">
            <v>0.01</v>
          </cell>
          <cell r="H172">
            <v>1860</v>
          </cell>
          <cell r="I172">
            <v>9.3000000000000007</v>
          </cell>
        </row>
        <row r="173">
          <cell r="A173" t="str">
            <v>01</v>
          </cell>
          <cell r="B173" t="str">
            <v>DANPPM</v>
          </cell>
          <cell r="C173" t="str">
            <v>CARBURANT</v>
          </cell>
          <cell r="D173" t="str">
            <v/>
          </cell>
          <cell r="E173">
            <v>337.43078666328859</v>
          </cell>
          <cell r="F173">
            <v>3.6182848468968065</v>
          </cell>
          <cell r="G173">
            <v>0</v>
          </cell>
          <cell r="H173">
            <v>1220.9207022602461</v>
          </cell>
          <cell r="I173">
            <v>6.1046035113012316</v>
          </cell>
        </row>
        <row r="174">
          <cell r="A174" t="str">
            <v>01</v>
          </cell>
          <cell r="B174" t="str">
            <v>DANPPM</v>
          </cell>
          <cell r="C174" t="str">
            <v>COLLES</v>
          </cell>
          <cell r="D174" t="str">
            <v/>
          </cell>
          <cell r="E174">
            <v>4147.5</v>
          </cell>
          <cell r="F174">
            <v>7.4999999999999993E-5</v>
          </cell>
          <cell r="G174">
            <v>0.02</v>
          </cell>
          <cell r="H174">
            <v>62.212499999999999</v>
          </cell>
          <cell r="I174">
            <v>0.31106249999999996</v>
          </cell>
        </row>
        <row r="175">
          <cell r="A175" t="str">
            <v>01</v>
          </cell>
          <cell r="B175" t="str">
            <v>DANPPM</v>
          </cell>
          <cell r="C175" t="str">
            <v>ETIQUETTEPM</v>
          </cell>
          <cell r="D175" t="str">
            <v/>
          </cell>
          <cell r="E175">
            <v>5.48</v>
          </cell>
          <cell r="F175">
            <v>1</v>
          </cell>
          <cell r="G175">
            <v>0.02</v>
          </cell>
          <cell r="H175">
            <v>1096</v>
          </cell>
          <cell r="I175">
            <v>5.48</v>
          </cell>
        </row>
        <row r="176">
          <cell r="A176" t="str">
            <v>01</v>
          </cell>
          <cell r="B176" t="str">
            <v>DANPPM</v>
          </cell>
          <cell r="C176" t="str">
            <v>EXTRAIT</v>
          </cell>
          <cell r="D176" t="str">
            <v/>
          </cell>
          <cell r="E176">
            <v>9653.35</v>
          </cell>
          <cell r="F176">
            <v>0.15</v>
          </cell>
          <cell r="G176">
            <v>0</v>
          </cell>
          <cell r="H176">
            <v>1448.0025000000001</v>
          </cell>
          <cell r="I176">
            <v>7.2400125000000015</v>
          </cell>
        </row>
        <row r="177">
          <cell r="A177" t="str">
            <v>01</v>
          </cell>
          <cell r="B177" t="str">
            <v>DANPPM</v>
          </cell>
          <cell r="C177" t="str">
            <v>INTERCALAIRES</v>
          </cell>
          <cell r="D177" t="str">
            <v/>
          </cell>
          <cell r="E177">
            <v>772.22</v>
          </cell>
          <cell r="F177">
            <v>2.5999999999999999E-3</v>
          </cell>
          <cell r="G177">
            <v>0.01</v>
          </cell>
          <cell r="H177">
            <v>401.55439999999993</v>
          </cell>
          <cell r="I177">
            <v>2.0077720000000001</v>
          </cell>
        </row>
        <row r="178">
          <cell r="A178" t="str">
            <v>01</v>
          </cell>
          <cell r="B178" t="str">
            <v>DANPPM</v>
          </cell>
          <cell r="C178" t="str">
            <v>KIESELGHUR</v>
          </cell>
          <cell r="D178" t="str">
            <v/>
          </cell>
          <cell r="E178">
            <v>883.2</v>
          </cell>
          <cell r="F178">
            <v>0.03</v>
          </cell>
          <cell r="G178">
            <v>0</v>
          </cell>
          <cell r="H178">
            <v>26.495999999999999</v>
          </cell>
          <cell r="I178">
            <v>0.13248000000000001</v>
          </cell>
        </row>
        <row r="179">
          <cell r="A179" t="str">
            <v>01</v>
          </cell>
          <cell r="B179" t="str">
            <v>DANPPM</v>
          </cell>
          <cell r="C179" t="str">
            <v>LU</v>
          </cell>
          <cell r="D179" t="str">
            <v/>
          </cell>
          <cell r="E179">
            <v>1252.327512650173</v>
          </cell>
          <cell r="F179">
            <v>1.9199452391448067E-2</v>
          </cell>
          <cell r="G179">
            <v>0</v>
          </cell>
          <cell r="H179">
            <v>111.00700245762758</v>
          </cell>
          <cell r="I179">
            <v>0.55503501228813801</v>
          </cell>
        </row>
        <row r="180">
          <cell r="A180" t="str">
            <v>01</v>
          </cell>
          <cell r="B180" t="str">
            <v>DANPPM</v>
          </cell>
          <cell r="C180" t="str">
            <v>PACKGM</v>
          </cell>
          <cell r="D180" t="str">
            <v/>
          </cell>
          <cell r="E180">
            <v>1424</v>
          </cell>
          <cell r="F180">
            <v>3.13E-3</v>
          </cell>
          <cell r="G180">
            <v>0.02</v>
          </cell>
          <cell r="H180">
            <v>891.42399999999986</v>
          </cell>
          <cell r="I180">
            <v>4.4571199999999997</v>
          </cell>
        </row>
        <row r="181">
          <cell r="A181" t="str">
            <v>01</v>
          </cell>
          <cell r="B181" t="str">
            <v>DANPPM</v>
          </cell>
          <cell r="C181" t="str">
            <v>PLAQUES</v>
          </cell>
          <cell r="D181" t="str">
            <v/>
          </cell>
          <cell r="E181">
            <v>14000</v>
          </cell>
          <cell r="F181">
            <v>2.0421659273090025E-3</v>
          </cell>
          <cell r="G181">
            <v>0</v>
          </cell>
          <cell r="H181">
            <v>28.307250477550532</v>
          </cell>
          <cell r="I181">
            <v>0.14153625238775269</v>
          </cell>
        </row>
        <row r="182">
          <cell r="A182" t="str">
            <v>01</v>
          </cell>
          <cell r="B182" t="str">
            <v>DANPPM</v>
          </cell>
          <cell r="C182" t="str">
            <v>PREFORMEPM</v>
          </cell>
          <cell r="D182" t="str">
            <v/>
          </cell>
          <cell r="E182">
            <v>48</v>
          </cell>
          <cell r="F182">
            <v>1</v>
          </cell>
          <cell r="G182">
            <v>0.01</v>
          </cell>
          <cell r="H182">
            <v>9600</v>
          </cell>
          <cell r="I182">
            <v>48</v>
          </cell>
        </row>
        <row r="183">
          <cell r="A183" t="str">
            <v>01</v>
          </cell>
          <cell r="B183" t="str">
            <v>DANPPM</v>
          </cell>
          <cell r="C183" t="str">
            <v>SUCRE</v>
          </cell>
          <cell r="D183" t="str">
            <v/>
          </cell>
          <cell r="E183">
            <v>580</v>
          </cell>
          <cell r="F183">
            <v>10.33</v>
          </cell>
          <cell r="G183">
            <v>0.01</v>
          </cell>
          <cell r="H183">
            <v>6051.3140000000003</v>
          </cell>
          <cell r="I183">
            <v>30.256570000000007</v>
          </cell>
        </row>
        <row r="184">
          <cell r="A184" t="str">
            <v>01</v>
          </cell>
          <cell r="B184" t="str">
            <v>DGRPGM</v>
          </cell>
          <cell r="C184" t="str">
            <v>AUTREMC</v>
          </cell>
          <cell r="D184" t="str">
            <v/>
          </cell>
          <cell r="E184">
            <v>2035.2923684676705</v>
          </cell>
          <cell r="F184">
            <v>0.12808918510732575</v>
          </cell>
          <cell r="G184">
            <v>0</v>
          </cell>
          <cell r="H184">
            <v>258.11776329919104</v>
          </cell>
          <cell r="I184">
            <v>3.8717664494878643</v>
          </cell>
        </row>
        <row r="185">
          <cell r="A185" t="str">
            <v>01</v>
          </cell>
          <cell r="B185" t="str">
            <v>DGRPGM</v>
          </cell>
          <cell r="C185" t="str">
            <v>AUTREMP</v>
          </cell>
          <cell r="D185" t="str">
            <v/>
          </cell>
          <cell r="E185">
            <v>2636.7037037037035</v>
          </cell>
          <cell r="F185">
            <v>2.1600000000000001E-2</v>
          </cell>
          <cell r="G185">
            <v>0</v>
          </cell>
          <cell r="H185">
            <v>56.952799999999996</v>
          </cell>
          <cell r="I185">
            <v>0.85429199999999961</v>
          </cell>
        </row>
        <row r="186">
          <cell r="A186" t="str">
            <v>01</v>
          </cell>
          <cell r="B186" t="str">
            <v>DGRPGM</v>
          </cell>
          <cell r="C186" t="str">
            <v>BOUCHON</v>
          </cell>
          <cell r="D186" t="str">
            <v/>
          </cell>
          <cell r="E186">
            <v>9.3000000000000007</v>
          </cell>
          <cell r="F186">
            <v>1</v>
          </cell>
          <cell r="G186">
            <v>0.01</v>
          </cell>
          <cell r="H186">
            <v>620</v>
          </cell>
          <cell r="I186">
            <v>9.3000000000000007</v>
          </cell>
        </row>
        <row r="187">
          <cell r="A187" t="str">
            <v>01</v>
          </cell>
          <cell r="B187" t="str">
            <v>DGRPGM</v>
          </cell>
          <cell r="C187" t="str">
            <v>CARBURANT</v>
          </cell>
          <cell r="D187" t="str">
            <v/>
          </cell>
          <cell r="E187">
            <v>337.43078666328859</v>
          </cell>
          <cell r="F187">
            <v>3.6182848468968065</v>
          </cell>
          <cell r="G187">
            <v>0</v>
          </cell>
          <cell r="H187">
            <v>1220.9207022602459</v>
          </cell>
          <cell r="I187">
            <v>18.313810533903681</v>
          </cell>
        </row>
        <row r="188">
          <cell r="A188" t="str">
            <v>01</v>
          </cell>
          <cell r="B188" t="str">
            <v>DGRPGM</v>
          </cell>
          <cell r="C188" t="str">
            <v>COLLES</v>
          </cell>
          <cell r="D188" t="str">
            <v/>
          </cell>
          <cell r="E188">
            <v>4147.5</v>
          </cell>
          <cell r="F188">
            <v>1.4999999999999999E-4</v>
          </cell>
          <cell r="G188">
            <v>0.02</v>
          </cell>
          <cell r="H188">
            <v>41.475000000000001</v>
          </cell>
          <cell r="I188">
            <v>0.62212499999999993</v>
          </cell>
        </row>
        <row r="189">
          <cell r="A189" t="str">
            <v>01</v>
          </cell>
          <cell r="B189" t="str">
            <v>DGRPGM</v>
          </cell>
          <cell r="C189" t="str">
            <v>ETIQUETTEGM</v>
          </cell>
          <cell r="D189" t="str">
            <v/>
          </cell>
          <cell r="E189">
            <v>12.15</v>
          </cell>
          <cell r="F189">
            <v>1</v>
          </cell>
          <cell r="G189">
            <v>0.02</v>
          </cell>
          <cell r="H189">
            <v>810</v>
          </cell>
          <cell r="I189">
            <v>12.15</v>
          </cell>
        </row>
        <row r="190">
          <cell r="A190" t="str">
            <v>01</v>
          </cell>
          <cell r="B190" t="str">
            <v>DGRPGM</v>
          </cell>
          <cell r="C190" t="str">
            <v>EXTRAIT</v>
          </cell>
          <cell r="D190" t="str">
            <v/>
          </cell>
          <cell r="E190">
            <v>31905</v>
          </cell>
          <cell r="F190">
            <v>0.16995299999999999</v>
          </cell>
          <cell r="G190">
            <v>0</v>
          </cell>
          <cell r="H190">
            <v>5422.3504649999995</v>
          </cell>
          <cell r="I190">
            <v>81.335256974999965</v>
          </cell>
        </row>
        <row r="191">
          <cell r="A191" t="str">
            <v>01</v>
          </cell>
          <cell r="B191" t="str">
            <v>DGRPGM</v>
          </cell>
          <cell r="C191" t="str">
            <v>INTERCALAIRES</v>
          </cell>
          <cell r="D191" t="str">
            <v/>
          </cell>
          <cell r="E191">
            <v>772.22</v>
          </cell>
          <cell r="F191">
            <v>5.5999999999999999E-3</v>
          </cell>
          <cell r="G191">
            <v>0.01</v>
          </cell>
          <cell r="H191">
            <v>288.29546666666675</v>
          </cell>
          <cell r="I191">
            <v>4.3244319999999998</v>
          </cell>
        </row>
        <row r="192">
          <cell r="A192" t="str">
            <v>01</v>
          </cell>
          <cell r="B192" t="str">
            <v>DGRPGM</v>
          </cell>
          <cell r="C192" t="str">
            <v>KIESELGHUR</v>
          </cell>
          <cell r="D192" t="str">
            <v/>
          </cell>
          <cell r="E192">
            <v>883.2</v>
          </cell>
          <cell r="F192">
            <v>0.03</v>
          </cell>
          <cell r="G192">
            <v>0</v>
          </cell>
          <cell r="H192">
            <v>26.495999999999999</v>
          </cell>
          <cell r="I192">
            <v>0.39743999999999979</v>
          </cell>
        </row>
        <row r="193">
          <cell r="A193" t="str">
            <v>01</v>
          </cell>
          <cell r="B193" t="str">
            <v>DGRPGM</v>
          </cell>
          <cell r="C193" t="str">
            <v>LU</v>
          </cell>
          <cell r="D193" t="str">
            <v/>
          </cell>
          <cell r="E193">
            <v>1252.327512650173</v>
          </cell>
          <cell r="F193">
            <v>1.9199452391448067E-2</v>
          </cell>
          <cell r="G193">
            <v>0</v>
          </cell>
          <cell r="H193">
            <v>52.740335790960913</v>
          </cell>
          <cell r="I193">
            <v>0.79110503686441336</v>
          </cell>
        </row>
        <row r="194">
          <cell r="A194" t="str">
            <v>01</v>
          </cell>
          <cell r="B194" t="str">
            <v>DGRPGM</v>
          </cell>
          <cell r="C194" t="str">
            <v>PACKGM</v>
          </cell>
          <cell r="D194" t="str">
            <v/>
          </cell>
          <cell r="E194">
            <v>1424</v>
          </cell>
          <cell r="F194">
            <v>5.2900000000000004E-3</v>
          </cell>
          <cell r="G194">
            <v>0.02</v>
          </cell>
          <cell r="H194">
            <v>502.19733333333357</v>
          </cell>
          <cell r="I194">
            <v>7.5329600000000001</v>
          </cell>
        </row>
        <row r="195">
          <cell r="A195" t="str">
            <v>01</v>
          </cell>
          <cell r="B195" t="str">
            <v>DGRPGM</v>
          </cell>
          <cell r="C195" t="str">
            <v>PLAQUES</v>
          </cell>
          <cell r="D195" t="str">
            <v/>
          </cell>
          <cell r="E195">
            <v>14000</v>
          </cell>
          <cell r="F195">
            <v>2.0421659273090025E-3</v>
          </cell>
          <cell r="G195">
            <v>0</v>
          </cell>
          <cell r="H195">
            <v>28.307250477550529</v>
          </cell>
          <cell r="I195">
            <v>0.4246087571632578</v>
          </cell>
        </row>
        <row r="196">
          <cell r="A196" t="str">
            <v>01</v>
          </cell>
          <cell r="B196" t="str">
            <v>DGRPGM</v>
          </cell>
          <cell r="C196" t="str">
            <v>PREFORMEGM</v>
          </cell>
          <cell r="D196" t="str">
            <v/>
          </cell>
          <cell r="E196">
            <v>79</v>
          </cell>
          <cell r="F196">
            <v>1</v>
          </cell>
          <cell r="G196">
            <v>0.01</v>
          </cell>
          <cell r="H196">
            <v>5266.6666666666688</v>
          </cell>
          <cell r="I196">
            <v>79</v>
          </cell>
        </row>
        <row r="197">
          <cell r="A197" t="str">
            <v>01</v>
          </cell>
          <cell r="B197" t="str">
            <v>DGRPGM</v>
          </cell>
          <cell r="C197" t="str">
            <v>SUCRE</v>
          </cell>
          <cell r="D197" t="str">
            <v/>
          </cell>
          <cell r="E197">
            <v>580</v>
          </cell>
          <cell r="F197">
            <v>10</v>
          </cell>
          <cell r="G197">
            <v>0.01</v>
          </cell>
          <cell r="H197">
            <v>5858</v>
          </cell>
          <cell r="I197">
            <v>87.87</v>
          </cell>
        </row>
        <row r="198">
          <cell r="A198" t="str">
            <v>01</v>
          </cell>
          <cell r="B198" t="str">
            <v>DGRPPM</v>
          </cell>
          <cell r="C198" t="str">
            <v>AUTREMC</v>
          </cell>
          <cell r="D198" t="str">
            <v/>
          </cell>
          <cell r="E198">
            <v>2035.2923684676709</v>
          </cell>
          <cell r="F198">
            <v>0.12808918510732573</v>
          </cell>
          <cell r="G198">
            <v>0</v>
          </cell>
          <cell r="H198">
            <v>258.11776329919104</v>
          </cell>
          <cell r="I198">
            <v>1.2905888164959549</v>
          </cell>
        </row>
        <row r="199">
          <cell r="A199" t="str">
            <v>01</v>
          </cell>
          <cell r="B199" t="str">
            <v>DGRPPM</v>
          </cell>
          <cell r="C199" t="str">
            <v>AUTREMP</v>
          </cell>
          <cell r="D199" t="str">
            <v/>
          </cell>
          <cell r="E199">
            <v>2636.7037037037035</v>
          </cell>
          <cell r="F199">
            <v>2.1600000000000001E-2</v>
          </cell>
          <cell r="G199">
            <v>0</v>
          </cell>
          <cell r="H199">
            <v>56.952800000000003</v>
          </cell>
          <cell r="I199">
            <v>0.28476399999999991</v>
          </cell>
        </row>
        <row r="200">
          <cell r="A200" t="str">
            <v>01</v>
          </cell>
          <cell r="B200" t="str">
            <v>DGRPPM</v>
          </cell>
          <cell r="C200" t="str">
            <v>BOUCHON</v>
          </cell>
          <cell r="D200" t="str">
            <v/>
          </cell>
          <cell r="E200">
            <v>9.3000000000000007</v>
          </cell>
          <cell r="F200">
            <v>1</v>
          </cell>
          <cell r="G200">
            <v>0.01</v>
          </cell>
          <cell r="H200">
            <v>1860</v>
          </cell>
          <cell r="I200">
            <v>9.3000000000000007</v>
          </cell>
        </row>
        <row r="201">
          <cell r="A201" t="str">
            <v>01</v>
          </cell>
          <cell r="B201" t="str">
            <v>DGRPPM</v>
          </cell>
          <cell r="C201" t="str">
            <v>CARBURANT</v>
          </cell>
          <cell r="D201" t="str">
            <v/>
          </cell>
          <cell r="E201">
            <v>337.43078666328859</v>
          </cell>
          <cell r="F201">
            <v>3.6182848468968065</v>
          </cell>
          <cell r="G201">
            <v>0</v>
          </cell>
          <cell r="H201">
            <v>1220.9207022602459</v>
          </cell>
          <cell r="I201">
            <v>6.104603511301228</v>
          </cell>
        </row>
        <row r="202">
          <cell r="A202" t="str">
            <v>01</v>
          </cell>
          <cell r="B202" t="str">
            <v>DGRPPM</v>
          </cell>
          <cell r="C202" t="str">
            <v>COLLES</v>
          </cell>
          <cell r="D202" t="str">
            <v/>
          </cell>
          <cell r="E202">
            <v>4147.5</v>
          </cell>
          <cell r="F202">
            <v>7.4999999999999993E-5</v>
          </cell>
          <cell r="G202">
            <v>0.02</v>
          </cell>
          <cell r="H202">
            <v>62.212499999999999</v>
          </cell>
          <cell r="I202">
            <v>0.31106249999999996</v>
          </cell>
        </row>
        <row r="203">
          <cell r="A203" t="str">
            <v>01</v>
          </cell>
          <cell r="B203" t="str">
            <v>DGRPPM</v>
          </cell>
          <cell r="C203" t="str">
            <v>ETIQUETTEPM</v>
          </cell>
          <cell r="D203" t="str">
            <v/>
          </cell>
          <cell r="E203">
            <v>4.0599999999999996</v>
          </cell>
          <cell r="F203">
            <v>1</v>
          </cell>
          <cell r="G203">
            <v>0.02</v>
          </cell>
          <cell r="H203">
            <v>812</v>
          </cell>
          <cell r="I203">
            <v>4.0599999999999996</v>
          </cell>
        </row>
        <row r="204">
          <cell r="A204" t="str">
            <v>01</v>
          </cell>
          <cell r="B204" t="str">
            <v>DGRPPM</v>
          </cell>
          <cell r="C204" t="str">
            <v>EXTRAIT</v>
          </cell>
          <cell r="D204" t="str">
            <v/>
          </cell>
          <cell r="E204">
            <v>31905</v>
          </cell>
          <cell r="F204">
            <v>0.16995299999999999</v>
          </cell>
          <cell r="G204">
            <v>0</v>
          </cell>
          <cell r="H204">
            <v>5422.3504649999995</v>
          </cell>
          <cell r="I204">
            <v>27.111752324999991</v>
          </cell>
        </row>
        <row r="205">
          <cell r="A205" t="str">
            <v>01</v>
          </cell>
          <cell r="B205" t="str">
            <v>DGRPPM</v>
          </cell>
          <cell r="C205" t="str">
            <v>INTERCALAIRES</v>
          </cell>
          <cell r="D205" t="str">
            <v/>
          </cell>
          <cell r="E205">
            <v>772.22</v>
          </cell>
          <cell r="F205">
            <v>2.5999999999999999E-3</v>
          </cell>
          <cell r="G205">
            <v>0.01</v>
          </cell>
          <cell r="H205">
            <v>401.55440000000016</v>
          </cell>
          <cell r="I205">
            <v>2.0077720000000001</v>
          </cell>
        </row>
        <row r="206">
          <cell r="A206" t="str">
            <v>01</v>
          </cell>
          <cell r="B206" t="str">
            <v>DGRPPM</v>
          </cell>
          <cell r="C206" t="str">
            <v>KIESELGHUR</v>
          </cell>
          <cell r="D206" t="str">
            <v/>
          </cell>
          <cell r="E206">
            <v>883.2</v>
          </cell>
          <cell r="F206">
            <v>0.03</v>
          </cell>
          <cell r="G206">
            <v>0</v>
          </cell>
          <cell r="H206">
            <v>26.495999999999999</v>
          </cell>
          <cell r="I206">
            <v>0.13247999999999996</v>
          </cell>
        </row>
        <row r="207">
          <cell r="A207" t="str">
            <v>01</v>
          </cell>
          <cell r="B207" t="str">
            <v>DGRPPM</v>
          </cell>
          <cell r="C207" t="str">
            <v>LU</v>
          </cell>
          <cell r="D207" t="str">
            <v/>
          </cell>
          <cell r="E207">
            <v>1252.327512650173</v>
          </cell>
          <cell r="F207">
            <v>1.9199452391448067E-2</v>
          </cell>
          <cell r="G207">
            <v>0</v>
          </cell>
          <cell r="H207">
            <v>111.00700245762761</v>
          </cell>
          <cell r="I207">
            <v>0.5550350122881379</v>
          </cell>
        </row>
        <row r="208">
          <cell r="A208" t="str">
            <v>01</v>
          </cell>
          <cell r="B208" t="str">
            <v>DGRPPM</v>
          </cell>
          <cell r="C208" t="str">
            <v>PACKGM</v>
          </cell>
          <cell r="D208" t="str">
            <v/>
          </cell>
          <cell r="E208">
            <v>1424</v>
          </cell>
          <cell r="F208">
            <v>3.13E-3</v>
          </cell>
          <cell r="G208">
            <v>0.02</v>
          </cell>
          <cell r="H208">
            <v>891.42400000000021</v>
          </cell>
          <cell r="I208">
            <v>4.4571199999999997</v>
          </cell>
        </row>
        <row r="209">
          <cell r="A209" t="str">
            <v>01</v>
          </cell>
          <cell r="B209" t="str">
            <v>DGRPPM</v>
          </cell>
          <cell r="C209" t="str">
            <v>PLAQUES</v>
          </cell>
          <cell r="D209" t="str">
            <v/>
          </cell>
          <cell r="E209">
            <v>14000</v>
          </cell>
          <cell r="F209">
            <v>2.0421659273090025E-3</v>
          </cell>
          <cell r="G209">
            <v>0</v>
          </cell>
          <cell r="H209">
            <v>28.307250477550532</v>
          </cell>
          <cell r="I209">
            <v>0.14153625238775261</v>
          </cell>
        </row>
        <row r="210">
          <cell r="A210" t="str">
            <v>01</v>
          </cell>
          <cell r="B210" t="str">
            <v>DGRPPM</v>
          </cell>
          <cell r="C210" t="str">
            <v>PREFORMEPM</v>
          </cell>
          <cell r="D210" t="str">
            <v/>
          </cell>
          <cell r="E210">
            <v>48</v>
          </cell>
          <cell r="F210">
            <v>1</v>
          </cell>
          <cell r="G210">
            <v>0.01</v>
          </cell>
          <cell r="H210">
            <v>9600</v>
          </cell>
          <cell r="I210">
            <v>48</v>
          </cell>
        </row>
        <row r="211">
          <cell r="A211" t="str">
            <v>01</v>
          </cell>
          <cell r="B211" t="str">
            <v>DGRPPM</v>
          </cell>
          <cell r="C211" t="str">
            <v>SUCRE</v>
          </cell>
          <cell r="D211" t="str">
            <v/>
          </cell>
          <cell r="E211">
            <v>580</v>
          </cell>
          <cell r="F211">
            <v>10</v>
          </cell>
          <cell r="G211">
            <v>0.01</v>
          </cell>
          <cell r="H211">
            <v>5858</v>
          </cell>
          <cell r="I211">
            <v>29.29</v>
          </cell>
        </row>
        <row r="212">
          <cell r="A212" t="str">
            <v>01</v>
          </cell>
          <cell r="B212" t="str">
            <v>DPAPGM</v>
          </cell>
          <cell r="C212" t="str">
            <v>AUTREMC</v>
          </cell>
          <cell r="D212" t="str">
            <v/>
          </cell>
          <cell r="E212">
            <v>2035.2923684676705</v>
          </cell>
          <cell r="F212">
            <v>0.12808918510732575</v>
          </cell>
          <cell r="G212">
            <v>0</v>
          </cell>
          <cell r="H212">
            <v>258.11776329919104</v>
          </cell>
          <cell r="I212">
            <v>3.8717664494878652</v>
          </cell>
        </row>
        <row r="213">
          <cell r="A213" t="str">
            <v>01</v>
          </cell>
          <cell r="B213" t="str">
            <v>DPAPGM</v>
          </cell>
          <cell r="C213" t="str">
            <v>AUTREMP</v>
          </cell>
          <cell r="D213" t="str">
            <v/>
          </cell>
          <cell r="E213">
            <v>1411.5217812197482</v>
          </cell>
          <cell r="F213">
            <v>0.20660000000000001</v>
          </cell>
          <cell r="G213">
            <v>0</v>
          </cell>
          <cell r="H213">
            <v>291.62039999999996</v>
          </cell>
          <cell r="I213">
            <v>4.3743059999999998</v>
          </cell>
        </row>
        <row r="214">
          <cell r="A214" t="str">
            <v>01</v>
          </cell>
          <cell r="B214" t="str">
            <v>DPAPGM</v>
          </cell>
          <cell r="C214" t="str">
            <v>BOUCHON</v>
          </cell>
          <cell r="D214" t="str">
            <v/>
          </cell>
          <cell r="E214">
            <v>9.3000000000000007</v>
          </cell>
          <cell r="F214">
            <v>1</v>
          </cell>
          <cell r="G214">
            <v>0.01</v>
          </cell>
          <cell r="H214">
            <v>620</v>
          </cell>
          <cell r="I214">
            <v>9.3000000000000007</v>
          </cell>
        </row>
        <row r="215">
          <cell r="A215" t="str">
            <v>01</v>
          </cell>
          <cell r="B215" t="str">
            <v>DPAPGM</v>
          </cell>
          <cell r="C215" t="str">
            <v>CARBURANT</v>
          </cell>
          <cell r="D215" t="str">
            <v/>
          </cell>
          <cell r="E215">
            <v>337.43078666328859</v>
          </cell>
          <cell r="F215">
            <v>3.6182848468968065</v>
          </cell>
          <cell r="G215">
            <v>0</v>
          </cell>
          <cell r="H215">
            <v>1220.9207022602461</v>
          </cell>
          <cell r="I215">
            <v>18.313810533903691</v>
          </cell>
        </row>
        <row r="216">
          <cell r="A216" t="str">
            <v>01</v>
          </cell>
          <cell r="B216" t="str">
            <v>DPAPGM</v>
          </cell>
          <cell r="C216" t="str">
            <v>COLLES</v>
          </cell>
          <cell r="D216" t="str">
            <v/>
          </cell>
          <cell r="E216">
            <v>4147.5</v>
          </cell>
          <cell r="F216">
            <v>1.4999999999999999E-4</v>
          </cell>
          <cell r="G216">
            <v>0.02</v>
          </cell>
          <cell r="H216">
            <v>41.475000000000001</v>
          </cell>
          <cell r="I216">
            <v>0.62212499999999993</v>
          </cell>
        </row>
        <row r="217">
          <cell r="A217" t="str">
            <v>01</v>
          </cell>
          <cell r="B217" t="str">
            <v>DPAPGM</v>
          </cell>
          <cell r="C217" t="str">
            <v>ETIQUETTEGM</v>
          </cell>
          <cell r="D217" t="str">
            <v/>
          </cell>
          <cell r="E217">
            <v>13.02</v>
          </cell>
          <cell r="F217">
            <v>1</v>
          </cell>
          <cell r="G217">
            <v>0.02</v>
          </cell>
          <cell r="H217">
            <v>868</v>
          </cell>
          <cell r="I217">
            <v>13.02</v>
          </cell>
        </row>
        <row r="218">
          <cell r="A218" t="str">
            <v>01</v>
          </cell>
          <cell r="B218" t="str">
            <v>DPAPGM</v>
          </cell>
          <cell r="C218" t="str">
            <v>EXTRAIT</v>
          </cell>
          <cell r="D218" t="str">
            <v/>
          </cell>
          <cell r="E218">
            <v>3847</v>
          </cell>
          <cell r="F218">
            <v>1.95</v>
          </cell>
          <cell r="G218">
            <v>0</v>
          </cell>
          <cell r="H218">
            <v>7501.65</v>
          </cell>
          <cell r="I218">
            <v>112.52475</v>
          </cell>
        </row>
        <row r="219">
          <cell r="A219" t="str">
            <v>01</v>
          </cell>
          <cell r="B219" t="str">
            <v>DPAPGM</v>
          </cell>
          <cell r="C219" t="str">
            <v>INTERCALAIRES</v>
          </cell>
          <cell r="D219" t="str">
            <v/>
          </cell>
          <cell r="E219">
            <v>772.22</v>
          </cell>
          <cell r="F219">
            <v>5.5999999999999999E-3</v>
          </cell>
          <cell r="G219">
            <v>0.01</v>
          </cell>
          <cell r="H219">
            <v>288.2954666666667</v>
          </cell>
          <cell r="I219">
            <v>4.3244319999999998</v>
          </cell>
        </row>
        <row r="220">
          <cell r="A220" t="str">
            <v>01</v>
          </cell>
          <cell r="B220" t="str">
            <v>DPAPGM</v>
          </cell>
          <cell r="C220" t="str">
            <v>KIESELGHUR</v>
          </cell>
          <cell r="D220" t="str">
            <v/>
          </cell>
          <cell r="E220">
            <v>883.2</v>
          </cell>
          <cell r="F220">
            <v>0.03</v>
          </cell>
          <cell r="G220">
            <v>0</v>
          </cell>
          <cell r="H220">
            <v>26.495999999999999</v>
          </cell>
          <cell r="I220">
            <v>0.39743999999999996</v>
          </cell>
        </row>
        <row r="221">
          <cell r="A221" t="str">
            <v>01</v>
          </cell>
          <cell r="B221" t="str">
            <v>DPAPGM</v>
          </cell>
          <cell r="C221" t="str">
            <v>LU</v>
          </cell>
          <cell r="D221" t="str">
            <v/>
          </cell>
          <cell r="E221">
            <v>1252.327512650173</v>
          </cell>
          <cell r="F221">
            <v>1.9199452391448067E-2</v>
          </cell>
          <cell r="G221">
            <v>0</v>
          </cell>
          <cell r="H221">
            <v>52.740335790960899</v>
          </cell>
          <cell r="I221">
            <v>0.79110503686441347</v>
          </cell>
        </row>
        <row r="222">
          <cell r="A222" t="str">
            <v>01</v>
          </cell>
          <cell r="B222" t="str">
            <v>DPAPGM</v>
          </cell>
          <cell r="C222" t="str">
            <v>PACKGM</v>
          </cell>
          <cell r="D222" t="str">
            <v/>
          </cell>
          <cell r="E222">
            <v>1424</v>
          </cell>
          <cell r="F222">
            <v>5.2900000000000004E-3</v>
          </cell>
          <cell r="G222">
            <v>0.02</v>
          </cell>
          <cell r="H222">
            <v>502.19733333333335</v>
          </cell>
          <cell r="I222">
            <v>7.5329600000000001</v>
          </cell>
        </row>
        <row r="223">
          <cell r="A223" t="str">
            <v>01</v>
          </cell>
          <cell r="B223" t="str">
            <v>DPAPGM</v>
          </cell>
          <cell r="C223" t="str">
            <v>PLAQUES</v>
          </cell>
          <cell r="D223" t="str">
            <v/>
          </cell>
          <cell r="E223">
            <v>14000</v>
          </cell>
          <cell r="F223">
            <v>2.0421659273090025E-3</v>
          </cell>
          <cell r="G223">
            <v>0</v>
          </cell>
          <cell r="H223">
            <v>28.307250477550529</v>
          </cell>
          <cell r="I223">
            <v>0.42460875716325791</v>
          </cell>
        </row>
        <row r="224">
          <cell r="A224" t="str">
            <v>01</v>
          </cell>
          <cell r="B224" t="str">
            <v>DPAPGM</v>
          </cell>
          <cell r="C224" t="str">
            <v>PREFORMEGM</v>
          </cell>
          <cell r="D224" t="str">
            <v/>
          </cell>
          <cell r="E224">
            <v>79</v>
          </cell>
          <cell r="F224">
            <v>1</v>
          </cell>
          <cell r="G224">
            <v>0.01</v>
          </cell>
          <cell r="H224">
            <v>5266.666666666667</v>
          </cell>
          <cell r="I224">
            <v>79</v>
          </cell>
        </row>
        <row r="225">
          <cell r="A225" t="str">
            <v>01</v>
          </cell>
          <cell r="B225" t="str">
            <v>DPAPGM</v>
          </cell>
          <cell r="C225" t="str">
            <v>SUCRE</v>
          </cell>
          <cell r="D225" t="str">
            <v/>
          </cell>
          <cell r="E225">
            <v>580</v>
          </cell>
          <cell r="F225">
            <v>10</v>
          </cell>
          <cell r="G225">
            <v>0.01</v>
          </cell>
          <cell r="H225">
            <v>5858</v>
          </cell>
          <cell r="I225">
            <v>87.87</v>
          </cell>
        </row>
        <row r="226">
          <cell r="A226" t="str">
            <v>01</v>
          </cell>
          <cell r="B226" t="str">
            <v>DPAPPM</v>
          </cell>
          <cell r="C226" t="str">
            <v>AUTREMC</v>
          </cell>
          <cell r="D226" t="str">
            <v/>
          </cell>
          <cell r="E226">
            <v>2035.2923684676705</v>
          </cell>
          <cell r="F226">
            <v>0.12808918510732575</v>
          </cell>
          <cell r="G226">
            <v>0</v>
          </cell>
          <cell r="H226">
            <v>258.11776329919104</v>
          </cell>
          <cell r="I226">
            <v>1.2905888164959554</v>
          </cell>
        </row>
        <row r="227">
          <cell r="A227" t="str">
            <v>01</v>
          </cell>
          <cell r="B227" t="str">
            <v>DPAPPM</v>
          </cell>
          <cell r="C227" t="str">
            <v>AUTREMP</v>
          </cell>
          <cell r="D227" t="str">
            <v/>
          </cell>
          <cell r="E227">
            <v>1411.5217812197482</v>
          </cell>
          <cell r="F227">
            <v>0.20660000000000001</v>
          </cell>
          <cell r="G227">
            <v>0</v>
          </cell>
          <cell r="H227">
            <v>291.62040000000002</v>
          </cell>
          <cell r="I227">
            <v>1.4581020000000005</v>
          </cell>
        </row>
        <row r="228">
          <cell r="A228" t="str">
            <v>01</v>
          </cell>
          <cell r="B228" t="str">
            <v>DPAPPM</v>
          </cell>
          <cell r="C228" t="str">
            <v>BOUCHON</v>
          </cell>
          <cell r="D228" t="str">
            <v/>
          </cell>
          <cell r="E228">
            <v>9.3000000000000007</v>
          </cell>
          <cell r="F228">
            <v>1</v>
          </cell>
          <cell r="G228">
            <v>0.01</v>
          </cell>
          <cell r="H228">
            <v>1860</v>
          </cell>
          <cell r="I228">
            <v>9.3000000000000007</v>
          </cell>
        </row>
        <row r="229">
          <cell r="A229" t="str">
            <v>01</v>
          </cell>
          <cell r="B229" t="str">
            <v>DPAPPM</v>
          </cell>
          <cell r="C229" t="str">
            <v>CARBURANT</v>
          </cell>
          <cell r="D229" t="str">
            <v/>
          </cell>
          <cell r="E229">
            <v>337.43078666328859</v>
          </cell>
          <cell r="F229">
            <v>3.6182848468968065</v>
          </cell>
          <cell r="G229">
            <v>0</v>
          </cell>
          <cell r="H229">
            <v>1220.9207022602459</v>
          </cell>
          <cell r="I229">
            <v>6.1046035113012316</v>
          </cell>
        </row>
        <row r="230">
          <cell r="A230" t="str">
            <v>01</v>
          </cell>
          <cell r="B230" t="str">
            <v>DPAPPM</v>
          </cell>
          <cell r="C230" t="str">
            <v>COLLES</v>
          </cell>
          <cell r="D230" t="str">
            <v/>
          </cell>
          <cell r="E230">
            <v>4147.5</v>
          </cell>
          <cell r="F230">
            <v>7.4999999999999993E-5</v>
          </cell>
          <cell r="G230">
            <v>0.02</v>
          </cell>
          <cell r="H230">
            <v>62.212499999999999</v>
          </cell>
          <cell r="I230">
            <v>0.31106249999999996</v>
          </cell>
        </row>
        <row r="231">
          <cell r="A231" t="str">
            <v>01</v>
          </cell>
          <cell r="B231" t="str">
            <v>DPAPPM</v>
          </cell>
          <cell r="C231" t="str">
            <v>ETIQUETTEPM</v>
          </cell>
          <cell r="D231" t="str">
            <v/>
          </cell>
          <cell r="E231">
            <v>4.72</v>
          </cell>
          <cell r="F231">
            <v>1</v>
          </cell>
          <cell r="G231">
            <v>0.02</v>
          </cell>
          <cell r="H231">
            <v>944</v>
          </cell>
          <cell r="I231">
            <v>4.72</v>
          </cell>
        </row>
        <row r="232">
          <cell r="A232" t="str">
            <v>01</v>
          </cell>
          <cell r="B232" t="str">
            <v>DPAPPM</v>
          </cell>
          <cell r="C232" t="str">
            <v>EXTRAIT</v>
          </cell>
          <cell r="D232" t="str">
            <v/>
          </cell>
          <cell r="E232">
            <v>3847</v>
          </cell>
          <cell r="F232">
            <v>1.95</v>
          </cell>
          <cell r="G232">
            <v>0</v>
          </cell>
          <cell r="H232">
            <v>7501.65</v>
          </cell>
          <cell r="I232">
            <v>37.508250000000011</v>
          </cell>
        </row>
        <row r="233">
          <cell r="A233" t="str">
            <v>01</v>
          </cell>
          <cell r="B233" t="str">
            <v>DPAPPM</v>
          </cell>
          <cell r="C233" t="str">
            <v>INTERCALAIRES</v>
          </cell>
          <cell r="D233" t="str">
            <v/>
          </cell>
          <cell r="E233">
            <v>772.22</v>
          </cell>
          <cell r="F233">
            <v>2.5999999999999999E-3</v>
          </cell>
          <cell r="G233">
            <v>0.01</v>
          </cell>
          <cell r="H233">
            <v>401.55439999999987</v>
          </cell>
          <cell r="I233">
            <v>2.0077720000000001</v>
          </cell>
        </row>
        <row r="234">
          <cell r="A234" t="str">
            <v>01</v>
          </cell>
          <cell r="B234" t="str">
            <v>DPAPPM</v>
          </cell>
          <cell r="C234" t="str">
            <v>KIESELGHUR</v>
          </cell>
          <cell r="D234" t="str">
            <v/>
          </cell>
          <cell r="E234">
            <v>883.2</v>
          </cell>
          <cell r="F234">
            <v>0.03</v>
          </cell>
          <cell r="G234">
            <v>0</v>
          </cell>
          <cell r="H234">
            <v>26.495999999999999</v>
          </cell>
          <cell r="I234">
            <v>0.13248000000000004</v>
          </cell>
        </row>
        <row r="235">
          <cell r="A235" t="str">
            <v>01</v>
          </cell>
          <cell r="B235" t="str">
            <v>DPAPPM</v>
          </cell>
          <cell r="C235" t="str">
            <v>LU</v>
          </cell>
          <cell r="D235" t="str">
            <v/>
          </cell>
          <cell r="E235">
            <v>1252.327512650173</v>
          </cell>
          <cell r="F235">
            <v>1.9199452391448067E-2</v>
          </cell>
          <cell r="G235">
            <v>0</v>
          </cell>
          <cell r="H235">
            <v>111.00700245762755</v>
          </cell>
          <cell r="I235">
            <v>0.5550350122881379</v>
          </cell>
        </row>
        <row r="236">
          <cell r="A236" t="str">
            <v>01</v>
          </cell>
          <cell r="B236" t="str">
            <v>DPAPPM</v>
          </cell>
          <cell r="C236" t="str">
            <v>PACKGM</v>
          </cell>
          <cell r="D236" t="str">
            <v/>
          </cell>
          <cell r="E236">
            <v>1424</v>
          </cell>
          <cell r="F236">
            <v>3.13E-3</v>
          </cell>
          <cell r="G236">
            <v>0.02</v>
          </cell>
          <cell r="H236">
            <v>891.42399999999975</v>
          </cell>
          <cell r="I236">
            <v>4.4571199999999997</v>
          </cell>
        </row>
        <row r="237">
          <cell r="A237" t="str">
            <v>01</v>
          </cell>
          <cell r="B237" t="str">
            <v>DPAPPM</v>
          </cell>
          <cell r="C237" t="str">
            <v>PLAQUES</v>
          </cell>
          <cell r="D237" t="str">
            <v/>
          </cell>
          <cell r="E237">
            <v>14000</v>
          </cell>
          <cell r="F237">
            <v>2.0421659273090025E-3</v>
          </cell>
          <cell r="G237">
            <v>0</v>
          </cell>
          <cell r="H237">
            <v>28.307250477550529</v>
          </cell>
          <cell r="I237">
            <v>0.14153625238775266</v>
          </cell>
        </row>
        <row r="238">
          <cell r="A238" t="str">
            <v>01</v>
          </cell>
          <cell r="B238" t="str">
            <v>DPAPPM</v>
          </cell>
          <cell r="C238" t="str">
            <v>PREFORMEPM</v>
          </cell>
          <cell r="D238" t="str">
            <v/>
          </cell>
          <cell r="E238">
            <v>48</v>
          </cell>
          <cell r="F238">
            <v>1</v>
          </cell>
          <cell r="G238">
            <v>0.01</v>
          </cell>
          <cell r="H238">
            <v>9600</v>
          </cell>
          <cell r="I238">
            <v>48</v>
          </cell>
        </row>
        <row r="239">
          <cell r="A239" t="str">
            <v>01</v>
          </cell>
          <cell r="B239" t="str">
            <v>DPAPPM</v>
          </cell>
          <cell r="C239" t="str">
            <v>SUCRE</v>
          </cell>
          <cell r="D239" t="str">
            <v/>
          </cell>
          <cell r="E239">
            <v>580</v>
          </cell>
          <cell r="F239">
            <v>10</v>
          </cell>
          <cell r="G239">
            <v>0.01</v>
          </cell>
          <cell r="H239">
            <v>5858</v>
          </cell>
          <cell r="I239">
            <v>29.29</v>
          </cell>
        </row>
        <row r="240">
          <cell r="A240" t="str">
            <v>01</v>
          </cell>
          <cell r="B240" t="str">
            <v>EXPORT</v>
          </cell>
          <cell r="C240" t="str">
            <v>10113002</v>
          </cell>
          <cell r="D240" t="str">
            <v xml:space="preserve">HOUBLON EXTRAITS 40 % CO2               </v>
          </cell>
          <cell r="E240">
            <v>45000</v>
          </cell>
          <cell r="F240">
            <v>8.3000000000000001E-3</v>
          </cell>
          <cell r="G240">
            <v>0.04</v>
          </cell>
          <cell r="H240">
            <v>388.44</v>
          </cell>
          <cell r="I240">
            <v>1.9559445658846459</v>
          </cell>
        </row>
        <row r="241">
          <cell r="A241" t="str">
            <v>01</v>
          </cell>
          <cell r="B241" t="str">
            <v>EXPORT</v>
          </cell>
          <cell r="C241" t="str">
            <v>10113005</v>
          </cell>
          <cell r="D241" t="str">
            <v xml:space="preserve">HOUBLON ISOMERISE IKE (Kilo Iso Alpha)  </v>
          </cell>
          <cell r="E241">
            <v>142225</v>
          </cell>
          <cell r="F241">
            <v>1.6999999999999999E-3</v>
          </cell>
          <cell r="G241">
            <v>0.04</v>
          </cell>
          <cell r="H241">
            <v>251.45379999999986</v>
          </cell>
          <cell r="I241">
            <v>1.2661664444471334</v>
          </cell>
        </row>
        <row r="242">
          <cell r="A242" t="str">
            <v>01</v>
          </cell>
          <cell r="B242" t="str">
            <v>EXPORT</v>
          </cell>
          <cell r="C242" t="str">
            <v>10113009</v>
          </cell>
          <cell r="D242" t="str">
            <v xml:space="preserve">MAIS GRITS                              </v>
          </cell>
          <cell r="E242">
            <v>400</v>
          </cell>
          <cell r="F242">
            <v>4.37</v>
          </cell>
          <cell r="G242">
            <v>0.04</v>
          </cell>
          <cell r="H242">
            <v>1817.92</v>
          </cell>
          <cell r="I242">
            <v>9.1539253043276059</v>
          </cell>
        </row>
        <row r="243">
          <cell r="A243" t="str">
            <v>01</v>
          </cell>
          <cell r="B243" t="str">
            <v>EXPORT</v>
          </cell>
          <cell r="C243" t="str">
            <v>10113015</v>
          </cell>
          <cell r="D243" t="str">
            <v xml:space="preserve">MALT                                    </v>
          </cell>
          <cell r="E243">
            <v>489</v>
          </cell>
          <cell r="F243">
            <v>12.29</v>
          </cell>
          <cell r="G243">
            <v>0.04</v>
          </cell>
          <cell r="H243">
            <v>6250.2023999999974</v>
          </cell>
          <cell r="I243">
            <v>31.472169240961723</v>
          </cell>
        </row>
        <row r="244">
          <cell r="A244" t="str">
            <v>01</v>
          </cell>
          <cell r="B244" t="str">
            <v>EXPORT</v>
          </cell>
          <cell r="C244" t="str">
            <v>AUTREMC</v>
          </cell>
          <cell r="D244" t="str">
            <v/>
          </cell>
          <cell r="E244">
            <v>2364.0681059167568</v>
          </cell>
          <cell r="F244">
            <v>0.16308918510732576</v>
          </cell>
          <cell r="G244">
            <v>0</v>
          </cell>
          <cell r="H244">
            <v>371.17461122288131</v>
          </cell>
          <cell r="I244">
            <v>1.8690067032636728</v>
          </cell>
        </row>
        <row r="245">
          <cell r="A245" t="str">
            <v>01</v>
          </cell>
          <cell r="B245" t="str">
            <v>EXPORT</v>
          </cell>
          <cell r="C245" t="str">
            <v>AUTREMP</v>
          </cell>
          <cell r="D245" t="str">
            <v/>
          </cell>
          <cell r="E245">
            <v>2041.0570868610853</v>
          </cell>
          <cell r="F245">
            <v>7.9725000000000004E-2</v>
          </cell>
          <cell r="G245">
            <v>0</v>
          </cell>
          <cell r="H245">
            <v>152.63811838041354</v>
          </cell>
          <cell r="I245">
            <v>0.76859154101798799</v>
          </cell>
        </row>
        <row r="246">
          <cell r="A246" t="str">
            <v>01</v>
          </cell>
          <cell r="B246" t="str">
            <v>EXPORT</v>
          </cell>
          <cell r="C246" t="str">
            <v>BOITESPM</v>
          </cell>
          <cell r="D246" t="str">
            <v/>
          </cell>
          <cell r="E246">
            <v>51.45</v>
          </cell>
          <cell r="F246">
            <v>2</v>
          </cell>
          <cell r="G246">
            <v>0.02</v>
          </cell>
          <cell r="H246">
            <v>1862.2011855781941</v>
          </cell>
          <cell r="I246">
            <v>9.3768980782504769</v>
          </cell>
        </row>
        <row r="247">
          <cell r="A247" t="str">
            <v>01</v>
          </cell>
          <cell r="B247" t="str">
            <v>EXPORT</v>
          </cell>
          <cell r="C247" t="str">
            <v>CAPSULE</v>
          </cell>
          <cell r="D247" t="str">
            <v/>
          </cell>
          <cell r="E247">
            <v>6.14</v>
          </cell>
          <cell r="F247">
            <v>1</v>
          </cell>
          <cell r="G247">
            <v>0.02</v>
          </cell>
          <cell r="H247">
            <v>1108.25398739242</v>
          </cell>
          <cell r="I247">
            <v>5.5804844101024491</v>
          </cell>
        </row>
        <row r="248">
          <cell r="A248" t="str">
            <v>01</v>
          </cell>
          <cell r="B248" t="str">
            <v>EXPORT</v>
          </cell>
          <cell r="C248" t="str">
            <v>CARBURANT</v>
          </cell>
          <cell r="D248" t="str">
            <v/>
          </cell>
          <cell r="E248">
            <v>337.43078666328859</v>
          </cell>
          <cell r="F248">
            <v>3.6182848468968065</v>
          </cell>
          <cell r="G248">
            <v>0</v>
          </cell>
          <cell r="H248">
            <v>1220.9207022602461</v>
          </cell>
          <cell r="I248">
            <v>6.1478045849088536</v>
          </cell>
        </row>
        <row r="249">
          <cell r="A249" t="str">
            <v>01</v>
          </cell>
          <cell r="B249" t="str">
            <v>EXPORT</v>
          </cell>
          <cell r="C249" t="str">
            <v>CARTONSPM</v>
          </cell>
          <cell r="D249" t="str">
            <v/>
          </cell>
          <cell r="E249">
            <v>240.53240740740739</v>
          </cell>
          <cell r="F249">
            <v>4.3200000000000002E-2</v>
          </cell>
          <cell r="G249">
            <v>0.02</v>
          </cell>
          <cell r="H249">
            <v>188.04793507621977</v>
          </cell>
          <cell r="I249">
            <v>0.94689356589990958</v>
          </cell>
        </row>
        <row r="250">
          <cell r="A250" t="str">
            <v>01</v>
          </cell>
          <cell r="B250" t="str">
            <v>EXPORT</v>
          </cell>
          <cell r="C250" t="str">
            <v>COLLERETTEGM</v>
          </cell>
          <cell r="D250" t="str">
            <v/>
          </cell>
          <cell r="E250">
            <v>2.0499999999999998</v>
          </cell>
          <cell r="F250">
            <v>1</v>
          </cell>
          <cell r="G250">
            <v>0.02</v>
          </cell>
          <cell r="H250">
            <v>220.78363444034298</v>
          </cell>
          <cell r="I250">
            <v>1.1117303831218492</v>
          </cell>
        </row>
        <row r="251">
          <cell r="A251" t="str">
            <v>01</v>
          </cell>
          <cell r="B251" t="str">
            <v>EXPORT</v>
          </cell>
          <cell r="C251" t="str">
            <v>COLLERETTEPM</v>
          </cell>
          <cell r="D251" t="str">
            <v/>
          </cell>
          <cell r="E251">
            <v>2.2000000000000002</v>
          </cell>
          <cell r="F251">
            <v>1</v>
          </cell>
          <cell r="G251">
            <v>0.02</v>
          </cell>
          <cell r="H251">
            <v>160.15572806225958</v>
          </cell>
          <cell r="I251">
            <v>0.80644559262350901</v>
          </cell>
        </row>
        <row r="252">
          <cell r="A252" t="str">
            <v>01</v>
          </cell>
          <cell r="B252" t="str">
            <v>EXPORT</v>
          </cell>
          <cell r="C252" t="str">
            <v>COLLES</v>
          </cell>
          <cell r="D252" t="str">
            <v/>
          </cell>
          <cell r="E252">
            <v>2445</v>
          </cell>
          <cell r="F252">
            <v>1E-3</v>
          </cell>
          <cell r="G252">
            <v>0.02</v>
          </cell>
          <cell r="H252">
            <v>441.31612364404998</v>
          </cell>
          <cell r="I252">
            <v>2.2221961535342816</v>
          </cell>
        </row>
        <row r="253">
          <cell r="A253" t="str">
            <v>01</v>
          </cell>
          <cell r="B253" t="str">
            <v>EXPORT</v>
          </cell>
          <cell r="C253" t="str">
            <v>DETERSIF</v>
          </cell>
          <cell r="D253" t="str">
            <v/>
          </cell>
          <cell r="E253">
            <v>750.75</v>
          </cell>
          <cell r="F253">
            <v>0.5</v>
          </cell>
          <cell r="G253">
            <v>0</v>
          </cell>
          <cell r="H253">
            <v>352.95732807463378</v>
          </cell>
          <cell r="I253">
            <v>1.7772756869445587</v>
          </cell>
        </row>
        <row r="254">
          <cell r="A254" t="str">
            <v>01</v>
          </cell>
          <cell r="B254" t="str">
            <v>EXPORT</v>
          </cell>
          <cell r="C254" t="str">
            <v>ETIQUETTEGM</v>
          </cell>
          <cell r="D254" t="str">
            <v/>
          </cell>
          <cell r="E254">
            <v>4.3550000000000004</v>
          </cell>
          <cell r="F254">
            <v>2</v>
          </cell>
          <cell r="G254">
            <v>0.02</v>
          </cell>
          <cell r="H254">
            <v>938.06119803677439</v>
          </cell>
          <cell r="I254">
            <v>4.7234983595079552</v>
          </cell>
        </row>
        <row r="255">
          <cell r="A255" t="str">
            <v>01</v>
          </cell>
          <cell r="B255" t="str">
            <v>EXPORT</v>
          </cell>
          <cell r="C255" t="str">
            <v>ETIQUETTEPM</v>
          </cell>
          <cell r="D255" t="str">
            <v/>
          </cell>
          <cell r="E255">
            <v>3.43</v>
          </cell>
          <cell r="F255">
            <v>2</v>
          </cell>
          <cell r="G255">
            <v>0.02</v>
          </cell>
          <cell r="H255">
            <v>499.3946793214094</v>
          </cell>
          <cell r="I255">
            <v>2.5146439842714869</v>
          </cell>
        </row>
        <row r="256">
          <cell r="A256" t="str">
            <v>01</v>
          </cell>
          <cell r="B256" t="str">
            <v>EXPORT</v>
          </cell>
          <cell r="C256" t="str">
            <v>KIESELGHUR</v>
          </cell>
          <cell r="D256" t="str">
            <v/>
          </cell>
          <cell r="E256">
            <v>887.05675675675684</v>
          </cell>
          <cell r="F256">
            <v>0.29599999999999999</v>
          </cell>
          <cell r="G256">
            <v>0</v>
          </cell>
          <cell r="H256">
            <v>262.5687999999999</v>
          </cell>
          <cell r="I256">
            <v>1.3221347377480497</v>
          </cell>
        </row>
        <row r="257">
          <cell r="A257" t="str">
            <v>01</v>
          </cell>
          <cell r="B257" t="str">
            <v>EXPORT</v>
          </cell>
          <cell r="C257" t="str">
            <v>LU</v>
          </cell>
          <cell r="D257" t="str">
            <v/>
          </cell>
          <cell r="E257">
            <v>1252.327512650173</v>
          </cell>
          <cell r="F257">
            <v>1.9199452391448067E-2</v>
          </cell>
          <cell r="G257">
            <v>0</v>
          </cell>
          <cell r="H257">
            <v>110.39283624899845</v>
          </cell>
          <cell r="I257">
            <v>0.55587032276238835</v>
          </cell>
        </row>
        <row r="258">
          <cell r="A258" t="str">
            <v>01</v>
          </cell>
          <cell r="B258" t="str">
            <v>EXPORT</v>
          </cell>
          <cell r="C258" t="str">
            <v>PLAQUES</v>
          </cell>
          <cell r="D258" t="str">
            <v/>
          </cell>
          <cell r="E258">
            <v>14000</v>
          </cell>
          <cell r="F258">
            <v>2.0421659273090025E-3</v>
          </cell>
          <cell r="G258">
            <v>0</v>
          </cell>
          <cell r="H258">
            <v>27.490695175313494</v>
          </cell>
          <cell r="I258">
            <v>0.13842620698317809</v>
          </cell>
        </row>
        <row r="259">
          <cell r="A259" t="str">
            <v>01</v>
          </cell>
          <cell r="B259" t="str">
            <v>FANTFR</v>
          </cell>
          <cell r="C259" t="str">
            <v>AUTREMC</v>
          </cell>
          <cell r="D259" t="str">
            <v/>
          </cell>
          <cell r="E259">
            <v>2252.5543691149755</v>
          </cell>
          <cell r="F259">
            <v>0.14808918510732574</v>
          </cell>
          <cell r="G259">
            <v>0</v>
          </cell>
          <cell r="H259">
            <v>328.46719699233626</v>
          </cell>
          <cell r="I259">
            <v>1.7129417578613815</v>
          </cell>
        </row>
        <row r="260">
          <cell r="A260" t="str">
            <v>01</v>
          </cell>
          <cell r="B260" t="str">
            <v>FANTFR</v>
          </cell>
          <cell r="C260" t="str">
            <v>AUTREMP</v>
          </cell>
          <cell r="D260" t="str">
            <v/>
          </cell>
          <cell r="E260">
            <v>2133</v>
          </cell>
          <cell r="F260">
            <v>1.6000000000000001E-3</v>
          </cell>
          <cell r="G260">
            <v>0</v>
          </cell>
          <cell r="H260">
            <v>3.4128000000000003</v>
          </cell>
          <cell r="I260">
            <v>1.7797599531272888E-2</v>
          </cell>
        </row>
        <row r="261">
          <cell r="A261" t="str">
            <v>01</v>
          </cell>
          <cell r="B261" t="str">
            <v>FANTFR</v>
          </cell>
          <cell r="C261" t="str">
            <v>CAPSULE</v>
          </cell>
          <cell r="D261" t="str">
            <v/>
          </cell>
          <cell r="E261">
            <v>5.8</v>
          </cell>
          <cell r="F261">
            <v>1</v>
          </cell>
          <cell r="G261">
            <v>0.02</v>
          </cell>
          <cell r="H261">
            <v>1112.1859419984553</v>
          </cell>
          <cell r="I261">
            <v>5.8</v>
          </cell>
        </row>
        <row r="262">
          <cell r="A262" t="str">
            <v>01</v>
          </cell>
          <cell r="B262" t="str">
            <v>FANTFR</v>
          </cell>
          <cell r="C262" t="str">
            <v>CARBURANT</v>
          </cell>
          <cell r="D262" t="str">
            <v/>
          </cell>
          <cell r="E262">
            <v>337.43078666328859</v>
          </cell>
          <cell r="F262">
            <v>3.6182848468968065</v>
          </cell>
          <cell r="G262">
            <v>0</v>
          </cell>
          <cell r="H262">
            <v>1220.9207022602461</v>
          </cell>
          <cell r="I262">
            <v>6.3670469169796995</v>
          </cell>
        </row>
        <row r="263">
          <cell r="A263" t="str">
            <v>01</v>
          </cell>
          <cell r="B263" t="str">
            <v>FANTFR</v>
          </cell>
          <cell r="C263" t="str">
            <v>COLLERETTEGM</v>
          </cell>
          <cell r="D263" t="str">
            <v/>
          </cell>
          <cell r="E263">
            <v>5</v>
          </cell>
          <cell r="F263">
            <v>1</v>
          </cell>
          <cell r="G263">
            <v>0.02</v>
          </cell>
          <cell r="H263">
            <v>471.92378812349324</v>
          </cell>
          <cell r="I263">
            <v>2.4610614716078318</v>
          </cell>
        </row>
        <row r="264">
          <cell r="A264" t="str">
            <v>01</v>
          </cell>
          <cell r="B264" t="str">
            <v>FANTFR</v>
          </cell>
          <cell r="C264" t="str">
            <v>COLLES</v>
          </cell>
          <cell r="D264" t="str">
            <v/>
          </cell>
          <cell r="E264">
            <v>2445</v>
          </cell>
          <cell r="F264">
            <v>5.0000000000000001E-4</v>
          </cell>
          <cell r="G264">
            <v>0.02</v>
          </cell>
          <cell r="H264">
            <v>234.42195070570889</v>
          </cell>
          <cell r="I264">
            <v>1.2224999999999999</v>
          </cell>
        </row>
        <row r="265">
          <cell r="A265" t="str">
            <v>01</v>
          </cell>
          <cell r="B265" t="str">
            <v>FANTFR</v>
          </cell>
          <cell r="C265" t="str">
            <v>DETERSIF</v>
          </cell>
          <cell r="D265" t="str">
            <v/>
          </cell>
          <cell r="E265">
            <v>750.75</v>
          </cell>
          <cell r="F265">
            <v>0.5</v>
          </cell>
          <cell r="G265">
            <v>0</v>
          </cell>
          <cell r="H265">
            <v>375.375</v>
          </cell>
          <cell r="I265">
            <v>1.9575638549143106</v>
          </cell>
        </row>
        <row r="266">
          <cell r="A266" t="str">
            <v>01</v>
          </cell>
          <cell r="B266" t="str">
            <v>FANTFR</v>
          </cell>
          <cell r="C266" t="str">
            <v>ETIQUETTEGM</v>
          </cell>
          <cell r="D266" t="str">
            <v/>
          </cell>
          <cell r="E266">
            <v>4.3600000000000003</v>
          </cell>
          <cell r="F266">
            <v>1</v>
          </cell>
          <cell r="G266">
            <v>0.02</v>
          </cell>
          <cell r="H266">
            <v>411.51754324368608</v>
          </cell>
          <cell r="I266">
            <v>2.1460456032420292</v>
          </cell>
        </row>
        <row r="267">
          <cell r="A267" t="str">
            <v>01</v>
          </cell>
          <cell r="B267" t="str">
            <v>FANTFR</v>
          </cell>
          <cell r="C267" t="str">
            <v>ETIQUETTEPM</v>
          </cell>
          <cell r="D267" t="str">
            <v/>
          </cell>
          <cell r="E267">
            <v>3.84</v>
          </cell>
          <cell r="F267">
            <v>1</v>
          </cell>
          <cell r="G267">
            <v>0.02</v>
          </cell>
          <cell r="H267">
            <v>373.90632680289309</v>
          </cell>
          <cell r="I267">
            <v>1.9499047898051853</v>
          </cell>
        </row>
        <row r="268">
          <cell r="A268" t="str">
            <v>01</v>
          </cell>
          <cell r="B268" t="str">
            <v>FANTFR</v>
          </cell>
          <cell r="C268" t="str">
            <v>EXTRAIT</v>
          </cell>
          <cell r="D268" t="str">
            <v/>
          </cell>
          <cell r="E268">
            <v>95067.35</v>
          </cell>
          <cell r="F268">
            <v>0.1</v>
          </cell>
          <cell r="G268">
            <v>0</v>
          </cell>
          <cell r="H268">
            <v>9506.7350000000006</v>
          </cell>
          <cell r="I268">
            <v>49.577198306357111</v>
          </cell>
        </row>
        <row r="269">
          <cell r="A269" t="str">
            <v>01</v>
          </cell>
          <cell r="B269" t="str">
            <v>FANTFR</v>
          </cell>
          <cell r="C269" t="str">
            <v>KIESELGHUR</v>
          </cell>
          <cell r="D269" t="str">
            <v/>
          </cell>
          <cell r="E269">
            <v>883.2</v>
          </cell>
          <cell r="F269">
            <v>0.03</v>
          </cell>
          <cell r="G269">
            <v>0</v>
          </cell>
          <cell r="H269">
            <v>26.495999999999999</v>
          </cell>
          <cell r="I269">
            <v>0.13817545627654898</v>
          </cell>
        </row>
        <row r="270">
          <cell r="A270" t="str">
            <v>01</v>
          </cell>
          <cell r="B270" t="str">
            <v>FANTFR</v>
          </cell>
          <cell r="C270" t="str">
            <v>LU</v>
          </cell>
          <cell r="D270" t="str">
            <v/>
          </cell>
          <cell r="E270">
            <v>1252.327512650173</v>
          </cell>
          <cell r="F270">
            <v>1.9199452391448067E-2</v>
          </cell>
          <cell r="G270">
            <v>0</v>
          </cell>
          <cell r="H270">
            <v>107.40446050130429</v>
          </cell>
          <cell r="I270">
            <v>0.56010946316063948</v>
          </cell>
        </row>
        <row r="271">
          <cell r="A271" t="str">
            <v>01</v>
          </cell>
          <cell r="B271" t="str">
            <v>FANTFR</v>
          </cell>
          <cell r="C271" t="str">
            <v>PLAQUES</v>
          </cell>
          <cell r="D271" t="str">
            <v/>
          </cell>
          <cell r="E271">
            <v>14000</v>
          </cell>
          <cell r="F271">
            <v>2.0421659273090025E-3</v>
          </cell>
          <cell r="G271">
            <v>0</v>
          </cell>
          <cell r="H271">
            <v>28.029728414045131</v>
          </cell>
          <cell r="I271">
            <v>0.14617378143562937</v>
          </cell>
        </row>
        <row r="272">
          <cell r="A272" t="str">
            <v>01</v>
          </cell>
          <cell r="B272" t="str">
            <v>FANTFR</v>
          </cell>
          <cell r="C272" t="str">
            <v>SUCRE</v>
          </cell>
          <cell r="D272" t="str">
            <v/>
          </cell>
          <cell r="E272">
            <v>580</v>
          </cell>
          <cell r="F272">
            <v>12.4374</v>
          </cell>
          <cell r="G272">
            <v>0.01</v>
          </cell>
          <cell r="H272">
            <v>7285.8289199999999</v>
          </cell>
          <cell r="I272">
            <v>37.99527231936429</v>
          </cell>
        </row>
        <row r="273">
          <cell r="A273" t="str">
            <v>01</v>
          </cell>
          <cell r="B273" t="str">
            <v>FANTOR</v>
          </cell>
          <cell r="C273" t="str">
            <v>AUTREMC</v>
          </cell>
          <cell r="D273" t="str">
            <v/>
          </cell>
          <cell r="E273">
            <v>2252.5543691149755</v>
          </cell>
          <cell r="F273">
            <v>0.14808918510732574</v>
          </cell>
          <cell r="G273">
            <v>0</v>
          </cell>
          <cell r="H273">
            <v>315.38173675468454</v>
          </cell>
          <cell r="I273">
            <v>1.5092325609692687</v>
          </cell>
        </row>
        <row r="274">
          <cell r="A274" t="str">
            <v>01</v>
          </cell>
          <cell r="B274" t="str">
            <v>FANTOR</v>
          </cell>
          <cell r="C274" t="str">
            <v>AUTREMP</v>
          </cell>
          <cell r="D274" t="str">
            <v/>
          </cell>
          <cell r="E274">
            <v>2133</v>
          </cell>
          <cell r="F274">
            <v>1.6000000000000001E-3</v>
          </cell>
          <cell r="G274">
            <v>0</v>
          </cell>
          <cell r="H274">
            <v>3.4127999999999998</v>
          </cell>
          <cell r="I274">
            <v>1.6331665038937657E-2</v>
          </cell>
        </row>
        <row r="275">
          <cell r="A275" t="str">
            <v>01</v>
          </cell>
          <cell r="B275" t="str">
            <v>FANTOR</v>
          </cell>
          <cell r="C275" t="str">
            <v>BOITESPM</v>
          </cell>
          <cell r="D275" t="str">
            <v/>
          </cell>
          <cell r="E275">
            <v>51.45</v>
          </cell>
          <cell r="F275">
            <v>2</v>
          </cell>
          <cell r="G275">
            <v>0.02</v>
          </cell>
          <cell r="H275">
            <v>4536.95075496339</v>
          </cell>
          <cell r="I275">
            <v>21.711193163448606</v>
          </cell>
        </row>
        <row r="276">
          <cell r="A276" t="str">
            <v>01</v>
          </cell>
          <cell r="B276" t="str">
            <v>FANTOR</v>
          </cell>
          <cell r="C276" t="str">
            <v>CAPSULE</v>
          </cell>
          <cell r="D276" t="str">
            <v/>
          </cell>
          <cell r="E276">
            <v>5.84</v>
          </cell>
          <cell r="F276">
            <v>1</v>
          </cell>
          <cell r="G276">
            <v>0.02</v>
          </cell>
          <cell r="H276">
            <v>962.88407814080927</v>
          </cell>
          <cell r="I276">
            <v>4.6078001158936859</v>
          </cell>
        </row>
        <row r="277">
          <cell r="A277" t="str">
            <v>01</v>
          </cell>
          <cell r="B277" t="str">
            <v>FANTOR</v>
          </cell>
          <cell r="C277" t="str">
            <v>CARBURANT</v>
          </cell>
          <cell r="D277" t="str">
            <v/>
          </cell>
          <cell r="E277">
            <v>337.43078666328859</v>
          </cell>
          <cell r="F277">
            <v>3.6182848468968065</v>
          </cell>
          <cell r="G277">
            <v>0</v>
          </cell>
          <cell r="H277">
            <v>1220.9207022602459</v>
          </cell>
          <cell r="I277">
            <v>5.842612502466852</v>
          </cell>
        </row>
        <row r="278">
          <cell r="A278" t="str">
            <v>01</v>
          </cell>
          <cell r="B278" t="str">
            <v>FANTOR</v>
          </cell>
          <cell r="C278" t="str">
            <v>CARTONSPM</v>
          </cell>
          <cell r="D278" t="str">
            <v/>
          </cell>
          <cell r="E278">
            <v>227.9837962962963</v>
          </cell>
          <cell r="F278">
            <v>4.3200000000000002E-2</v>
          </cell>
          <cell r="G278">
            <v>0.02</v>
          </cell>
          <cell r="H278">
            <v>434.24659174498464</v>
          </cell>
          <cell r="I278">
            <v>2.0780502463312818</v>
          </cell>
        </row>
        <row r="279">
          <cell r="A279" t="str">
            <v>01</v>
          </cell>
          <cell r="B279" t="str">
            <v>FANTOR</v>
          </cell>
          <cell r="C279" t="str">
            <v>COLLERETTEGM</v>
          </cell>
          <cell r="D279" t="str">
            <v/>
          </cell>
          <cell r="E279">
            <v>2.7</v>
          </cell>
          <cell r="F279">
            <v>1</v>
          </cell>
          <cell r="G279">
            <v>0.02</v>
          </cell>
          <cell r="H279">
            <v>215.92073378357537</v>
          </cell>
          <cell r="I279">
            <v>1.0332703642507568</v>
          </cell>
        </row>
        <row r="280">
          <cell r="A280" t="str">
            <v>01</v>
          </cell>
          <cell r="B280" t="str">
            <v>FANTOR</v>
          </cell>
          <cell r="C280" t="str">
            <v>COLLES</v>
          </cell>
          <cell r="D280" t="str">
            <v/>
          </cell>
          <cell r="E280">
            <v>2445</v>
          </cell>
          <cell r="F280">
            <v>5.0000000000000001E-4</v>
          </cell>
          <cell r="G280">
            <v>0.02</v>
          </cell>
          <cell r="H280">
            <v>201.5626345080718</v>
          </cell>
          <cell r="I280">
            <v>0.96456089754795027</v>
          </cell>
        </row>
        <row r="281">
          <cell r="A281" t="str">
            <v>01</v>
          </cell>
          <cell r="B281" t="str">
            <v>FANTOR</v>
          </cell>
          <cell r="C281" t="str">
            <v>DETERSIF</v>
          </cell>
          <cell r="D281" t="str">
            <v/>
          </cell>
          <cell r="E281">
            <v>750.75</v>
          </cell>
          <cell r="F281">
            <v>0.5</v>
          </cell>
          <cell r="G281">
            <v>0</v>
          </cell>
          <cell r="H281">
            <v>320.7579831309381</v>
          </cell>
          <cell r="I281">
            <v>1.5349601321670467</v>
          </cell>
        </row>
        <row r="282">
          <cell r="A282" t="str">
            <v>01</v>
          </cell>
          <cell r="B282" t="str">
            <v>FANTOR</v>
          </cell>
          <cell r="C282" t="str">
            <v>ETIQUETTEGM</v>
          </cell>
          <cell r="D282" t="str">
            <v/>
          </cell>
          <cell r="E282">
            <v>3.28</v>
          </cell>
          <cell r="F282">
            <v>1</v>
          </cell>
          <cell r="G282">
            <v>0.02</v>
          </cell>
          <cell r="H282">
            <v>262.30370622597303</v>
          </cell>
          <cell r="I282">
            <v>1.2552321462009193</v>
          </cell>
        </row>
        <row r="283">
          <cell r="A283" t="str">
            <v>01</v>
          </cell>
          <cell r="B283" t="str">
            <v>FANTOR</v>
          </cell>
          <cell r="C283" t="str">
            <v>ETIQUETTEPM</v>
          </cell>
          <cell r="D283" t="str">
            <v/>
          </cell>
          <cell r="E283">
            <v>2.4</v>
          </cell>
          <cell r="F283">
            <v>1</v>
          </cell>
          <cell r="G283">
            <v>0.02</v>
          </cell>
          <cell r="H283">
            <v>203.77624439636296</v>
          </cell>
          <cell r="I283">
            <v>0.97515393998303346</v>
          </cell>
        </row>
        <row r="284">
          <cell r="A284" t="str">
            <v>01</v>
          </cell>
          <cell r="B284" t="str">
            <v>FANTOR</v>
          </cell>
          <cell r="C284" t="str">
            <v>EXTRAIT</v>
          </cell>
          <cell r="D284" t="str">
            <v/>
          </cell>
          <cell r="E284">
            <v>62080</v>
          </cell>
          <cell r="F284">
            <v>0.1</v>
          </cell>
          <cell r="G284">
            <v>0</v>
          </cell>
          <cell r="H284">
            <v>6208</v>
          </cell>
          <cell r="I284">
            <v>29.70785764232447</v>
          </cell>
        </row>
        <row r="285">
          <cell r="A285" t="str">
            <v>01</v>
          </cell>
          <cell r="B285" t="str">
            <v>FANTOR</v>
          </cell>
          <cell r="C285" t="str">
            <v>KIESELGHUR</v>
          </cell>
          <cell r="D285" t="str">
            <v/>
          </cell>
          <cell r="E285">
            <v>883.2</v>
          </cell>
          <cell r="F285">
            <v>0.03</v>
          </cell>
          <cell r="G285">
            <v>0</v>
          </cell>
          <cell r="H285">
            <v>26.495999999999992</v>
          </cell>
          <cell r="I285">
            <v>0.12679436148373535</v>
          </cell>
        </row>
        <row r="286">
          <cell r="A286" t="str">
            <v>01</v>
          </cell>
          <cell r="B286" t="str">
            <v>FANTOR</v>
          </cell>
          <cell r="C286" t="str">
            <v>LU</v>
          </cell>
          <cell r="D286" t="str">
            <v/>
          </cell>
          <cell r="E286">
            <v>1252.327512650173</v>
          </cell>
          <cell r="F286">
            <v>1.9199452391448067E-2</v>
          </cell>
          <cell r="G286">
            <v>0</v>
          </cell>
          <cell r="H286">
            <v>114.9261420826595</v>
          </cell>
          <cell r="I286">
            <v>0.54996930869413729</v>
          </cell>
        </row>
        <row r="287">
          <cell r="A287" t="str">
            <v>01</v>
          </cell>
          <cell r="B287" t="str">
            <v>FANTOR</v>
          </cell>
          <cell r="C287" t="str">
            <v>PLAQUES</v>
          </cell>
          <cell r="D287" t="str">
            <v/>
          </cell>
          <cell r="E287">
            <v>14000</v>
          </cell>
          <cell r="F287">
            <v>2.0421659273090025E-3</v>
          </cell>
          <cell r="G287">
            <v>0</v>
          </cell>
          <cell r="H287">
            <v>27.75759512847188</v>
          </cell>
          <cell r="I287">
            <v>0.13283161800417559</v>
          </cell>
        </row>
        <row r="288">
          <cell r="A288" t="str">
            <v>01</v>
          </cell>
          <cell r="B288" t="str">
            <v>FANTOR</v>
          </cell>
          <cell r="C288" t="str">
            <v>SUCRE</v>
          </cell>
          <cell r="D288" t="str">
            <v/>
          </cell>
          <cell r="E288">
            <v>580</v>
          </cell>
          <cell r="F288">
            <v>12.826000000000001</v>
          </cell>
          <cell r="G288">
            <v>0.01</v>
          </cell>
          <cell r="H288">
            <v>7513.4707999999973</v>
          </cell>
          <cell r="I288">
            <v>35.955077468776054</v>
          </cell>
        </row>
        <row r="289">
          <cell r="A289" t="str">
            <v>01</v>
          </cell>
          <cell r="B289" t="str">
            <v>FFRPGM</v>
          </cell>
          <cell r="C289" t="str">
            <v>AUTREMC</v>
          </cell>
          <cell r="D289" t="str">
            <v/>
          </cell>
          <cell r="E289">
            <v>2035.2923684676705</v>
          </cell>
          <cell r="F289">
            <v>0.12808918510732575</v>
          </cell>
          <cell r="G289">
            <v>0</v>
          </cell>
          <cell r="H289">
            <v>258.11776329919098</v>
          </cell>
          <cell r="I289">
            <v>3.8717664494878643</v>
          </cell>
        </row>
        <row r="290">
          <cell r="A290" t="str">
            <v>01</v>
          </cell>
          <cell r="B290" t="str">
            <v>FFRPGM</v>
          </cell>
          <cell r="C290" t="str">
            <v>AUTREMP</v>
          </cell>
          <cell r="D290" t="str">
            <v/>
          </cell>
          <cell r="E290">
            <v>2133</v>
          </cell>
          <cell r="F290">
            <v>1.6000000000000001E-3</v>
          </cell>
          <cell r="G290">
            <v>0</v>
          </cell>
          <cell r="H290">
            <v>3.4128000000000003</v>
          </cell>
          <cell r="I290">
            <v>5.1191999999999994E-2</v>
          </cell>
        </row>
        <row r="291">
          <cell r="A291" t="str">
            <v>01</v>
          </cell>
          <cell r="B291" t="str">
            <v>FFRPGM</v>
          </cell>
          <cell r="C291" t="str">
            <v>BOUCHON</v>
          </cell>
          <cell r="D291" t="str">
            <v/>
          </cell>
          <cell r="E291">
            <v>16.100000000000001</v>
          </cell>
          <cell r="F291">
            <v>1</v>
          </cell>
          <cell r="G291">
            <v>0.01</v>
          </cell>
          <cell r="H291">
            <v>1073.3333333333335</v>
          </cell>
          <cell r="I291">
            <v>16.100000000000001</v>
          </cell>
        </row>
        <row r="292">
          <cell r="A292" t="str">
            <v>01</v>
          </cell>
          <cell r="B292" t="str">
            <v>FFRPGM</v>
          </cell>
          <cell r="C292" t="str">
            <v>CARBURANT</v>
          </cell>
          <cell r="D292" t="str">
            <v/>
          </cell>
          <cell r="E292">
            <v>337.43078666328859</v>
          </cell>
          <cell r="F292">
            <v>3.6182848468968065</v>
          </cell>
          <cell r="G292">
            <v>0</v>
          </cell>
          <cell r="H292">
            <v>1220.9207022602461</v>
          </cell>
          <cell r="I292">
            <v>18.313810533903688</v>
          </cell>
        </row>
        <row r="293">
          <cell r="A293" t="str">
            <v>01</v>
          </cell>
          <cell r="B293" t="str">
            <v>FFRPGM</v>
          </cell>
          <cell r="C293" t="str">
            <v>COLLES</v>
          </cell>
          <cell r="D293" t="str">
            <v/>
          </cell>
          <cell r="E293">
            <v>4147.5</v>
          </cell>
          <cell r="F293">
            <v>1.4999999999999999E-4</v>
          </cell>
          <cell r="G293">
            <v>0.02</v>
          </cell>
          <cell r="H293">
            <v>41.475000000000001</v>
          </cell>
          <cell r="I293">
            <v>0.62212499999999993</v>
          </cell>
        </row>
        <row r="294">
          <cell r="A294" t="str">
            <v>01</v>
          </cell>
          <cell r="B294" t="str">
            <v>FFRPGM</v>
          </cell>
          <cell r="C294" t="str">
            <v>ETIQUETTEGM</v>
          </cell>
          <cell r="D294" t="str">
            <v/>
          </cell>
          <cell r="E294">
            <v>16.32</v>
          </cell>
          <cell r="F294">
            <v>1</v>
          </cell>
          <cell r="G294">
            <v>0.02</v>
          </cell>
          <cell r="H294">
            <v>1088</v>
          </cell>
          <cell r="I294">
            <v>16.32</v>
          </cell>
        </row>
        <row r="295">
          <cell r="A295" t="str">
            <v>01</v>
          </cell>
          <cell r="B295" t="str">
            <v>FFRPGM</v>
          </cell>
          <cell r="C295" t="str">
            <v>EXTRAIT</v>
          </cell>
          <cell r="D295" t="str">
            <v/>
          </cell>
          <cell r="E295">
            <v>95067.35</v>
          </cell>
          <cell r="F295">
            <v>0.1</v>
          </cell>
          <cell r="G295">
            <v>0</v>
          </cell>
          <cell r="H295">
            <v>9506.7350000000006</v>
          </cell>
          <cell r="I295">
            <v>142.60102499999996</v>
          </cell>
        </row>
        <row r="296">
          <cell r="A296" t="str">
            <v>01</v>
          </cell>
          <cell r="B296" t="str">
            <v>FFRPGM</v>
          </cell>
          <cell r="C296" t="str">
            <v>INTERCALAIRES</v>
          </cell>
          <cell r="D296" t="str">
            <v/>
          </cell>
          <cell r="E296">
            <v>772.22</v>
          </cell>
          <cell r="F296">
            <v>5.5999999999999999E-3</v>
          </cell>
          <cell r="G296">
            <v>0.01</v>
          </cell>
          <cell r="H296">
            <v>288.2954666666667</v>
          </cell>
          <cell r="I296">
            <v>4.3244319999999998</v>
          </cell>
        </row>
        <row r="297">
          <cell r="A297" t="str">
            <v>01</v>
          </cell>
          <cell r="B297" t="str">
            <v>FFRPGM</v>
          </cell>
          <cell r="C297" t="str">
            <v>KIESELGHUR</v>
          </cell>
          <cell r="D297" t="str">
            <v/>
          </cell>
          <cell r="E297">
            <v>883.2</v>
          </cell>
          <cell r="F297">
            <v>0.03</v>
          </cell>
          <cell r="G297">
            <v>0</v>
          </cell>
          <cell r="H297">
            <v>26.495999999999999</v>
          </cell>
          <cell r="I297">
            <v>0.3974399999999999</v>
          </cell>
        </row>
        <row r="298">
          <cell r="A298" t="str">
            <v>01</v>
          </cell>
          <cell r="B298" t="str">
            <v>FFRPGM</v>
          </cell>
          <cell r="C298" t="str">
            <v>LU</v>
          </cell>
          <cell r="D298" t="str">
            <v/>
          </cell>
          <cell r="E298">
            <v>1252.327512650173</v>
          </cell>
          <cell r="F298">
            <v>1.9199452391448067E-2</v>
          </cell>
          <cell r="G298">
            <v>0</v>
          </cell>
          <cell r="H298">
            <v>52.740335790960913</v>
          </cell>
          <cell r="I298">
            <v>0.79110503686441358</v>
          </cell>
        </row>
        <row r="299">
          <cell r="A299" t="str">
            <v>01</v>
          </cell>
          <cell r="B299" t="str">
            <v>FFRPGM</v>
          </cell>
          <cell r="C299" t="str">
            <v>PACKGM</v>
          </cell>
          <cell r="D299" t="str">
            <v/>
          </cell>
          <cell r="E299">
            <v>1424</v>
          </cell>
          <cell r="F299">
            <v>5.2900000000000004E-3</v>
          </cell>
          <cell r="G299">
            <v>0.02</v>
          </cell>
          <cell r="H299">
            <v>502.19733333333346</v>
          </cell>
          <cell r="I299">
            <v>7.532960000000001</v>
          </cell>
        </row>
        <row r="300">
          <cell r="A300" t="str">
            <v>01</v>
          </cell>
          <cell r="B300" t="str">
            <v>FFRPGM</v>
          </cell>
          <cell r="C300" t="str">
            <v>PLAQUES</v>
          </cell>
          <cell r="D300" t="str">
            <v/>
          </cell>
          <cell r="E300">
            <v>14000</v>
          </cell>
          <cell r="F300">
            <v>2.0421659273090025E-3</v>
          </cell>
          <cell r="G300">
            <v>0</v>
          </cell>
          <cell r="H300">
            <v>28.307250477550529</v>
          </cell>
          <cell r="I300">
            <v>0.42460875716325786</v>
          </cell>
        </row>
        <row r="301">
          <cell r="A301" t="str">
            <v>01</v>
          </cell>
          <cell r="B301" t="str">
            <v>FFRPGM</v>
          </cell>
          <cell r="C301" t="str">
            <v>PREFORMEGM</v>
          </cell>
          <cell r="D301" t="str">
            <v/>
          </cell>
          <cell r="E301">
            <v>79</v>
          </cell>
          <cell r="F301">
            <v>1</v>
          </cell>
          <cell r="G301">
            <v>0.01</v>
          </cell>
          <cell r="H301">
            <v>5266.6666666666679</v>
          </cell>
          <cell r="I301">
            <v>79</v>
          </cell>
        </row>
        <row r="302">
          <cell r="A302" t="str">
            <v>01</v>
          </cell>
          <cell r="B302" t="str">
            <v>FFRPGM</v>
          </cell>
          <cell r="C302" t="str">
            <v>SUCRE</v>
          </cell>
          <cell r="D302" t="str">
            <v/>
          </cell>
          <cell r="E302">
            <v>580</v>
          </cell>
          <cell r="F302">
            <v>12.4374</v>
          </cell>
          <cell r="G302">
            <v>0.01</v>
          </cell>
          <cell r="H302">
            <v>7285.8289199999999</v>
          </cell>
          <cell r="I302">
            <v>109.28743379999997</v>
          </cell>
        </row>
        <row r="303">
          <cell r="A303" t="str">
            <v>01</v>
          </cell>
          <cell r="B303" t="str">
            <v>FFRPPM</v>
          </cell>
          <cell r="C303" t="str">
            <v>AUTREMC</v>
          </cell>
          <cell r="D303" t="str">
            <v/>
          </cell>
          <cell r="E303">
            <v>2035.2923684676705</v>
          </cell>
          <cell r="F303">
            <v>0.12808918510732575</v>
          </cell>
          <cell r="G303">
            <v>0</v>
          </cell>
          <cell r="H303">
            <v>258.11776329919098</v>
          </cell>
          <cell r="I303">
            <v>1.2905888164959549</v>
          </cell>
        </row>
        <row r="304">
          <cell r="A304" t="str">
            <v>01</v>
          </cell>
          <cell r="B304" t="str">
            <v>FFRPPM</v>
          </cell>
          <cell r="C304" t="str">
            <v>AUTREMP</v>
          </cell>
          <cell r="D304" t="str">
            <v/>
          </cell>
          <cell r="E304">
            <v>2133</v>
          </cell>
          <cell r="F304">
            <v>1.6000000000000001E-3</v>
          </cell>
          <cell r="G304">
            <v>0</v>
          </cell>
          <cell r="H304">
            <v>3.4128000000000003</v>
          </cell>
          <cell r="I304">
            <v>1.7064000000000003E-2</v>
          </cell>
        </row>
        <row r="305">
          <cell r="A305" t="str">
            <v>01</v>
          </cell>
          <cell r="B305" t="str">
            <v>FFRPPM</v>
          </cell>
          <cell r="C305" t="str">
            <v>BOUCHON</v>
          </cell>
          <cell r="D305" t="str">
            <v/>
          </cell>
          <cell r="E305">
            <v>16.100000000000001</v>
          </cell>
          <cell r="F305">
            <v>1</v>
          </cell>
          <cell r="G305">
            <v>0.01</v>
          </cell>
          <cell r="H305">
            <v>3220</v>
          </cell>
          <cell r="I305">
            <v>16.100000000000001</v>
          </cell>
        </row>
        <row r="306">
          <cell r="A306" t="str">
            <v>01</v>
          </cell>
          <cell r="B306" t="str">
            <v>FFRPPM</v>
          </cell>
          <cell r="C306" t="str">
            <v>CARBURANT</v>
          </cell>
          <cell r="D306" t="str">
            <v/>
          </cell>
          <cell r="E306">
            <v>337.43078666328859</v>
          </cell>
          <cell r="F306">
            <v>3.6182848468968065</v>
          </cell>
          <cell r="G306">
            <v>0</v>
          </cell>
          <cell r="H306">
            <v>1220.9207022602461</v>
          </cell>
          <cell r="I306">
            <v>6.1046035113012298</v>
          </cell>
        </row>
        <row r="307">
          <cell r="A307" t="str">
            <v>01</v>
          </cell>
          <cell r="B307" t="str">
            <v>FFRPPM</v>
          </cell>
          <cell r="C307" t="str">
            <v>COLLES</v>
          </cell>
          <cell r="D307" t="str">
            <v/>
          </cell>
          <cell r="E307">
            <v>4147.5</v>
          </cell>
          <cell r="F307">
            <v>7.5000000000000002E-4</v>
          </cell>
          <cell r="G307">
            <v>0.02</v>
          </cell>
          <cell r="H307">
            <v>622.125</v>
          </cell>
          <cell r="I307">
            <v>3.1106250000000002</v>
          </cell>
        </row>
        <row r="308">
          <cell r="A308" t="str">
            <v>01</v>
          </cell>
          <cell r="B308" t="str">
            <v>FFRPPM</v>
          </cell>
          <cell r="C308" t="str">
            <v>ETIQUETTEPM</v>
          </cell>
          <cell r="D308" t="str">
            <v/>
          </cell>
          <cell r="E308">
            <v>6.31</v>
          </cell>
          <cell r="F308">
            <v>1</v>
          </cell>
          <cell r="G308">
            <v>0.02</v>
          </cell>
          <cell r="H308">
            <v>1262</v>
          </cell>
          <cell r="I308">
            <v>6.31</v>
          </cell>
        </row>
        <row r="309">
          <cell r="A309" t="str">
            <v>01</v>
          </cell>
          <cell r="B309" t="str">
            <v>FFRPPM</v>
          </cell>
          <cell r="C309" t="str">
            <v>EXTRAIT</v>
          </cell>
          <cell r="D309" t="str">
            <v/>
          </cell>
          <cell r="E309">
            <v>95067.35</v>
          </cell>
          <cell r="F309">
            <v>0.1</v>
          </cell>
          <cell r="G309">
            <v>0</v>
          </cell>
          <cell r="H309">
            <v>9506.7350000000006</v>
          </cell>
          <cell r="I309">
            <v>47.533675000000002</v>
          </cell>
        </row>
        <row r="310">
          <cell r="A310" t="str">
            <v>01</v>
          </cell>
          <cell r="B310" t="str">
            <v>FFRPPM</v>
          </cell>
          <cell r="C310" t="str">
            <v>INTERCALAIRES</v>
          </cell>
          <cell r="D310" t="str">
            <v/>
          </cell>
          <cell r="E310">
            <v>772.22</v>
          </cell>
          <cell r="F310">
            <v>2.5999999999999999E-3</v>
          </cell>
          <cell r="G310">
            <v>0.01</v>
          </cell>
          <cell r="H310">
            <v>401.55440000000004</v>
          </cell>
          <cell r="I310">
            <v>2.0077720000000001</v>
          </cell>
        </row>
        <row r="311">
          <cell r="A311" t="str">
            <v>01</v>
          </cell>
          <cell r="B311" t="str">
            <v>FFRPPM</v>
          </cell>
          <cell r="C311" t="str">
            <v>KIESELGHUR</v>
          </cell>
          <cell r="D311" t="str">
            <v/>
          </cell>
          <cell r="E311">
            <v>883.2</v>
          </cell>
          <cell r="F311">
            <v>0.03</v>
          </cell>
          <cell r="G311">
            <v>0</v>
          </cell>
          <cell r="H311">
            <v>26.496000000000002</v>
          </cell>
          <cell r="I311">
            <v>0.13248000000000001</v>
          </cell>
        </row>
        <row r="312">
          <cell r="A312" t="str">
            <v>01</v>
          </cell>
          <cell r="B312" t="str">
            <v>FFRPPM</v>
          </cell>
          <cell r="C312" t="str">
            <v>LU</v>
          </cell>
          <cell r="D312" t="str">
            <v/>
          </cell>
          <cell r="E312">
            <v>1252.327512650173</v>
          </cell>
          <cell r="F312">
            <v>1.9199452391448067E-2</v>
          </cell>
          <cell r="G312">
            <v>0</v>
          </cell>
          <cell r="H312">
            <v>111.00700245762756</v>
          </cell>
          <cell r="I312">
            <v>0.55503501228813779</v>
          </cell>
        </row>
        <row r="313">
          <cell r="A313" t="str">
            <v>01</v>
          </cell>
          <cell r="B313" t="str">
            <v>FFRPPM</v>
          </cell>
          <cell r="C313" t="str">
            <v>PACKGM</v>
          </cell>
          <cell r="D313" t="str">
            <v/>
          </cell>
          <cell r="E313">
            <v>1424</v>
          </cell>
          <cell r="F313">
            <v>3.13E-3</v>
          </cell>
          <cell r="G313">
            <v>0.02</v>
          </cell>
          <cell r="H313">
            <v>891.42399999999998</v>
          </cell>
          <cell r="I313">
            <v>4.4571199999999997</v>
          </cell>
        </row>
        <row r="314">
          <cell r="A314" t="str">
            <v>01</v>
          </cell>
          <cell r="B314" t="str">
            <v>FFRPPM</v>
          </cell>
          <cell r="C314" t="str">
            <v>PLAQUES</v>
          </cell>
          <cell r="D314" t="str">
            <v/>
          </cell>
          <cell r="E314">
            <v>14000</v>
          </cell>
          <cell r="F314">
            <v>2.0421659273090025E-3</v>
          </cell>
          <cell r="G314">
            <v>0</v>
          </cell>
          <cell r="H314">
            <v>28.307250477550532</v>
          </cell>
          <cell r="I314">
            <v>0.14153625238775266</v>
          </cell>
        </row>
        <row r="315">
          <cell r="A315" t="str">
            <v>01</v>
          </cell>
          <cell r="B315" t="str">
            <v>FFRPPM</v>
          </cell>
          <cell r="C315" t="str">
            <v>PREFORMEPM</v>
          </cell>
          <cell r="D315" t="str">
            <v/>
          </cell>
          <cell r="E315">
            <v>48</v>
          </cell>
          <cell r="F315">
            <v>1</v>
          </cell>
          <cell r="G315">
            <v>0.01</v>
          </cell>
          <cell r="H315">
            <v>9600</v>
          </cell>
          <cell r="I315">
            <v>48</v>
          </cell>
        </row>
        <row r="316">
          <cell r="A316" t="str">
            <v>01</v>
          </cell>
          <cell r="B316" t="str">
            <v>FFRPPM</v>
          </cell>
          <cell r="C316" t="str">
            <v>SUCRE</v>
          </cell>
          <cell r="D316" t="str">
            <v/>
          </cell>
          <cell r="E316">
            <v>580</v>
          </cell>
          <cell r="F316">
            <v>12.4374</v>
          </cell>
          <cell r="G316">
            <v>0.01</v>
          </cell>
          <cell r="H316">
            <v>7285.8289199999999</v>
          </cell>
          <cell r="I316">
            <v>36.429144600000001</v>
          </cell>
        </row>
        <row r="317">
          <cell r="A317" t="str">
            <v>01</v>
          </cell>
          <cell r="B317" t="str">
            <v>FORPGM</v>
          </cell>
          <cell r="C317" t="str">
            <v>AUTREMC</v>
          </cell>
          <cell r="D317" t="str">
            <v/>
          </cell>
          <cell r="E317">
            <v>2035.2923684676705</v>
          </cell>
          <cell r="F317">
            <v>0.12808918510732575</v>
          </cell>
          <cell r="G317">
            <v>0</v>
          </cell>
          <cell r="H317">
            <v>258.11776329919104</v>
          </cell>
          <cell r="I317">
            <v>3.8717664494878656</v>
          </cell>
        </row>
        <row r="318">
          <cell r="A318" t="str">
            <v>01</v>
          </cell>
          <cell r="B318" t="str">
            <v>FORPGM</v>
          </cell>
          <cell r="C318" t="str">
            <v>AUTREMP</v>
          </cell>
          <cell r="D318" t="str">
            <v/>
          </cell>
          <cell r="E318">
            <v>2133</v>
          </cell>
          <cell r="F318">
            <v>1.6000000000000001E-3</v>
          </cell>
          <cell r="G318">
            <v>0</v>
          </cell>
          <cell r="H318">
            <v>3.4128000000000003</v>
          </cell>
          <cell r="I318">
            <v>5.1192000000000001E-2</v>
          </cell>
        </row>
        <row r="319">
          <cell r="A319" t="str">
            <v>01</v>
          </cell>
          <cell r="B319" t="str">
            <v>FORPGM</v>
          </cell>
          <cell r="C319" t="str">
            <v>BOUCHON</v>
          </cell>
          <cell r="D319" t="str">
            <v/>
          </cell>
          <cell r="E319">
            <v>12.1</v>
          </cell>
          <cell r="F319">
            <v>1</v>
          </cell>
          <cell r="G319">
            <v>0.01</v>
          </cell>
          <cell r="H319">
            <v>806.66666666666674</v>
          </cell>
          <cell r="I319">
            <v>12.1</v>
          </cell>
        </row>
        <row r="320">
          <cell r="A320" t="str">
            <v>01</v>
          </cell>
          <cell r="B320" t="str">
            <v>FORPGM</v>
          </cell>
          <cell r="C320" t="str">
            <v>CARBURANT</v>
          </cell>
          <cell r="D320" t="str">
            <v/>
          </cell>
          <cell r="E320">
            <v>337.43078666328859</v>
          </cell>
          <cell r="F320">
            <v>3.6182848468968065</v>
          </cell>
          <cell r="G320">
            <v>0</v>
          </cell>
          <cell r="H320">
            <v>1220.9207022602461</v>
          </cell>
          <cell r="I320">
            <v>18.313810533903691</v>
          </cell>
        </row>
        <row r="321">
          <cell r="A321" t="str">
            <v>01</v>
          </cell>
          <cell r="B321" t="str">
            <v>FORPGM</v>
          </cell>
          <cell r="C321" t="str">
            <v>COLLES</v>
          </cell>
          <cell r="D321" t="str">
            <v/>
          </cell>
          <cell r="E321">
            <v>4147.5</v>
          </cell>
          <cell r="F321">
            <v>1.4999999999999999E-4</v>
          </cell>
          <cell r="G321">
            <v>0.02</v>
          </cell>
          <cell r="H321">
            <v>41.475000000000001</v>
          </cell>
          <cell r="I321">
            <v>0.62212499999999993</v>
          </cell>
        </row>
        <row r="322">
          <cell r="A322" t="str">
            <v>01</v>
          </cell>
          <cell r="B322" t="str">
            <v>FORPGM</v>
          </cell>
          <cell r="C322" t="str">
            <v>ETIQUETTEGM</v>
          </cell>
          <cell r="D322" t="str">
            <v/>
          </cell>
          <cell r="E322">
            <v>13.6</v>
          </cell>
          <cell r="F322">
            <v>1</v>
          </cell>
          <cell r="G322">
            <v>0.02</v>
          </cell>
          <cell r="H322">
            <v>906.66666666666674</v>
          </cell>
          <cell r="I322">
            <v>13.6</v>
          </cell>
        </row>
        <row r="323">
          <cell r="A323" t="str">
            <v>01</v>
          </cell>
          <cell r="B323" t="str">
            <v>FORPGM</v>
          </cell>
          <cell r="C323" t="str">
            <v>EXTRAIT</v>
          </cell>
          <cell r="D323" t="str">
            <v/>
          </cell>
          <cell r="E323">
            <v>62080</v>
          </cell>
          <cell r="F323">
            <v>0.1</v>
          </cell>
          <cell r="G323">
            <v>0</v>
          </cell>
          <cell r="H323">
            <v>6208</v>
          </cell>
          <cell r="I323">
            <v>93.12</v>
          </cell>
        </row>
        <row r="324">
          <cell r="A324" t="str">
            <v>01</v>
          </cell>
          <cell r="B324" t="str">
            <v>FORPGM</v>
          </cell>
          <cell r="C324" t="str">
            <v>INTERCALAIRES</v>
          </cell>
          <cell r="D324" t="str">
            <v/>
          </cell>
          <cell r="E324">
            <v>772.22</v>
          </cell>
          <cell r="F324">
            <v>5.5999999999999999E-3</v>
          </cell>
          <cell r="G324">
            <v>0.01</v>
          </cell>
          <cell r="H324">
            <v>288.2954666666667</v>
          </cell>
          <cell r="I324">
            <v>4.3244319999999998</v>
          </cell>
        </row>
        <row r="325">
          <cell r="A325" t="str">
            <v>01</v>
          </cell>
          <cell r="B325" t="str">
            <v>FORPGM</v>
          </cell>
          <cell r="C325" t="str">
            <v>KIESELGHUR</v>
          </cell>
          <cell r="D325" t="str">
            <v/>
          </cell>
          <cell r="E325">
            <v>883.2</v>
          </cell>
          <cell r="F325">
            <v>0.03</v>
          </cell>
          <cell r="G325">
            <v>0</v>
          </cell>
          <cell r="H325">
            <v>26.495999999999995</v>
          </cell>
          <cell r="I325">
            <v>0.3974399999999999</v>
          </cell>
        </row>
        <row r="326">
          <cell r="A326" t="str">
            <v>01</v>
          </cell>
          <cell r="B326" t="str">
            <v>FORPGM</v>
          </cell>
          <cell r="C326" t="str">
            <v>LU</v>
          </cell>
          <cell r="D326" t="str">
            <v/>
          </cell>
          <cell r="E326">
            <v>1252.327512650173</v>
          </cell>
          <cell r="F326">
            <v>1.9199452391448067E-2</v>
          </cell>
          <cell r="G326">
            <v>0</v>
          </cell>
          <cell r="H326">
            <v>52.740335790960906</v>
          </cell>
          <cell r="I326">
            <v>0.79110503686441347</v>
          </cell>
        </row>
        <row r="327">
          <cell r="A327" t="str">
            <v>01</v>
          </cell>
          <cell r="B327" t="str">
            <v>FORPGM</v>
          </cell>
          <cell r="C327" t="str">
            <v>PACKGM</v>
          </cell>
          <cell r="D327" t="str">
            <v/>
          </cell>
          <cell r="E327">
            <v>1424</v>
          </cell>
          <cell r="F327">
            <v>5.2900000000000004E-3</v>
          </cell>
          <cell r="G327">
            <v>0.02</v>
          </cell>
          <cell r="H327">
            <v>502.19733333333346</v>
          </cell>
          <cell r="I327">
            <v>7.532960000000001</v>
          </cell>
        </row>
        <row r="328">
          <cell r="A328" t="str">
            <v>01</v>
          </cell>
          <cell r="B328" t="str">
            <v>FORPGM</v>
          </cell>
          <cell r="C328" t="str">
            <v>PLAQUES</v>
          </cell>
          <cell r="D328" t="str">
            <v/>
          </cell>
          <cell r="E328">
            <v>14000</v>
          </cell>
          <cell r="F328">
            <v>2.0421659273090025E-3</v>
          </cell>
          <cell r="G328">
            <v>0</v>
          </cell>
          <cell r="H328">
            <v>28.307250477550529</v>
          </cell>
          <cell r="I328">
            <v>0.42460875716325791</v>
          </cell>
        </row>
        <row r="329">
          <cell r="A329" t="str">
            <v>01</v>
          </cell>
          <cell r="B329" t="str">
            <v>FORPGM</v>
          </cell>
          <cell r="C329" t="str">
            <v>PREFORMEGM</v>
          </cell>
          <cell r="D329" t="str">
            <v/>
          </cell>
          <cell r="E329">
            <v>79</v>
          </cell>
          <cell r="F329">
            <v>1</v>
          </cell>
          <cell r="G329">
            <v>0.01</v>
          </cell>
          <cell r="H329">
            <v>5266.666666666667</v>
          </cell>
          <cell r="I329">
            <v>79</v>
          </cell>
        </row>
        <row r="330">
          <cell r="A330" t="str">
            <v>01</v>
          </cell>
          <cell r="B330" t="str">
            <v>FORPGM</v>
          </cell>
          <cell r="C330" t="str">
            <v>SUCRE</v>
          </cell>
          <cell r="D330" t="str">
            <v/>
          </cell>
          <cell r="E330">
            <v>580</v>
          </cell>
          <cell r="F330">
            <v>12.826000000000001</v>
          </cell>
          <cell r="G330">
            <v>0.01</v>
          </cell>
          <cell r="H330">
            <v>7513.4708000000001</v>
          </cell>
          <cell r="I330">
            <v>112.702062</v>
          </cell>
        </row>
        <row r="331">
          <cell r="A331" t="str">
            <v>01</v>
          </cell>
          <cell r="B331" t="str">
            <v>FORPPM</v>
          </cell>
          <cell r="C331" t="str">
            <v>AUTREMC</v>
          </cell>
          <cell r="D331" t="str">
            <v/>
          </cell>
          <cell r="E331">
            <v>2035.2923684676705</v>
          </cell>
          <cell r="F331">
            <v>0.12808918510732575</v>
          </cell>
          <cell r="G331">
            <v>0</v>
          </cell>
          <cell r="H331">
            <v>258.11776329919104</v>
          </cell>
          <cell r="I331">
            <v>1.2905888164959551</v>
          </cell>
        </row>
        <row r="332">
          <cell r="A332" t="str">
            <v>01</v>
          </cell>
          <cell r="B332" t="str">
            <v>FORPPM</v>
          </cell>
          <cell r="C332" t="str">
            <v>AUTREMP</v>
          </cell>
          <cell r="D332" t="str">
            <v/>
          </cell>
          <cell r="E332">
            <v>2133</v>
          </cell>
          <cell r="F332">
            <v>1.6000000000000001E-3</v>
          </cell>
          <cell r="G332">
            <v>0</v>
          </cell>
          <cell r="H332">
            <v>3.4128000000000003</v>
          </cell>
          <cell r="I332">
            <v>1.7064000000000003E-2</v>
          </cell>
        </row>
        <row r="333">
          <cell r="A333" t="str">
            <v>01</v>
          </cell>
          <cell r="B333" t="str">
            <v>FORPPM</v>
          </cell>
          <cell r="C333" t="str">
            <v>BOUCHON</v>
          </cell>
          <cell r="D333" t="str">
            <v/>
          </cell>
          <cell r="E333">
            <v>12.1</v>
          </cell>
          <cell r="F333">
            <v>1</v>
          </cell>
          <cell r="G333">
            <v>0.01</v>
          </cell>
          <cell r="H333">
            <v>2420</v>
          </cell>
          <cell r="I333">
            <v>12.1</v>
          </cell>
        </row>
        <row r="334">
          <cell r="A334" t="str">
            <v>01</v>
          </cell>
          <cell r="B334" t="str">
            <v>FORPPM</v>
          </cell>
          <cell r="C334" t="str">
            <v>CARBURANT</v>
          </cell>
          <cell r="D334" t="str">
            <v/>
          </cell>
          <cell r="E334">
            <v>337.43078666328859</v>
          </cell>
          <cell r="F334">
            <v>3.6182848468968065</v>
          </cell>
          <cell r="G334">
            <v>0</v>
          </cell>
          <cell r="H334">
            <v>1220.9207022602461</v>
          </cell>
          <cell r="I334">
            <v>6.1046035113012298</v>
          </cell>
        </row>
        <row r="335">
          <cell r="A335" t="str">
            <v>01</v>
          </cell>
          <cell r="B335" t="str">
            <v>FORPPM</v>
          </cell>
          <cell r="C335" t="str">
            <v>COLLES</v>
          </cell>
          <cell r="D335" t="str">
            <v/>
          </cell>
          <cell r="E335">
            <v>4147.5</v>
          </cell>
          <cell r="F335">
            <v>7.4999999999999993E-5</v>
          </cell>
          <cell r="G335">
            <v>0.02</v>
          </cell>
          <cell r="H335">
            <v>62.212499999999999</v>
          </cell>
          <cell r="I335">
            <v>0.31106249999999996</v>
          </cell>
        </row>
        <row r="336">
          <cell r="A336" t="str">
            <v>01</v>
          </cell>
          <cell r="B336" t="str">
            <v>FORPPM</v>
          </cell>
          <cell r="C336" t="str">
            <v>ETIQUETTEPM</v>
          </cell>
          <cell r="D336" t="str">
            <v/>
          </cell>
          <cell r="E336">
            <v>4.2300000000000004</v>
          </cell>
          <cell r="F336">
            <v>1</v>
          </cell>
          <cell r="G336">
            <v>0.02</v>
          </cell>
          <cell r="H336">
            <v>846</v>
          </cell>
          <cell r="I336">
            <v>4.2300000000000004</v>
          </cell>
        </row>
        <row r="337">
          <cell r="A337" t="str">
            <v>01</v>
          </cell>
          <cell r="B337" t="str">
            <v>FORPPM</v>
          </cell>
          <cell r="C337" t="str">
            <v>EXTRAIT</v>
          </cell>
          <cell r="D337" t="str">
            <v/>
          </cell>
          <cell r="E337">
            <v>62080</v>
          </cell>
          <cell r="F337">
            <v>0.1</v>
          </cell>
          <cell r="G337">
            <v>0</v>
          </cell>
          <cell r="H337">
            <v>6208</v>
          </cell>
          <cell r="I337">
            <v>31.04</v>
          </cell>
        </row>
        <row r="338">
          <cell r="A338" t="str">
            <v>01</v>
          </cell>
          <cell r="B338" t="str">
            <v>FORPPM</v>
          </cell>
          <cell r="C338" t="str">
            <v>INTERCALAIRES</v>
          </cell>
          <cell r="D338" t="str">
            <v/>
          </cell>
          <cell r="E338">
            <v>772.22</v>
          </cell>
          <cell r="F338">
            <v>2.5999999999999999E-3</v>
          </cell>
          <cell r="G338">
            <v>0.01</v>
          </cell>
          <cell r="H338">
            <v>401.55440000000004</v>
          </cell>
          <cell r="I338">
            <v>2.0077720000000001</v>
          </cell>
        </row>
        <row r="339">
          <cell r="A339" t="str">
            <v>01</v>
          </cell>
          <cell r="B339" t="str">
            <v>FORPPM</v>
          </cell>
          <cell r="C339" t="str">
            <v>KIESELGHUR</v>
          </cell>
          <cell r="D339" t="str">
            <v/>
          </cell>
          <cell r="E339">
            <v>883.2</v>
          </cell>
          <cell r="F339">
            <v>0.03</v>
          </cell>
          <cell r="G339">
            <v>0</v>
          </cell>
          <cell r="H339">
            <v>26.495999999999999</v>
          </cell>
          <cell r="I339">
            <v>0.13248000000000001</v>
          </cell>
        </row>
        <row r="340">
          <cell r="A340" t="str">
            <v>01</v>
          </cell>
          <cell r="B340" t="str">
            <v>FORPPM</v>
          </cell>
          <cell r="C340" t="str">
            <v>LU</v>
          </cell>
          <cell r="D340" t="str">
            <v/>
          </cell>
          <cell r="E340">
            <v>1252.327512650173</v>
          </cell>
          <cell r="F340">
            <v>1.9199452391448067E-2</v>
          </cell>
          <cell r="G340">
            <v>0</v>
          </cell>
          <cell r="H340">
            <v>111.00700245762756</v>
          </cell>
          <cell r="I340">
            <v>0.5550350122881379</v>
          </cell>
        </row>
        <row r="341">
          <cell r="A341" t="str">
            <v>01</v>
          </cell>
          <cell r="B341" t="str">
            <v>FORPPM</v>
          </cell>
          <cell r="C341" t="str">
            <v>PACKGM</v>
          </cell>
          <cell r="D341" t="str">
            <v/>
          </cell>
          <cell r="E341">
            <v>1424</v>
          </cell>
          <cell r="F341">
            <v>3.13E-3</v>
          </cell>
          <cell r="G341">
            <v>0.02</v>
          </cell>
          <cell r="H341">
            <v>891.42399999999986</v>
          </cell>
          <cell r="I341">
            <v>4.4571199999999997</v>
          </cell>
        </row>
        <row r="342">
          <cell r="A342" t="str">
            <v>01</v>
          </cell>
          <cell r="B342" t="str">
            <v>FORPPM</v>
          </cell>
          <cell r="C342" t="str">
            <v>PLAQUES</v>
          </cell>
          <cell r="D342" t="str">
            <v/>
          </cell>
          <cell r="E342">
            <v>14000</v>
          </cell>
          <cell r="F342">
            <v>2.0421659273090025E-3</v>
          </cell>
          <cell r="G342">
            <v>0</v>
          </cell>
          <cell r="H342">
            <v>28.307250477550529</v>
          </cell>
          <cell r="I342">
            <v>0.14153625238775264</v>
          </cell>
        </row>
        <row r="343">
          <cell r="A343" t="str">
            <v>01</v>
          </cell>
          <cell r="B343" t="str">
            <v>FORPPM</v>
          </cell>
          <cell r="C343" t="str">
            <v>PREFORMEPM</v>
          </cell>
          <cell r="D343" t="str">
            <v/>
          </cell>
          <cell r="E343">
            <v>48</v>
          </cell>
          <cell r="F343">
            <v>1</v>
          </cell>
          <cell r="G343">
            <v>0.01</v>
          </cell>
          <cell r="H343">
            <v>9600</v>
          </cell>
          <cell r="I343">
            <v>48</v>
          </cell>
        </row>
        <row r="344">
          <cell r="A344" t="str">
            <v>01</v>
          </cell>
          <cell r="B344" t="str">
            <v>FORPPM</v>
          </cell>
          <cell r="C344" t="str">
            <v>SUCRE</v>
          </cell>
          <cell r="D344" t="str">
            <v/>
          </cell>
          <cell r="E344">
            <v>580</v>
          </cell>
          <cell r="F344">
            <v>12.826000000000001</v>
          </cell>
          <cell r="G344">
            <v>0.01</v>
          </cell>
          <cell r="H344">
            <v>7513.470800000001</v>
          </cell>
          <cell r="I344">
            <v>37.567354000000009</v>
          </cell>
        </row>
        <row r="345">
          <cell r="A345" t="str">
            <v>01</v>
          </cell>
          <cell r="B345" t="str">
            <v>FORTE</v>
          </cell>
          <cell r="C345" t="str">
            <v>10113002</v>
          </cell>
          <cell r="D345" t="str">
            <v xml:space="preserve">HOUBLON EXTRAITS 40 % CO2               </v>
          </cell>
          <cell r="E345">
            <v>45000</v>
          </cell>
          <cell r="F345">
            <v>1.66E-2</v>
          </cell>
          <cell r="G345">
            <v>0.04</v>
          </cell>
          <cell r="H345">
            <v>776.88</v>
          </cell>
          <cell r="I345">
            <v>2.5637039999999995</v>
          </cell>
        </row>
        <row r="346">
          <cell r="A346" t="str">
            <v>01</v>
          </cell>
          <cell r="B346" t="str">
            <v>FORTE</v>
          </cell>
          <cell r="C346" t="str">
            <v>10113005</v>
          </cell>
          <cell r="D346" t="str">
            <v xml:space="preserve">HOUBLON ISOMERISE IKE (Kilo Iso Alpha)  </v>
          </cell>
          <cell r="E346">
            <v>142225</v>
          </cell>
          <cell r="F346">
            <v>2.5000000000000001E-3</v>
          </cell>
          <cell r="G346">
            <v>0.04</v>
          </cell>
          <cell r="H346">
            <v>369.78500000000003</v>
          </cell>
          <cell r="I346">
            <v>1.2202904999999997</v>
          </cell>
        </row>
        <row r="347">
          <cell r="A347" t="str">
            <v>01</v>
          </cell>
          <cell r="B347" t="str">
            <v>FORTE</v>
          </cell>
          <cell r="C347" t="str">
            <v>10113009</v>
          </cell>
          <cell r="D347" t="str">
            <v xml:space="preserve">MAIS GRITS                              </v>
          </cell>
          <cell r="E347">
            <v>400</v>
          </cell>
          <cell r="F347">
            <v>1.25</v>
          </cell>
          <cell r="G347">
            <v>0.04</v>
          </cell>
          <cell r="H347">
            <v>520</v>
          </cell>
          <cell r="I347">
            <v>1.7159999999999997</v>
          </cell>
        </row>
        <row r="348">
          <cell r="A348" t="str">
            <v>01</v>
          </cell>
          <cell r="B348" t="str">
            <v>FORTE</v>
          </cell>
          <cell r="C348" t="str">
            <v>10113015</v>
          </cell>
          <cell r="D348" t="str">
            <v xml:space="preserve">MALT                                    </v>
          </cell>
          <cell r="E348">
            <v>489</v>
          </cell>
          <cell r="F348">
            <v>19.79</v>
          </cell>
          <cell r="G348">
            <v>0.04</v>
          </cell>
          <cell r="H348">
            <v>10064.402400000003</v>
          </cell>
          <cell r="I348">
            <v>33.212527919999999</v>
          </cell>
        </row>
        <row r="349">
          <cell r="A349" t="str">
            <v>01</v>
          </cell>
          <cell r="B349" t="str">
            <v>FORTE</v>
          </cell>
          <cell r="C349" t="str">
            <v>AUTREMC</v>
          </cell>
          <cell r="D349" t="str">
            <v/>
          </cell>
          <cell r="E349">
            <v>2364.0681059167568</v>
          </cell>
          <cell r="F349">
            <v>0.16308918510732576</v>
          </cell>
          <cell r="G349">
            <v>0</v>
          </cell>
          <cell r="H349">
            <v>375.52705858863754</v>
          </cell>
          <cell r="I349">
            <v>1.2392392933425036</v>
          </cell>
        </row>
        <row r="350">
          <cell r="A350" t="str">
            <v>01</v>
          </cell>
          <cell r="B350" t="str">
            <v>FORTE</v>
          </cell>
          <cell r="C350" t="str">
            <v>AUTREMP</v>
          </cell>
          <cell r="D350" t="str">
            <v/>
          </cell>
          <cell r="E350">
            <v>2057.5186379364577</v>
          </cell>
          <cell r="F350">
            <v>4.7685000000000005E-2</v>
          </cell>
          <cell r="G350">
            <v>0</v>
          </cell>
          <cell r="H350">
            <v>98.112776250000039</v>
          </cell>
          <cell r="I350">
            <v>0.323772161625</v>
          </cell>
        </row>
        <row r="351">
          <cell r="A351" t="str">
            <v>01</v>
          </cell>
          <cell r="B351" t="str">
            <v>FORTE</v>
          </cell>
          <cell r="C351" t="str">
            <v>BOITESPM</v>
          </cell>
          <cell r="D351" t="str">
            <v/>
          </cell>
          <cell r="E351">
            <v>51.45</v>
          </cell>
          <cell r="F351">
            <v>2</v>
          </cell>
          <cell r="G351">
            <v>0.02</v>
          </cell>
          <cell r="H351">
            <v>3771.5657426049274</v>
          </cell>
          <cell r="I351">
            <v>12.446166950596258</v>
          </cell>
        </row>
        <row r="352">
          <cell r="A352" t="str">
            <v>01</v>
          </cell>
          <cell r="B352" t="str">
            <v>FORTE</v>
          </cell>
          <cell r="C352" t="str">
            <v>CAPSULE</v>
          </cell>
          <cell r="D352" t="str">
            <v/>
          </cell>
          <cell r="E352">
            <v>5.26</v>
          </cell>
          <cell r="F352">
            <v>1</v>
          </cell>
          <cell r="G352">
            <v>0.02</v>
          </cell>
          <cell r="H352">
            <v>1401.1460430540501</v>
          </cell>
          <cell r="I352">
            <v>4.623781942078363</v>
          </cell>
        </row>
        <row r="353">
          <cell r="A353" t="str">
            <v>01</v>
          </cell>
          <cell r="B353" t="str">
            <v>FORTE</v>
          </cell>
          <cell r="C353" t="str">
            <v>CARBURANT</v>
          </cell>
          <cell r="D353" t="str">
            <v/>
          </cell>
          <cell r="E353">
            <v>337.43078666328859</v>
          </cell>
          <cell r="F353">
            <v>3.6182848468968065</v>
          </cell>
          <cell r="G353">
            <v>0</v>
          </cell>
          <cell r="H353">
            <v>1220.9207022602461</v>
          </cell>
          <cell r="I353">
            <v>4.0290383174588102</v>
          </cell>
        </row>
        <row r="354">
          <cell r="A354" t="str">
            <v>01</v>
          </cell>
          <cell r="B354" t="str">
            <v>FORTE</v>
          </cell>
          <cell r="C354" t="str">
            <v>CARTONSPM</v>
          </cell>
          <cell r="D354" t="str">
            <v/>
          </cell>
          <cell r="E354">
            <v>227.0185185185185</v>
          </cell>
          <cell r="F354">
            <v>4.3200000000000002E-2</v>
          </cell>
          <cell r="G354">
            <v>0.02</v>
          </cell>
          <cell r="H354">
            <v>359.46063703474289</v>
          </cell>
          <cell r="I354">
            <v>1.1862201022146512</v>
          </cell>
        </row>
        <row r="355">
          <cell r="A355" t="str">
            <v>01</v>
          </cell>
          <cell r="B355" t="str">
            <v>FORTE</v>
          </cell>
          <cell r="C355" t="str">
            <v>COLLERETTEPM</v>
          </cell>
          <cell r="D355" t="str">
            <v/>
          </cell>
          <cell r="E355">
            <v>1.9</v>
          </cell>
          <cell r="F355">
            <v>1</v>
          </cell>
          <cell r="G355">
            <v>0.02</v>
          </cell>
          <cell r="H355">
            <v>506.11739197769862</v>
          </cell>
          <cell r="I355">
            <v>1.6701873935264049</v>
          </cell>
        </row>
        <row r="356">
          <cell r="A356" t="str">
            <v>01</v>
          </cell>
          <cell r="B356" t="str">
            <v>FORTE</v>
          </cell>
          <cell r="C356" t="str">
            <v>COLLES</v>
          </cell>
          <cell r="D356" t="str">
            <v/>
          </cell>
          <cell r="E356">
            <v>2445</v>
          </cell>
          <cell r="F356">
            <v>1E-3</v>
          </cell>
          <cell r="G356">
            <v>0.02</v>
          </cell>
          <cell r="H356">
            <v>651.29317020288056</v>
          </cell>
          <cell r="I356">
            <v>2.1492674616695053</v>
          </cell>
        </row>
        <row r="357">
          <cell r="A357" t="str">
            <v>01</v>
          </cell>
          <cell r="B357" t="str">
            <v>FORTE</v>
          </cell>
          <cell r="C357" t="str">
            <v>DETERSIF</v>
          </cell>
          <cell r="D357" t="str">
            <v/>
          </cell>
          <cell r="E357">
            <v>750.75</v>
          </cell>
          <cell r="F357">
            <v>0.5</v>
          </cell>
          <cell r="G357">
            <v>0</v>
          </cell>
          <cell r="H357">
            <v>329.97189097103922</v>
          </cell>
          <cell r="I357">
            <v>1.0889072402044291</v>
          </cell>
        </row>
        <row r="358">
          <cell r="A358" t="str">
            <v>01</v>
          </cell>
          <cell r="B358" t="str">
            <v>FORTE</v>
          </cell>
          <cell r="C358" t="str">
            <v>ETIQUETTEPM</v>
          </cell>
          <cell r="D358" t="str">
            <v/>
          </cell>
          <cell r="E358">
            <v>2.8</v>
          </cell>
          <cell r="F358">
            <v>2</v>
          </cell>
          <cell r="G358">
            <v>0.02</v>
          </cell>
          <cell r="H358">
            <v>1491.7144184605854</v>
          </cell>
          <cell r="I358">
            <v>4.9226575809199309</v>
          </cell>
        </row>
        <row r="359">
          <cell r="A359" t="str">
            <v>01</v>
          </cell>
          <cell r="B359" t="str">
            <v>FORTE</v>
          </cell>
          <cell r="C359" t="str">
            <v>KIESELGHUR</v>
          </cell>
          <cell r="D359" t="str">
            <v/>
          </cell>
          <cell r="E359">
            <v>887.05675675675684</v>
          </cell>
          <cell r="F359">
            <v>0.29599999999999999</v>
          </cell>
          <cell r="G359">
            <v>0</v>
          </cell>
          <cell r="H359">
            <v>262.56880000000001</v>
          </cell>
          <cell r="I359">
            <v>0.86647703999999981</v>
          </cell>
        </row>
        <row r="360">
          <cell r="A360" t="str">
            <v>01</v>
          </cell>
          <cell r="B360" t="str">
            <v>FORTE</v>
          </cell>
          <cell r="C360" t="str">
            <v>LU</v>
          </cell>
          <cell r="D360" t="str">
            <v/>
          </cell>
          <cell r="E360">
            <v>1252.327512650173</v>
          </cell>
          <cell r="F360">
            <v>1.9199452391448067E-2</v>
          </cell>
          <cell r="G360">
            <v>0</v>
          </cell>
          <cell r="H360">
            <v>156.03124488187004</v>
          </cell>
          <cell r="I360">
            <v>0.51490310811017104</v>
          </cell>
        </row>
        <row r="361">
          <cell r="A361" t="str">
            <v>01</v>
          </cell>
          <cell r="B361" t="str">
            <v>FORTE</v>
          </cell>
          <cell r="C361" t="str">
            <v>PLAQUES</v>
          </cell>
          <cell r="D361" t="str">
            <v/>
          </cell>
          <cell r="E361">
            <v>14000</v>
          </cell>
          <cell r="F361">
            <v>2.0421659273090025E-3</v>
          </cell>
          <cell r="G361">
            <v>0</v>
          </cell>
          <cell r="H361">
            <v>27.490695175313494</v>
          </cell>
          <cell r="I361">
            <v>9.0719294078534504E-2</v>
          </cell>
        </row>
        <row r="362">
          <cell r="A362" t="str">
            <v>01</v>
          </cell>
          <cell r="B362" t="str">
            <v>FORTE</v>
          </cell>
          <cell r="C362" t="str">
            <v>SUCRE</v>
          </cell>
          <cell r="D362" t="str">
            <v/>
          </cell>
          <cell r="E362">
            <v>580</v>
          </cell>
          <cell r="F362">
            <v>2.5</v>
          </cell>
          <cell r="G362">
            <v>0.01</v>
          </cell>
          <cell r="H362">
            <v>1464.5</v>
          </cell>
          <cell r="I362">
            <v>4.8328499999999988</v>
          </cell>
        </row>
        <row r="363">
          <cell r="A363" t="str">
            <v>01</v>
          </cell>
          <cell r="B363" t="str">
            <v>GINGER</v>
          </cell>
          <cell r="C363" t="str">
            <v>AUTREMC</v>
          </cell>
          <cell r="D363" t="str">
            <v/>
          </cell>
          <cell r="E363">
            <v>2252.5543691149755</v>
          </cell>
          <cell r="F363">
            <v>0.14808918510732574</v>
          </cell>
          <cell r="G363">
            <v>0</v>
          </cell>
          <cell r="H363">
            <v>328.46719699233631</v>
          </cell>
          <cell r="I363">
            <v>1.0839417500747095</v>
          </cell>
        </row>
        <row r="364">
          <cell r="A364" t="str">
            <v>01</v>
          </cell>
          <cell r="B364" t="str">
            <v>GINGER</v>
          </cell>
          <cell r="C364" t="str">
            <v>AUTREMP</v>
          </cell>
          <cell r="D364" t="str">
            <v/>
          </cell>
          <cell r="E364">
            <v>2630.2043010752686</v>
          </cell>
          <cell r="F364">
            <v>1.8600000000000002E-2</v>
          </cell>
          <cell r="G364">
            <v>0</v>
          </cell>
          <cell r="H364">
            <v>48.921799999999998</v>
          </cell>
          <cell r="I364">
            <v>0.16144193999999998</v>
          </cell>
        </row>
        <row r="365">
          <cell r="A365" t="str">
            <v>01</v>
          </cell>
          <cell r="B365" t="str">
            <v>GINGER</v>
          </cell>
          <cell r="C365" t="str">
            <v>CAPSULE</v>
          </cell>
          <cell r="D365" t="str">
            <v/>
          </cell>
          <cell r="E365">
            <v>7.12</v>
          </cell>
          <cell r="F365">
            <v>1</v>
          </cell>
          <cell r="G365">
            <v>0.02</v>
          </cell>
          <cell r="H365">
            <v>2157.575757575758</v>
          </cell>
          <cell r="I365">
            <v>7.12</v>
          </cell>
        </row>
        <row r="366">
          <cell r="A366" t="str">
            <v>01</v>
          </cell>
          <cell r="B366" t="str">
            <v>GINGER</v>
          </cell>
          <cell r="C366" t="str">
            <v>CARBURANT</v>
          </cell>
          <cell r="D366" t="str">
            <v/>
          </cell>
          <cell r="E366">
            <v>337.43078666328859</v>
          </cell>
          <cell r="F366">
            <v>3.6182848468968065</v>
          </cell>
          <cell r="G366">
            <v>0</v>
          </cell>
          <cell r="H366">
            <v>1220.9207022602461</v>
          </cell>
          <cell r="I366">
            <v>4.0290383174588111</v>
          </cell>
        </row>
        <row r="367">
          <cell r="A367" t="str">
            <v>01</v>
          </cell>
          <cell r="B367" t="str">
            <v>GINGER</v>
          </cell>
          <cell r="C367" t="str">
            <v>COLLERETTEPM</v>
          </cell>
          <cell r="D367" t="str">
            <v/>
          </cell>
          <cell r="E367">
            <v>2.23</v>
          </cell>
          <cell r="F367">
            <v>1</v>
          </cell>
          <cell r="G367">
            <v>0.02</v>
          </cell>
          <cell r="H367">
            <v>675.75757575757586</v>
          </cell>
          <cell r="I367">
            <v>2.23</v>
          </cell>
        </row>
        <row r="368">
          <cell r="A368" t="str">
            <v>01</v>
          </cell>
          <cell r="B368" t="str">
            <v>GINGER</v>
          </cell>
          <cell r="C368" t="str">
            <v>COLLES</v>
          </cell>
          <cell r="D368" t="str">
            <v/>
          </cell>
          <cell r="E368">
            <v>2445</v>
          </cell>
          <cell r="F368">
            <v>5.0000000000000001E-4</v>
          </cell>
          <cell r="G368">
            <v>0.02</v>
          </cell>
          <cell r="H368">
            <v>370.4545454545455</v>
          </cell>
          <cell r="I368">
            <v>1.2224999999999999</v>
          </cell>
        </row>
        <row r="369">
          <cell r="A369" t="str">
            <v>01</v>
          </cell>
          <cell r="B369" t="str">
            <v>GINGER</v>
          </cell>
          <cell r="C369" t="str">
            <v>DETERSIF</v>
          </cell>
          <cell r="D369" t="str">
            <v/>
          </cell>
          <cell r="E369">
            <v>750.75</v>
          </cell>
          <cell r="F369">
            <v>0.5</v>
          </cell>
          <cell r="G369">
            <v>0</v>
          </cell>
          <cell r="H369">
            <v>375.375</v>
          </cell>
          <cell r="I369">
            <v>1.2387374999999998</v>
          </cell>
        </row>
        <row r="370">
          <cell r="A370" t="str">
            <v>01</v>
          </cell>
          <cell r="B370" t="str">
            <v>GINGER</v>
          </cell>
          <cell r="C370" t="str">
            <v>ETIQUETTEPM</v>
          </cell>
          <cell r="D370" t="str">
            <v/>
          </cell>
          <cell r="E370">
            <v>2.4500000000000002</v>
          </cell>
          <cell r="F370">
            <v>1</v>
          </cell>
          <cell r="G370">
            <v>0.02</v>
          </cell>
          <cell r="H370">
            <v>742.42424242424249</v>
          </cell>
          <cell r="I370">
            <v>2.4500000000000002</v>
          </cell>
        </row>
        <row r="371">
          <cell r="A371" t="str">
            <v>01</v>
          </cell>
          <cell r="B371" t="str">
            <v>GINGER</v>
          </cell>
          <cell r="C371" t="str">
            <v>EXTRAIT</v>
          </cell>
          <cell r="D371" t="str">
            <v/>
          </cell>
          <cell r="E371">
            <v>79361</v>
          </cell>
          <cell r="F371">
            <v>0.1</v>
          </cell>
          <cell r="G371">
            <v>0</v>
          </cell>
          <cell r="H371">
            <v>7936.1</v>
          </cell>
          <cell r="I371">
            <v>26.189129999999995</v>
          </cell>
        </row>
        <row r="372">
          <cell r="A372" t="str">
            <v>01</v>
          </cell>
          <cell r="B372" t="str">
            <v>GINGER</v>
          </cell>
          <cell r="C372" t="str">
            <v>KIESELGHUR</v>
          </cell>
          <cell r="D372" t="str">
            <v/>
          </cell>
          <cell r="E372">
            <v>883.2</v>
          </cell>
          <cell r="F372">
            <v>0.03</v>
          </cell>
          <cell r="G372">
            <v>0</v>
          </cell>
          <cell r="H372">
            <v>26.495999999999999</v>
          </cell>
          <cell r="I372">
            <v>8.7436799999999981E-2</v>
          </cell>
        </row>
        <row r="373">
          <cell r="A373" t="str">
            <v>01</v>
          </cell>
          <cell r="B373" t="str">
            <v>GINGER</v>
          </cell>
          <cell r="C373" t="str">
            <v>LU</v>
          </cell>
          <cell r="D373" t="str">
            <v/>
          </cell>
          <cell r="E373">
            <v>1252.327512650173</v>
          </cell>
          <cell r="F373">
            <v>1.9199452391448067E-2</v>
          </cell>
          <cell r="G373">
            <v>0</v>
          </cell>
          <cell r="H373">
            <v>156.03124488187001</v>
          </cell>
          <cell r="I373">
            <v>0.51490310811017093</v>
          </cell>
        </row>
        <row r="374">
          <cell r="A374" t="str">
            <v>01</v>
          </cell>
          <cell r="B374" t="str">
            <v>GINGER</v>
          </cell>
          <cell r="C374" t="str">
            <v>PLAQUES</v>
          </cell>
          <cell r="D374" t="str">
            <v/>
          </cell>
          <cell r="E374">
            <v>14000</v>
          </cell>
          <cell r="F374">
            <v>2.0421659273090025E-3</v>
          </cell>
          <cell r="G374">
            <v>0</v>
          </cell>
          <cell r="H374">
            <v>28.029728414045135</v>
          </cell>
          <cell r="I374">
            <v>9.2498103766348941E-2</v>
          </cell>
        </row>
        <row r="375">
          <cell r="A375" t="str">
            <v>01</v>
          </cell>
          <cell r="B375" t="str">
            <v>GINGER</v>
          </cell>
          <cell r="C375" t="str">
            <v>SUCRE</v>
          </cell>
          <cell r="D375" t="str">
            <v/>
          </cell>
          <cell r="E375">
            <v>580</v>
          </cell>
          <cell r="F375">
            <v>11.4734</v>
          </cell>
          <cell r="G375">
            <v>0.01</v>
          </cell>
          <cell r="H375">
            <v>6721.1177200000002</v>
          </cell>
          <cell r="I375">
            <v>22.179688475999999</v>
          </cell>
        </row>
        <row r="376">
          <cell r="A376" t="str">
            <v>01</v>
          </cell>
          <cell r="B376" t="str">
            <v>GINGPM</v>
          </cell>
          <cell r="C376" t="str">
            <v>AUTREMC</v>
          </cell>
          <cell r="D376" t="str">
            <v/>
          </cell>
          <cell r="E376">
            <v>2035.2923684676705</v>
          </cell>
          <cell r="F376">
            <v>0.12808918510732575</v>
          </cell>
          <cell r="G376">
            <v>0</v>
          </cell>
          <cell r="H376">
            <v>258.1177632991911</v>
          </cell>
          <cell r="I376">
            <v>1.2905888164959556</v>
          </cell>
        </row>
        <row r="377">
          <cell r="A377" t="str">
            <v>01</v>
          </cell>
          <cell r="B377" t="str">
            <v>GINGPM</v>
          </cell>
          <cell r="C377" t="str">
            <v>AUTREMP</v>
          </cell>
          <cell r="D377" t="str">
            <v/>
          </cell>
          <cell r="E377">
            <v>2133</v>
          </cell>
          <cell r="F377">
            <v>1.6000000000000001E-3</v>
          </cell>
          <cell r="G377">
            <v>0</v>
          </cell>
          <cell r="H377">
            <v>3.4128000000000003</v>
          </cell>
          <cell r="I377">
            <v>1.7063999999999999E-2</v>
          </cell>
        </row>
        <row r="378">
          <cell r="A378" t="str">
            <v>01</v>
          </cell>
          <cell r="B378" t="str">
            <v>GINGPM</v>
          </cell>
          <cell r="C378" t="str">
            <v>BOUCHON</v>
          </cell>
          <cell r="D378" t="str">
            <v/>
          </cell>
          <cell r="E378">
            <v>18.7</v>
          </cell>
          <cell r="F378">
            <v>1</v>
          </cell>
          <cell r="G378">
            <v>0.01</v>
          </cell>
          <cell r="H378">
            <v>3740</v>
          </cell>
          <cell r="I378">
            <v>18.7</v>
          </cell>
        </row>
        <row r="379">
          <cell r="A379" t="str">
            <v>01</v>
          </cell>
          <cell r="B379" t="str">
            <v>GINGPM</v>
          </cell>
          <cell r="C379" t="str">
            <v>CARBURANT</v>
          </cell>
          <cell r="D379" t="str">
            <v/>
          </cell>
          <cell r="E379">
            <v>337.43078666328859</v>
          </cell>
          <cell r="F379">
            <v>3.6182848468968065</v>
          </cell>
          <cell r="G379">
            <v>0</v>
          </cell>
          <cell r="H379">
            <v>1220.9207022602461</v>
          </cell>
          <cell r="I379">
            <v>6.1046035113012298</v>
          </cell>
        </row>
        <row r="380">
          <cell r="A380" t="str">
            <v>01</v>
          </cell>
          <cell r="B380" t="str">
            <v>GINGPM</v>
          </cell>
          <cell r="C380" t="str">
            <v>COLLES</v>
          </cell>
          <cell r="D380" t="str">
            <v/>
          </cell>
          <cell r="E380">
            <v>4147.5</v>
          </cell>
          <cell r="F380">
            <v>7.4999999999999993E-5</v>
          </cell>
          <cell r="G380">
            <v>0.02</v>
          </cell>
          <cell r="H380">
            <v>62.212499999999999</v>
          </cell>
          <cell r="I380">
            <v>0.31106249999999996</v>
          </cell>
        </row>
        <row r="381">
          <cell r="A381" t="str">
            <v>01</v>
          </cell>
          <cell r="B381" t="str">
            <v>GINGPM</v>
          </cell>
          <cell r="C381" t="str">
            <v>ETIQUETTEPM</v>
          </cell>
          <cell r="D381" t="str">
            <v/>
          </cell>
          <cell r="E381">
            <v>4.25</v>
          </cell>
          <cell r="F381">
            <v>1</v>
          </cell>
          <cell r="G381">
            <v>0.02</v>
          </cell>
          <cell r="H381">
            <v>850</v>
          </cell>
          <cell r="I381">
            <v>4.25</v>
          </cell>
        </row>
        <row r="382">
          <cell r="A382" t="str">
            <v>01</v>
          </cell>
          <cell r="B382" t="str">
            <v>GINGPM</v>
          </cell>
          <cell r="C382" t="str">
            <v>EXTRAIT</v>
          </cell>
          <cell r="D382" t="str">
            <v/>
          </cell>
          <cell r="E382">
            <v>79361</v>
          </cell>
          <cell r="F382">
            <v>0.1</v>
          </cell>
          <cell r="G382">
            <v>0</v>
          </cell>
          <cell r="H382">
            <v>7936.1</v>
          </cell>
          <cell r="I382">
            <v>39.680499999999995</v>
          </cell>
        </row>
        <row r="383">
          <cell r="A383" t="str">
            <v>01</v>
          </cell>
          <cell r="B383" t="str">
            <v>GINGPM</v>
          </cell>
          <cell r="C383" t="str">
            <v>INTERCALAIRES</v>
          </cell>
          <cell r="D383" t="str">
            <v/>
          </cell>
          <cell r="E383">
            <v>772.22</v>
          </cell>
          <cell r="F383">
            <v>2.5999999999999999E-3</v>
          </cell>
          <cell r="G383">
            <v>0.01</v>
          </cell>
          <cell r="H383">
            <v>401.55440000000004</v>
          </cell>
          <cell r="I383">
            <v>2.0077720000000001</v>
          </cell>
        </row>
        <row r="384">
          <cell r="A384" t="str">
            <v>01</v>
          </cell>
          <cell r="B384" t="str">
            <v>GINGPM</v>
          </cell>
          <cell r="C384" t="str">
            <v>KIESELGHUR</v>
          </cell>
          <cell r="D384" t="str">
            <v/>
          </cell>
          <cell r="E384">
            <v>883.2</v>
          </cell>
          <cell r="F384">
            <v>0.03</v>
          </cell>
          <cell r="G384">
            <v>0</v>
          </cell>
          <cell r="H384">
            <v>26.495999999999999</v>
          </cell>
          <cell r="I384">
            <v>0.13247999999999999</v>
          </cell>
        </row>
        <row r="385">
          <cell r="A385" t="str">
            <v>01</v>
          </cell>
          <cell r="B385" t="str">
            <v>GINGPM</v>
          </cell>
          <cell r="C385" t="str">
            <v>LU</v>
          </cell>
          <cell r="D385" t="str">
            <v/>
          </cell>
          <cell r="E385">
            <v>1252.327512650173</v>
          </cell>
          <cell r="F385">
            <v>1.9199452391448067E-2</v>
          </cell>
          <cell r="G385">
            <v>0</v>
          </cell>
          <cell r="H385">
            <v>111.00700245762755</v>
          </cell>
          <cell r="I385">
            <v>0.55503501228813779</v>
          </cell>
        </row>
        <row r="386">
          <cell r="A386" t="str">
            <v>01</v>
          </cell>
          <cell r="B386" t="str">
            <v>GINGPM</v>
          </cell>
          <cell r="C386" t="str">
            <v>PACKGM</v>
          </cell>
          <cell r="D386" t="str">
            <v/>
          </cell>
          <cell r="E386">
            <v>1424</v>
          </cell>
          <cell r="F386">
            <v>3.13E-3</v>
          </cell>
          <cell r="G386">
            <v>0.02</v>
          </cell>
          <cell r="H386">
            <v>891.42400000000009</v>
          </cell>
          <cell r="I386">
            <v>4.4571199999999997</v>
          </cell>
        </row>
        <row r="387">
          <cell r="A387" t="str">
            <v>01</v>
          </cell>
          <cell r="B387" t="str">
            <v>GINGPM</v>
          </cell>
          <cell r="C387" t="str">
            <v>PLAQUES</v>
          </cell>
          <cell r="D387" t="str">
            <v/>
          </cell>
          <cell r="E387">
            <v>14000</v>
          </cell>
          <cell r="F387">
            <v>2.0421659273090025E-3</v>
          </cell>
          <cell r="G387">
            <v>0</v>
          </cell>
          <cell r="H387">
            <v>28.307250477550532</v>
          </cell>
          <cell r="I387">
            <v>0.14153625238775264</v>
          </cell>
        </row>
        <row r="388">
          <cell r="A388" t="str">
            <v>01</v>
          </cell>
          <cell r="B388" t="str">
            <v>GINGPM</v>
          </cell>
          <cell r="C388" t="str">
            <v>PREFORMEPM</v>
          </cell>
          <cell r="D388" t="str">
            <v/>
          </cell>
          <cell r="E388">
            <v>48</v>
          </cell>
          <cell r="F388">
            <v>1</v>
          </cell>
          <cell r="G388">
            <v>0.01</v>
          </cell>
          <cell r="H388">
            <v>9600</v>
          </cell>
          <cell r="I388">
            <v>48</v>
          </cell>
        </row>
        <row r="389">
          <cell r="A389" t="str">
            <v>01</v>
          </cell>
          <cell r="B389" t="str">
            <v>GINGPM</v>
          </cell>
          <cell r="C389" t="str">
            <v>SUCRE</v>
          </cell>
          <cell r="D389" t="str">
            <v/>
          </cell>
          <cell r="E389">
            <v>580</v>
          </cell>
          <cell r="F389">
            <v>11.4734</v>
          </cell>
          <cell r="G389">
            <v>0.01</v>
          </cell>
          <cell r="H389">
            <v>6721.1177199999993</v>
          </cell>
          <cell r="I389">
            <v>33.605588599999997</v>
          </cell>
        </row>
        <row r="390">
          <cell r="A390" t="str">
            <v>01</v>
          </cell>
          <cell r="B390" t="str">
            <v>GINTO</v>
          </cell>
          <cell r="C390" t="str">
            <v>AUTREMC</v>
          </cell>
          <cell r="D390" t="str">
            <v/>
          </cell>
          <cell r="E390">
            <v>2252.5543691149755</v>
          </cell>
          <cell r="F390">
            <v>0.14808918510732574</v>
          </cell>
          <cell r="G390">
            <v>0</v>
          </cell>
          <cell r="H390">
            <v>318.82239710583309</v>
          </cell>
          <cell r="I390">
            <v>1.052113910449249</v>
          </cell>
        </row>
        <row r="391">
          <cell r="A391" t="str">
            <v>01</v>
          </cell>
          <cell r="B391" t="str">
            <v>GINTO</v>
          </cell>
          <cell r="C391" t="str">
            <v>AUTREMP</v>
          </cell>
          <cell r="D391" t="str">
            <v/>
          </cell>
          <cell r="E391">
            <v>1131.7053074235816</v>
          </cell>
          <cell r="F391">
            <v>9.4548699999999997</v>
          </cell>
          <cell r="G391">
            <v>0</v>
          </cell>
          <cell r="H391">
            <v>10700.126559999999</v>
          </cell>
          <cell r="I391">
            <v>35.310417647999991</v>
          </cell>
        </row>
        <row r="392">
          <cell r="A392" t="str">
            <v>01</v>
          </cell>
          <cell r="B392" t="str">
            <v>GINTO</v>
          </cell>
          <cell r="C392" t="str">
            <v>CAPSULE</v>
          </cell>
          <cell r="D392" t="str">
            <v/>
          </cell>
          <cell r="E392">
            <v>6.28</v>
          </cell>
          <cell r="F392">
            <v>1</v>
          </cell>
          <cell r="G392">
            <v>0.02</v>
          </cell>
          <cell r="H392">
            <v>1903.0303030303035</v>
          </cell>
          <cell r="I392">
            <v>6.28</v>
          </cell>
        </row>
        <row r="393">
          <cell r="A393" t="str">
            <v>01</v>
          </cell>
          <cell r="B393" t="str">
            <v>GINTO</v>
          </cell>
          <cell r="C393" t="str">
            <v>CARBURANT</v>
          </cell>
          <cell r="D393" t="str">
            <v/>
          </cell>
          <cell r="E393">
            <v>337.43078666328859</v>
          </cell>
          <cell r="F393">
            <v>3.6182848468968065</v>
          </cell>
          <cell r="G393">
            <v>0</v>
          </cell>
          <cell r="H393">
            <v>1220.9207022602461</v>
          </cell>
          <cell r="I393">
            <v>4.0290383174588111</v>
          </cell>
        </row>
        <row r="394">
          <cell r="A394" t="str">
            <v>01</v>
          </cell>
          <cell r="B394" t="str">
            <v>GINTO</v>
          </cell>
          <cell r="C394" t="str">
            <v>COLLERETTEPM</v>
          </cell>
          <cell r="D394" t="str">
            <v/>
          </cell>
          <cell r="E394">
            <v>2.2000000000000002</v>
          </cell>
          <cell r="F394">
            <v>1</v>
          </cell>
          <cell r="G394">
            <v>0.02</v>
          </cell>
          <cell r="H394">
            <v>666.66666666666686</v>
          </cell>
          <cell r="I394">
            <v>2.2000000000000002</v>
          </cell>
        </row>
        <row r="395">
          <cell r="A395" t="str">
            <v>01</v>
          </cell>
          <cell r="B395" t="str">
            <v>GINTO</v>
          </cell>
          <cell r="C395" t="str">
            <v>COLLES</v>
          </cell>
          <cell r="D395" t="str">
            <v/>
          </cell>
          <cell r="E395">
            <v>2445</v>
          </cell>
          <cell r="F395">
            <v>5.0000000000000001E-4</v>
          </cell>
          <cell r="G395">
            <v>0.02</v>
          </cell>
          <cell r="H395">
            <v>370.45454545454555</v>
          </cell>
          <cell r="I395">
            <v>1.2224999999999999</v>
          </cell>
        </row>
        <row r="396">
          <cell r="A396" t="str">
            <v>01</v>
          </cell>
          <cell r="B396" t="str">
            <v>GINTO</v>
          </cell>
          <cell r="C396" t="str">
            <v>DETERSIF</v>
          </cell>
          <cell r="D396" t="str">
            <v/>
          </cell>
          <cell r="E396">
            <v>750.75</v>
          </cell>
          <cell r="F396">
            <v>0.5</v>
          </cell>
          <cell r="G396">
            <v>0</v>
          </cell>
          <cell r="H396">
            <v>375.375</v>
          </cell>
          <cell r="I396">
            <v>1.2387374999999996</v>
          </cell>
        </row>
        <row r="397">
          <cell r="A397" t="str">
            <v>01</v>
          </cell>
          <cell r="B397" t="str">
            <v>GINTO</v>
          </cell>
          <cell r="C397" t="str">
            <v>ETIQUETTEPM</v>
          </cell>
          <cell r="D397" t="str">
            <v/>
          </cell>
          <cell r="E397">
            <v>2.78</v>
          </cell>
          <cell r="F397">
            <v>1</v>
          </cell>
          <cell r="G397">
            <v>0.02</v>
          </cell>
          <cell r="H397">
            <v>842.42424242424261</v>
          </cell>
          <cell r="I397">
            <v>2.78</v>
          </cell>
        </row>
        <row r="398">
          <cell r="A398" t="str">
            <v>01</v>
          </cell>
          <cell r="B398" t="str">
            <v>GINTO</v>
          </cell>
          <cell r="C398" t="str">
            <v>EXTRAIT</v>
          </cell>
          <cell r="D398" t="str">
            <v/>
          </cell>
          <cell r="E398">
            <v>236155</v>
          </cell>
          <cell r="F398">
            <v>3.4700000000000002E-2</v>
          </cell>
          <cell r="G398">
            <v>0</v>
          </cell>
          <cell r="H398">
            <v>8194.5784999999996</v>
          </cell>
          <cell r="I398">
            <v>27.042109049999993</v>
          </cell>
        </row>
        <row r="399">
          <cell r="A399" t="str">
            <v>01</v>
          </cell>
          <cell r="B399" t="str">
            <v>GINTO</v>
          </cell>
          <cell r="C399" t="str">
            <v>KIESELGHUR</v>
          </cell>
          <cell r="D399" t="str">
            <v/>
          </cell>
          <cell r="E399">
            <v>883.2</v>
          </cell>
          <cell r="F399">
            <v>0.03</v>
          </cell>
          <cell r="G399">
            <v>0</v>
          </cell>
          <cell r="H399">
            <v>26.495999999999999</v>
          </cell>
          <cell r="I399">
            <v>8.7436799999999967E-2</v>
          </cell>
        </row>
        <row r="400">
          <cell r="A400" t="str">
            <v>01</v>
          </cell>
          <cell r="B400" t="str">
            <v>GINTO</v>
          </cell>
          <cell r="C400" t="str">
            <v>LU</v>
          </cell>
          <cell r="D400" t="str">
            <v/>
          </cell>
          <cell r="E400">
            <v>1252.327512650173</v>
          </cell>
          <cell r="F400">
            <v>1.9199452391448067E-2</v>
          </cell>
          <cell r="G400">
            <v>0</v>
          </cell>
          <cell r="H400">
            <v>156.03124488187004</v>
          </cell>
          <cell r="I400">
            <v>0.51490310811017093</v>
          </cell>
        </row>
        <row r="401">
          <cell r="A401" t="str">
            <v>01</v>
          </cell>
          <cell r="B401" t="str">
            <v>GINTO</v>
          </cell>
          <cell r="C401" t="str">
            <v>PLAQUES</v>
          </cell>
          <cell r="D401" t="str">
            <v/>
          </cell>
          <cell r="E401">
            <v>14000</v>
          </cell>
          <cell r="F401">
            <v>2.0421659273090025E-3</v>
          </cell>
          <cell r="G401">
            <v>0</v>
          </cell>
          <cell r="H401">
            <v>26.972002813515125</v>
          </cell>
          <cell r="I401">
            <v>8.9007609284599887E-2</v>
          </cell>
        </row>
        <row r="402">
          <cell r="A402" t="str">
            <v>01</v>
          </cell>
          <cell r="B402" t="str">
            <v>GINTO</v>
          </cell>
          <cell r="C402" t="str">
            <v>SUCRE</v>
          </cell>
          <cell r="D402" t="str">
            <v/>
          </cell>
          <cell r="E402">
            <v>580</v>
          </cell>
          <cell r="F402">
            <v>6.81</v>
          </cell>
          <cell r="G402">
            <v>0.01</v>
          </cell>
          <cell r="H402">
            <v>3989.2979999999993</v>
          </cell>
          <cell r="I402">
            <v>13.164683399999994</v>
          </cell>
        </row>
        <row r="403">
          <cell r="A403" t="str">
            <v>01</v>
          </cell>
          <cell r="B403" t="str">
            <v>GUINNE</v>
          </cell>
          <cell r="C403" t="str">
            <v>10104002</v>
          </cell>
          <cell r="D403" t="str">
            <v xml:space="preserve">EXTRAIT GUINNESS GFE 2,5%               </v>
          </cell>
          <cell r="E403">
            <v>9600</v>
          </cell>
          <cell r="F403">
            <v>2.5</v>
          </cell>
          <cell r="G403">
            <v>0</v>
          </cell>
          <cell r="H403">
            <v>24000</v>
          </cell>
          <cell r="I403">
            <v>92.180114687866535</v>
          </cell>
        </row>
        <row r="404">
          <cell r="A404" t="str">
            <v>01</v>
          </cell>
          <cell r="B404" t="str">
            <v>GUINNE</v>
          </cell>
          <cell r="C404" t="str">
            <v>10113005</v>
          </cell>
          <cell r="D404" t="str">
            <v xml:space="preserve">HOUBLON ISOMERISE IKE (Kilo Iso Alpha)  </v>
          </cell>
          <cell r="E404">
            <v>142225</v>
          </cell>
          <cell r="F404">
            <v>2.3300000000000001E-2</v>
          </cell>
          <cell r="G404">
            <v>0.04</v>
          </cell>
          <cell r="H404">
            <v>3446.3962000000006</v>
          </cell>
          <cell r="I404">
            <v>13.237049873992811</v>
          </cell>
        </row>
        <row r="405">
          <cell r="A405" t="str">
            <v>01</v>
          </cell>
          <cell r="B405" t="str">
            <v>GUINNE</v>
          </cell>
          <cell r="C405" t="str">
            <v>10113009</v>
          </cell>
          <cell r="D405" t="str">
            <v xml:space="preserve">MAIS GRITS                              </v>
          </cell>
          <cell r="E405">
            <v>400</v>
          </cell>
          <cell r="F405">
            <v>3.34</v>
          </cell>
          <cell r="G405">
            <v>0.04</v>
          </cell>
          <cell r="H405">
            <v>1389.44</v>
          </cell>
          <cell r="I405">
            <v>5.336614106329554</v>
          </cell>
        </row>
        <row r="406">
          <cell r="A406" t="str">
            <v>01</v>
          </cell>
          <cell r="B406" t="str">
            <v>GUINNE</v>
          </cell>
          <cell r="C406" t="str">
            <v>10113012</v>
          </cell>
          <cell r="D406" t="str">
            <v xml:space="preserve">SUCRE BIERES                            </v>
          </cell>
          <cell r="E406">
            <v>450</v>
          </cell>
          <cell r="F406">
            <v>1.25</v>
          </cell>
          <cell r="G406">
            <v>0.04</v>
          </cell>
          <cell r="H406">
            <v>585</v>
          </cell>
          <cell r="I406">
            <v>2.2468902955167471</v>
          </cell>
        </row>
        <row r="407">
          <cell r="A407" t="str">
            <v>01</v>
          </cell>
          <cell r="B407" t="str">
            <v>GUINNE</v>
          </cell>
          <cell r="C407" t="str">
            <v>10113015</v>
          </cell>
          <cell r="D407" t="str">
            <v xml:space="preserve">MALT                                    </v>
          </cell>
          <cell r="E407">
            <v>489</v>
          </cell>
          <cell r="F407">
            <v>21.12</v>
          </cell>
          <cell r="G407">
            <v>0.04</v>
          </cell>
          <cell r="H407">
            <v>10740.787200000001</v>
          </cell>
          <cell r="I407">
            <v>41.253624830582041</v>
          </cell>
        </row>
        <row r="408">
          <cell r="A408" t="str">
            <v>01</v>
          </cell>
          <cell r="B408" t="str">
            <v>GUINNE</v>
          </cell>
          <cell r="C408" t="str">
            <v>AUTREMC</v>
          </cell>
          <cell r="D408" t="str">
            <v/>
          </cell>
          <cell r="E408">
            <v>2364.0681059167568</v>
          </cell>
          <cell r="F408">
            <v>0.16308918510732576</v>
          </cell>
          <cell r="G408">
            <v>0</v>
          </cell>
          <cell r="H408">
            <v>375.52705858863749</v>
          </cell>
          <cell r="I408">
            <v>1.4423386387124073</v>
          </cell>
        </row>
        <row r="409">
          <cell r="A409" t="str">
            <v>01</v>
          </cell>
          <cell r="B409" t="str">
            <v>GUINNE</v>
          </cell>
          <cell r="C409" t="str">
            <v>AUTREMP</v>
          </cell>
          <cell r="D409" t="str">
            <v/>
          </cell>
          <cell r="E409">
            <v>904.32458048477315</v>
          </cell>
          <cell r="F409">
            <v>4.0224999999999997E-2</v>
          </cell>
          <cell r="G409">
            <v>0</v>
          </cell>
          <cell r="H409">
            <v>36.376456250000011</v>
          </cell>
          <cell r="I409">
            <v>0.13971607954429835</v>
          </cell>
        </row>
        <row r="410">
          <cell r="A410" t="str">
            <v>01</v>
          </cell>
          <cell r="B410" t="str">
            <v>GUINNE</v>
          </cell>
          <cell r="C410" t="str">
            <v>CAPSULE</v>
          </cell>
          <cell r="D410" t="str">
            <v/>
          </cell>
          <cell r="E410">
            <v>6.46</v>
          </cell>
          <cell r="F410">
            <v>1</v>
          </cell>
          <cell r="G410">
            <v>0.02</v>
          </cell>
          <cell r="H410">
            <v>1681.9245726150912</v>
          </cell>
          <cell r="I410">
            <v>6.46</v>
          </cell>
        </row>
        <row r="411">
          <cell r="A411" t="str">
            <v>01</v>
          </cell>
          <cell r="B411" t="str">
            <v>GUINNE</v>
          </cell>
          <cell r="C411" t="str">
            <v>CARBURANT</v>
          </cell>
          <cell r="D411" t="str">
            <v/>
          </cell>
          <cell r="E411">
            <v>337.43078666328859</v>
          </cell>
          <cell r="F411">
            <v>3.6182848468968065</v>
          </cell>
          <cell r="G411">
            <v>0</v>
          </cell>
          <cell r="H411">
            <v>1220.9207022602459</v>
          </cell>
          <cell r="I411">
            <v>4.689358764964167</v>
          </cell>
        </row>
        <row r="412">
          <cell r="A412" t="str">
            <v>01</v>
          </cell>
          <cell r="B412" t="str">
            <v>GUINNE</v>
          </cell>
          <cell r="C412" t="str">
            <v>COLLERETTEGM</v>
          </cell>
          <cell r="D412" t="str">
            <v/>
          </cell>
          <cell r="E412">
            <v>4.8</v>
          </cell>
          <cell r="F412">
            <v>1</v>
          </cell>
          <cell r="G412">
            <v>0.02</v>
          </cell>
          <cell r="H412">
            <v>211.21878723766261</v>
          </cell>
          <cell r="I412">
            <v>0.81125716799165903</v>
          </cell>
        </row>
        <row r="413">
          <cell r="A413" t="str">
            <v>01</v>
          </cell>
          <cell r="B413" t="str">
            <v>GUINNE</v>
          </cell>
          <cell r="C413" t="str">
            <v>COLLERETTEPM</v>
          </cell>
          <cell r="D413" t="str">
            <v/>
          </cell>
          <cell r="E413">
            <v>2.2000000000000002</v>
          </cell>
          <cell r="F413">
            <v>1</v>
          </cell>
          <cell r="G413">
            <v>0.02</v>
          </cell>
          <cell r="H413">
            <v>475.98303929933257</v>
          </cell>
          <cell r="I413">
            <v>1.8281737980038233</v>
          </cell>
        </row>
        <row r="414">
          <cell r="A414" t="str">
            <v>01</v>
          </cell>
          <cell r="B414" t="str">
            <v>GUINNE</v>
          </cell>
          <cell r="C414" t="str">
            <v>COLLES</v>
          </cell>
          <cell r="D414" t="str">
            <v/>
          </cell>
          <cell r="E414">
            <v>2445</v>
          </cell>
          <cell r="F414">
            <v>1E-3</v>
          </cell>
          <cell r="G414">
            <v>0.02</v>
          </cell>
          <cell r="H414">
            <v>636.57981115230609</v>
          </cell>
          <cell r="I414">
            <v>2.4449999999999998</v>
          </cell>
        </row>
        <row r="415">
          <cell r="A415" t="str">
            <v>01</v>
          </cell>
          <cell r="B415" t="str">
            <v>GUINNE</v>
          </cell>
          <cell r="C415" t="str">
            <v>DETERSIF</v>
          </cell>
          <cell r="D415" t="str">
            <v/>
          </cell>
          <cell r="E415">
            <v>750.75</v>
          </cell>
          <cell r="F415">
            <v>0.5</v>
          </cell>
          <cell r="G415">
            <v>0</v>
          </cell>
          <cell r="H415">
            <v>375.375</v>
          </cell>
          <cell r="I415">
            <v>1.4417546062899125</v>
          </cell>
        </row>
        <row r="416">
          <cell r="A416" t="str">
            <v>01</v>
          </cell>
          <cell r="B416" t="str">
            <v>GUINNE</v>
          </cell>
          <cell r="C416" t="str">
            <v>ETIQUETTEGM</v>
          </cell>
          <cell r="D416" t="str">
            <v/>
          </cell>
          <cell r="E416">
            <v>6.46</v>
          </cell>
          <cell r="F416">
            <v>2</v>
          </cell>
          <cell r="G416">
            <v>0.02</v>
          </cell>
          <cell r="H416">
            <v>568.53056898137515</v>
          </cell>
          <cell r="I416">
            <v>2.1836338771775488</v>
          </cell>
        </row>
        <row r="417">
          <cell r="A417" t="str">
            <v>01</v>
          </cell>
          <cell r="B417" t="str">
            <v>GUINNE</v>
          </cell>
          <cell r="C417" t="str">
            <v>ETIQUETTEPM</v>
          </cell>
          <cell r="D417" t="str">
            <v/>
          </cell>
          <cell r="E417">
            <v>2.82</v>
          </cell>
          <cell r="F417">
            <v>2</v>
          </cell>
          <cell r="G417">
            <v>0.02</v>
          </cell>
          <cell r="H417">
            <v>1220.2474280219251</v>
          </cell>
          <cell r="I417">
            <v>4.6867728276097997</v>
          </cell>
        </row>
        <row r="418">
          <cell r="A418" t="str">
            <v>01</v>
          </cell>
          <cell r="B418" t="str">
            <v>GUINNE</v>
          </cell>
          <cell r="C418" t="str">
            <v>KIESELGHUR</v>
          </cell>
          <cell r="D418" t="str">
            <v/>
          </cell>
          <cell r="E418">
            <v>887.05675675675684</v>
          </cell>
          <cell r="F418">
            <v>0.29599999999999999</v>
          </cell>
          <cell r="G418">
            <v>0</v>
          </cell>
          <cell r="H418">
            <v>262.56880000000007</v>
          </cell>
          <cell r="I418">
            <v>1.0084842540606458</v>
          </cell>
        </row>
        <row r="419">
          <cell r="A419" t="str">
            <v>01</v>
          </cell>
          <cell r="B419" t="str">
            <v>GUINNE</v>
          </cell>
          <cell r="C419" t="str">
            <v>LU</v>
          </cell>
          <cell r="D419" t="str">
            <v/>
          </cell>
          <cell r="E419">
            <v>1252.327512650173</v>
          </cell>
          <cell r="F419">
            <v>1.9199452391448067E-2</v>
          </cell>
          <cell r="G419">
            <v>0</v>
          </cell>
          <cell r="H419">
            <v>137.38425295806019</v>
          </cell>
          <cell r="I419">
            <v>0.52767067474920226</v>
          </cell>
        </row>
        <row r="420">
          <cell r="A420" t="str">
            <v>01</v>
          </cell>
          <cell r="B420" t="str">
            <v>GUINNE</v>
          </cell>
          <cell r="C420" t="str">
            <v>PLAQUES</v>
          </cell>
          <cell r="D420" t="str">
            <v/>
          </cell>
          <cell r="E420">
            <v>14000</v>
          </cell>
          <cell r="F420">
            <v>2.0421659273090025E-3</v>
          </cell>
          <cell r="G420">
            <v>0</v>
          </cell>
          <cell r="H420">
            <v>27.490695175313494</v>
          </cell>
          <cell r="I420">
            <v>0.10558730975456572</v>
          </cell>
        </row>
        <row r="421">
          <cell r="A421" t="str">
            <v>01</v>
          </cell>
          <cell r="B421" t="str">
            <v>KREST</v>
          </cell>
          <cell r="C421" t="str">
            <v>AUTREMC</v>
          </cell>
          <cell r="D421" t="str">
            <v/>
          </cell>
          <cell r="E421">
            <v>2252.5543691149755</v>
          </cell>
          <cell r="F421">
            <v>0.14808918510732574</v>
          </cell>
          <cell r="G421">
            <v>0</v>
          </cell>
          <cell r="H421">
            <v>283.72188957900232</v>
          </cell>
          <cell r="I421">
            <v>1.2241953461044082</v>
          </cell>
        </row>
        <row r="422">
          <cell r="A422" t="str">
            <v>01</v>
          </cell>
          <cell r="B422" t="str">
            <v>KREST</v>
          </cell>
          <cell r="C422" t="str">
            <v>AUTREMP</v>
          </cell>
          <cell r="D422" t="str">
            <v/>
          </cell>
          <cell r="E422">
            <v>2133</v>
          </cell>
          <cell r="F422">
            <v>1.6000000000000001E-3</v>
          </cell>
          <cell r="G422">
            <v>0</v>
          </cell>
          <cell r="H422">
            <v>3.4128000000000012</v>
          </cell>
          <cell r="I422">
            <v>1.4725454857869824E-2</v>
          </cell>
        </row>
        <row r="423">
          <cell r="A423" t="str">
            <v>01</v>
          </cell>
          <cell r="B423" t="str">
            <v>KREST</v>
          </cell>
          <cell r="C423" t="str">
            <v>BOITESPM</v>
          </cell>
          <cell r="D423" t="str">
            <v/>
          </cell>
          <cell r="E423">
            <v>51.45</v>
          </cell>
          <cell r="F423">
            <v>2</v>
          </cell>
          <cell r="G423">
            <v>0.02</v>
          </cell>
          <cell r="H423">
            <v>17041.398027024316</v>
          </cell>
          <cell r="I423">
            <v>73.529751922743301</v>
          </cell>
        </row>
        <row r="424">
          <cell r="A424" t="str">
            <v>01</v>
          </cell>
          <cell r="B424" t="str">
            <v>KREST</v>
          </cell>
          <cell r="C424" t="str">
            <v>CAPSULE</v>
          </cell>
          <cell r="D424" t="str">
            <v/>
          </cell>
          <cell r="E424">
            <v>5.86</v>
          </cell>
          <cell r="F424">
            <v>1</v>
          </cell>
          <cell r="G424">
            <v>0.02</v>
          </cell>
          <cell r="H424">
            <v>387.64302637813938</v>
          </cell>
          <cell r="I424">
            <v>1.6725913871013043</v>
          </cell>
        </row>
        <row r="425">
          <cell r="A425" t="str">
            <v>01</v>
          </cell>
          <cell r="B425" t="str">
            <v>KREST</v>
          </cell>
          <cell r="C425" t="str">
            <v>CARBURANT</v>
          </cell>
          <cell r="D425" t="str">
            <v/>
          </cell>
          <cell r="E425">
            <v>337.43078666328859</v>
          </cell>
          <cell r="F425">
            <v>3.6182848468968065</v>
          </cell>
          <cell r="G425">
            <v>0</v>
          </cell>
          <cell r="H425">
            <v>1220.9207022602461</v>
          </cell>
          <cell r="I425">
            <v>5.2679948095909435</v>
          </cell>
        </row>
        <row r="426">
          <cell r="A426" t="str">
            <v>01</v>
          </cell>
          <cell r="B426" t="str">
            <v>KREST</v>
          </cell>
          <cell r="C426" t="str">
            <v>CARTONSPM</v>
          </cell>
          <cell r="D426" t="str">
            <v/>
          </cell>
          <cell r="E426">
            <v>216.40046296296293</v>
          </cell>
          <cell r="F426">
            <v>4.3200000000000002E-2</v>
          </cell>
          <cell r="G426">
            <v>0.02</v>
          </cell>
          <cell r="H426">
            <v>1548.2168071490455</v>
          </cell>
          <cell r="I426">
            <v>6.68020297230093</v>
          </cell>
        </row>
        <row r="427">
          <cell r="A427" t="str">
            <v>01</v>
          </cell>
          <cell r="B427" t="str">
            <v>KREST</v>
          </cell>
          <cell r="C427" t="str">
            <v>COLLERETTEGM</v>
          </cell>
          <cell r="D427" t="str">
            <v/>
          </cell>
          <cell r="E427">
            <v>2.6</v>
          </cell>
          <cell r="F427">
            <v>1</v>
          </cell>
          <cell r="G427">
            <v>0.02</v>
          </cell>
          <cell r="H427">
            <v>147.3511293634497</v>
          </cell>
          <cell r="I427">
            <v>0.63578656929723831</v>
          </cell>
        </row>
        <row r="428">
          <cell r="A428" t="str">
            <v>01</v>
          </cell>
          <cell r="B428" t="str">
            <v>KREST</v>
          </cell>
          <cell r="C428" t="str">
            <v>COLLES</v>
          </cell>
          <cell r="D428" t="str">
            <v/>
          </cell>
          <cell r="E428">
            <v>2445</v>
          </cell>
          <cell r="F428">
            <v>5.0000000000000001E-4</v>
          </cell>
          <cell r="G428">
            <v>0.02</v>
          </cell>
          <cell r="H428">
            <v>80.869214973937773</v>
          </cell>
          <cell r="I428">
            <v>0.34893224756507585</v>
          </cell>
        </row>
        <row r="429">
          <cell r="A429" t="str">
            <v>01</v>
          </cell>
          <cell r="B429" t="str">
            <v>KREST</v>
          </cell>
          <cell r="C429" t="str">
            <v>DETERSIF</v>
          </cell>
          <cell r="D429" t="str">
            <v/>
          </cell>
          <cell r="E429">
            <v>750.75</v>
          </cell>
          <cell r="F429">
            <v>0.5</v>
          </cell>
          <cell r="G429">
            <v>0</v>
          </cell>
          <cell r="H429">
            <v>170.22612936344976</v>
          </cell>
          <cell r="I429">
            <v>0.73448698534088952</v>
          </cell>
        </row>
        <row r="430">
          <cell r="A430" t="str">
            <v>01</v>
          </cell>
          <cell r="B430" t="str">
            <v>KREST</v>
          </cell>
          <cell r="C430" t="str">
            <v>ETIQUETTEGM</v>
          </cell>
          <cell r="D430" t="str">
            <v/>
          </cell>
          <cell r="E430">
            <v>3.94</v>
          </cell>
          <cell r="F430">
            <v>1</v>
          </cell>
          <cell r="G430">
            <v>0.02</v>
          </cell>
          <cell r="H430">
            <v>223.29363449691996</v>
          </cell>
          <cell r="I430">
            <v>0.96346118578119955</v>
          </cell>
        </row>
        <row r="431">
          <cell r="A431" t="str">
            <v>01</v>
          </cell>
          <cell r="B431" t="str">
            <v>KREST</v>
          </cell>
          <cell r="C431" t="str">
            <v>ETIQUETTEPM</v>
          </cell>
          <cell r="D431" t="str">
            <v/>
          </cell>
          <cell r="E431">
            <v>2.27</v>
          </cell>
          <cell r="F431">
            <v>1</v>
          </cell>
          <cell r="G431">
            <v>0.02</v>
          </cell>
          <cell r="H431">
            <v>21.513189069657241</v>
          </cell>
          <cell r="I431">
            <v>9.2824511982552774E-2</v>
          </cell>
        </row>
        <row r="432">
          <cell r="A432" t="str">
            <v>01</v>
          </cell>
          <cell r="B432" t="str">
            <v>KREST</v>
          </cell>
          <cell r="C432" t="str">
            <v>EXTRAIT</v>
          </cell>
          <cell r="D432" t="str">
            <v/>
          </cell>
          <cell r="E432">
            <v>50800</v>
          </cell>
          <cell r="F432">
            <v>0.05</v>
          </cell>
          <cell r="G432">
            <v>0</v>
          </cell>
          <cell r="H432">
            <v>2540</v>
          </cell>
          <cell r="I432">
            <v>10.959521606595565</v>
          </cell>
        </row>
        <row r="433">
          <cell r="A433" t="str">
            <v>01</v>
          </cell>
          <cell r="B433" t="str">
            <v>KREST</v>
          </cell>
          <cell r="C433" t="str">
            <v>KIESELGHUR</v>
          </cell>
          <cell r="D433" t="str">
            <v/>
          </cell>
          <cell r="E433">
            <v>883.2</v>
          </cell>
          <cell r="F433">
            <v>0.03</v>
          </cell>
          <cell r="G433">
            <v>0</v>
          </cell>
          <cell r="H433">
            <v>26.495999999999999</v>
          </cell>
          <cell r="I433">
            <v>0.11432420649147877</v>
          </cell>
        </row>
        <row r="434">
          <cell r="A434" t="str">
            <v>01</v>
          </cell>
          <cell r="B434" t="str">
            <v>KREST</v>
          </cell>
          <cell r="C434" t="str">
            <v>LU</v>
          </cell>
          <cell r="D434" t="str">
            <v/>
          </cell>
          <cell r="E434">
            <v>1252.327512650173</v>
          </cell>
          <cell r="F434">
            <v>1.9199452391448067E-2</v>
          </cell>
          <cell r="G434">
            <v>0</v>
          </cell>
          <cell r="H434">
            <v>124.88697067558348</v>
          </cell>
          <cell r="I434">
            <v>0.53885883996115114</v>
          </cell>
        </row>
        <row r="435">
          <cell r="A435" t="str">
            <v>01</v>
          </cell>
          <cell r="B435" t="str">
            <v>KREST</v>
          </cell>
          <cell r="C435" t="str">
            <v>PLAQUES</v>
          </cell>
          <cell r="D435" t="str">
            <v/>
          </cell>
          <cell r="E435">
            <v>14000</v>
          </cell>
          <cell r="F435">
            <v>2.0421659273090025E-3</v>
          </cell>
          <cell r="G435">
            <v>0</v>
          </cell>
          <cell r="H435">
            <v>27.490695175313498</v>
          </cell>
          <cell r="I435">
            <v>0.11861608966700028</v>
          </cell>
        </row>
        <row r="436">
          <cell r="A436" t="str">
            <v>01</v>
          </cell>
          <cell r="B436" t="str">
            <v>LIGHT</v>
          </cell>
          <cell r="C436" t="str">
            <v>10113002</v>
          </cell>
          <cell r="D436" t="str">
            <v xml:space="preserve">HOUBLON EXTRAITS 40 % CO2               </v>
          </cell>
          <cell r="E436">
            <v>45000</v>
          </cell>
          <cell r="F436">
            <v>1.2500000000000001E-2</v>
          </cell>
          <cell r="G436">
            <v>0.04</v>
          </cell>
          <cell r="H436">
            <v>585</v>
          </cell>
          <cell r="I436">
            <v>1.9304999999999994</v>
          </cell>
        </row>
        <row r="437">
          <cell r="A437" t="str">
            <v>01</v>
          </cell>
          <cell r="B437" t="str">
            <v>LIGHT</v>
          </cell>
          <cell r="C437" t="str">
            <v>10113015</v>
          </cell>
          <cell r="D437" t="str">
            <v xml:space="preserve">MALT                                    </v>
          </cell>
          <cell r="E437">
            <v>489</v>
          </cell>
          <cell r="F437">
            <v>13.64</v>
          </cell>
          <cell r="G437">
            <v>0.04</v>
          </cell>
          <cell r="H437">
            <v>6936.7584000000006</v>
          </cell>
          <cell r="I437">
            <v>22.891302719999995</v>
          </cell>
        </row>
        <row r="438">
          <cell r="A438" t="str">
            <v>01</v>
          </cell>
          <cell r="B438" t="str">
            <v>LIGHT</v>
          </cell>
          <cell r="C438" t="str">
            <v>AUTREMC</v>
          </cell>
          <cell r="D438" t="str">
            <v/>
          </cell>
          <cell r="E438">
            <v>2364.0681059167568</v>
          </cell>
          <cell r="F438">
            <v>0.16308918510732576</v>
          </cell>
          <cell r="G438">
            <v>0</v>
          </cell>
          <cell r="H438">
            <v>375.52705858863743</v>
          </cell>
          <cell r="I438">
            <v>1.2392392933425032</v>
          </cell>
        </row>
        <row r="439">
          <cell r="A439" t="str">
            <v>01</v>
          </cell>
          <cell r="B439" t="str">
            <v>LIGHT</v>
          </cell>
          <cell r="C439" t="str">
            <v>AUTREMP</v>
          </cell>
          <cell r="D439" t="str">
            <v/>
          </cell>
          <cell r="E439">
            <v>1991.2598217821783</v>
          </cell>
          <cell r="F439">
            <v>6.3125000000000001E-2</v>
          </cell>
          <cell r="G439">
            <v>0</v>
          </cell>
          <cell r="H439">
            <v>116.39281328703703</v>
          </cell>
          <cell r="I439">
            <v>0.38409628384722211</v>
          </cell>
        </row>
        <row r="440">
          <cell r="A440" t="str">
            <v>01</v>
          </cell>
          <cell r="B440" t="str">
            <v>LIGHT</v>
          </cell>
          <cell r="C440" t="str">
            <v>BOITESPM</v>
          </cell>
          <cell r="D440" t="str">
            <v/>
          </cell>
          <cell r="E440">
            <v>51.45</v>
          </cell>
          <cell r="F440">
            <v>2</v>
          </cell>
          <cell r="G440">
            <v>0.02</v>
          </cell>
          <cell r="H440">
            <v>8950.3367003367057</v>
          </cell>
          <cell r="I440">
            <v>29.536111111111122</v>
          </cell>
        </row>
        <row r="441">
          <cell r="A441" t="str">
            <v>01</v>
          </cell>
          <cell r="B441" t="str">
            <v>LIGHT</v>
          </cell>
          <cell r="C441" t="str">
            <v>CAPSULE</v>
          </cell>
          <cell r="D441" t="str">
            <v/>
          </cell>
          <cell r="E441">
            <v>5.63</v>
          </cell>
          <cell r="F441">
            <v>1</v>
          </cell>
          <cell r="G441">
            <v>0.02</v>
          </cell>
          <cell r="H441">
            <v>1216.3580246913582</v>
          </cell>
          <cell r="I441">
            <v>4.0139814814814807</v>
          </cell>
        </row>
        <row r="442">
          <cell r="A442" t="str">
            <v>01</v>
          </cell>
          <cell r="B442" t="str">
            <v>LIGHT</v>
          </cell>
          <cell r="C442" t="str">
            <v>CARBURANT</v>
          </cell>
          <cell r="D442" t="str">
            <v/>
          </cell>
          <cell r="E442">
            <v>337.43078666328859</v>
          </cell>
          <cell r="F442">
            <v>3.6182848468968065</v>
          </cell>
          <cell r="G442">
            <v>0</v>
          </cell>
          <cell r="H442">
            <v>1220.9207022602459</v>
          </cell>
          <cell r="I442">
            <v>4.0290383174588102</v>
          </cell>
        </row>
        <row r="443">
          <cell r="A443" t="str">
            <v>01</v>
          </cell>
          <cell r="B443" t="str">
            <v>LIGHT</v>
          </cell>
          <cell r="C443" t="str">
            <v>CARTONSPM</v>
          </cell>
          <cell r="D443" t="str">
            <v/>
          </cell>
          <cell r="E443">
            <v>309.42361111111109</v>
          </cell>
          <cell r="F443">
            <v>4.3200000000000002E-2</v>
          </cell>
          <cell r="G443">
            <v>0.02</v>
          </cell>
          <cell r="H443">
            <v>1162.6826599326605</v>
          </cell>
          <cell r="I443">
            <v>3.836852777777779</v>
          </cell>
        </row>
        <row r="444">
          <cell r="A444" t="str">
            <v>01</v>
          </cell>
          <cell r="B444" t="str">
            <v>LIGHT</v>
          </cell>
          <cell r="C444" t="str">
            <v>COLLERETTEGM</v>
          </cell>
          <cell r="D444" t="str">
            <v/>
          </cell>
          <cell r="E444">
            <v>2</v>
          </cell>
          <cell r="F444">
            <v>1</v>
          </cell>
          <cell r="G444">
            <v>0.02</v>
          </cell>
          <cell r="H444">
            <v>0</v>
          </cell>
          <cell r="I444">
            <v>0</v>
          </cell>
        </row>
        <row r="445">
          <cell r="A445" t="str">
            <v>01</v>
          </cell>
          <cell r="B445" t="str">
            <v>LIGHT</v>
          </cell>
          <cell r="C445" t="str">
            <v>COLLERETTEPM</v>
          </cell>
          <cell r="D445" t="str">
            <v/>
          </cell>
          <cell r="E445">
            <v>2</v>
          </cell>
          <cell r="F445">
            <v>1</v>
          </cell>
          <cell r="G445">
            <v>0.02</v>
          </cell>
          <cell r="H445">
            <v>432.09876543209884</v>
          </cell>
          <cell r="I445">
            <v>1.4259259259259258</v>
          </cell>
        </row>
        <row r="446">
          <cell r="A446" t="str">
            <v>01</v>
          </cell>
          <cell r="B446" t="str">
            <v>LIGHT</v>
          </cell>
          <cell r="C446" t="str">
            <v>COLLES</v>
          </cell>
          <cell r="D446" t="str">
            <v/>
          </cell>
          <cell r="E446">
            <v>2445</v>
          </cell>
          <cell r="F446">
            <v>1E-3</v>
          </cell>
          <cell r="G446">
            <v>0.02</v>
          </cell>
          <cell r="H446">
            <v>528.24074074074076</v>
          </cell>
          <cell r="I446">
            <v>1.743194444444444</v>
          </cell>
        </row>
        <row r="447">
          <cell r="A447" t="str">
            <v>01</v>
          </cell>
          <cell r="B447" t="str">
            <v>LIGHT</v>
          </cell>
          <cell r="C447" t="str">
            <v>DETERSIF</v>
          </cell>
          <cell r="D447" t="str">
            <v/>
          </cell>
          <cell r="E447">
            <v>750.75</v>
          </cell>
          <cell r="F447">
            <v>0.5</v>
          </cell>
          <cell r="G447">
            <v>0</v>
          </cell>
          <cell r="H447">
            <v>267.62847222222223</v>
          </cell>
          <cell r="I447">
            <v>0.88317395833333312</v>
          </cell>
        </row>
        <row r="448">
          <cell r="A448" t="str">
            <v>01</v>
          </cell>
          <cell r="B448" t="str">
            <v>LIGHT</v>
          </cell>
          <cell r="C448" t="str">
            <v>ETIQUETTEGM</v>
          </cell>
          <cell r="D448" t="str">
            <v/>
          </cell>
          <cell r="E448">
            <v>2.91</v>
          </cell>
          <cell r="F448">
            <v>2</v>
          </cell>
          <cell r="G448">
            <v>0.02</v>
          </cell>
          <cell r="H448">
            <v>0</v>
          </cell>
          <cell r="I448">
            <v>0</v>
          </cell>
        </row>
        <row r="449">
          <cell r="A449" t="str">
            <v>01</v>
          </cell>
          <cell r="B449" t="str">
            <v>LIGHT</v>
          </cell>
          <cell r="C449" t="str">
            <v>ETIQUETTEPM</v>
          </cell>
          <cell r="D449" t="str">
            <v/>
          </cell>
          <cell r="E449">
            <v>2.4750000000000001</v>
          </cell>
          <cell r="F449">
            <v>2</v>
          </cell>
          <cell r="G449">
            <v>0.02</v>
          </cell>
          <cell r="H449">
            <v>1069.4444444444446</v>
          </cell>
          <cell r="I449">
            <v>3.5291666666666663</v>
          </cell>
        </row>
        <row r="450">
          <cell r="A450" t="str">
            <v>01</v>
          </cell>
          <cell r="B450" t="str">
            <v>LIGHT</v>
          </cell>
          <cell r="C450" t="str">
            <v>KIESELGHUR</v>
          </cell>
          <cell r="D450" t="str">
            <v/>
          </cell>
          <cell r="E450">
            <v>891.01917808219173</v>
          </cell>
          <cell r="F450">
            <v>0.14599999999999999</v>
          </cell>
          <cell r="G450">
            <v>0</v>
          </cell>
          <cell r="H450">
            <v>130.08879999999999</v>
          </cell>
          <cell r="I450">
            <v>0.42929303999999985</v>
          </cell>
        </row>
        <row r="451">
          <cell r="A451" t="str">
            <v>01</v>
          </cell>
          <cell r="B451" t="str">
            <v>LIGHT</v>
          </cell>
          <cell r="C451" t="str">
            <v>LU</v>
          </cell>
          <cell r="D451" t="str">
            <v/>
          </cell>
          <cell r="E451">
            <v>1252.327512650173</v>
          </cell>
          <cell r="F451">
            <v>1.9199452391448067E-2</v>
          </cell>
          <cell r="G451">
            <v>0</v>
          </cell>
          <cell r="H451">
            <v>156.03124488187004</v>
          </cell>
          <cell r="I451">
            <v>0.51490310811017104</v>
          </cell>
        </row>
        <row r="452">
          <cell r="A452" t="str">
            <v>01</v>
          </cell>
          <cell r="B452" t="str">
            <v>LIGHT</v>
          </cell>
          <cell r="C452" t="str">
            <v>PLAQUES</v>
          </cell>
          <cell r="D452" t="str">
            <v/>
          </cell>
          <cell r="E452">
            <v>14000</v>
          </cell>
          <cell r="F452">
            <v>2.0421659273090025E-3</v>
          </cell>
          <cell r="G452">
            <v>0</v>
          </cell>
          <cell r="H452">
            <v>27.490695175313494</v>
          </cell>
          <cell r="I452">
            <v>9.0719294078534504E-2</v>
          </cell>
        </row>
        <row r="453">
          <cell r="A453" t="str">
            <v>01</v>
          </cell>
          <cell r="B453" t="str">
            <v>MALTA</v>
          </cell>
          <cell r="C453" t="str">
            <v>10104005</v>
          </cell>
          <cell r="D453" t="str">
            <v xml:space="preserve">EXTRAIT MALTA GUINNESS                  </v>
          </cell>
          <cell r="E453">
            <v>8415</v>
          </cell>
          <cell r="F453">
            <v>1.1000000000000001</v>
          </cell>
          <cell r="G453">
            <v>0</v>
          </cell>
          <cell r="H453">
            <v>9256.5</v>
          </cell>
          <cell r="I453">
            <v>28.09226418936116</v>
          </cell>
        </row>
        <row r="454">
          <cell r="A454" t="str">
            <v>01</v>
          </cell>
          <cell r="B454" t="str">
            <v>MALTA</v>
          </cell>
          <cell r="C454" t="str">
            <v>10113002</v>
          </cell>
          <cell r="D454" t="str">
            <v xml:space="preserve">HOUBLON EXTRAITS 40 % CO2               </v>
          </cell>
          <cell r="E454">
            <v>45000</v>
          </cell>
          <cell r="F454">
            <v>4.1000000000000003E-3</v>
          </cell>
          <cell r="G454">
            <v>0.04</v>
          </cell>
          <cell r="H454">
            <v>191.88</v>
          </cell>
          <cell r="I454">
            <v>0.58233064902010701</v>
          </cell>
        </row>
        <row r="455">
          <cell r="A455" t="str">
            <v>01</v>
          </cell>
          <cell r="B455" t="str">
            <v>MALTA</v>
          </cell>
          <cell r="C455" t="str">
            <v>10113012</v>
          </cell>
          <cell r="D455" t="str">
            <v xml:space="preserve">SUCRE BIERES                            </v>
          </cell>
          <cell r="E455">
            <v>450</v>
          </cell>
          <cell r="F455">
            <v>4.63</v>
          </cell>
          <cell r="G455">
            <v>0.04</v>
          </cell>
          <cell r="H455">
            <v>2166.84</v>
          </cell>
          <cell r="I455">
            <v>6.5760753779587677</v>
          </cell>
        </row>
        <row r="456">
          <cell r="A456" t="str">
            <v>01</v>
          </cell>
          <cell r="B456" t="str">
            <v>MALTA</v>
          </cell>
          <cell r="C456" t="str">
            <v>10113015</v>
          </cell>
          <cell r="D456" t="str">
            <v xml:space="preserve">MALT                                    </v>
          </cell>
          <cell r="E456">
            <v>489</v>
          </cell>
          <cell r="F456">
            <v>12.91</v>
          </cell>
          <cell r="G456">
            <v>0.04</v>
          </cell>
          <cell r="H456">
            <v>6565.5095999999985</v>
          </cell>
          <cell r="I456">
            <v>19.925461051259859</v>
          </cell>
        </row>
        <row r="457">
          <cell r="A457" t="str">
            <v>01</v>
          </cell>
          <cell r="B457" t="str">
            <v>MALTA</v>
          </cell>
          <cell r="C457" t="str">
            <v>10113017</v>
          </cell>
          <cell r="D457" t="str">
            <v xml:space="preserve">MALT CRYSTAL                            </v>
          </cell>
          <cell r="E457">
            <v>650</v>
          </cell>
          <cell r="F457">
            <v>3.13</v>
          </cell>
          <cell r="G457">
            <v>0.04</v>
          </cell>
          <cell r="H457">
            <v>2115.88</v>
          </cell>
          <cell r="I457">
            <v>6.4214184576228055</v>
          </cell>
        </row>
        <row r="458">
          <cell r="A458" t="str">
            <v>01</v>
          </cell>
          <cell r="B458" t="str">
            <v>MALTA</v>
          </cell>
          <cell r="C458" t="str">
            <v>AUTREMC</v>
          </cell>
          <cell r="D458" t="str">
            <v/>
          </cell>
          <cell r="E458">
            <v>2364.0681059167568</v>
          </cell>
          <cell r="F458">
            <v>0.16308918510732576</v>
          </cell>
          <cell r="G458">
            <v>0</v>
          </cell>
          <cell r="H458">
            <v>375.52705858863732</v>
          </cell>
          <cell r="I458">
            <v>1.1396754000027771</v>
          </cell>
        </row>
        <row r="459">
          <cell r="A459" t="str">
            <v>01</v>
          </cell>
          <cell r="B459" t="str">
            <v>MALTA</v>
          </cell>
          <cell r="C459" t="str">
            <v>AUTREMP</v>
          </cell>
          <cell r="D459" t="str">
            <v/>
          </cell>
          <cell r="E459">
            <v>908.20425756509496</v>
          </cell>
          <cell r="F459">
            <v>3.5525000000000001E-2</v>
          </cell>
          <cell r="G459">
            <v>0</v>
          </cell>
          <cell r="H459">
            <v>32.26395625</v>
          </cell>
          <cell r="I459">
            <v>9.7916878168745225E-2</v>
          </cell>
        </row>
        <row r="460">
          <cell r="A460" t="str">
            <v>01</v>
          </cell>
          <cell r="B460" t="str">
            <v>MALTA</v>
          </cell>
          <cell r="C460" t="str">
            <v>BOITESPM</v>
          </cell>
          <cell r="D460" t="str">
            <v/>
          </cell>
          <cell r="E460">
            <v>51.45</v>
          </cell>
          <cell r="F460">
            <v>2</v>
          </cell>
          <cell r="G460">
            <v>0.02</v>
          </cell>
          <cell r="H460">
            <v>3940.8755451190859</v>
          </cell>
          <cell r="I460">
            <v>11.960040722830232</v>
          </cell>
        </row>
        <row r="461">
          <cell r="A461" t="str">
            <v>01</v>
          </cell>
          <cell r="B461" t="str">
            <v>MALTA</v>
          </cell>
          <cell r="C461" t="str">
            <v>CAPSULE</v>
          </cell>
          <cell r="D461" t="str">
            <v/>
          </cell>
          <cell r="E461">
            <v>6</v>
          </cell>
          <cell r="F461">
            <v>1</v>
          </cell>
          <cell r="G461">
            <v>0.02</v>
          </cell>
          <cell r="H461">
            <v>1747.2324723247229</v>
          </cell>
          <cell r="I461">
            <v>5.3026215321964871</v>
          </cell>
        </row>
        <row r="462">
          <cell r="A462" t="str">
            <v>01</v>
          </cell>
          <cell r="B462" t="str">
            <v>MALTA</v>
          </cell>
          <cell r="C462" t="str">
            <v>CARBURANT</v>
          </cell>
          <cell r="D462" t="str">
            <v/>
          </cell>
          <cell r="E462">
            <v>337.43078666328859</v>
          </cell>
          <cell r="F462">
            <v>3.6182848468968065</v>
          </cell>
          <cell r="G462">
            <v>0</v>
          </cell>
          <cell r="H462">
            <v>1220.9207022602459</v>
          </cell>
          <cell r="I462">
            <v>3.7053342972133301</v>
          </cell>
        </row>
        <row r="463">
          <cell r="A463" t="str">
            <v>01</v>
          </cell>
          <cell r="B463" t="str">
            <v>MALTA</v>
          </cell>
          <cell r="C463" t="str">
            <v>CARTONSPM</v>
          </cell>
          <cell r="D463" t="str">
            <v/>
          </cell>
          <cell r="E463">
            <v>234.7407407407407</v>
          </cell>
          <cell r="F463">
            <v>4.3200000000000002E-2</v>
          </cell>
          <cell r="G463">
            <v>0.02</v>
          </cell>
          <cell r="H463">
            <v>388.37347646203716</v>
          </cell>
          <cell r="I463">
            <v>1.1786625943836424</v>
          </cell>
        </row>
        <row r="464">
          <cell r="A464" t="str">
            <v>01</v>
          </cell>
          <cell r="B464" t="str">
            <v>MALTA</v>
          </cell>
          <cell r="C464" t="str">
            <v>COLLES</v>
          </cell>
          <cell r="D464" t="str">
            <v/>
          </cell>
          <cell r="E464">
            <v>2445</v>
          </cell>
          <cell r="F464">
            <v>5.0000000000000001E-4</v>
          </cell>
          <cell r="G464">
            <v>0.02</v>
          </cell>
          <cell r="H464">
            <v>355.99861623616232</v>
          </cell>
          <cell r="I464">
            <v>1.0804091371850342</v>
          </cell>
        </row>
        <row r="465">
          <cell r="A465" t="str">
            <v>01</v>
          </cell>
          <cell r="B465" t="str">
            <v>MALTA</v>
          </cell>
          <cell r="C465" t="str">
            <v>DETERSIF</v>
          </cell>
          <cell r="D465" t="str">
            <v/>
          </cell>
          <cell r="E465">
            <v>750.75</v>
          </cell>
          <cell r="F465">
            <v>0.5</v>
          </cell>
          <cell r="G465">
            <v>0</v>
          </cell>
          <cell r="H465">
            <v>327.93369464944647</v>
          </cell>
          <cell r="I465">
            <v>0.99523577882412817</v>
          </cell>
        </row>
        <row r="466">
          <cell r="A466" t="str">
            <v>01</v>
          </cell>
          <cell r="B466" t="str">
            <v>MALTA</v>
          </cell>
          <cell r="C466" t="str">
            <v>ETIQUETTEPM</v>
          </cell>
          <cell r="D466" t="str">
            <v/>
          </cell>
          <cell r="E466">
            <v>2.52</v>
          </cell>
          <cell r="F466">
            <v>1</v>
          </cell>
          <cell r="G466">
            <v>0.02</v>
          </cell>
          <cell r="H466">
            <v>733.83763837638378</v>
          </cell>
          <cell r="I466">
            <v>2.2271010435225249</v>
          </cell>
        </row>
        <row r="467">
          <cell r="A467" t="str">
            <v>01</v>
          </cell>
          <cell r="B467" t="str">
            <v>MALTA</v>
          </cell>
          <cell r="C467" t="str">
            <v>KIESELGHUR</v>
          </cell>
          <cell r="D467" t="str">
            <v/>
          </cell>
          <cell r="E467">
            <v>891.01917808219173</v>
          </cell>
          <cell r="F467">
            <v>0.14599999999999999</v>
          </cell>
          <cell r="G467">
            <v>0</v>
          </cell>
          <cell r="H467">
            <v>130.08879999999999</v>
          </cell>
          <cell r="I467">
            <v>0.39480245640111988</v>
          </cell>
        </row>
        <row r="468">
          <cell r="A468" t="str">
            <v>01</v>
          </cell>
          <cell r="B468" t="str">
            <v>MALTA</v>
          </cell>
          <cell r="C468" t="str">
            <v>LU</v>
          </cell>
          <cell r="D468" t="str">
            <v/>
          </cell>
          <cell r="E468">
            <v>1252.327512650173</v>
          </cell>
          <cell r="F468">
            <v>1.9199452391448067E-2</v>
          </cell>
          <cell r="G468">
            <v>0</v>
          </cell>
          <cell r="H468">
            <v>167.60004170620186</v>
          </cell>
          <cell r="I468">
            <v>0.50864415813304942</v>
          </cell>
        </row>
        <row r="469">
          <cell r="A469" t="str">
            <v>01</v>
          </cell>
          <cell r="B469" t="str">
            <v>MALTA</v>
          </cell>
          <cell r="C469" t="str">
            <v>PLAQUES</v>
          </cell>
          <cell r="D469" t="str">
            <v/>
          </cell>
          <cell r="E469">
            <v>14000</v>
          </cell>
          <cell r="F469">
            <v>2.0421659273090025E-3</v>
          </cell>
          <cell r="G469">
            <v>0</v>
          </cell>
          <cell r="H469">
            <v>27.490695175313498</v>
          </cell>
          <cell r="I469">
            <v>8.3430656469951181E-2</v>
          </cell>
        </row>
        <row r="470">
          <cell r="A470" t="str">
            <v>01</v>
          </cell>
          <cell r="B470" t="str">
            <v>ORANGJ</v>
          </cell>
          <cell r="C470" t="str">
            <v>AUTREMC</v>
          </cell>
          <cell r="D470" t="str">
            <v/>
          </cell>
          <cell r="E470">
            <v>2252.5543691149755</v>
          </cell>
          <cell r="F470">
            <v>0.14808918510732574</v>
          </cell>
          <cell r="G470">
            <v>0</v>
          </cell>
          <cell r="H470">
            <v>289.86582331107473</v>
          </cell>
          <cell r="I470">
            <v>1.1230089781120698</v>
          </cell>
        </row>
        <row r="471">
          <cell r="A471" t="str">
            <v>01</v>
          </cell>
          <cell r="B471" t="str">
            <v>ORANGJ</v>
          </cell>
          <cell r="C471" t="str">
            <v>AUTREMP</v>
          </cell>
          <cell r="D471" t="str">
            <v/>
          </cell>
          <cell r="E471">
            <v>2133</v>
          </cell>
          <cell r="F471">
            <v>1.6000000000000001E-3</v>
          </cell>
          <cell r="G471">
            <v>0</v>
          </cell>
          <cell r="H471">
            <v>3.4127999999999998</v>
          </cell>
          <cell r="I471">
            <v>1.3221996980264356E-2</v>
          </cell>
        </row>
        <row r="472">
          <cell r="A472" t="str">
            <v>01</v>
          </cell>
          <cell r="B472" t="str">
            <v>ORANGJ</v>
          </cell>
          <cell r="C472" t="str">
            <v>BOITESPM</v>
          </cell>
          <cell r="D472" t="str">
            <v/>
          </cell>
          <cell r="E472">
            <v>51.45</v>
          </cell>
          <cell r="F472">
            <v>2</v>
          </cell>
          <cell r="G472">
            <v>0.02</v>
          </cell>
          <cell r="H472">
            <v>13391.274127018016</v>
          </cell>
          <cell r="I472">
            <v>51.880973414593413</v>
          </cell>
        </row>
        <row r="473">
          <cell r="A473" t="str">
            <v>01</v>
          </cell>
          <cell r="B473" t="str">
            <v>ORANGJ</v>
          </cell>
          <cell r="C473" t="str">
            <v>CAPSULE</v>
          </cell>
          <cell r="D473" t="str">
            <v/>
          </cell>
          <cell r="E473">
            <v>5.95</v>
          </cell>
          <cell r="F473">
            <v>1</v>
          </cell>
          <cell r="G473">
            <v>0.02</v>
          </cell>
          <cell r="H473">
            <v>761.46078758863734</v>
          </cell>
          <cell r="I473">
            <v>2.9500797685439171</v>
          </cell>
        </row>
        <row r="474">
          <cell r="A474" t="str">
            <v>01</v>
          </cell>
          <cell r="B474" t="str">
            <v>ORANGJ</v>
          </cell>
          <cell r="C474" t="str">
            <v>CARBURANT</v>
          </cell>
          <cell r="D474" t="str">
            <v/>
          </cell>
          <cell r="E474">
            <v>337.43078666328859</v>
          </cell>
          <cell r="F474">
            <v>3.6182848468968065</v>
          </cell>
          <cell r="G474">
            <v>0</v>
          </cell>
          <cell r="H474">
            <v>1220.9207022602461</v>
          </cell>
          <cell r="I474">
            <v>4.7301364974294451</v>
          </cell>
        </row>
        <row r="475">
          <cell r="A475" t="str">
            <v>01</v>
          </cell>
          <cell r="B475" t="str">
            <v>ORANGJ</v>
          </cell>
          <cell r="C475" t="str">
            <v>CARTONSPM</v>
          </cell>
          <cell r="D475" t="str">
            <v/>
          </cell>
          <cell r="E475">
            <v>222.19212962962965</v>
          </cell>
          <cell r="F475">
            <v>4.3200000000000002E-2</v>
          </cell>
          <cell r="G475">
            <v>0.02</v>
          </cell>
          <cell r="H475">
            <v>1249.1625166473061</v>
          </cell>
          <cell r="I475">
            <v>4.8395519875088215</v>
          </cell>
        </row>
        <row r="476">
          <cell r="A476" t="str">
            <v>01</v>
          </cell>
          <cell r="B476" t="str">
            <v>ORANGJ</v>
          </cell>
          <cell r="C476" t="str">
            <v>COLLES</v>
          </cell>
          <cell r="D476" t="str">
            <v/>
          </cell>
          <cell r="E476">
            <v>2445</v>
          </cell>
          <cell r="F476">
            <v>5.0000000000000001E-4</v>
          </cell>
          <cell r="G476">
            <v>0.02</v>
          </cell>
          <cell r="H476">
            <v>156.45139711379983</v>
          </cell>
          <cell r="I476">
            <v>0.60612983479746863</v>
          </cell>
        </row>
        <row r="477">
          <cell r="A477" t="str">
            <v>01</v>
          </cell>
          <cell r="B477" t="str">
            <v>ORANGJ</v>
          </cell>
          <cell r="C477" t="str">
            <v>DETERSIF</v>
          </cell>
          <cell r="D477" t="str">
            <v/>
          </cell>
          <cell r="E477">
            <v>750.75</v>
          </cell>
          <cell r="F477">
            <v>0.5</v>
          </cell>
          <cell r="G477">
            <v>0</v>
          </cell>
          <cell r="H477">
            <v>214.16728927194376</v>
          </cell>
          <cell r="I477">
            <v>0.82973489569416414</v>
          </cell>
        </row>
        <row r="478">
          <cell r="A478" t="str">
            <v>01</v>
          </cell>
          <cell r="B478" t="str">
            <v>ORANGJ</v>
          </cell>
          <cell r="C478" t="str">
            <v>ETIQUETTEGM</v>
          </cell>
          <cell r="D478" t="str">
            <v/>
          </cell>
          <cell r="E478">
            <v>3.38</v>
          </cell>
          <cell r="F478">
            <v>1</v>
          </cell>
          <cell r="G478">
            <v>0.02</v>
          </cell>
          <cell r="H478">
            <v>140.16666235451072</v>
          </cell>
          <cell r="I478">
            <v>0.54303890834068047</v>
          </cell>
        </row>
        <row r="479">
          <cell r="A479" t="str">
            <v>01</v>
          </cell>
          <cell r="B479" t="str">
            <v>ORANGJ</v>
          </cell>
          <cell r="C479" t="str">
            <v>ETIQUETTEPM</v>
          </cell>
          <cell r="D479" t="str">
            <v/>
          </cell>
          <cell r="E479">
            <v>2.4700000000000002</v>
          </cell>
          <cell r="F479">
            <v>1</v>
          </cell>
          <cell r="G479">
            <v>0.02</v>
          </cell>
          <cell r="H479">
            <v>213.67272527320529</v>
          </cell>
          <cell r="I479">
            <v>0.82781883741419815</v>
          </cell>
        </row>
        <row r="480">
          <cell r="A480" t="str">
            <v>01</v>
          </cell>
          <cell r="B480" t="str">
            <v>ORANGJ</v>
          </cell>
          <cell r="C480" t="str">
            <v>EXTRAIT</v>
          </cell>
          <cell r="D480" t="str">
            <v/>
          </cell>
          <cell r="E480">
            <v>4369</v>
          </cell>
          <cell r="F480">
            <v>3.4992999999999999</v>
          </cell>
          <cell r="G480">
            <v>0</v>
          </cell>
          <cell r="H480">
            <v>15288.441699999996</v>
          </cell>
          <cell r="I480">
            <v>59.231050747288911</v>
          </cell>
        </row>
        <row r="481">
          <cell r="A481" t="str">
            <v>01</v>
          </cell>
          <cell r="B481" t="str">
            <v>ORANGJ</v>
          </cell>
          <cell r="C481" t="str">
            <v>KIESELGHUR</v>
          </cell>
          <cell r="D481" t="str">
            <v/>
          </cell>
          <cell r="E481">
            <v>883.2</v>
          </cell>
          <cell r="F481">
            <v>0.03</v>
          </cell>
          <cell r="G481">
            <v>0</v>
          </cell>
          <cell r="H481">
            <v>26.495999999999992</v>
          </cell>
          <cell r="I481">
            <v>0.10265179090163042</v>
          </cell>
        </row>
        <row r="482">
          <cell r="A482" t="str">
            <v>01</v>
          </cell>
          <cell r="B482" t="str">
            <v>ORANGJ</v>
          </cell>
          <cell r="C482" t="str">
            <v>LU</v>
          </cell>
          <cell r="D482" t="str">
            <v/>
          </cell>
          <cell r="E482">
            <v>1252.327512650173</v>
          </cell>
          <cell r="F482">
            <v>1.9199452391448067E-2</v>
          </cell>
          <cell r="G482">
            <v>0</v>
          </cell>
          <cell r="H482">
            <v>136.4033979057667</v>
          </cell>
          <cell r="I482">
            <v>0.5284591289286934</v>
          </cell>
        </row>
        <row r="483">
          <cell r="A483" t="str">
            <v>01</v>
          </cell>
          <cell r="B483" t="str">
            <v>ORANGJ</v>
          </cell>
          <cell r="C483" t="str">
            <v>PLAQUES</v>
          </cell>
          <cell r="D483" t="str">
            <v/>
          </cell>
          <cell r="E483">
            <v>14000</v>
          </cell>
          <cell r="F483">
            <v>2.0421659273090025E-3</v>
          </cell>
          <cell r="G483">
            <v>0</v>
          </cell>
          <cell r="H483">
            <v>27.2288790307867</v>
          </cell>
          <cell r="I483">
            <v>0.10549113816251911</v>
          </cell>
        </row>
        <row r="484">
          <cell r="A484" t="str">
            <v>01</v>
          </cell>
          <cell r="B484" t="str">
            <v>ORANGJ</v>
          </cell>
          <cell r="C484" t="str">
            <v>SUCRE</v>
          </cell>
          <cell r="D484" t="str">
            <v/>
          </cell>
          <cell r="E484">
            <v>580</v>
          </cell>
          <cell r="F484">
            <v>8.9763000000000002</v>
          </cell>
          <cell r="G484">
            <v>0.01</v>
          </cell>
          <cell r="H484">
            <v>5258.3165399999989</v>
          </cell>
          <cell r="I484">
            <v>20.371965955565546</v>
          </cell>
        </row>
        <row r="485">
          <cell r="A485" t="str">
            <v>01</v>
          </cell>
          <cell r="B485" t="str">
            <v>ORAPGM</v>
          </cell>
          <cell r="C485" t="str">
            <v>AUTREMC</v>
          </cell>
          <cell r="D485" t="str">
            <v/>
          </cell>
          <cell r="E485">
            <v>2035.2923684676705</v>
          </cell>
          <cell r="F485">
            <v>0.12808918510732575</v>
          </cell>
          <cell r="G485">
            <v>0</v>
          </cell>
          <cell r="H485">
            <v>258.11776329919104</v>
          </cell>
          <cell r="I485">
            <v>3.8717664494878647</v>
          </cell>
        </row>
        <row r="486">
          <cell r="A486" t="str">
            <v>01</v>
          </cell>
          <cell r="B486" t="str">
            <v>ORAPGM</v>
          </cell>
          <cell r="C486" t="str">
            <v>AUTREMP</v>
          </cell>
          <cell r="D486" t="str">
            <v/>
          </cell>
          <cell r="E486">
            <v>2641.6178861788617</v>
          </cell>
          <cell r="F486">
            <v>2.46E-2</v>
          </cell>
          <cell r="G486">
            <v>0</v>
          </cell>
          <cell r="H486">
            <v>64.983800000000002</v>
          </cell>
          <cell r="I486">
            <v>0.97475699999999987</v>
          </cell>
        </row>
        <row r="487">
          <cell r="A487" t="str">
            <v>01</v>
          </cell>
          <cell r="B487" t="str">
            <v>ORAPGM</v>
          </cell>
          <cell r="C487" t="str">
            <v>BOUCHON</v>
          </cell>
          <cell r="D487" t="str">
            <v/>
          </cell>
          <cell r="E487">
            <v>11.8</v>
          </cell>
          <cell r="F487">
            <v>1</v>
          </cell>
          <cell r="G487">
            <v>0.01</v>
          </cell>
          <cell r="H487">
            <v>786.66666666666686</v>
          </cell>
          <cell r="I487">
            <v>11.8</v>
          </cell>
        </row>
        <row r="488">
          <cell r="A488" t="str">
            <v>01</v>
          </cell>
          <cell r="B488" t="str">
            <v>ORAPGM</v>
          </cell>
          <cell r="C488" t="str">
            <v>CARBURANT</v>
          </cell>
          <cell r="D488" t="str">
            <v/>
          </cell>
          <cell r="E488">
            <v>337.43078666328859</v>
          </cell>
          <cell r="F488">
            <v>3.6182848468968065</v>
          </cell>
          <cell r="G488">
            <v>0</v>
          </cell>
          <cell r="H488">
            <v>1220.9207022602461</v>
          </cell>
          <cell r="I488">
            <v>18.313810533903688</v>
          </cell>
        </row>
        <row r="489">
          <cell r="A489" t="str">
            <v>01</v>
          </cell>
          <cell r="B489" t="str">
            <v>ORAPGM</v>
          </cell>
          <cell r="C489" t="str">
            <v>COLLES</v>
          </cell>
          <cell r="D489" t="str">
            <v/>
          </cell>
          <cell r="E489">
            <v>4147.5</v>
          </cell>
          <cell r="F489">
            <v>1.4999999999999999E-4</v>
          </cell>
          <cell r="G489">
            <v>0.02</v>
          </cell>
          <cell r="H489">
            <v>41.475000000000001</v>
          </cell>
          <cell r="I489">
            <v>0.62212499999999993</v>
          </cell>
        </row>
        <row r="490">
          <cell r="A490" t="str">
            <v>01</v>
          </cell>
          <cell r="B490" t="str">
            <v>ORAPGM</v>
          </cell>
          <cell r="C490" t="str">
            <v>ETIQUETTEGM</v>
          </cell>
          <cell r="D490" t="str">
            <v/>
          </cell>
          <cell r="E490">
            <v>13.27</v>
          </cell>
          <cell r="F490">
            <v>1</v>
          </cell>
          <cell r="G490">
            <v>0.02</v>
          </cell>
          <cell r="H490">
            <v>884.66666666666686</v>
          </cell>
          <cell r="I490">
            <v>13.27</v>
          </cell>
        </row>
        <row r="491">
          <cell r="A491" t="str">
            <v>01</v>
          </cell>
          <cell r="B491" t="str">
            <v>ORAPGM</v>
          </cell>
          <cell r="C491" t="str">
            <v>EXTRAIT</v>
          </cell>
          <cell r="D491" t="str">
            <v/>
          </cell>
          <cell r="E491">
            <v>4369</v>
          </cell>
          <cell r="F491">
            <v>3.4992999999999999</v>
          </cell>
          <cell r="G491">
            <v>0</v>
          </cell>
          <cell r="H491">
            <v>15288.441699999999</v>
          </cell>
          <cell r="I491">
            <v>229.32662549999998</v>
          </cell>
        </row>
        <row r="492">
          <cell r="A492" t="str">
            <v>01</v>
          </cell>
          <cell r="B492" t="str">
            <v>ORAPGM</v>
          </cell>
          <cell r="C492" t="str">
            <v>INTERCALAIRES</v>
          </cell>
          <cell r="D492" t="str">
            <v/>
          </cell>
          <cell r="E492">
            <v>772.22</v>
          </cell>
          <cell r="F492">
            <v>5.5999999999999999E-3</v>
          </cell>
          <cell r="G492">
            <v>0.01</v>
          </cell>
          <cell r="H492">
            <v>288.2954666666667</v>
          </cell>
          <cell r="I492">
            <v>4.3244319999999998</v>
          </cell>
        </row>
        <row r="493">
          <cell r="A493" t="str">
            <v>01</v>
          </cell>
          <cell r="B493" t="str">
            <v>ORAPGM</v>
          </cell>
          <cell r="C493" t="str">
            <v>KIESELGHUR</v>
          </cell>
          <cell r="D493" t="str">
            <v/>
          </cell>
          <cell r="E493">
            <v>883.2</v>
          </cell>
          <cell r="F493">
            <v>0.03</v>
          </cell>
          <cell r="G493">
            <v>0</v>
          </cell>
          <cell r="H493">
            <v>26.495999999999995</v>
          </cell>
          <cell r="I493">
            <v>0.3974399999999999</v>
          </cell>
        </row>
        <row r="494">
          <cell r="A494" t="str">
            <v>01</v>
          </cell>
          <cell r="B494" t="str">
            <v>ORAPGM</v>
          </cell>
          <cell r="C494" t="str">
            <v>LU</v>
          </cell>
          <cell r="D494" t="str">
            <v/>
          </cell>
          <cell r="E494">
            <v>1252.327512650173</v>
          </cell>
          <cell r="F494">
            <v>1.9199452391448067E-2</v>
          </cell>
          <cell r="G494">
            <v>0</v>
          </cell>
          <cell r="H494">
            <v>52.740335790960906</v>
          </cell>
          <cell r="I494">
            <v>0.79110503686441358</v>
          </cell>
        </row>
        <row r="495">
          <cell r="A495" t="str">
            <v>01</v>
          </cell>
          <cell r="B495" t="str">
            <v>ORAPGM</v>
          </cell>
          <cell r="C495" t="str">
            <v>PACKGM</v>
          </cell>
          <cell r="D495" t="str">
            <v/>
          </cell>
          <cell r="E495">
            <v>1424</v>
          </cell>
          <cell r="F495">
            <v>5.2900000000000004E-3</v>
          </cell>
          <cell r="G495">
            <v>0.02</v>
          </cell>
          <cell r="H495">
            <v>502.19733333333346</v>
          </cell>
          <cell r="I495">
            <v>7.532960000000001</v>
          </cell>
        </row>
        <row r="496">
          <cell r="A496" t="str">
            <v>01</v>
          </cell>
          <cell r="B496" t="str">
            <v>ORAPGM</v>
          </cell>
          <cell r="C496" t="str">
            <v>PLAQUES</v>
          </cell>
          <cell r="D496" t="str">
            <v/>
          </cell>
          <cell r="E496">
            <v>14000</v>
          </cell>
          <cell r="F496">
            <v>2.0421659273090025E-3</v>
          </cell>
          <cell r="G496">
            <v>0</v>
          </cell>
          <cell r="H496">
            <v>28.307250477550529</v>
          </cell>
          <cell r="I496">
            <v>0.42460875716325791</v>
          </cell>
        </row>
        <row r="497">
          <cell r="A497" t="str">
            <v>01</v>
          </cell>
          <cell r="B497" t="str">
            <v>ORAPGM</v>
          </cell>
          <cell r="C497" t="str">
            <v>PREFORMEGM</v>
          </cell>
          <cell r="D497" t="str">
            <v/>
          </cell>
          <cell r="E497">
            <v>79</v>
          </cell>
          <cell r="F497">
            <v>1</v>
          </cell>
          <cell r="G497">
            <v>0.01</v>
          </cell>
          <cell r="H497">
            <v>5266.6666666666679</v>
          </cell>
          <cell r="I497">
            <v>79</v>
          </cell>
        </row>
        <row r="498">
          <cell r="A498" t="str">
            <v>01</v>
          </cell>
          <cell r="B498" t="str">
            <v>ORAPGM</v>
          </cell>
          <cell r="C498" t="str">
            <v>SUCRE</v>
          </cell>
          <cell r="D498" t="str">
            <v/>
          </cell>
          <cell r="E498">
            <v>580</v>
          </cell>
          <cell r="F498">
            <v>8.9763000000000002</v>
          </cell>
          <cell r="G498">
            <v>0.01</v>
          </cell>
          <cell r="H498">
            <v>5258.3165400000007</v>
          </cell>
          <cell r="I498">
            <v>78.874748099999991</v>
          </cell>
        </row>
        <row r="499">
          <cell r="A499" t="str">
            <v>01</v>
          </cell>
          <cell r="B499" t="str">
            <v>ORAPPM</v>
          </cell>
          <cell r="C499" t="str">
            <v>AUTREMC</v>
          </cell>
          <cell r="D499" t="str">
            <v/>
          </cell>
          <cell r="E499">
            <v>2035.2923684676705</v>
          </cell>
          <cell r="F499">
            <v>0.12808918510732575</v>
          </cell>
          <cell r="G499">
            <v>0</v>
          </cell>
          <cell r="H499">
            <v>258.11776329919104</v>
          </cell>
          <cell r="I499">
            <v>1.2905888164959556</v>
          </cell>
        </row>
        <row r="500">
          <cell r="A500" t="str">
            <v>01</v>
          </cell>
          <cell r="B500" t="str">
            <v>ORAPPM</v>
          </cell>
          <cell r="C500" t="str">
            <v>AUTREMP</v>
          </cell>
          <cell r="D500" t="str">
            <v/>
          </cell>
          <cell r="E500">
            <v>2641.6178861788617</v>
          </cell>
          <cell r="F500">
            <v>2.46E-2</v>
          </cell>
          <cell r="G500">
            <v>0</v>
          </cell>
          <cell r="H500">
            <v>64.983800000000002</v>
          </cell>
          <cell r="I500">
            <v>0.32491900000000007</v>
          </cell>
        </row>
        <row r="501">
          <cell r="A501" t="str">
            <v>01</v>
          </cell>
          <cell r="B501" t="str">
            <v>ORAPPM</v>
          </cell>
          <cell r="C501" t="str">
            <v>BOUCHON</v>
          </cell>
          <cell r="D501" t="str">
            <v/>
          </cell>
          <cell r="E501">
            <v>11.8</v>
          </cell>
          <cell r="F501">
            <v>1</v>
          </cell>
          <cell r="G501">
            <v>0.01</v>
          </cell>
          <cell r="H501">
            <v>2360</v>
          </cell>
          <cell r="I501">
            <v>11.8</v>
          </cell>
        </row>
        <row r="502">
          <cell r="A502" t="str">
            <v>01</v>
          </cell>
          <cell r="B502" t="str">
            <v>ORAPPM</v>
          </cell>
          <cell r="C502" t="str">
            <v>CARBURANT</v>
          </cell>
          <cell r="D502" t="str">
            <v/>
          </cell>
          <cell r="E502">
            <v>337.43078666328859</v>
          </cell>
          <cell r="F502">
            <v>3.6182848468968065</v>
          </cell>
          <cell r="G502">
            <v>0</v>
          </cell>
          <cell r="H502">
            <v>1220.9207022602459</v>
          </cell>
          <cell r="I502">
            <v>6.1046035113012307</v>
          </cell>
        </row>
        <row r="503">
          <cell r="A503" t="str">
            <v>01</v>
          </cell>
          <cell r="B503" t="str">
            <v>ORAPPM</v>
          </cell>
          <cell r="C503" t="str">
            <v>COLLES</v>
          </cell>
          <cell r="D503" t="str">
            <v/>
          </cell>
          <cell r="E503">
            <v>4147.5</v>
          </cell>
          <cell r="F503">
            <v>1.4999999999999999E-4</v>
          </cell>
          <cell r="G503">
            <v>0.02</v>
          </cell>
          <cell r="H503">
            <v>124.425</v>
          </cell>
          <cell r="I503">
            <v>0.62212499999999993</v>
          </cell>
        </row>
        <row r="504">
          <cell r="A504" t="str">
            <v>01</v>
          </cell>
          <cell r="B504" t="str">
            <v>ORAPPM</v>
          </cell>
          <cell r="C504" t="str">
            <v>ETIQUETTEPM</v>
          </cell>
          <cell r="D504" t="str">
            <v/>
          </cell>
          <cell r="E504">
            <v>5.59</v>
          </cell>
          <cell r="F504">
            <v>1</v>
          </cell>
          <cell r="G504">
            <v>0.02</v>
          </cell>
          <cell r="H504">
            <v>1118</v>
          </cell>
          <cell r="I504">
            <v>5.59</v>
          </cell>
        </row>
        <row r="505">
          <cell r="A505" t="str">
            <v>01</v>
          </cell>
          <cell r="B505" t="str">
            <v>ORAPPM</v>
          </cell>
          <cell r="C505" t="str">
            <v>EXTRAIT</v>
          </cell>
          <cell r="D505" t="str">
            <v/>
          </cell>
          <cell r="E505">
            <v>4369</v>
          </cell>
          <cell r="F505">
            <v>3.4992999999999999</v>
          </cell>
          <cell r="G505">
            <v>0</v>
          </cell>
          <cell r="H505">
            <v>15288.441699999999</v>
          </cell>
          <cell r="I505">
            <v>76.442208500000007</v>
          </cell>
        </row>
        <row r="506">
          <cell r="A506" t="str">
            <v>01</v>
          </cell>
          <cell r="B506" t="str">
            <v>ORAPPM</v>
          </cell>
          <cell r="C506" t="str">
            <v>INTERCALAIRES</v>
          </cell>
          <cell r="D506" t="str">
            <v/>
          </cell>
          <cell r="E506">
            <v>772.22</v>
          </cell>
          <cell r="F506">
            <v>8.199999999999999E-3</v>
          </cell>
          <cell r="G506">
            <v>0.01</v>
          </cell>
          <cell r="H506">
            <v>401.55439999999993</v>
          </cell>
          <cell r="I506">
            <v>2.0077720000000001</v>
          </cell>
        </row>
        <row r="507">
          <cell r="A507" t="str">
            <v>01</v>
          </cell>
          <cell r="B507" t="str">
            <v>ORAPPM</v>
          </cell>
          <cell r="C507" t="str">
            <v>KIESELGHUR</v>
          </cell>
          <cell r="D507" t="str">
            <v/>
          </cell>
          <cell r="E507">
            <v>883.2</v>
          </cell>
          <cell r="F507">
            <v>0.03</v>
          </cell>
          <cell r="G507">
            <v>0</v>
          </cell>
          <cell r="H507">
            <v>26.495999999999999</v>
          </cell>
          <cell r="I507">
            <v>0.13248000000000001</v>
          </cell>
        </row>
        <row r="508">
          <cell r="A508" t="str">
            <v>01</v>
          </cell>
          <cell r="B508" t="str">
            <v>ORAPPM</v>
          </cell>
          <cell r="C508" t="str">
            <v>LU</v>
          </cell>
          <cell r="D508" t="str">
            <v/>
          </cell>
          <cell r="E508">
            <v>1252.327512650173</v>
          </cell>
          <cell r="F508">
            <v>1.9199452391448067E-2</v>
          </cell>
          <cell r="G508">
            <v>0</v>
          </cell>
          <cell r="H508">
            <v>111.00700245762756</v>
          </cell>
          <cell r="I508">
            <v>0.5550350122881379</v>
          </cell>
        </row>
        <row r="509">
          <cell r="A509" t="str">
            <v>01</v>
          </cell>
          <cell r="B509" t="str">
            <v>ORAPPM</v>
          </cell>
          <cell r="C509" t="str">
            <v>PACKGM</v>
          </cell>
          <cell r="D509" t="str">
            <v/>
          </cell>
          <cell r="E509">
            <v>1424</v>
          </cell>
          <cell r="F509">
            <v>3.13E-3</v>
          </cell>
          <cell r="G509">
            <v>0.02</v>
          </cell>
          <cell r="H509">
            <v>891.42399999999975</v>
          </cell>
          <cell r="I509">
            <v>4.4571199999999997</v>
          </cell>
        </row>
        <row r="510">
          <cell r="A510" t="str">
            <v>01</v>
          </cell>
          <cell r="B510" t="str">
            <v>ORAPPM</v>
          </cell>
          <cell r="C510" t="str">
            <v>PLAQUES</v>
          </cell>
          <cell r="D510" t="str">
            <v/>
          </cell>
          <cell r="E510">
            <v>14000</v>
          </cell>
          <cell r="F510">
            <v>2.0421659273090025E-3</v>
          </cell>
          <cell r="G510">
            <v>0</v>
          </cell>
          <cell r="H510">
            <v>28.307250477550529</v>
          </cell>
          <cell r="I510">
            <v>0.14153625238775266</v>
          </cell>
        </row>
        <row r="511">
          <cell r="A511" t="str">
            <v>01</v>
          </cell>
          <cell r="B511" t="str">
            <v>ORAPPM</v>
          </cell>
          <cell r="C511" t="str">
            <v>PREFORMEPM</v>
          </cell>
          <cell r="D511" t="str">
            <v/>
          </cell>
          <cell r="E511">
            <v>48</v>
          </cell>
          <cell r="F511">
            <v>1</v>
          </cell>
          <cell r="G511">
            <v>0.01</v>
          </cell>
          <cell r="H511">
            <v>9600</v>
          </cell>
          <cell r="I511">
            <v>48</v>
          </cell>
        </row>
        <row r="512">
          <cell r="A512" t="str">
            <v>01</v>
          </cell>
          <cell r="B512" t="str">
            <v>ORAPPM</v>
          </cell>
          <cell r="C512" t="str">
            <v>SUCRE</v>
          </cell>
          <cell r="D512" t="str">
            <v/>
          </cell>
          <cell r="E512">
            <v>580</v>
          </cell>
          <cell r="F512">
            <v>8.9763000000000002</v>
          </cell>
          <cell r="G512">
            <v>0.01</v>
          </cell>
          <cell r="H512">
            <v>5258.3165399999998</v>
          </cell>
          <cell r="I512">
            <v>26.291582700000003</v>
          </cell>
        </row>
        <row r="513">
          <cell r="A513" t="str">
            <v>01</v>
          </cell>
          <cell r="B513" t="str">
            <v>PAMPLE</v>
          </cell>
          <cell r="C513" t="str">
            <v>AUTREMC</v>
          </cell>
          <cell r="D513" t="str">
            <v/>
          </cell>
          <cell r="E513">
            <v>2252.5543691149755</v>
          </cell>
          <cell r="F513">
            <v>0.14808918510732574</v>
          </cell>
          <cell r="G513">
            <v>0</v>
          </cell>
          <cell r="H513">
            <v>321.65177950894696</v>
          </cell>
          <cell r="I513">
            <v>1.6782364815950976</v>
          </cell>
        </row>
        <row r="514">
          <cell r="A514" t="str">
            <v>01</v>
          </cell>
          <cell r="B514" t="str">
            <v>PAMPLE</v>
          </cell>
          <cell r="C514" t="str">
            <v>AUTREMP</v>
          </cell>
          <cell r="D514" t="str">
            <v/>
          </cell>
          <cell r="E514">
            <v>1411.5217812197482</v>
          </cell>
          <cell r="F514">
            <v>0.20660000000000001</v>
          </cell>
          <cell r="G514">
            <v>0</v>
          </cell>
          <cell r="H514">
            <v>291.62039999999985</v>
          </cell>
          <cell r="I514">
            <v>1.5215460483523973</v>
          </cell>
        </row>
        <row r="515">
          <cell r="A515" t="str">
            <v>01</v>
          </cell>
          <cell r="B515" t="str">
            <v>PAMPLE</v>
          </cell>
          <cell r="C515" t="str">
            <v>BOITESPM</v>
          </cell>
          <cell r="D515" t="str">
            <v/>
          </cell>
          <cell r="E515">
            <v>51.45</v>
          </cell>
          <cell r="F515">
            <v>2</v>
          </cell>
          <cell r="G515">
            <v>0.02</v>
          </cell>
          <cell r="H515">
            <v>2915.9866739877566</v>
          </cell>
          <cell r="I515">
            <v>15.214326572675722</v>
          </cell>
        </row>
        <row r="516">
          <cell r="A516" t="str">
            <v>01</v>
          </cell>
          <cell r="B516" t="str">
            <v>PAMPLE</v>
          </cell>
          <cell r="C516" t="str">
            <v>CAPSULE</v>
          </cell>
          <cell r="D516" t="str">
            <v/>
          </cell>
          <cell r="E516">
            <v>5.81</v>
          </cell>
          <cell r="F516">
            <v>1</v>
          </cell>
          <cell r="G516">
            <v>0.02</v>
          </cell>
          <cell r="H516">
            <v>948.90383142566498</v>
          </cell>
          <cell r="I516">
            <v>4.950959792155043</v>
          </cell>
        </row>
        <row r="517">
          <cell r="A517" t="str">
            <v>01</v>
          </cell>
          <cell r="B517" t="str">
            <v>PAMPLE</v>
          </cell>
          <cell r="C517" t="str">
            <v>CARBURANT</v>
          </cell>
          <cell r="D517" t="str">
            <v/>
          </cell>
          <cell r="E517">
            <v>337.43078666328859</v>
          </cell>
          <cell r="F517">
            <v>3.6182848468968065</v>
          </cell>
          <cell r="G517">
            <v>0</v>
          </cell>
          <cell r="H517">
            <v>1220.9207022602459</v>
          </cell>
          <cell r="I517">
            <v>6.3702233104258541</v>
          </cell>
        </row>
        <row r="518">
          <cell r="A518" t="str">
            <v>01</v>
          </cell>
          <cell r="B518" t="str">
            <v>PAMPLE</v>
          </cell>
          <cell r="C518" t="str">
            <v>CARTONSPM</v>
          </cell>
          <cell r="D518" t="str">
            <v/>
          </cell>
          <cell r="E518">
            <v>227.0185185185185</v>
          </cell>
          <cell r="F518">
            <v>4.3200000000000002E-2</v>
          </cell>
          <cell r="G518">
            <v>0.02</v>
          </cell>
          <cell r="H518">
            <v>277.91705062325292</v>
          </cell>
          <cell r="I518">
            <v>1.4500480424056885</v>
          </cell>
        </row>
        <row r="519">
          <cell r="A519" t="str">
            <v>01</v>
          </cell>
          <cell r="B519" t="str">
            <v>PAMPLE</v>
          </cell>
          <cell r="C519" t="str">
            <v>COLLERETTEGM</v>
          </cell>
          <cell r="D519" t="str">
            <v/>
          </cell>
          <cell r="E519">
            <v>2.4500000000000002</v>
          </cell>
          <cell r="F519">
            <v>1</v>
          </cell>
          <cell r="G519">
            <v>0.02</v>
          </cell>
          <cell r="H519">
            <v>226.77027815436787</v>
          </cell>
          <cell r="I519">
            <v>1.1831868436143445</v>
          </cell>
        </row>
        <row r="520">
          <cell r="A520" t="str">
            <v>01</v>
          </cell>
          <cell r="B520" t="str">
            <v>PAMPLE</v>
          </cell>
          <cell r="C520" t="str">
            <v>COLLES</v>
          </cell>
          <cell r="D520" t="str">
            <v/>
          </cell>
          <cell r="E520">
            <v>2445</v>
          </cell>
          <cell r="F520">
            <v>5.0000000000000001E-4</v>
          </cell>
          <cell r="G520">
            <v>0.02</v>
          </cell>
          <cell r="H520">
            <v>199.66177864335205</v>
          </cell>
          <cell r="I520">
            <v>1.0417467032546539</v>
          </cell>
        </row>
        <row r="521">
          <cell r="A521" t="str">
            <v>01</v>
          </cell>
          <cell r="B521" t="str">
            <v>PAMPLE</v>
          </cell>
          <cell r="C521" t="str">
            <v>DETERSIF</v>
          </cell>
          <cell r="D521" t="str">
            <v/>
          </cell>
          <cell r="E521">
            <v>750.75</v>
          </cell>
          <cell r="F521">
            <v>0.5</v>
          </cell>
          <cell r="G521">
            <v>0</v>
          </cell>
          <cell r="H521">
            <v>340.27157878941756</v>
          </cell>
          <cell r="I521">
            <v>1.7753863449665042</v>
          </cell>
        </row>
        <row r="522">
          <cell r="A522" t="str">
            <v>01</v>
          </cell>
          <cell r="B522" t="str">
            <v>PAMPLE</v>
          </cell>
          <cell r="C522" t="str">
            <v>ETIQUETTEGM</v>
          </cell>
          <cell r="D522" t="str">
            <v/>
          </cell>
          <cell r="E522">
            <v>2.83</v>
          </cell>
          <cell r="F522">
            <v>1</v>
          </cell>
          <cell r="G522">
            <v>0.02</v>
          </cell>
          <cell r="H522">
            <v>261.94281109259634</v>
          </cell>
          <cell r="I522">
            <v>1.3667015377259568</v>
          </cell>
        </row>
        <row r="523">
          <cell r="A523" t="str">
            <v>01</v>
          </cell>
          <cell r="B523" t="str">
            <v>PAMPLE</v>
          </cell>
          <cell r="C523" t="str">
            <v>ETIQUETTEPM</v>
          </cell>
          <cell r="D523" t="str">
            <v/>
          </cell>
          <cell r="E523">
            <v>2.42</v>
          </cell>
          <cell r="F523">
            <v>1</v>
          </cell>
          <cell r="G523">
            <v>0.02</v>
          </cell>
          <cell r="H523">
            <v>171.24699509057044</v>
          </cell>
          <cell r="I523">
            <v>0.89349095149818025</v>
          </cell>
        </row>
        <row r="524">
          <cell r="A524" t="str">
            <v>01</v>
          </cell>
          <cell r="B524" t="str">
            <v>PAMPLE</v>
          </cell>
          <cell r="C524" t="str">
            <v>EXTRAIT</v>
          </cell>
          <cell r="D524" t="str">
            <v/>
          </cell>
          <cell r="E524">
            <v>3847</v>
          </cell>
          <cell r="F524">
            <v>1.95</v>
          </cell>
          <cell r="G524">
            <v>0</v>
          </cell>
          <cell r="H524">
            <v>7501.65</v>
          </cell>
          <cell r="I524">
            <v>39.140286185818134</v>
          </cell>
        </row>
        <row r="525">
          <cell r="A525" t="str">
            <v>01</v>
          </cell>
          <cell r="B525" t="str">
            <v>PAMPLE</v>
          </cell>
          <cell r="C525" t="str">
            <v>KIESELGHUR</v>
          </cell>
          <cell r="D525" t="str">
            <v/>
          </cell>
          <cell r="E525">
            <v>883.2</v>
          </cell>
          <cell r="F525">
            <v>0.03</v>
          </cell>
          <cell r="G525">
            <v>0</v>
          </cell>
          <cell r="H525">
            <v>26.495999999999984</v>
          </cell>
          <cell r="I525">
            <v>0.13824438927161856</v>
          </cell>
        </row>
        <row r="526">
          <cell r="A526" t="str">
            <v>01</v>
          </cell>
          <cell r="B526" t="str">
            <v>PAMPLE</v>
          </cell>
          <cell r="C526" t="str">
            <v>LU</v>
          </cell>
          <cell r="D526" t="str">
            <v/>
          </cell>
          <cell r="E526">
            <v>1252.327512650173</v>
          </cell>
          <cell r="F526">
            <v>1.9199452391448067E-2</v>
          </cell>
          <cell r="G526">
            <v>0</v>
          </cell>
          <cell r="H526">
            <v>107.36267645645005</v>
          </cell>
          <cell r="I526">
            <v>0.56017088003050741</v>
          </cell>
        </row>
        <row r="527">
          <cell r="A527" t="str">
            <v>01</v>
          </cell>
          <cell r="B527" t="str">
            <v>PAMPLE</v>
          </cell>
          <cell r="C527" t="str">
            <v>PLAQUES</v>
          </cell>
          <cell r="D527" t="str">
            <v/>
          </cell>
          <cell r="E527">
            <v>14000</v>
          </cell>
          <cell r="F527">
            <v>2.0421659273090025E-3</v>
          </cell>
          <cell r="G527">
            <v>0</v>
          </cell>
          <cell r="H527">
            <v>28.029728414045131</v>
          </cell>
          <cell r="I527">
            <v>0.14624670463651135</v>
          </cell>
        </row>
        <row r="528">
          <cell r="A528" t="str">
            <v>01</v>
          </cell>
          <cell r="B528" t="str">
            <v>PAMPLE</v>
          </cell>
          <cell r="C528" t="str">
            <v>SUCRE</v>
          </cell>
          <cell r="D528" t="str">
            <v/>
          </cell>
          <cell r="E528">
            <v>580</v>
          </cell>
          <cell r="F528">
            <v>10</v>
          </cell>
          <cell r="G528">
            <v>0.01</v>
          </cell>
          <cell r="H528">
            <v>5858</v>
          </cell>
          <cell r="I528">
            <v>30.564448684825695</v>
          </cell>
        </row>
        <row r="529">
          <cell r="A529" t="str">
            <v>01</v>
          </cell>
          <cell r="B529" t="str">
            <v>REGAB</v>
          </cell>
          <cell r="C529" t="str">
            <v>10113002</v>
          </cell>
          <cell r="D529" t="str">
            <v xml:space="preserve">HOUBLON EXTRAITS 40 % CO2               </v>
          </cell>
          <cell r="E529">
            <v>45000</v>
          </cell>
          <cell r="F529">
            <v>6.1999999999999998E-3</v>
          </cell>
          <cell r="G529">
            <v>0.04</v>
          </cell>
          <cell r="H529">
            <v>290.16000000000003</v>
          </cell>
          <cell r="I529">
            <v>1.8860399999999999</v>
          </cell>
        </row>
        <row r="530">
          <cell r="A530" t="str">
            <v>01</v>
          </cell>
          <cell r="B530" t="str">
            <v>REGAB</v>
          </cell>
          <cell r="C530" t="str">
            <v>10113005</v>
          </cell>
          <cell r="D530" t="str">
            <v xml:space="preserve">HOUBLON ISOMERISE IKE (Kilo Iso Alpha)  </v>
          </cell>
          <cell r="E530">
            <v>142225</v>
          </cell>
          <cell r="F530">
            <v>1.6999999999999999E-3</v>
          </cell>
          <cell r="G530">
            <v>0.04</v>
          </cell>
          <cell r="H530">
            <v>251.45380000000003</v>
          </cell>
          <cell r="I530">
            <v>1.6344497</v>
          </cell>
        </row>
        <row r="531">
          <cell r="A531" t="str">
            <v>01</v>
          </cell>
          <cell r="B531" t="str">
            <v>REGAB</v>
          </cell>
          <cell r="C531" t="str">
            <v>10113009</v>
          </cell>
          <cell r="D531" t="str">
            <v xml:space="preserve">MAIS GRITS                              </v>
          </cell>
          <cell r="E531">
            <v>400</v>
          </cell>
          <cell r="F531">
            <v>4.37</v>
          </cell>
          <cell r="G531">
            <v>0.04</v>
          </cell>
          <cell r="H531">
            <v>1817.92</v>
          </cell>
          <cell r="I531">
            <v>11.81648</v>
          </cell>
        </row>
        <row r="532">
          <cell r="A532" t="str">
            <v>01</v>
          </cell>
          <cell r="B532" t="str">
            <v>REGAB</v>
          </cell>
          <cell r="C532" t="str">
            <v>10113015</v>
          </cell>
          <cell r="D532" t="str">
            <v xml:space="preserve">MALT                                    </v>
          </cell>
          <cell r="E532">
            <v>489</v>
          </cell>
          <cell r="F532">
            <v>10.62</v>
          </cell>
          <cell r="G532">
            <v>0.04</v>
          </cell>
          <cell r="H532">
            <v>5400.9071999999987</v>
          </cell>
          <cell r="I532">
            <v>35.105896799999989</v>
          </cell>
        </row>
        <row r="533">
          <cell r="A533" t="str">
            <v>01</v>
          </cell>
          <cell r="B533" t="str">
            <v>REGAB</v>
          </cell>
          <cell r="C533" t="str">
            <v>AUTREMC</v>
          </cell>
          <cell r="D533" t="str">
            <v/>
          </cell>
          <cell r="E533">
            <v>2364.0681059167568</v>
          </cell>
          <cell r="F533">
            <v>0.16308918510732576</v>
          </cell>
          <cell r="G533">
            <v>0</v>
          </cell>
          <cell r="H533">
            <v>375.52705858863749</v>
          </cell>
          <cell r="I533">
            <v>2.4409258808261436</v>
          </cell>
        </row>
        <row r="534">
          <cell r="A534" t="str">
            <v>01</v>
          </cell>
          <cell r="B534" t="str">
            <v>REGAB</v>
          </cell>
          <cell r="C534" t="str">
            <v>AUTREMP</v>
          </cell>
          <cell r="D534" t="str">
            <v/>
          </cell>
          <cell r="E534">
            <v>1982.0762670780082</v>
          </cell>
          <cell r="F534">
            <v>5.6724999999999998E-2</v>
          </cell>
          <cell r="G534">
            <v>0</v>
          </cell>
          <cell r="H534">
            <v>112.43327625000002</v>
          </cell>
          <cell r="I534">
            <v>0.73081629562500006</v>
          </cell>
        </row>
        <row r="535">
          <cell r="A535" t="str">
            <v>01</v>
          </cell>
          <cell r="B535" t="str">
            <v>REGAB</v>
          </cell>
          <cell r="C535" t="str">
            <v>CAPSULE</v>
          </cell>
          <cell r="D535" t="str">
            <v/>
          </cell>
          <cell r="E535">
            <v>5.84</v>
          </cell>
          <cell r="F535">
            <v>1</v>
          </cell>
          <cell r="G535">
            <v>0.02</v>
          </cell>
          <cell r="H535">
            <v>898.46153846153845</v>
          </cell>
          <cell r="I535">
            <v>5.84</v>
          </cell>
        </row>
        <row r="536">
          <cell r="A536" t="str">
            <v>01</v>
          </cell>
          <cell r="B536" t="str">
            <v>REGAB</v>
          </cell>
          <cell r="C536" t="str">
            <v>CARBURANT</v>
          </cell>
          <cell r="D536" t="str">
            <v/>
          </cell>
          <cell r="E536">
            <v>337.43078666328859</v>
          </cell>
          <cell r="F536">
            <v>3.6182848468968065</v>
          </cell>
          <cell r="G536">
            <v>0</v>
          </cell>
          <cell r="H536">
            <v>1220.9207022602459</v>
          </cell>
          <cell r="I536">
            <v>7.9359845646915979</v>
          </cell>
        </row>
        <row r="537">
          <cell r="A537" t="str">
            <v>01</v>
          </cell>
          <cell r="B537" t="str">
            <v>REGAB</v>
          </cell>
          <cell r="C537" t="str">
            <v>COLLES</v>
          </cell>
          <cell r="D537" t="str">
            <v/>
          </cell>
          <cell r="E537">
            <v>2445</v>
          </cell>
          <cell r="F537">
            <v>5.0000000000000001E-4</v>
          </cell>
          <cell r="G537">
            <v>0.02</v>
          </cell>
          <cell r="H537">
            <v>188.07692307692309</v>
          </cell>
          <cell r="I537">
            <v>1.2224999999999999</v>
          </cell>
        </row>
        <row r="538">
          <cell r="A538" t="str">
            <v>01</v>
          </cell>
          <cell r="B538" t="str">
            <v>REGAB</v>
          </cell>
          <cell r="C538" t="str">
            <v>DETERSIF</v>
          </cell>
          <cell r="D538" t="str">
            <v/>
          </cell>
          <cell r="E538">
            <v>750.75</v>
          </cell>
          <cell r="F538">
            <v>0.5</v>
          </cell>
          <cell r="G538">
            <v>0</v>
          </cell>
          <cell r="H538">
            <v>375.375</v>
          </cell>
          <cell r="I538">
            <v>2.4399374999999996</v>
          </cell>
        </row>
        <row r="539">
          <cell r="A539" t="str">
            <v>01</v>
          </cell>
          <cell r="B539" t="str">
            <v>REGAB</v>
          </cell>
          <cell r="C539" t="str">
            <v>ETIQUETTEGM</v>
          </cell>
          <cell r="D539" t="str">
            <v/>
          </cell>
          <cell r="E539">
            <v>2.65</v>
          </cell>
          <cell r="F539">
            <v>1</v>
          </cell>
          <cell r="G539">
            <v>0.02</v>
          </cell>
          <cell r="H539">
            <v>407.69230769230774</v>
          </cell>
          <cell r="I539">
            <v>2.65</v>
          </cell>
        </row>
        <row r="540">
          <cell r="A540" t="str">
            <v>01</v>
          </cell>
          <cell r="B540" t="str">
            <v>REGAB</v>
          </cell>
          <cell r="C540" t="str">
            <v>KIESELGHUR</v>
          </cell>
          <cell r="D540" t="str">
            <v/>
          </cell>
          <cell r="E540">
            <v>887.05675675675684</v>
          </cell>
          <cell r="F540">
            <v>0.29599999999999999</v>
          </cell>
          <cell r="G540">
            <v>0</v>
          </cell>
          <cell r="H540">
            <v>262.56879999999995</v>
          </cell>
          <cell r="I540">
            <v>1.7066971999999998</v>
          </cell>
        </row>
        <row r="541">
          <cell r="A541" t="str">
            <v>01</v>
          </cell>
          <cell r="B541" t="str">
            <v>REGAB</v>
          </cell>
          <cell r="C541" t="str">
            <v>LU</v>
          </cell>
          <cell r="D541" t="str">
            <v/>
          </cell>
          <cell r="E541">
            <v>1252.327512650173</v>
          </cell>
          <cell r="F541">
            <v>1.9199452391448067E-2</v>
          </cell>
          <cell r="G541">
            <v>0</v>
          </cell>
          <cell r="H541">
            <v>90.837771688396828</v>
          </cell>
          <cell r="I541">
            <v>0.59044551597457928</v>
          </cell>
        </row>
        <row r="542">
          <cell r="A542" t="str">
            <v>01</v>
          </cell>
          <cell r="B542" t="str">
            <v>REGAB</v>
          </cell>
          <cell r="C542" t="str">
            <v>PLAQUES</v>
          </cell>
          <cell r="D542" t="str">
            <v/>
          </cell>
          <cell r="E542">
            <v>14000</v>
          </cell>
          <cell r="F542">
            <v>2.0421659273090025E-3</v>
          </cell>
          <cell r="G542">
            <v>0</v>
          </cell>
          <cell r="H542">
            <v>27.490695175313494</v>
          </cell>
          <cell r="I542">
            <v>0.17868951863953769</v>
          </cell>
        </row>
        <row r="543">
          <cell r="A543" t="str">
            <v>01</v>
          </cell>
          <cell r="B543" t="str">
            <v>SCHWEP</v>
          </cell>
          <cell r="C543" t="str">
            <v>AUTREMC</v>
          </cell>
          <cell r="D543" t="str">
            <v/>
          </cell>
          <cell r="E543">
            <v>2252.5543691149755</v>
          </cell>
          <cell r="F543">
            <v>0.14808918510732574</v>
          </cell>
          <cell r="G543">
            <v>0</v>
          </cell>
          <cell r="H543">
            <v>269.50065153779076</v>
          </cell>
          <cell r="I543">
            <v>0.87269167268704761</v>
          </cell>
        </row>
        <row r="544">
          <cell r="A544" t="str">
            <v>01</v>
          </cell>
          <cell r="B544" t="str">
            <v>SCHWEP</v>
          </cell>
          <cell r="C544" t="str">
            <v>AUTREMP</v>
          </cell>
          <cell r="D544" t="str">
            <v/>
          </cell>
          <cell r="E544">
            <v>1394.12836916847</v>
          </cell>
          <cell r="F544">
            <v>0.69556406000000004</v>
          </cell>
          <cell r="G544">
            <v>0</v>
          </cell>
          <cell r="H544">
            <v>538.84415055472721</v>
          </cell>
          <cell r="I544">
            <v>1.7448744571932733</v>
          </cell>
        </row>
        <row r="545">
          <cell r="A545" t="str">
            <v>01</v>
          </cell>
          <cell r="B545" t="str">
            <v>SCHWEP</v>
          </cell>
          <cell r="C545" t="str">
            <v>BOITESPM</v>
          </cell>
          <cell r="D545" t="str">
            <v/>
          </cell>
          <cell r="E545">
            <v>51.45</v>
          </cell>
          <cell r="F545">
            <v>2</v>
          </cell>
          <cell r="G545">
            <v>0.02</v>
          </cell>
          <cell r="H545">
            <v>25228.925619834714</v>
          </cell>
          <cell r="I545">
            <v>81.695807314897408</v>
          </cell>
        </row>
        <row r="546">
          <cell r="A546" t="str">
            <v>01</v>
          </cell>
          <cell r="B546" t="str">
            <v>SCHWEP</v>
          </cell>
          <cell r="C546" t="str">
            <v>CAPSULE</v>
          </cell>
          <cell r="D546" t="str">
            <v/>
          </cell>
          <cell r="E546">
            <v>7.12</v>
          </cell>
          <cell r="F546">
            <v>1</v>
          </cell>
          <cell r="G546">
            <v>0.02</v>
          </cell>
          <cell r="H546">
            <v>453.09090909090907</v>
          </cell>
          <cell r="I546">
            <v>1.4671900089206062</v>
          </cell>
        </row>
        <row r="547">
          <cell r="A547" t="str">
            <v>01</v>
          </cell>
          <cell r="B547" t="str">
            <v>SCHWEP</v>
          </cell>
          <cell r="C547" t="str">
            <v>CARBURANT</v>
          </cell>
          <cell r="D547" t="str">
            <v/>
          </cell>
          <cell r="E547">
            <v>337.43078666328859</v>
          </cell>
          <cell r="F547">
            <v>3.6182848468968065</v>
          </cell>
          <cell r="G547">
            <v>0</v>
          </cell>
          <cell r="H547">
            <v>1220.9207022602459</v>
          </cell>
          <cell r="I547">
            <v>3.9535612392548547</v>
          </cell>
        </row>
        <row r="548">
          <cell r="A548" t="str">
            <v>01</v>
          </cell>
          <cell r="B548" t="str">
            <v>SCHWEP</v>
          </cell>
          <cell r="C548" t="str">
            <v>CARTONSPM</v>
          </cell>
          <cell r="D548" t="str">
            <v/>
          </cell>
          <cell r="E548">
            <v>315.82407407407402</v>
          </cell>
          <cell r="F548">
            <v>4.3200000000000002E-2</v>
          </cell>
          <cell r="G548">
            <v>0.02</v>
          </cell>
          <cell r="H548">
            <v>3345.1250688705231</v>
          </cell>
          <cell r="I548">
            <v>10.832117752007134</v>
          </cell>
        </row>
        <row r="549">
          <cell r="A549" t="str">
            <v>01</v>
          </cell>
          <cell r="B549" t="str">
            <v>SCHWEP</v>
          </cell>
          <cell r="C549" t="str">
            <v>COLLES</v>
          </cell>
          <cell r="D549" t="str">
            <v/>
          </cell>
          <cell r="E549">
            <v>2445</v>
          </cell>
          <cell r="F549">
            <v>5.0000000000000001E-4</v>
          </cell>
          <cell r="G549">
            <v>0.02</v>
          </cell>
          <cell r="H549">
            <v>77.795454545454533</v>
          </cell>
          <cell r="I549">
            <v>0.25191570026761811</v>
          </cell>
        </row>
        <row r="550">
          <cell r="A550" t="str">
            <v>01</v>
          </cell>
          <cell r="B550" t="str">
            <v>SCHWEP</v>
          </cell>
          <cell r="C550" t="str">
            <v>DETERSIF</v>
          </cell>
          <cell r="D550" t="str">
            <v/>
          </cell>
          <cell r="E550">
            <v>750.75</v>
          </cell>
          <cell r="F550">
            <v>0.5</v>
          </cell>
          <cell r="G550">
            <v>0</v>
          </cell>
          <cell r="H550">
            <v>71.662499999999994</v>
          </cell>
          <cell r="I550">
            <v>0.23205608831400532</v>
          </cell>
        </row>
        <row r="551">
          <cell r="A551" t="str">
            <v>01</v>
          </cell>
          <cell r="B551" t="str">
            <v>SCHWEP</v>
          </cell>
          <cell r="C551" t="str">
            <v>ETIQUETTEPM</v>
          </cell>
          <cell r="D551" t="str">
            <v/>
          </cell>
          <cell r="E551">
            <v>2.4500000000000002</v>
          </cell>
          <cell r="F551">
            <v>1</v>
          </cell>
          <cell r="G551">
            <v>0.02</v>
          </cell>
          <cell r="H551">
            <v>155.90909090909093</v>
          </cell>
          <cell r="I551">
            <v>0.50486173059768058</v>
          </cell>
        </row>
        <row r="552">
          <cell r="A552" t="str">
            <v>01</v>
          </cell>
          <cell r="B552" t="str">
            <v>SCHWEP</v>
          </cell>
          <cell r="C552" t="str">
            <v>EXTRAIT</v>
          </cell>
          <cell r="D552" t="str">
            <v/>
          </cell>
          <cell r="E552">
            <v>141452.65</v>
          </cell>
          <cell r="F552">
            <v>0.05</v>
          </cell>
          <cell r="G552">
            <v>0</v>
          </cell>
          <cell r="H552">
            <v>7072.6324999999979</v>
          </cell>
          <cell r="I552">
            <v>22.902458496877777</v>
          </cell>
        </row>
        <row r="553">
          <cell r="A553" t="str">
            <v>01</v>
          </cell>
          <cell r="B553" t="str">
            <v>SCHWEP</v>
          </cell>
          <cell r="C553" t="str">
            <v>KIESELGHUR</v>
          </cell>
          <cell r="D553" t="str">
            <v/>
          </cell>
          <cell r="E553">
            <v>883.2</v>
          </cell>
          <cell r="F553">
            <v>0.03</v>
          </cell>
          <cell r="G553">
            <v>0</v>
          </cell>
          <cell r="H553">
            <v>26.495999999999992</v>
          </cell>
          <cell r="I553">
            <v>8.5798822479928594E-2</v>
          </cell>
        </row>
        <row r="554">
          <cell r="A554" t="str">
            <v>01</v>
          </cell>
          <cell r="B554" t="str">
            <v>SCHWEP</v>
          </cell>
          <cell r="C554" t="str">
            <v>LU</v>
          </cell>
          <cell r="D554" t="str">
            <v/>
          </cell>
          <cell r="E554">
            <v>1252.327512650173</v>
          </cell>
          <cell r="F554">
            <v>1.9199452391448067E-2</v>
          </cell>
          <cell r="G554">
            <v>0</v>
          </cell>
          <cell r="H554">
            <v>158.55934405542376</v>
          </cell>
          <cell r="I554">
            <v>0.51344372785119363</v>
          </cell>
        </row>
        <row r="555">
          <cell r="A555" t="str">
            <v>01</v>
          </cell>
          <cell r="B555" t="str">
            <v>SCHWEP</v>
          </cell>
          <cell r="C555" t="str">
            <v>PLAQUES</v>
          </cell>
          <cell r="D555" t="str">
            <v/>
          </cell>
          <cell r="E555">
            <v>14000</v>
          </cell>
          <cell r="F555">
            <v>2.0421659273090025E-3</v>
          </cell>
          <cell r="G555">
            <v>0</v>
          </cell>
          <cell r="H555">
            <v>28.029728414045135</v>
          </cell>
          <cell r="I555">
            <v>9.0765311456720621E-2</v>
          </cell>
        </row>
        <row r="556">
          <cell r="A556" t="str">
            <v>01</v>
          </cell>
          <cell r="B556" t="str">
            <v>SCHWEP</v>
          </cell>
          <cell r="C556" t="str">
            <v>SUCRE</v>
          </cell>
          <cell r="D556" t="str">
            <v/>
          </cell>
          <cell r="E556">
            <v>580</v>
          </cell>
          <cell r="F556">
            <v>8.8524999999999991</v>
          </cell>
          <cell r="G556">
            <v>0.01</v>
          </cell>
          <cell r="H556">
            <v>5185.7944999999982</v>
          </cell>
          <cell r="I556">
            <v>16.792537051739508</v>
          </cell>
        </row>
        <row r="557">
          <cell r="A557" t="str">
            <v>01</v>
          </cell>
          <cell r="B557" t="str">
            <v>SPRITE</v>
          </cell>
          <cell r="C557" t="str">
            <v>AUTREMC</v>
          </cell>
          <cell r="D557" t="str">
            <v/>
          </cell>
          <cell r="E557">
            <v>2252.5543691149755</v>
          </cell>
          <cell r="F557">
            <v>0.14808918510732574</v>
          </cell>
          <cell r="G557">
            <v>0</v>
          </cell>
          <cell r="H557">
            <v>295.14447006745291</v>
          </cell>
          <cell r="I557">
            <v>1.2504360244368908</v>
          </cell>
        </row>
        <row r="558">
          <cell r="A558" t="str">
            <v>01</v>
          </cell>
          <cell r="B558" t="str">
            <v>SPRITE</v>
          </cell>
          <cell r="C558" t="str">
            <v>AUTREMP</v>
          </cell>
          <cell r="D558" t="str">
            <v/>
          </cell>
          <cell r="E558">
            <v>2133</v>
          </cell>
          <cell r="F558">
            <v>1.6000000000000001E-3</v>
          </cell>
          <cell r="G558">
            <v>0</v>
          </cell>
          <cell r="H558">
            <v>3.4127999999999998</v>
          </cell>
          <cell r="I558">
            <v>1.4458980252020038E-2</v>
          </cell>
        </row>
        <row r="559">
          <cell r="A559" t="str">
            <v>01</v>
          </cell>
          <cell r="B559" t="str">
            <v>SPRITE</v>
          </cell>
          <cell r="C559" t="str">
            <v>BOITESPM</v>
          </cell>
          <cell r="D559" t="str">
            <v/>
          </cell>
          <cell r="E559">
            <v>51.45</v>
          </cell>
          <cell r="F559">
            <v>2</v>
          </cell>
          <cell r="G559">
            <v>0.02</v>
          </cell>
          <cell r="H559">
            <v>10130.63688025691</v>
          </cell>
          <cell r="I559">
            <v>42.920381678393269</v>
          </cell>
        </row>
        <row r="560">
          <cell r="A560" t="str">
            <v>01</v>
          </cell>
          <cell r="B560" t="str">
            <v>SPRITE</v>
          </cell>
          <cell r="C560" t="str">
            <v>CAPSULE</v>
          </cell>
          <cell r="D560" t="str">
            <v/>
          </cell>
          <cell r="E560">
            <v>5.89</v>
          </cell>
          <cell r="F560">
            <v>1</v>
          </cell>
          <cell r="G560">
            <v>0.02</v>
          </cell>
          <cell r="H560">
            <v>810.35775270079944</v>
          </cell>
          <cell r="I560">
            <v>3.433235684297995</v>
          </cell>
        </row>
        <row r="561">
          <cell r="A561" t="str">
            <v>01</v>
          </cell>
          <cell r="B561" t="str">
            <v>SPRITE</v>
          </cell>
          <cell r="C561" t="str">
            <v>CARBURANT</v>
          </cell>
          <cell r="D561" t="str">
            <v/>
          </cell>
          <cell r="E561">
            <v>337.43078666328859</v>
          </cell>
          <cell r="F561">
            <v>3.6182848468968065</v>
          </cell>
          <cell r="G561">
            <v>0</v>
          </cell>
          <cell r="H561">
            <v>1220.9207022602461</v>
          </cell>
          <cell r="I561">
            <v>5.1726641828596271</v>
          </cell>
        </row>
        <row r="562">
          <cell r="A562" t="str">
            <v>01</v>
          </cell>
          <cell r="B562" t="str">
            <v>SPRITE</v>
          </cell>
          <cell r="C562" t="str">
            <v>CARTONSPM</v>
          </cell>
          <cell r="D562" t="str">
            <v/>
          </cell>
          <cell r="E562">
            <v>219.29629629629628</v>
          </cell>
          <cell r="F562">
            <v>4.3200000000000002E-2</v>
          </cell>
          <cell r="G562">
            <v>0.02</v>
          </cell>
          <cell r="H562">
            <v>932.6880616987545</v>
          </cell>
          <cell r="I562">
            <v>3.9515114467291195</v>
          </cell>
        </row>
        <row r="563">
          <cell r="A563" t="str">
            <v>01</v>
          </cell>
          <cell r="B563" t="str">
            <v>SPRITE</v>
          </cell>
          <cell r="C563" t="str">
            <v>COLLERETTEGM</v>
          </cell>
          <cell r="D563" t="str">
            <v/>
          </cell>
          <cell r="E563">
            <v>3.85</v>
          </cell>
          <cell r="F563">
            <v>1</v>
          </cell>
          <cell r="G563">
            <v>0.02</v>
          </cell>
          <cell r="H563">
            <v>224.46773612176943</v>
          </cell>
          <cell r="I563">
            <v>0.95100051681912479</v>
          </cell>
        </row>
        <row r="564">
          <cell r="A564" t="str">
            <v>01</v>
          </cell>
          <cell r="B564" t="str">
            <v>SPRITE</v>
          </cell>
          <cell r="C564" t="str">
            <v>COLLES</v>
          </cell>
          <cell r="D564" t="str">
            <v/>
          </cell>
          <cell r="E564">
            <v>2445</v>
          </cell>
          <cell r="F564">
            <v>5.0000000000000001E-4</v>
          </cell>
          <cell r="G564">
            <v>0.02</v>
          </cell>
          <cell r="H564">
            <v>71.275794132172237</v>
          </cell>
          <cell r="I564">
            <v>0.30197354073022858</v>
          </cell>
        </row>
        <row r="565">
          <cell r="A565" t="str">
            <v>01</v>
          </cell>
          <cell r="B565" t="str">
            <v>SPRITE</v>
          </cell>
          <cell r="C565" t="str">
            <v>DETERSIF</v>
          </cell>
          <cell r="D565" t="str">
            <v/>
          </cell>
          <cell r="E565">
            <v>750.75</v>
          </cell>
          <cell r="F565">
            <v>0.5</v>
          </cell>
          <cell r="G565">
            <v>0</v>
          </cell>
          <cell r="H565">
            <v>253.4197055154786</v>
          </cell>
          <cell r="I565">
            <v>1.0736610752229954</v>
          </cell>
        </row>
        <row r="566">
          <cell r="A566" t="str">
            <v>01</v>
          </cell>
          <cell r="B566" t="str">
            <v>SPRITE</v>
          </cell>
          <cell r="C566" t="str">
            <v>ETIQUETTEGM</v>
          </cell>
          <cell r="D566" t="str">
            <v/>
          </cell>
          <cell r="E566">
            <v>3.93</v>
          </cell>
          <cell r="F566">
            <v>1</v>
          </cell>
          <cell r="G566">
            <v>0.02</v>
          </cell>
          <cell r="H566">
            <v>229.13200076845555</v>
          </cell>
          <cell r="I566">
            <v>0.97076156651926249</v>
          </cell>
        </row>
        <row r="567">
          <cell r="A567" t="str">
            <v>01</v>
          </cell>
          <cell r="B567" t="str">
            <v>SPRITE</v>
          </cell>
          <cell r="C567" t="str">
            <v>EXTRAIT</v>
          </cell>
          <cell r="D567" t="str">
            <v/>
          </cell>
          <cell r="E567">
            <v>71400</v>
          </cell>
          <cell r="F567">
            <v>9.8000000000000004E-2</v>
          </cell>
          <cell r="G567">
            <v>0</v>
          </cell>
          <cell r="H567">
            <v>6997.2</v>
          </cell>
          <cell r="I567">
            <v>29.644976740340656</v>
          </cell>
        </row>
        <row r="568">
          <cell r="A568" t="str">
            <v>01</v>
          </cell>
          <cell r="B568" t="str">
            <v>SPRITE</v>
          </cell>
          <cell r="C568" t="str">
            <v>KIESELGHUR</v>
          </cell>
          <cell r="D568" t="str">
            <v/>
          </cell>
          <cell r="E568">
            <v>883.2</v>
          </cell>
          <cell r="F568">
            <v>0.03</v>
          </cell>
          <cell r="G568">
            <v>0</v>
          </cell>
          <cell r="H568">
            <v>26.495999999999995</v>
          </cell>
          <cell r="I568">
            <v>0.11225537410850998</v>
          </cell>
        </row>
        <row r="569">
          <cell r="A569" t="str">
            <v>01</v>
          </cell>
          <cell r="B569" t="str">
            <v>SPRITE</v>
          </cell>
          <cell r="C569" t="str">
            <v>LU</v>
          </cell>
          <cell r="D569" t="str">
            <v/>
          </cell>
          <cell r="E569">
            <v>1252.327512650173</v>
          </cell>
          <cell r="F569">
            <v>1.9199452391448067E-2</v>
          </cell>
          <cell r="G569">
            <v>0</v>
          </cell>
          <cell r="H569">
            <v>126.75352966805379</v>
          </cell>
          <cell r="I569">
            <v>0.53701558319978482</v>
          </cell>
        </row>
        <row r="570">
          <cell r="A570" t="str">
            <v>01</v>
          </cell>
          <cell r="B570" t="str">
            <v>SPRITE</v>
          </cell>
          <cell r="C570" t="str">
            <v>PLAQUES</v>
          </cell>
          <cell r="D570" t="str">
            <v/>
          </cell>
          <cell r="E570">
            <v>14000</v>
          </cell>
          <cell r="F570">
            <v>2.0421659273090025E-3</v>
          </cell>
          <cell r="G570">
            <v>0</v>
          </cell>
          <cell r="H570">
            <v>26.972002813515129</v>
          </cell>
          <cell r="I570">
            <v>0.11427205111288213</v>
          </cell>
        </row>
        <row r="571">
          <cell r="A571" t="str">
            <v>01</v>
          </cell>
          <cell r="B571" t="str">
            <v>SPRITE</v>
          </cell>
          <cell r="C571" t="str">
            <v>SUCRE</v>
          </cell>
          <cell r="D571" t="str">
            <v/>
          </cell>
          <cell r="E571">
            <v>580</v>
          </cell>
          <cell r="F571">
            <v>11.81</v>
          </cell>
          <cell r="G571">
            <v>0.01</v>
          </cell>
          <cell r="H571">
            <v>6918.2979999999989</v>
          </cell>
          <cell r="I571">
            <v>29.310693319148417</v>
          </cell>
        </row>
        <row r="572">
          <cell r="A572" t="str">
            <v>01</v>
          </cell>
          <cell r="B572" t="str">
            <v>SPRPGM</v>
          </cell>
          <cell r="C572" t="str">
            <v>AUTREMC</v>
          </cell>
          <cell r="D572" t="str">
            <v/>
          </cell>
          <cell r="E572">
            <v>2035.2923684676709</v>
          </cell>
          <cell r="F572">
            <v>0.12808918510732573</v>
          </cell>
          <cell r="G572">
            <v>0</v>
          </cell>
          <cell r="H572">
            <v>258.11776329919098</v>
          </cell>
          <cell r="I572">
            <v>3.8717664494878639</v>
          </cell>
        </row>
        <row r="573">
          <cell r="A573" t="str">
            <v>01</v>
          </cell>
          <cell r="B573" t="str">
            <v>SPRPGM</v>
          </cell>
          <cell r="C573" t="str">
            <v>AUTREMP</v>
          </cell>
          <cell r="D573" t="str">
            <v/>
          </cell>
          <cell r="E573">
            <v>2133</v>
          </cell>
          <cell r="F573">
            <v>1.6000000000000001E-3</v>
          </cell>
          <cell r="G573">
            <v>0</v>
          </cell>
          <cell r="H573">
            <v>3.4128000000000003</v>
          </cell>
          <cell r="I573">
            <v>5.1192000000000001E-2</v>
          </cell>
        </row>
        <row r="574">
          <cell r="A574" t="str">
            <v>01</v>
          </cell>
          <cell r="B574" t="str">
            <v>SPRPGM</v>
          </cell>
          <cell r="C574" t="str">
            <v>BOUCHON</v>
          </cell>
          <cell r="D574" t="str">
            <v/>
          </cell>
          <cell r="E574">
            <v>12.7</v>
          </cell>
          <cell r="F574">
            <v>1</v>
          </cell>
          <cell r="G574">
            <v>0.01</v>
          </cell>
          <cell r="H574">
            <v>846.66666666666686</v>
          </cell>
          <cell r="I574">
            <v>12.7</v>
          </cell>
        </row>
        <row r="575">
          <cell r="A575" t="str">
            <v>01</v>
          </cell>
          <cell r="B575" t="str">
            <v>SPRPGM</v>
          </cell>
          <cell r="C575" t="str">
            <v>CARBURANT</v>
          </cell>
          <cell r="D575" t="str">
            <v/>
          </cell>
          <cell r="E575">
            <v>337.43078666328859</v>
          </cell>
          <cell r="F575">
            <v>3.6182848468968065</v>
          </cell>
          <cell r="G575">
            <v>0</v>
          </cell>
          <cell r="H575">
            <v>1220.9207022602461</v>
          </cell>
          <cell r="I575">
            <v>18.313810533903691</v>
          </cell>
        </row>
        <row r="576">
          <cell r="A576" t="str">
            <v>01</v>
          </cell>
          <cell r="B576" t="str">
            <v>SPRPGM</v>
          </cell>
          <cell r="C576" t="str">
            <v>COLLES</v>
          </cell>
          <cell r="D576" t="str">
            <v/>
          </cell>
          <cell r="E576">
            <v>4147.5</v>
          </cell>
          <cell r="F576">
            <v>1.4999999999999999E-4</v>
          </cell>
          <cell r="G576">
            <v>0.02</v>
          </cell>
          <cell r="H576">
            <v>41.475000000000001</v>
          </cell>
          <cell r="I576">
            <v>0.62212499999999993</v>
          </cell>
        </row>
        <row r="577">
          <cell r="A577" t="str">
            <v>01</v>
          </cell>
          <cell r="B577" t="str">
            <v>SPRPGM</v>
          </cell>
          <cell r="C577" t="str">
            <v>ETIQUETTEGM</v>
          </cell>
          <cell r="D577" t="str">
            <v/>
          </cell>
          <cell r="E577">
            <v>15.3</v>
          </cell>
          <cell r="F577">
            <v>1</v>
          </cell>
          <cell r="G577">
            <v>0.02</v>
          </cell>
          <cell r="H577">
            <v>1020</v>
          </cell>
          <cell r="I577">
            <v>15.3</v>
          </cell>
        </row>
        <row r="578">
          <cell r="A578" t="str">
            <v>01</v>
          </cell>
          <cell r="B578" t="str">
            <v>SPRPGM</v>
          </cell>
          <cell r="C578" t="str">
            <v>EXTRAIT</v>
          </cell>
          <cell r="D578" t="str">
            <v/>
          </cell>
          <cell r="E578">
            <v>71400</v>
          </cell>
          <cell r="F578">
            <v>9.8000000000000004E-2</v>
          </cell>
          <cell r="G578">
            <v>0</v>
          </cell>
          <cell r="H578">
            <v>6997.2</v>
          </cell>
          <cell r="I578">
            <v>104.95799999999998</v>
          </cell>
        </row>
        <row r="579">
          <cell r="A579" t="str">
            <v>01</v>
          </cell>
          <cell r="B579" t="str">
            <v>SPRPGM</v>
          </cell>
          <cell r="C579" t="str">
            <v>INTERCALAIRES</v>
          </cell>
          <cell r="D579" t="str">
            <v/>
          </cell>
          <cell r="E579">
            <v>772.22</v>
          </cell>
          <cell r="F579">
            <v>5.5999999999999999E-3</v>
          </cell>
          <cell r="G579">
            <v>0.01</v>
          </cell>
          <cell r="H579">
            <v>288.2954666666667</v>
          </cell>
          <cell r="I579">
            <v>4.3244319999999998</v>
          </cell>
        </row>
        <row r="580">
          <cell r="A580" t="str">
            <v>01</v>
          </cell>
          <cell r="B580" t="str">
            <v>SPRPGM</v>
          </cell>
          <cell r="C580" t="str">
            <v>KIESELGHUR</v>
          </cell>
          <cell r="D580" t="str">
            <v/>
          </cell>
          <cell r="E580">
            <v>883.2</v>
          </cell>
          <cell r="F580">
            <v>0.03</v>
          </cell>
          <cell r="G580">
            <v>0</v>
          </cell>
          <cell r="H580">
            <v>26.496000000000002</v>
          </cell>
          <cell r="I580">
            <v>0.39743999999999996</v>
          </cell>
        </row>
        <row r="581">
          <cell r="A581" t="str">
            <v>01</v>
          </cell>
          <cell r="B581" t="str">
            <v>SPRPGM</v>
          </cell>
          <cell r="C581" t="str">
            <v>LU</v>
          </cell>
          <cell r="D581" t="str">
            <v/>
          </cell>
          <cell r="E581">
            <v>1252.327512650173</v>
          </cell>
          <cell r="F581">
            <v>1.9199452391448067E-2</v>
          </cell>
          <cell r="G581">
            <v>0</v>
          </cell>
          <cell r="H581">
            <v>52.740335790960927</v>
          </cell>
          <cell r="I581">
            <v>0.79110503686441369</v>
          </cell>
        </row>
        <row r="582">
          <cell r="A582" t="str">
            <v>01</v>
          </cell>
          <cell r="B582" t="str">
            <v>SPRPGM</v>
          </cell>
          <cell r="C582" t="str">
            <v>PACKGM</v>
          </cell>
          <cell r="D582" t="str">
            <v/>
          </cell>
          <cell r="E582">
            <v>1424</v>
          </cell>
          <cell r="F582">
            <v>5.2900000000000004E-3</v>
          </cell>
          <cell r="G582">
            <v>0.02</v>
          </cell>
          <cell r="H582">
            <v>502.19733333333352</v>
          </cell>
          <cell r="I582">
            <v>7.532960000000001</v>
          </cell>
        </row>
        <row r="583">
          <cell r="A583" t="str">
            <v>01</v>
          </cell>
          <cell r="B583" t="str">
            <v>SPRPGM</v>
          </cell>
          <cell r="C583" t="str">
            <v>PLAQUES</v>
          </cell>
          <cell r="D583" t="str">
            <v/>
          </cell>
          <cell r="E583">
            <v>14000</v>
          </cell>
          <cell r="F583">
            <v>2.0421659273090025E-3</v>
          </cell>
          <cell r="G583">
            <v>0</v>
          </cell>
          <cell r="H583">
            <v>28.307250477550532</v>
          </cell>
          <cell r="I583">
            <v>0.42460875716325791</v>
          </cell>
        </row>
        <row r="584">
          <cell r="A584" t="str">
            <v>01</v>
          </cell>
          <cell r="B584" t="str">
            <v>SPRPGM</v>
          </cell>
          <cell r="C584" t="str">
            <v>PREFORMEGM</v>
          </cell>
          <cell r="D584" t="str">
            <v/>
          </cell>
          <cell r="E584">
            <v>95</v>
          </cell>
          <cell r="F584">
            <v>1</v>
          </cell>
          <cell r="G584">
            <v>0.01</v>
          </cell>
          <cell r="H584">
            <v>6333.3333333333339</v>
          </cell>
          <cell r="I584">
            <v>95</v>
          </cell>
        </row>
        <row r="585">
          <cell r="A585" t="str">
            <v>01</v>
          </cell>
          <cell r="B585" t="str">
            <v>SPRPGM</v>
          </cell>
          <cell r="C585" t="str">
            <v>SUCRE</v>
          </cell>
          <cell r="D585" t="str">
            <v/>
          </cell>
          <cell r="E585">
            <v>580</v>
          </cell>
          <cell r="F585">
            <v>11.81</v>
          </cell>
          <cell r="G585">
            <v>0.01</v>
          </cell>
          <cell r="H585">
            <v>6918.2979999999998</v>
          </cell>
          <cell r="I585">
            <v>103.77446999999998</v>
          </cell>
        </row>
        <row r="586">
          <cell r="A586" t="str">
            <v>01</v>
          </cell>
          <cell r="B586" t="str">
            <v>SPRPPM</v>
          </cell>
          <cell r="C586" t="str">
            <v>AUTREMC</v>
          </cell>
          <cell r="D586" t="str">
            <v/>
          </cell>
          <cell r="E586">
            <v>2035.2923684676709</v>
          </cell>
          <cell r="F586">
            <v>0.12808918510732573</v>
          </cell>
          <cell r="G586">
            <v>0</v>
          </cell>
          <cell r="H586">
            <v>258.11776329919098</v>
          </cell>
          <cell r="I586">
            <v>1.2905888164959549</v>
          </cell>
        </row>
        <row r="587">
          <cell r="A587" t="str">
            <v>01</v>
          </cell>
          <cell r="B587" t="str">
            <v>SPRPPM</v>
          </cell>
          <cell r="C587" t="str">
            <v>AUTREMP</v>
          </cell>
          <cell r="D587" t="str">
            <v/>
          </cell>
          <cell r="E587">
            <v>2133</v>
          </cell>
          <cell r="F587">
            <v>1.6000000000000001E-3</v>
          </cell>
          <cell r="G587">
            <v>0</v>
          </cell>
          <cell r="H587">
            <v>3.4128000000000003</v>
          </cell>
          <cell r="I587">
            <v>1.7063999999999999E-2</v>
          </cell>
        </row>
        <row r="588">
          <cell r="A588" t="str">
            <v>01</v>
          </cell>
          <cell r="B588" t="str">
            <v>SPRPPM</v>
          </cell>
          <cell r="C588" t="str">
            <v>BOUCHON</v>
          </cell>
          <cell r="D588" t="str">
            <v/>
          </cell>
          <cell r="E588">
            <v>12.7</v>
          </cell>
          <cell r="F588">
            <v>1</v>
          </cell>
          <cell r="G588">
            <v>0.01</v>
          </cell>
          <cell r="H588">
            <v>2540</v>
          </cell>
          <cell r="I588">
            <v>12.7</v>
          </cell>
        </row>
        <row r="589">
          <cell r="A589" t="str">
            <v>01</v>
          </cell>
          <cell r="B589" t="str">
            <v>SPRPPM</v>
          </cell>
          <cell r="C589" t="str">
            <v>CARBURANT</v>
          </cell>
          <cell r="D589" t="str">
            <v/>
          </cell>
          <cell r="E589">
            <v>337.43078666328859</v>
          </cell>
          <cell r="F589">
            <v>3.6182848468968065</v>
          </cell>
          <cell r="G589">
            <v>0</v>
          </cell>
          <cell r="H589">
            <v>1220.9207022602459</v>
          </cell>
          <cell r="I589">
            <v>6.1046035113012298</v>
          </cell>
        </row>
        <row r="590">
          <cell r="A590" t="str">
            <v>01</v>
          </cell>
          <cell r="B590" t="str">
            <v>SPRPPM</v>
          </cell>
          <cell r="C590" t="str">
            <v>COLLES</v>
          </cell>
          <cell r="D590" t="str">
            <v/>
          </cell>
          <cell r="E590">
            <v>4147.5</v>
          </cell>
          <cell r="F590">
            <v>1.4999999999999999E-4</v>
          </cell>
          <cell r="G590">
            <v>0.02</v>
          </cell>
          <cell r="H590">
            <v>124.425</v>
          </cell>
          <cell r="I590">
            <v>0.62212499999999993</v>
          </cell>
        </row>
        <row r="591">
          <cell r="A591" t="str">
            <v>01</v>
          </cell>
          <cell r="B591" t="str">
            <v>SPRPPM</v>
          </cell>
          <cell r="C591" t="str">
            <v>ETIQUETTEPM</v>
          </cell>
          <cell r="D591" t="str">
            <v/>
          </cell>
          <cell r="E591">
            <v>4.34</v>
          </cell>
          <cell r="F591">
            <v>1</v>
          </cell>
          <cell r="G591">
            <v>0.02</v>
          </cell>
          <cell r="H591">
            <v>868</v>
          </cell>
          <cell r="I591">
            <v>4.34</v>
          </cell>
        </row>
        <row r="592">
          <cell r="A592" t="str">
            <v>01</v>
          </cell>
          <cell r="B592" t="str">
            <v>SPRPPM</v>
          </cell>
          <cell r="C592" t="str">
            <v>EXTRAIT</v>
          </cell>
          <cell r="D592" t="str">
            <v/>
          </cell>
          <cell r="E592">
            <v>71400</v>
          </cell>
          <cell r="F592">
            <v>9.8000000000000004E-2</v>
          </cell>
          <cell r="G592">
            <v>0</v>
          </cell>
          <cell r="H592">
            <v>6997.2</v>
          </cell>
          <cell r="I592">
            <v>34.985999999999997</v>
          </cell>
        </row>
        <row r="593">
          <cell r="A593" t="str">
            <v>01</v>
          </cell>
          <cell r="B593" t="str">
            <v>SPRPPM</v>
          </cell>
          <cell r="C593" t="str">
            <v>INTERCALAIRES</v>
          </cell>
          <cell r="D593" t="str">
            <v/>
          </cell>
          <cell r="E593">
            <v>772.22</v>
          </cell>
          <cell r="F593">
            <v>2.5999999999999999E-3</v>
          </cell>
          <cell r="G593">
            <v>0.01</v>
          </cell>
          <cell r="H593">
            <v>401.55440000000004</v>
          </cell>
          <cell r="I593">
            <v>2.0077720000000001</v>
          </cell>
        </row>
        <row r="594">
          <cell r="A594" t="str">
            <v>01</v>
          </cell>
          <cell r="B594" t="str">
            <v>SPRPPM</v>
          </cell>
          <cell r="C594" t="str">
            <v>KIESELGHUR</v>
          </cell>
          <cell r="D594" t="str">
            <v/>
          </cell>
          <cell r="E594">
            <v>883.2</v>
          </cell>
          <cell r="F594">
            <v>0.03</v>
          </cell>
          <cell r="G594">
            <v>0</v>
          </cell>
          <cell r="H594">
            <v>26.495999999999999</v>
          </cell>
          <cell r="I594">
            <v>0.13247999999999999</v>
          </cell>
        </row>
        <row r="595">
          <cell r="A595" t="str">
            <v>01</v>
          </cell>
          <cell r="B595" t="str">
            <v>SPRPPM</v>
          </cell>
          <cell r="C595" t="str">
            <v>LU</v>
          </cell>
          <cell r="D595" t="str">
            <v/>
          </cell>
          <cell r="E595">
            <v>1252.327512650173</v>
          </cell>
          <cell r="F595">
            <v>1.9199452391448067E-2</v>
          </cell>
          <cell r="G595">
            <v>0</v>
          </cell>
          <cell r="H595">
            <v>111.00700245762758</v>
          </cell>
          <cell r="I595">
            <v>0.5550350122881379</v>
          </cell>
        </row>
        <row r="596">
          <cell r="A596" t="str">
            <v>01</v>
          </cell>
          <cell r="B596" t="str">
            <v>SPRPPM</v>
          </cell>
          <cell r="C596" t="str">
            <v>PACKGM</v>
          </cell>
          <cell r="D596" t="str">
            <v/>
          </cell>
          <cell r="E596">
            <v>1424</v>
          </cell>
          <cell r="F596">
            <v>3.13E-3</v>
          </cell>
          <cell r="G596">
            <v>0.02</v>
          </cell>
          <cell r="H596">
            <v>891.42399999999986</v>
          </cell>
          <cell r="I596">
            <v>4.4571199999999997</v>
          </cell>
        </row>
        <row r="597">
          <cell r="A597" t="str">
            <v>01</v>
          </cell>
          <cell r="B597" t="str">
            <v>SPRPPM</v>
          </cell>
          <cell r="C597" t="str">
            <v>PLAQUES</v>
          </cell>
          <cell r="D597" t="str">
            <v/>
          </cell>
          <cell r="E597">
            <v>14000</v>
          </cell>
          <cell r="F597">
            <v>2.0421659273090025E-3</v>
          </cell>
          <cell r="G597">
            <v>0</v>
          </cell>
          <cell r="H597">
            <v>28.307250477550529</v>
          </cell>
          <cell r="I597">
            <v>0.14153625238775264</v>
          </cell>
        </row>
        <row r="598">
          <cell r="A598" t="str">
            <v>01</v>
          </cell>
          <cell r="B598" t="str">
            <v>SPRPPM</v>
          </cell>
          <cell r="C598" t="str">
            <v>PREFORMEPM</v>
          </cell>
          <cell r="D598" t="str">
            <v/>
          </cell>
          <cell r="E598">
            <v>52</v>
          </cell>
          <cell r="F598">
            <v>1</v>
          </cell>
          <cell r="G598">
            <v>0.01</v>
          </cell>
          <cell r="H598">
            <v>10400</v>
          </cell>
          <cell r="I598">
            <v>52</v>
          </cell>
        </row>
        <row r="599">
          <cell r="A599" t="str">
            <v>01</v>
          </cell>
          <cell r="B599" t="str">
            <v>SPRPPM</v>
          </cell>
          <cell r="C599" t="str">
            <v>SUCRE</v>
          </cell>
          <cell r="D599" t="str">
            <v/>
          </cell>
          <cell r="E599">
            <v>580</v>
          </cell>
          <cell r="F599">
            <v>11.81</v>
          </cell>
          <cell r="G599">
            <v>0.01</v>
          </cell>
          <cell r="H599">
            <v>6918.2979999999998</v>
          </cell>
          <cell r="I599">
            <v>34.59149</v>
          </cell>
        </row>
        <row r="600">
          <cell r="A600" t="str">
            <v>01</v>
          </cell>
          <cell r="B600" t="str">
            <v>TONIC</v>
          </cell>
          <cell r="C600" t="str">
            <v>AUTREMC</v>
          </cell>
          <cell r="D600" t="str">
            <v/>
          </cell>
          <cell r="E600">
            <v>2252.5543691149755</v>
          </cell>
          <cell r="F600">
            <v>0.14808918510732574</v>
          </cell>
          <cell r="G600">
            <v>0</v>
          </cell>
          <cell r="H600">
            <v>316.04622626671409</v>
          </cell>
          <cell r="I600">
            <v>1.4314429506756314</v>
          </cell>
        </row>
        <row r="601">
          <cell r="A601" t="str">
            <v>01</v>
          </cell>
          <cell r="B601" t="str">
            <v>TONIC</v>
          </cell>
          <cell r="C601" t="str">
            <v>AUTREMP</v>
          </cell>
          <cell r="D601" t="str">
            <v/>
          </cell>
          <cell r="E601">
            <v>1443.0454116011949</v>
          </cell>
          <cell r="F601">
            <v>0.27856406</v>
          </cell>
          <cell r="G601">
            <v>0</v>
          </cell>
          <cell r="H601">
            <v>401.98058861999993</v>
          </cell>
          <cell r="I601">
            <v>1.8206586001218206</v>
          </cell>
        </row>
        <row r="602">
          <cell r="A602" t="str">
            <v>01</v>
          </cell>
          <cell r="B602" t="str">
            <v>TONIC</v>
          </cell>
          <cell r="C602" t="str">
            <v>BOITESPM</v>
          </cell>
          <cell r="D602" t="str">
            <v/>
          </cell>
          <cell r="E602">
            <v>51.45</v>
          </cell>
          <cell r="F602">
            <v>2</v>
          </cell>
          <cell r="G602">
            <v>0.02</v>
          </cell>
          <cell r="H602">
            <v>5314.3311032935317</v>
          </cell>
          <cell r="I602">
            <v>24.06977575788558</v>
          </cell>
        </row>
        <row r="603">
          <cell r="A603" t="str">
            <v>01</v>
          </cell>
          <cell r="B603" t="str">
            <v>TONIC</v>
          </cell>
          <cell r="C603" t="str">
            <v>CAPSULE</v>
          </cell>
          <cell r="D603" t="str">
            <v/>
          </cell>
          <cell r="E603">
            <v>5.81</v>
          </cell>
          <cell r="F603">
            <v>1</v>
          </cell>
          <cell r="G603">
            <v>0.02</v>
          </cell>
          <cell r="H603">
            <v>982.72065555061897</v>
          </cell>
          <cell r="I603">
            <v>4.4509582395207445</v>
          </cell>
        </row>
        <row r="604">
          <cell r="A604" t="str">
            <v>01</v>
          </cell>
          <cell r="B604" t="str">
            <v>TONIC</v>
          </cell>
          <cell r="C604" t="str">
            <v>CARBURANT</v>
          </cell>
          <cell r="D604" t="str">
            <v/>
          </cell>
          <cell r="E604">
            <v>337.43078666328859</v>
          </cell>
          <cell r="F604">
            <v>3.6182848468968065</v>
          </cell>
          <cell r="G604">
            <v>0</v>
          </cell>
          <cell r="H604">
            <v>1220.9207022602459</v>
          </cell>
          <cell r="I604">
            <v>5.5298187016145217</v>
          </cell>
        </row>
        <row r="605">
          <cell r="A605" t="str">
            <v>01</v>
          </cell>
          <cell r="B605" t="str">
            <v>TONIC</v>
          </cell>
          <cell r="C605" t="str">
            <v>CARTONSPM</v>
          </cell>
          <cell r="D605" t="str">
            <v/>
          </cell>
          <cell r="E605">
            <v>227.0185185185185</v>
          </cell>
          <cell r="F605">
            <v>4.3200000000000002E-2</v>
          </cell>
          <cell r="G605">
            <v>0.02</v>
          </cell>
          <cell r="H605">
            <v>506.49861998270478</v>
          </cell>
          <cell r="I605">
            <v>2.2940437785494212</v>
          </cell>
        </row>
        <row r="606">
          <cell r="A606" t="str">
            <v>01</v>
          </cell>
          <cell r="B606" t="str">
            <v>TONIC</v>
          </cell>
          <cell r="C606" t="str">
            <v>COLLERETTEGM</v>
          </cell>
          <cell r="D606" t="str">
            <v/>
          </cell>
          <cell r="E606">
            <v>2.9</v>
          </cell>
          <cell r="F606">
            <v>1</v>
          </cell>
          <cell r="G606">
            <v>0.02</v>
          </cell>
          <cell r="H606">
            <v>207.60174998682234</v>
          </cell>
          <cell r="I606">
            <v>0.94027403863312486</v>
          </cell>
        </row>
        <row r="607">
          <cell r="A607" t="str">
            <v>01</v>
          </cell>
          <cell r="B607" t="str">
            <v>TONIC</v>
          </cell>
          <cell r="C607" t="str">
            <v>COLLES</v>
          </cell>
          <cell r="D607" t="str">
            <v/>
          </cell>
          <cell r="E607">
            <v>2445</v>
          </cell>
          <cell r="F607">
            <v>5.0000000000000001E-4</v>
          </cell>
          <cell r="G607">
            <v>0.02</v>
          </cell>
          <cell r="H607">
            <v>206.77728079356828</v>
          </cell>
          <cell r="I607">
            <v>0.93653983611258351</v>
          </cell>
        </row>
        <row r="608">
          <cell r="A608" t="str">
            <v>01</v>
          </cell>
          <cell r="B608" t="str">
            <v>TONIC</v>
          </cell>
          <cell r="C608" t="str">
            <v>DETERSIF</v>
          </cell>
          <cell r="D608" t="str">
            <v/>
          </cell>
          <cell r="E608">
            <v>750.75</v>
          </cell>
          <cell r="F608">
            <v>0.5</v>
          </cell>
          <cell r="G608">
            <v>0</v>
          </cell>
          <cell r="H608">
            <v>311.3996722539739</v>
          </cell>
          <cell r="I608">
            <v>1.4103976844022812</v>
          </cell>
        </row>
        <row r="609">
          <cell r="A609" t="str">
            <v>01</v>
          </cell>
          <cell r="B609" t="str">
            <v>TONIC</v>
          </cell>
          <cell r="C609" t="str">
            <v>ETIQUETTEGM</v>
          </cell>
          <cell r="D609" t="str">
            <v/>
          </cell>
          <cell r="E609">
            <v>2.92</v>
          </cell>
          <cell r="F609">
            <v>1</v>
          </cell>
          <cell r="G609">
            <v>0.02</v>
          </cell>
          <cell r="H609">
            <v>209.03348619362799</v>
          </cell>
          <cell r="I609">
            <v>0.94675868717542233</v>
          </cell>
        </row>
        <row r="610">
          <cell r="A610" t="str">
            <v>01</v>
          </cell>
          <cell r="B610" t="str">
            <v>TONIC</v>
          </cell>
          <cell r="C610" t="str">
            <v>ETIQUETTEPM</v>
          </cell>
          <cell r="D610" t="str">
            <v/>
          </cell>
          <cell r="E610">
            <v>2.63</v>
          </cell>
          <cell r="F610">
            <v>1</v>
          </cell>
          <cell r="G610">
            <v>0.02</v>
          </cell>
          <cell r="H610">
            <v>256.57269983743424</v>
          </cell>
          <cell r="I610">
            <v>1.1620742536826507</v>
          </cell>
        </row>
        <row r="611">
          <cell r="A611" t="str">
            <v>01</v>
          </cell>
          <cell r="B611" t="str">
            <v>TONIC</v>
          </cell>
          <cell r="C611" t="str">
            <v>EXTRAIT</v>
          </cell>
          <cell r="D611" t="str">
            <v/>
          </cell>
          <cell r="E611">
            <v>19558.5</v>
          </cell>
          <cell r="F611">
            <v>0.12920000000000001</v>
          </cell>
          <cell r="G611">
            <v>0</v>
          </cell>
          <cell r="H611">
            <v>2526.9581999999996</v>
          </cell>
          <cell r="I611">
            <v>11.445150112279457</v>
          </cell>
        </row>
        <row r="612">
          <cell r="A612" t="str">
            <v>01</v>
          </cell>
          <cell r="B612" t="str">
            <v>TONIC</v>
          </cell>
          <cell r="C612" t="str">
            <v>KIESELGHUR</v>
          </cell>
          <cell r="D612" t="str">
            <v/>
          </cell>
          <cell r="E612">
            <v>883.2</v>
          </cell>
          <cell r="F612">
            <v>0.03</v>
          </cell>
          <cell r="G612">
            <v>0</v>
          </cell>
          <cell r="H612">
            <v>26.495999999999995</v>
          </cell>
          <cell r="I612">
            <v>0.1200062182963519</v>
          </cell>
        </row>
        <row r="613">
          <cell r="A613" t="str">
            <v>01</v>
          </cell>
          <cell r="B613" t="str">
            <v>TONIC</v>
          </cell>
          <cell r="C613" t="str">
            <v>LU</v>
          </cell>
          <cell r="D613" t="str">
            <v/>
          </cell>
          <cell r="E613">
            <v>1252.327512650173</v>
          </cell>
          <cell r="F613">
            <v>1.9199452391448067E-2</v>
          </cell>
          <cell r="G613">
            <v>0</v>
          </cell>
          <cell r="H613">
            <v>120.09160270897956</v>
          </cell>
          <cell r="I613">
            <v>0.54392131228308316</v>
          </cell>
        </row>
        <row r="614">
          <cell r="A614" t="str">
            <v>01</v>
          </cell>
          <cell r="B614" t="str">
            <v>TONIC</v>
          </cell>
          <cell r="C614" t="str">
            <v>PLAQUES</v>
          </cell>
          <cell r="D614" t="str">
            <v/>
          </cell>
          <cell r="E614">
            <v>14000</v>
          </cell>
          <cell r="F614">
            <v>2.0421659273090025E-3</v>
          </cell>
          <cell r="G614">
            <v>0</v>
          </cell>
          <cell r="H614">
            <v>28.029728414045131</v>
          </cell>
          <cell r="I614">
            <v>0.12695281200344799</v>
          </cell>
        </row>
        <row r="615">
          <cell r="A615" t="str">
            <v>01</v>
          </cell>
          <cell r="B615" t="str">
            <v>TONIC</v>
          </cell>
          <cell r="C615" t="str">
            <v>SUCRE</v>
          </cell>
          <cell r="D615" t="str">
            <v/>
          </cell>
          <cell r="E615">
            <v>580</v>
          </cell>
          <cell r="F615">
            <v>8.42</v>
          </cell>
          <cell r="G615">
            <v>0.01</v>
          </cell>
          <cell r="H615">
            <v>4932.4359999999979</v>
          </cell>
          <cell r="I615">
            <v>22.340088743538072</v>
          </cell>
        </row>
        <row r="616">
          <cell r="A616" t="str">
            <v>01</v>
          </cell>
          <cell r="B616" t="str">
            <v>WBLACK</v>
          </cell>
          <cell r="C616" t="str">
            <v>AUTREMC</v>
          </cell>
          <cell r="D616" t="str">
            <v/>
          </cell>
          <cell r="E616">
            <v>2252.5543691149755</v>
          </cell>
          <cell r="F616">
            <v>0.14808918510732574</v>
          </cell>
          <cell r="G616">
            <v>0</v>
          </cell>
          <cell r="H616">
            <v>323.55205858863746</v>
          </cell>
          <cell r="I616">
            <v>1.0677217933425036</v>
          </cell>
        </row>
        <row r="617">
          <cell r="A617" t="str">
            <v>01</v>
          </cell>
          <cell r="B617" t="str">
            <v>WBLACK</v>
          </cell>
          <cell r="C617" t="str">
            <v>AUTREMP</v>
          </cell>
          <cell r="D617" t="str">
            <v/>
          </cell>
          <cell r="E617">
            <v>1104.8474893826972</v>
          </cell>
          <cell r="F617">
            <v>9.4044600000000003</v>
          </cell>
          <cell r="G617">
            <v>0</v>
          </cell>
          <cell r="H617">
            <v>10390.49402</v>
          </cell>
          <cell r="I617">
            <v>34.288630265999998</v>
          </cell>
        </row>
        <row r="618">
          <cell r="A618" t="str">
            <v>01</v>
          </cell>
          <cell r="B618" t="str">
            <v>WBLACK</v>
          </cell>
          <cell r="C618" t="str">
            <v>CAPSULE</v>
          </cell>
          <cell r="D618" t="str">
            <v/>
          </cell>
          <cell r="E618">
            <v>6.11</v>
          </cell>
          <cell r="F618">
            <v>1</v>
          </cell>
          <cell r="G618">
            <v>0.02</v>
          </cell>
          <cell r="H618">
            <v>1851.5151515151517</v>
          </cell>
          <cell r="I618">
            <v>6.11</v>
          </cell>
        </row>
        <row r="619">
          <cell r="A619" t="str">
            <v>01</v>
          </cell>
          <cell r="B619" t="str">
            <v>WBLACK</v>
          </cell>
          <cell r="C619" t="str">
            <v>CARBURANT</v>
          </cell>
          <cell r="D619" t="str">
            <v/>
          </cell>
          <cell r="E619">
            <v>337.43078666328859</v>
          </cell>
          <cell r="F619">
            <v>3.6182848468968065</v>
          </cell>
          <cell r="G619">
            <v>0</v>
          </cell>
          <cell r="H619">
            <v>1220.9207022602461</v>
          </cell>
          <cell r="I619">
            <v>4.029038317458812</v>
          </cell>
        </row>
        <row r="620">
          <cell r="A620" t="str">
            <v>01</v>
          </cell>
          <cell r="B620" t="str">
            <v>WBLACK</v>
          </cell>
          <cell r="C620" t="str">
            <v>COLLERETTEPM</v>
          </cell>
          <cell r="D620" t="str">
            <v/>
          </cell>
          <cell r="E620">
            <v>2.2000000000000002</v>
          </cell>
          <cell r="F620">
            <v>1</v>
          </cell>
          <cell r="G620">
            <v>0.02</v>
          </cell>
          <cell r="H620">
            <v>666.66666666666674</v>
          </cell>
          <cell r="I620">
            <v>2.2000000000000002</v>
          </cell>
        </row>
        <row r="621">
          <cell r="A621" t="str">
            <v>01</v>
          </cell>
          <cell r="B621" t="str">
            <v>WBLACK</v>
          </cell>
          <cell r="C621" t="str">
            <v>COLLES</v>
          </cell>
          <cell r="D621" t="str">
            <v/>
          </cell>
          <cell r="E621">
            <v>2445</v>
          </cell>
          <cell r="F621">
            <v>5.0000000000000001E-4</v>
          </cell>
          <cell r="G621">
            <v>0.02</v>
          </cell>
          <cell r="H621">
            <v>370.45454545454544</v>
          </cell>
          <cell r="I621">
            <v>1.2224999999999999</v>
          </cell>
        </row>
        <row r="622">
          <cell r="A622" t="str">
            <v>01</v>
          </cell>
          <cell r="B622" t="str">
            <v>WBLACK</v>
          </cell>
          <cell r="C622" t="str">
            <v>DETERSIF</v>
          </cell>
          <cell r="D622" t="str">
            <v/>
          </cell>
          <cell r="E622">
            <v>750.75</v>
          </cell>
          <cell r="F622">
            <v>0.5</v>
          </cell>
          <cell r="G622">
            <v>0</v>
          </cell>
          <cell r="H622">
            <v>375.375</v>
          </cell>
          <cell r="I622">
            <v>1.2387375</v>
          </cell>
        </row>
        <row r="623">
          <cell r="A623" t="str">
            <v>01</v>
          </cell>
          <cell r="B623" t="str">
            <v>WBLACK</v>
          </cell>
          <cell r="C623" t="str">
            <v>ETIQUETTEPM</v>
          </cell>
          <cell r="D623" t="str">
            <v/>
          </cell>
          <cell r="E623">
            <v>2.73</v>
          </cell>
          <cell r="F623">
            <v>1</v>
          </cell>
          <cell r="G623">
            <v>0.02</v>
          </cell>
          <cell r="H623">
            <v>827.27272727272725</v>
          </cell>
          <cell r="I623">
            <v>2.73</v>
          </cell>
        </row>
        <row r="624">
          <cell r="A624" t="str">
            <v>01</v>
          </cell>
          <cell r="B624" t="str">
            <v>WBLACK</v>
          </cell>
          <cell r="C624" t="str">
            <v>EXTRAIT</v>
          </cell>
          <cell r="D624" t="str">
            <v/>
          </cell>
          <cell r="E624">
            <v>27421.052291105119</v>
          </cell>
          <cell r="F624">
            <v>0.51939999999999997</v>
          </cell>
          <cell r="G624">
            <v>0</v>
          </cell>
          <cell r="H624">
            <v>14242.494559999997</v>
          </cell>
          <cell r="I624">
            <v>47.000232047999994</v>
          </cell>
        </row>
        <row r="625">
          <cell r="A625" t="str">
            <v>01</v>
          </cell>
          <cell r="B625" t="str">
            <v>WBLACK</v>
          </cell>
          <cell r="C625" t="str">
            <v>KIESELGHUR</v>
          </cell>
          <cell r="D625" t="str">
            <v/>
          </cell>
          <cell r="E625">
            <v>883.2</v>
          </cell>
          <cell r="F625">
            <v>0.03</v>
          </cell>
          <cell r="G625">
            <v>0</v>
          </cell>
          <cell r="H625">
            <v>26.495999999999999</v>
          </cell>
          <cell r="I625">
            <v>8.7436799999999995E-2</v>
          </cell>
        </row>
        <row r="626">
          <cell r="A626" t="str">
            <v>01</v>
          </cell>
          <cell r="B626" t="str">
            <v>WBLACK</v>
          </cell>
          <cell r="C626" t="str">
            <v>LU</v>
          </cell>
          <cell r="D626" t="str">
            <v/>
          </cell>
          <cell r="E626">
            <v>1252.327512650173</v>
          </cell>
          <cell r="F626">
            <v>1.9199452391448067E-2</v>
          </cell>
          <cell r="G626">
            <v>0</v>
          </cell>
          <cell r="H626">
            <v>156.03124488187001</v>
          </cell>
          <cell r="I626">
            <v>0.51490310811017093</v>
          </cell>
        </row>
        <row r="627">
          <cell r="A627" t="str">
            <v>01</v>
          </cell>
          <cell r="B627" t="str">
            <v>WBLACK</v>
          </cell>
          <cell r="C627" t="str">
            <v>PLAQUES</v>
          </cell>
          <cell r="D627" t="str">
            <v/>
          </cell>
          <cell r="E627">
            <v>14000</v>
          </cell>
          <cell r="F627">
            <v>2.0421659273090025E-3</v>
          </cell>
          <cell r="G627">
            <v>0</v>
          </cell>
          <cell r="H627">
            <v>27.490695175313498</v>
          </cell>
          <cell r="I627">
            <v>9.0719294078534532E-2</v>
          </cell>
        </row>
        <row r="628">
          <cell r="A628" t="str">
            <v>01</v>
          </cell>
          <cell r="B628" t="str">
            <v>WBLACK</v>
          </cell>
          <cell r="C628" t="str">
            <v>SUCRE</v>
          </cell>
          <cell r="D628" t="str">
            <v/>
          </cell>
          <cell r="E628">
            <v>580</v>
          </cell>
          <cell r="F628">
            <v>8.4</v>
          </cell>
          <cell r="G628">
            <v>0.01</v>
          </cell>
          <cell r="H628">
            <v>4920.72</v>
          </cell>
          <cell r="I628">
            <v>16.238375999999999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 refreshError="1"/>
      <sheetData sheetId="1" refreshError="1"/>
      <sheetData sheetId="2">
        <row r="3">
          <cell r="A3">
            <v>101000</v>
          </cell>
          <cell r="B3" t="str">
            <v>CAPITAL SOCIAL</v>
          </cell>
          <cell r="C3">
            <v>0</v>
          </cell>
          <cell r="D3" t="str">
            <v>U01</v>
          </cell>
          <cell r="E3" t="str">
            <v>Capital social</v>
          </cell>
        </row>
        <row r="4">
          <cell r="A4">
            <v>105100</v>
          </cell>
          <cell r="B4" t="str">
            <v>PRIME D'EMISSION</v>
          </cell>
          <cell r="C4">
            <v>0</v>
          </cell>
          <cell r="D4" t="str">
            <v>U031</v>
          </cell>
          <cell r="E4" t="str">
            <v>Prime d'émission</v>
          </cell>
        </row>
        <row r="5">
          <cell r="A5">
            <v>105300</v>
          </cell>
          <cell r="B5" t="str">
            <v>PRIMES DE FUSION</v>
          </cell>
          <cell r="C5">
            <v>0</v>
          </cell>
          <cell r="D5" t="str">
            <v>U032</v>
          </cell>
          <cell r="E5" t="str">
            <v>Prime de fusion</v>
          </cell>
        </row>
        <row r="6">
          <cell r="A6">
            <v>106100</v>
          </cell>
          <cell r="B6" t="str">
            <v>ECART REEVALUATION LEGALE S/BIENS AMORTS</v>
          </cell>
          <cell r="D6" t="str">
            <v>U033</v>
          </cell>
          <cell r="E6" t="str">
            <v>Provisions spéciales réévaluation</v>
          </cell>
        </row>
        <row r="7">
          <cell r="A7">
            <v>106105</v>
          </cell>
          <cell r="B7" t="str">
            <v>ECART REEVALUAT LEGAL S/BIENS NON AMORTS</v>
          </cell>
          <cell r="D7" t="str">
            <v>U033</v>
          </cell>
          <cell r="E7" t="str">
            <v>Provisions spéciales réévaluation</v>
          </cell>
        </row>
        <row r="8">
          <cell r="A8">
            <v>111000</v>
          </cell>
          <cell r="B8" t="str">
            <v>RESERVE LEGALE</v>
          </cell>
          <cell r="C8">
            <v>0</v>
          </cell>
          <cell r="D8" t="str">
            <v>U02</v>
          </cell>
          <cell r="E8" t="str">
            <v>Réserve légale</v>
          </cell>
        </row>
        <row r="9">
          <cell r="A9">
            <v>118850</v>
          </cell>
          <cell r="B9" t="str">
            <v>RESERVE GENERALE</v>
          </cell>
          <cell r="C9">
            <v>0</v>
          </cell>
          <cell r="D9" t="str">
            <v>U02</v>
          </cell>
          <cell r="E9" t="str">
            <v>Réserve légale</v>
          </cell>
        </row>
        <row r="10">
          <cell r="A10">
            <v>121000</v>
          </cell>
          <cell r="B10" t="str">
            <v>REPORT A NOUVEAU CREDITEUR</v>
          </cell>
          <cell r="C10">
            <v>0</v>
          </cell>
          <cell r="D10" t="str">
            <v>U04</v>
          </cell>
          <cell r="E10" t="str">
            <v>Report à nouveau</v>
          </cell>
        </row>
        <row r="11">
          <cell r="A11">
            <v>129000</v>
          </cell>
          <cell r="B11" t="str">
            <v>REPORT A NOUVEAU DEBITEUR</v>
          </cell>
          <cell r="C11">
            <v>0</v>
          </cell>
          <cell r="D11" t="str">
            <v>U04</v>
          </cell>
          <cell r="E11" t="str">
            <v>Report à nouveau</v>
          </cell>
        </row>
        <row r="12">
          <cell r="A12">
            <v>130150</v>
          </cell>
          <cell r="B12" t="str">
            <v>RESULT.EN INST.AFFE.BENEFICE N-1</v>
          </cell>
          <cell r="C12">
            <v>0</v>
          </cell>
          <cell r="D12" t="str">
            <v>U035</v>
          </cell>
          <cell r="E12" t="str">
            <v>Transfert résultats</v>
          </cell>
        </row>
        <row r="13">
          <cell r="A13">
            <v>130850</v>
          </cell>
          <cell r="B13" t="str">
            <v>GLOBAL CPTES 19 TRANSF SIEGE</v>
          </cell>
          <cell r="C13">
            <v>0</v>
          </cell>
          <cell r="D13" t="str">
            <v>U035</v>
          </cell>
          <cell r="E13" t="str">
            <v>Transfert résultats</v>
          </cell>
        </row>
        <row r="14">
          <cell r="A14">
            <v>130870</v>
          </cell>
          <cell r="B14" t="str">
            <v>TRANSFERT CPTE RESULTAT N-1</v>
          </cell>
          <cell r="C14">
            <v>0</v>
          </cell>
          <cell r="D14" t="str">
            <v>U035</v>
          </cell>
          <cell r="E14" t="str">
            <v>Transfert résultats</v>
          </cell>
        </row>
        <row r="15">
          <cell r="A15">
            <v>130871</v>
          </cell>
          <cell r="B15" t="str">
            <v>TRANSFERT CPTE RESULTAT N-1 (2003)</v>
          </cell>
          <cell r="C15">
            <v>0</v>
          </cell>
          <cell r="D15" t="str">
            <v>U035</v>
          </cell>
          <cell r="E15" t="str">
            <v>Transfert résultats</v>
          </cell>
        </row>
        <row r="16">
          <cell r="A16">
            <v>130872</v>
          </cell>
          <cell r="B16" t="str">
            <v>TRANSFERT CPTE RESULTAT N-1 (2004)</v>
          </cell>
          <cell r="C16">
            <v>0</v>
          </cell>
          <cell r="D16" t="str">
            <v>U035</v>
          </cell>
          <cell r="E16" t="str">
            <v>Transfert résultats</v>
          </cell>
        </row>
        <row r="17">
          <cell r="A17">
            <v>130874</v>
          </cell>
          <cell r="B17" t="str">
            <v>TRANSFERT CPTE RESULTAT N-1 (2005) BIS</v>
          </cell>
          <cell r="C17">
            <v>0</v>
          </cell>
          <cell r="D17" t="str">
            <v>U035</v>
          </cell>
          <cell r="E17" t="str">
            <v>Transfert résultats</v>
          </cell>
        </row>
        <row r="18">
          <cell r="A18">
            <v>130875</v>
          </cell>
          <cell r="B18" t="str">
            <v>TRANSFERT CPTE RESULTAT N-1 (2006)</v>
          </cell>
          <cell r="C18">
            <v>0</v>
          </cell>
          <cell r="D18" t="str">
            <v>U035</v>
          </cell>
          <cell r="E18" t="str">
            <v>Transfert résultats</v>
          </cell>
        </row>
        <row r="19">
          <cell r="A19">
            <v>130876</v>
          </cell>
          <cell r="B19" t="str">
            <v>TRANSFERT CPTE RESULTAT N-1 (2007)</v>
          </cell>
          <cell r="C19">
            <v>0</v>
          </cell>
          <cell r="D19" t="str">
            <v>U035</v>
          </cell>
          <cell r="E19" t="str">
            <v>Transfert résultats</v>
          </cell>
        </row>
        <row r="20">
          <cell r="A20">
            <v>130877</v>
          </cell>
          <cell r="B20" t="str">
            <v>TRANSFERT CPTE RESULTAT N-1 (2008)</v>
          </cell>
          <cell r="C20">
            <v>0</v>
          </cell>
          <cell r="D20" t="str">
            <v>U035</v>
          </cell>
          <cell r="E20" t="str">
            <v>Transfert résultats</v>
          </cell>
        </row>
        <row r="21">
          <cell r="A21">
            <v>130900</v>
          </cell>
          <cell r="B21" t="str">
            <v>RESULTAT EN INSTANCE D'AFFE. PERTE</v>
          </cell>
          <cell r="C21">
            <v>0</v>
          </cell>
          <cell r="D21" t="str">
            <v>U035</v>
          </cell>
          <cell r="E21" t="str">
            <v>Transfert résultats</v>
          </cell>
        </row>
        <row r="22">
          <cell r="A22">
            <v>131000</v>
          </cell>
          <cell r="B22" t="str">
            <v>RESULTAT NET .BENEFICE</v>
          </cell>
          <cell r="C22">
            <v>0</v>
          </cell>
          <cell r="D22" t="str">
            <v>U035</v>
          </cell>
          <cell r="E22" t="str">
            <v>Transfert résultats</v>
          </cell>
        </row>
        <row r="23">
          <cell r="A23">
            <v>132100</v>
          </cell>
          <cell r="B23" t="str">
            <v>MARGE BRUTE SUR MARCHANDISES</v>
          </cell>
          <cell r="C23">
            <v>0</v>
          </cell>
          <cell r="D23" t="str">
            <v>U035</v>
          </cell>
          <cell r="E23" t="str">
            <v>Transfert résultats</v>
          </cell>
        </row>
        <row r="24">
          <cell r="A24">
            <v>132200</v>
          </cell>
          <cell r="B24" t="str">
            <v>MARGE BRUTE SUR MATIERES</v>
          </cell>
          <cell r="C24">
            <v>0</v>
          </cell>
          <cell r="D24" t="str">
            <v>U035</v>
          </cell>
          <cell r="E24" t="str">
            <v>Transfert résultats</v>
          </cell>
        </row>
        <row r="25">
          <cell r="A25">
            <v>133000</v>
          </cell>
          <cell r="B25" t="str">
            <v>VALEUR AJOUTEE (V.A)</v>
          </cell>
          <cell r="C25">
            <v>0</v>
          </cell>
          <cell r="D25" t="str">
            <v>U035</v>
          </cell>
          <cell r="E25" t="str">
            <v>Transfert résultats</v>
          </cell>
        </row>
        <row r="26">
          <cell r="A26">
            <v>134000</v>
          </cell>
          <cell r="B26" t="str">
            <v>EXCEDENT BRUT D'EXPLOITATION (E.B.E)</v>
          </cell>
          <cell r="C26">
            <v>0</v>
          </cell>
          <cell r="D26" t="str">
            <v>U035</v>
          </cell>
          <cell r="E26" t="str">
            <v>Transfert résultats</v>
          </cell>
        </row>
        <row r="27">
          <cell r="A27">
            <v>135000</v>
          </cell>
          <cell r="B27" t="str">
            <v>RESULTAT D'EXPLOITATION (R.E)</v>
          </cell>
          <cell r="C27">
            <v>0</v>
          </cell>
          <cell r="D27" t="str">
            <v>U035</v>
          </cell>
          <cell r="E27" t="str">
            <v>Transfert résultats</v>
          </cell>
        </row>
        <row r="28">
          <cell r="A28">
            <v>136000</v>
          </cell>
          <cell r="B28" t="str">
            <v>RESULTAT FINANCIERE (R.F)</v>
          </cell>
          <cell r="C28">
            <v>0</v>
          </cell>
          <cell r="D28" t="str">
            <v>U035</v>
          </cell>
          <cell r="E28" t="str">
            <v>Transfert résultats</v>
          </cell>
        </row>
        <row r="29">
          <cell r="A29">
            <v>137000</v>
          </cell>
          <cell r="B29" t="str">
            <v>RESULTAT DES ACTIVITES ORDINAIRES (R.A.O</v>
          </cell>
          <cell r="C29">
            <v>0</v>
          </cell>
          <cell r="D29" t="str">
            <v>U035</v>
          </cell>
          <cell r="E29" t="str">
            <v>Transfert résultats</v>
          </cell>
        </row>
        <row r="30">
          <cell r="A30">
            <v>138000</v>
          </cell>
          <cell r="B30" t="str">
            <v>RESULTAT HORS ACTIVITES ORDINAIRES (R.H.</v>
          </cell>
          <cell r="C30">
            <v>0</v>
          </cell>
          <cell r="D30" t="str">
            <v>U035</v>
          </cell>
          <cell r="E30" t="str">
            <v>Transfert résultats</v>
          </cell>
        </row>
        <row r="31">
          <cell r="A31">
            <v>139000</v>
          </cell>
          <cell r="B31" t="str">
            <v>RESULTAT NET . PERTE</v>
          </cell>
          <cell r="C31">
            <v>0</v>
          </cell>
          <cell r="D31" t="str">
            <v>U035</v>
          </cell>
          <cell r="E31" t="str">
            <v>Transfert résultats</v>
          </cell>
        </row>
        <row r="32">
          <cell r="A32">
            <v>152000</v>
          </cell>
          <cell r="B32" t="str">
            <v>PLUS-VALUES DE CESSION A REINVESTIR</v>
          </cell>
          <cell r="C32">
            <v>0</v>
          </cell>
          <cell r="D32" t="str">
            <v>U035</v>
          </cell>
          <cell r="E32" t="str">
            <v>Transfert résultats</v>
          </cell>
        </row>
        <row r="33">
          <cell r="A33">
            <v>157100</v>
          </cell>
          <cell r="B33" t="str">
            <v>PROV.REEMPL.NON RAPP.AU BEN.FISC</v>
          </cell>
          <cell r="C33">
            <v>0</v>
          </cell>
          <cell r="D33" t="str">
            <v>U034</v>
          </cell>
          <cell r="E33" t="str">
            <v>Provisions pour réemploi</v>
          </cell>
        </row>
        <row r="34">
          <cell r="A34">
            <v>157200</v>
          </cell>
          <cell r="B34" t="str">
            <v>PROV.REEMPL.RAPP.AU BENEF.FISCAL</v>
          </cell>
          <cell r="C34">
            <v>0</v>
          </cell>
          <cell r="D34" t="str">
            <v>U034</v>
          </cell>
          <cell r="E34" t="str">
            <v>Provisions pour réemploi</v>
          </cell>
        </row>
        <row r="35">
          <cell r="A35">
            <v>161100</v>
          </cell>
          <cell r="B35" t="str">
            <v>EMPRUNTS OBLIGATAIRES ORDINAIRES</v>
          </cell>
          <cell r="C35">
            <v>0</v>
          </cell>
          <cell r="D35" t="str">
            <v>W02</v>
          </cell>
          <cell r="E35" t="str">
            <v>Emprunts obligataires</v>
          </cell>
        </row>
        <row r="36">
          <cell r="A36">
            <v>162330</v>
          </cell>
          <cell r="B36" t="str">
            <v>EMPRUNTS MOYEN TERME +1AN</v>
          </cell>
          <cell r="C36">
            <v>0</v>
          </cell>
          <cell r="D36" t="str">
            <v>W02</v>
          </cell>
          <cell r="E36" t="str">
            <v>Emprunts obligataires</v>
          </cell>
        </row>
        <row r="37">
          <cell r="A37">
            <v>166200</v>
          </cell>
          <cell r="B37" t="str">
            <v>INTERETS COURUS S/EMPRUNTS ET DETTES</v>
          </cell>
          <cell r="C37">
            <v>0</v>
          </cell>
          <cell r="D37" t="str">
            <v>W02</v>
          </cell>
          <cell r="E37" t="str">
            <v>Emprunts obligataires</v>
          </cell>
        </row>
        <row r="38">
          <cell r="A38">
            <v>185000</v>
          </cell>
          <cell r="B38" t="str">
            <v>REPRISE COMPTES BILAN 0</v>
          </cell>
          <cell r="C38">
            <v>0</v>
          </cell>
          <cell r="D38" t="str">
            <v>U04</v>
          </cell>
          <cell r="E38" t="str">
            <v>Report à nouveau</v>
          </cell>
        </row>
        <row r="39">
          <cell r="A39">
            <v>185090</v>
          </cell>
          <cell r="B39" t="str">
            <v>REPR.AUXIL.PERSONNEL CADRES "I"</v>
          </cell>
          <cell r="C39" t="str">
            <v>S078</v>
          </cell>
          <cell r="D39">
            <v>0</v>
          </cell>
          <cell r="E39" t="str">
            <v>Comptes de liaison et reprises diverses</v>
          </cell>
        </row>
        <row r="40">
          <cell r="A40">
            <v>185110</v>
          </cell>
          <cell r="B40" t="str">
            <v>REPRISE CLIENTS AUXILIAIRE Z</v>
          </cell>
          <cell r="C40" t="str">
            <v>S078</v>
          </cell>
          <cell r="D40">
            <v>0</v>
          </cell>
          <cell r="E40" t="str">
            <v>Comptes de liaison et reprises diverses</v>
          </cell>
        </row>
        <row r="41">
          <cell r="A41">
            <v>185120</v>
          </cell>
          <cell r="B41" t="str">
            <v>REPRISE CLIENTS AUXILIAIRE Y</v>
          </cell>
          <cell r="C41" t="str">
            <v>S078</v>
          </cell>
          <cell r="D41">
            <v>0</v>
          </cell>
          <cell r="E41" t="str">
            <v>Comptes de liaison et reprises diverses</v>
          </cell>
        </row>
        <row r="42">
          <cell r="A42">
            <v>185130</v>
          </cell>
          <cell r="B42" t="str">
            <v>REPRISE CLIENTS AUXILIAIRE R</v>
          </cell>
          <cell r="C42" t="str">
            <v>S078</v>
          </cell>
          <cell r="D42">
            <v>0</v>
          </cell>
          <cell r="E42" t="str">
            <v>Comptes de liaison et reprises diverses</v>
          </cell>
        </row>
        <row r="43">
          <cell r="A43">
            <v>185140</v>
          </cell>
          <cell r="B43" t="str">
            <v>AUTRES AUXILIAIRES CLIENTS(C)</v>
          </cell>
          <cell r="C43" t="str">
            <v>S078</v>
          </cell>
          <cell r="D43">
            <v>0</v>
          </cell>
          <cell r="E43" t="str">
            <v>Comptes de liaison et reprises diverses</v>
          </cell>
        </row>
        <row r="44">
          <cell r="A44">
            <v>185300</v>
          </cell>
          <cell r="B44" t="str">
            <v>REPRISE COMPTES BILAN CDC</v>
          </cell>
          <cell r="C44" t="str">
            <v>S078</v>
          </cell>
          <cell r="D44">
            <v>0</v>
          </cell>
          <cell r="E44" t="str">
            <v>Comptes de liaison et reprises diverses</v>
          </cell>
        </row>
        <row r="45">
          <cell r="A45">
            <v>185310</v>
          </cell>
          <cell r="B45" t="str">
            <v>REPRISE CLIENTS CDC</v>
          </cell>
          <cell r="C45" t="str">
            <v>S078</v>
          </cell>
          <cell r="D45">
            <v>0</v>
          </cell>
          <cell r="E45" t="str">
            <v>Comptes de liaison et reprises diverses</v>
          </cell>
        </row>
        <row r="46">
          <cell r="A46">
            <v>185320</v>
          </cell>
          <cell r="B46" t="str">
            <v>REPRISE FOURNISSEUR CDC</v>
          </cell>
          <cell r="C46" t="str">
            <v>S078</v>
          </cell>
          <cell r="D46">
            <v>0</v>
          </cell>
          <cell r="E46" t="str">
            <v>Comptes de liaison et reprises diverses</v>
          </cell>
        </row>
        <row r="47">
          <cell r="A47">
            <v>185500</v>
          </cell>
          <cell r="B47" t="str">
            <v>REPRISE BANQUE RECETTE A</v>
          </cell>
          <cell r="C47" t="str">
            <v>S078</v>
          </cell>
          <cell r="D47">
            <v>0</v>
          </cell>
          <cell r="E47" t="str">
            <v>Comptes de liaison et reprises diverses</v>
          </cell>
        </row>
        <row r="48">
          <cell r="A48">
            <v>185510</v>
          </cell>
          <cell r="B48" t="str">
            <v>REPRISE CAISSE RECETTE T</v>
          </cell>
          <cell r="C48" t="str">
            <v>S078</v>
          </cell>
          <cell r="D48">
            <v>0</v>
          </cell>
          <cell r="E48" t="str">
            <v>Comptes de liaison et reprises diverses</v>
          </cell>
        </row>
        <row r="49">
          <cell r="A49">
            <v>185600</v>
          </cell>
          <cell r="B49" t="str">
            <v>REPRISE BANQUE DEPENSE B</v>
          </cell>
          <cell r="C49" t="str">
            <v>S078</v>
          </cell>
          <cell r="D49">
            <v>0</v>
          </cell>
          <cell r="E49" t="str">
            <v>Comptes de liaison et reprises diverses</v>
          </cell>
        </row>
        <row r="50">
          <cell r="A50">
            <v>185610</v>
          </cell>
          <cell r="B50" t="str">
            <v>REPRISE CAISSE DEPENSE K</v>
          </cell>
          <cell r="C50" t="str">
            <v>S078</v>
          </cell>
          <cell r="D50">
            <v>0</v>
          </cell>
          <cell r="E50" t="str">
            <v>Comptes de liaison et reprises diverses</v>
          </cell>
        </row>
        <row r="51">
          <cell r="A51">
            <v>185700</v>
          </cell>
          <cell r="B51" t="str">
            <v>REPRISE FOURNISSEUR ETRANGER E</v>
          </cell>
          <cell r="C51" t="str">
            <v>S078</v>
          </cell>
          <cell r="D51">
            <v>0</v>
          </cell>
          <cell r="E51" t="str">
            <v>Comptes de liaison et reprises diverses</v>
          </cell>
        </row>
        <row r="52">
          <cell r="A52">
            <v>185710</v>
          </cell>
          <cell r="B52" t="str">
            <v>REPRISE FOURNISSEUR LOCAUX F</v>
          </cell>
          <cell r="C52" t="str">
            <v>S078</v>
          </cell>
          <cell r="D52">
            <v>0</v>
          </cell>
          <cell r="E52" t="str">
            <v>Comptes de liaison et reprises diverses</v>
          </cell>
        </row>
        <row r="53">
          <cell r="A53">
            <v>185720</v>
          </cell>
          <cell r="B53" t="str">
            <v>REPRISE FOURNISSEUR METROPOLE M</v>
          </cell>
          <cell r="C53" t="str">
            <v>S078</v>
          </cell>
          <cell r="D53">
            <v>0</v>
          </cell>
          <cell r="E53" t="str">
            <v>Comptes de liaison et reprises diverses</v>
          </cell>
        </row>
        <row r="54">
          <cell r="A54">
            <v>185730</v>
          </cell>
          <cell r="B54" t="str">
            <v>REPRISE FOURNISSEUR SIGMA-CAMEROUN P</v>
          </cell>
          <cell r="C54" t="str">
            <v>S078</v>
          </cell>
          <cell r="D54">
            <v>0</v>
          </cell>
          <cell r="E54" t="str">
            <v>Comptes de liaison et reprises diverses</v>
          </cell>
        </row>
        <row r="55">
          <cell r="A55">
            <v>185740</v>
          </cell>
          <cell r="B55" t="str">
            <v>REPRISE FOURNISSEUR SIGMA ETRANGER Q</v>
          </cell>
          <cell r="C55" t="str">
            <v>S078</v>
          </cell>
          <cell r="D55">
            <v>0</v>
          </cell>
          <cell r="E55" t="str">
            <v>Comptes de liaison et reprises diverses</v>
          </cell>
        </row>
        <row r="56">
          <cell r="A56">
            <v>185750</v>
          </cell>
          <cell r="B56" t="str">
            <v>REPRISE FOURNISSEUR TRANSPORTEURS S</v>
          </cell>
          <cell r="C56" t="str">
            <v>S078</v>
          </cell>
          <cell r="D56">
            <v>0</v>
          </cell>
          <cell r="E56" t="str">
            <v>Comptes de liaison et reprises diverses</v>
          </cell>
        </row>
        <row r="57">
          <cell r="A57">
            <v>185760</v>
          </cell>
          <cell r="B57" t="str">
            <v>REPRISE FOURNISSEUR CEMAC U</v>
          </cell>
          <cell r="C57" t="str">
            <v>S078</v>
          </cell>
          <cell r="D57">
            <v>0</v>
          </cell>
          <cell r="E57" t="str">
            <v>Comptes de liaison et reprises diverses</v>
          </cell>
        </row>
        <row r="58">
          <cell r="A58">
            <v>185800</v>
          </cell>
          <cell r="B58" t="str">
            <v>REPRISE AUXILIAIRE D</v>
          </cell>
          <cell r="C58" t="str">
            <v>S078</v>
          </cell>
          <cell r="D58">
            <v>0</v>
          </cell>
          <cell r="E58" t="str">
            <v>Comptes de liaison et reprises diverses</v>
          </cell>
        </row>
        <row r="59">
          <cell r="A59">
            <v>185810</v>
          </cell>
          <cell r="B59" t="str">
            <v>REPRISE AUXILIAIRE G</v>
          </cell>
          <cell r="C59" t="str">
            <v>S078</v>
          </cell>
          <cell r="D59">
            <v>0</v>
          </cell>
          <cell r="E59" t="str">
            <v>Comptes de liaison et reprises diverses</v>
          </cell>
        </row>
        <row r="60">
          <cell r="A60">
            <v>185820</v>
          </cell>
          <cell r="B60" t="str">
            <v>REPRISE AUXILIAIRE H</v>
          </cell>
          <cell r="C60" t="str">
            <v>S078</v>
          </cell>
          <cell r="D60">
            <v>0</v>
          </cell>
          <cell r="E60" t="str">
            <v>Comptes de liaison et reprises diverses</v>
          </cell>
        </row>
        <row r="61">
          <cell r="A61">
            <v>185830</v>
          </cell>
          <cell r="B61" t="str">
            <v>REPRISE AUXILIAIRE I</v>
          </cell>
          <cell r="C61" t="str">
            <v>S078</v>
          </cell>
          <cell r="D61">
            <v>0</v>
          </cell>
          <cell r="E61" t="str">
            <v>Comptes de liaison et reprises diverses</v>
          </cell>
        </row>
        <row r="62">
          <cell r="A62">
            <v>185832</v>
          </cell>
          <cell r="B62" t="str">
            <v>REPRISE AUXILIAIRE AVANCE EOM</v>
          </cell>
          <cell r="C62" t="str">
            <v>S078</v>
          </cell>
          <cell r="D62">
            <v>0</v>
          </cell>
          <cell r="E62" t="str">
            <v>Comptes de liaison et reprises diverses</v>
          </cell>
        </row>
        <row r="63">
          <cell r="A63">
            <v>185834</v>
          </cell>
          <cell r="B63" t="str">
            <v>REPRISE AUXILIAIRE ACOMPTE EOM</v>
          </cell>
          <cell r="C63" t="str">
            <v>S078</v>
          </cell>
          <cell r="D63">
            <v>0</v>
          </cell>
          <cell r="E63" t="str">
            <v>Comptes de liaison et reprises diverses</v>
          </cell>
        </row>
        <row r="64">
          <cell r="A64">
            <v>185840</v>
          </cell>
          <cell r="B64" t="str">
            <v>REPRISE AUXILIAIRE J</v>
          </cell>
          <cell r="C64" t="str">
            <v>S078</v>
          </cell>
          <cell r="D64">
            <v>0</v>
          </cell>
          <cell r="E64" t="str">
            <v>Comptes de liaison et reprises diverses</v>
          </cell>
        </row>
        <row r="65">
          <cell r="A65">
            <v>185850</v>
          </cell>
          <cell r="B65" t="str">
            <v>REPRISE AUXILIAIRE L</v>
          </cell>
          <cell r="C65" t="str">
            <v>S078</v>
          </cell>
          <cell r="D65">
            <v>0</v>
          </cell>
          <cell r="E65" t="str">
            <v>Comptes de liaison et reprises diverses</v>
          </cell>
        </row>
        <row r="66">
          <cell r="A66">
            <v>185860</v>
          </cell>
          <cell r="B66" t="str">
            <v>REPRISE AUXILIAIRE N</v>
          </cell>
          <cell r="C66" t="str">
            <v>S078</v>
          </cell>
          <cell r="D66">
            <v>0</v>
          </cell>
          <cell r="E66" t="str">
            <v>Comptes de liaison et reprises diverses</v>
          </cell>
        </row>
        <row r="67">
          <cell r="A67">
            <v>185870</v>
          </cell>
          <cell r="B67" t="str">
            <v>REPRISE AUXILIAIRE O</v>
          </cell>
          <cell r="C67" t="str">
            <v>S078</v>
          </cell>
          <cell r="D67">
            <v>0</v>
          </cell>
          <cell r="E67" t="str">
            <v>Comptes de liaison et reprises diverses</v>
          </cell>
        </row>
        <row r="68">
          <cell r="A68">
            <v>185880</v>
          </cell>
          <cell r="B68" t="str">
            <v>REPRISE AUXILIAIRE V</v>
          </cell>
          <cell r="C68" t="str">
            <v>S078</v>
          </cell>
          <cell r="D68">
            <v>0</v>
          </cell>
          <cell r="E68" t="str">
            <v>Comptes de liaison et reprises diverses</v>
          </cell>
        </row>
        <row r="69">
          <cell r="A69">
            <v>185890</v>
          </cell>
          <cell r="B69" t="str">
            <v>REPRISE AUXILIAIRE W</v>
          </cell>
          <cell r="C69" t="str">
            <v>S078</v>
          </cell>
          <cell r="D69">
            <v>0</v>
          </cell>
          <cell r="E69" t="str">
            <v>Comptes de liaison et reprises diverses</v>
          </cell>
        </row>
        <row r="70">
          <cell r="A70">
            <v>185891</v>
          </cell>
          <cell r="B70" t="str">
            <v>REPRISE AUXILIAIRE X</v>
          </cell>
          <cell r="C70" t="str">
            <v>S078</v>
          </cell>
          <cell r="D70">
            <v>0</v>
          </cell>
          <cell r="E70" t="str">
            <v>Comptes de liaison et reprises diverses</v>
          </cell>
        </row>
        <row r="71">
          <cell r="A71">
            <v>186601</v>
          </cell>
          <cell r="B71" t="str">
            <v>BIENS &amp; SCE SIEGE IMPUT.LITTORAL</v>
          </cell>
          <cell r="C71" t="str">
            <v>S078</v>
          </cell>
          <cell r="D71">
            <v>0</v>
          </cell>
          <cell r="E71" t="str">
            <v>Comptes de liaison et reprises diverses</v>
          </cell>
        </row>
        <row r="72">
          <cell r="A72">
            <v>186602</v>
          </cell>
          <cell r="B72" t="str">
            <v>BIENS &amp; SCE SIEGE IMPUT.CENTRE</v>
          </cell>
          <cell r="C72" t="str">
            <v>S078</v>
          </cell>
          <cell r="D72">
            <v>0</v>
          </cell>
          <cell r="E72" t="str">
            <v>Comptes de liaison et reprises diverses</v>
          </cell>
        </row>
        <row r="73">
          <cell r="A73">
            <v>186603</v>
          </cell>
          <cell r="B73" t="str">
            <v>BIENS &amp; SCE SIEGE IMPUT.OUEST</v>
          </cell>
          <cell r="C73" t="str">
            <v>S078</v>
          </cell>
          <cell r="D73">
            <v>0</v>
          </cell>
          <cell r="E73" t="str">
            <v>Comptes de liaison et reprises diverses</v>
          </cell>
        </row>
        <row r="74">
          <cell r="A74">
            <v>186604</v>
          </cell>
          <cell r="B74" t="str">
            <v>BIENS &amp; SCE SIEGE IMPUT.NORD</v>
          </cell>
          <cell r="C74" t="str">
            <v>S078</v>
          </cell>
          <cell r="D74">
            <v>0</v>
          </cell>
          <cell r="E74" t="str">
            <v>Comptes de liaison et reprises diverses</v>
          </cell>
        </row>
        <row r="75">
          <cell r="A75">
            <v>186607</v>
          </cell>
          <cell r="B75" t="str">
            <v>BIENS &amp; SCE SIEGE IMPUT.S WEST</v>
          </cell>
          <cell r="C75" t="str">
            <v>S078</v>
          </cell>
          <cell r="D75">
            <v>0</v>
          </cell>
          <cell r="E75" t="str">
            <v>Comptes de liaison et reprises diverses</v>
          </cell>
        </row>
        <row r="76">
          <cell r="A76">
            <v>186610</v>
          </cell>
          <cell r="B76" t="str">
            <v>BIENS &amp; SCE COMPTA P/SIEGE</v>
          </cell>
          <cell r="C76" t="str">
            <v>S078</v>
          </cell>
          <cell r="D76">
            <v>0</v>
          </cell>
          <cell r="E76" t="str">
            <v>Comptes de liaison et reprises diverses</v>
          </cell>
        </row>
        <row r="77">
          <cell r="A77">
            <v>186612</v>
          </cell>
          <cell r="B77" t="str">
            <v>BIENS &amp; SCE LITTORAL P/CENTRE</v>
          </cell>
          <cell r="C77" t="str">
            <v>S078</v>
          </cell>
          <cell r="D77">
            <v>0</v>
          </cell>
          <cell r="E77" t="str">
            <v>Comptes de liaison et reprises diverses</v>
          </cell>
        </row>
        <row r="78">
          <cell r="A78">
            <v>186613</v>
          </cell>
          <cell r="B78" t="str">
            <v>BIENS &amp; SCE LITTORAL P/OUEST</v>
          </cell>
          <cell r="C78" t="str">
            <v>S078</v>
          </cell>
          <cell r="D78">
            <v>0</v>
          </cell>
          <cell r="E78" t="str">
            <v>Comptes de liaison et reprises diverses</v>
          </cell>
        </row>
        <row r="79">
          <cell r="A79">
            <v>186614</v>
          </cell>
          <cell r="B79" t="str">
            <v>BIENS &amp; SCE LITTORAL P/NORD</v>
          </cell>
          <cell r="C79" t="str">
            <v>S078</v>
          </cell>
          <cell r="D79">
            <v>0</v>
          </cell>
          <cell r="E79" t="str">
            <v>Comptes de liaison et reprises diverses</v>
          </cell>
        </row>
        <row r="80">
          <cell r="A80">
            <v>186617</v>
          </cell>
          <cell r="B80" t="str">
            <v>BIENS &amp; SCE LITTORAL P/S WEST</v>
          </cell>
          <cell r="C80" t="str">
            <v>S078</v>
          </cell>
          <cell r="D80">
            <v>0</v>
          </cell>
          <cell r="E80" t="str">
            <v>Comptes de liaison et reprises diverses</v>
          </cell>
        </row>
        <row r="81">
          <cell r="A81">
            <v>186620</v>
          </cell>
          <cell r="B81" t="str">
            <v>BIENS &amp; SCE CENTRE P/SIEGE</v>
          </cell>
          <cell r="C81" t="str">
            <v>S078</v>
          </cell>
          <cell r="D81">
            <v>0</v>
          </cell>
          <cell r="E81" t="str">
            <v>Comptes de liaison et reprises diverses</v>
          </cell>
        </row>
        <row r="82">
          <cell r="A82">
            <v>186621</v>
          </cell>
          <cell r="B82" t="str">
            <v>BIENS &amp; SCE CENTRE P/LITTORAL</v>
          </cell>
          <cell r="C82" t="str">
            <v>S078</v>
          </cell>
          <cell r="D82">
            <v>0</v>
          </cell>
          <cell r="E82" t="str">
            <v>Comptes de liaison et reprises diverses</v>
          </cell>
        </row>
        <row r="83">
          <cell r="A83">
            <v>186623</v>
          </cell>
          <cell r="B83" t="str">
            <v>BIENS &amp; SCE CENTRE P/OUEST</v>
          </cell>
          <cell r="C83" t="str">
            <v>S078</v>
          </cell>
          <cell r="D83">
            <v>0</v>
          </cell>
          <cell r="E83" t="str">
            <v>Comptes de liaison et reprises diverses</v>
          </cell>
        </row>
        <row r="84">
          <cell r="A84">
            <v>186624</v>
          </cell>
          <cell r="B84" t="str">
            <v>BIENS &amp; SCE CENTRE P/NORD</v>
          </cell>
          <cell r="C84" t="str">
            <v>S078</v>
          </cell>
          <cell r="D84">
            <v>0</v>
          </cell>
          <cell r="E84" t="str">
            <v>Comptes de liaison et reprises diverses</v>
          </cell>
        </row>
        <row r="85">
          <cell r="A85">
            <v>186627</v>
          </cell>
          <cell r="B85" t="str">
            <v>BIENS &amp; SCE CENTRE P/S WEST</v>
          </cell>
          <cell r="C85" t="str">
            <v>S078</v>
          </cell>
          <cell r="D85">
            <v>0</v>
          </cell>
          <cell r="E85" t="str">
            <v>Comptes de liaison et reprises diverses</v>
          </cell>
        </row>
        <row r="86">
          <cell r="A86">
            <v>186630</v>
          </cell>
          <cell r="B86" t="str">
            <v>BIENS &amp; SCE OUEST P/SIEGE</v>
          </cell>
          <cell r="C86" t="str">
            <v>S078</v>
          </cell>
          <cell r="D86">
            <v>0</v>
          </cell>
          <cell r="E86" t="str">
            <v>Comptes de liaison et reprises diverses</v>
          </cell>
        </row>
        <row r="87">
          <cell r="A87">
            <v>186631</v>
          </cell>
          <cell r="B87" t="str">
            <v>BIENS &amp; SCE OUEST P/LITTORAL</v>
          </cell>
          <cell r="C87" t="str">
            <v>S078</v>
          </cell>
          <cell r="D87">
            <v>0</v>
          </cell>
          <cell r="E87" t="str">
            <v>Comptes de liaison et reprises diverses</v>
          </cell>
        </row>
        <row r="88">
          <cell r="A88">
            <v>186632</v>
          </cell>
          <cell r="B88" t="str">
            <v>BIENS &amp; SCE OUEST P/CENTRE</v>
          </cell>
          <cell r="C88" t="str">
            <v>S078</v>
          </cell>
          <cell r="D88">
            <v>0</v>
          </cell>
          <cell r="E88" t="str">
            <v>Comptes de liaison et reprises diverses</v>
          </cell>
        </row>
        <row r="89">
          <cell r="A89">
            <v>186634</v>
          </cell>
          <cell r="B89" t="str">
            <v>BIENS &amp; SCE OUEST P/NORD</v>
          </cell>
          <cell r="C89" t="str">
            <v>S078</v>
          </cell>
          <cell r="D89">
            <v>0</v>
          </cell>
          <cell r="E89" t="str">
            <v>Comptes de liaison et reprises diverses</v>
          </cell>
        </row>
        <row r="90">
          <cell r="A90">
            <v>186637</v>
          </cell>
          <cell r="B90" t="str">
            <v>BIENS &amp; SCE OUEST P/S WEST</v>
          </cell>
          <cell r="C90" t="str">
            <v>S078</v>
          </cell>
          <cell r="D90">
            <v>0</v>
          </cell>
          <cell r="E90" t="str">
            <v>Comptes de liaison et reprises diverses</v>
          </cell>
        </row>
        <row r="91">
          <cell r="A91">
            <v>186640</v>
          </cell>
          <cell r="B91" t="str">
            <v>BIENS &amp; SCE NORD P/SIEGE</v>
          </cell>
          <cell r="C91" t="str">
            <v>S078</v>
          </cell>
          <cell r="D91">
            <v>0</v>
          </cell>
          <cell r="E91" t="str">
            <v>Comptes de liaison et reprises diverses</v>
          </cell>
        </row>
        <row r="92">
          <cell r="A92">
            <v>186641</v>
          </cell>
          <cell r="B92" t="str">
            <v>BIENS &amp; SCE NORD P/LITTORAL</v>
          </cell>
          <cell r="C92" t="str">
            <v>S078</v>
          </cell>
          <cell r="D92">
            <v>0</v>
          </cell>
          <cell r="E92" t="str">
            <v>Comptes de liaison et reprises diverses</v>
          </cell>
        </row>
        <row r="93">
          <cell r="A93">
            <v>186642</v>
          </cell>
          <cell r="B93" t="str">
            <v>BIENS &amp; SCE NORD P/CENTRE</v>
          </cell>
          <cell r="C93" t="str">
            <v>S078</v>
          </cell>
          <cell r="D93">
            <v>0</v>
          </cell>
          <cell r="E93" t="str">
            <v>Comptes de liaison et reprises diverses</v>
          </cell>
        </row>
        <row r="94">
          <cell r="A94">
            <v>186643</v>
          </cell>
          <cell r="B94" t="str">
            <v>BIENS &amp; SCE NORD P/OUEST</v>
          </cell>
          <cell r="C94" t="str">
            <v>S078</v>
          </cell>
          <cell r="D94">
            <v>0</v>
          </cell>
          <cell r="E94" t="str">
            <v>Comptes de liaison et reprises diverses</v>
          </cell>
        </row>
        <row r="95">
          <cell r="A95">
            <v>186647</v>
          </cell>
          <cell r="B95" t="str">
            <v>BIENS &amp; SCE NORD P/S WEST</v>
          </cell>
          <cell r="C95" t="str">
            <v>S078</v>
          </cell>
          <cell r="D95">
            <v>0</v>
          </cell>
          <cell r="E95" t="str">
            <v>Comptes de liaison et reprises diverses</v>
          </cell>
        </row>
        <row r="96">
          <cell r="A96">
            <v>186670</v>
          </cell>
          <cell r="B96" t="str">
            <v>BIENS &amp; SCE SUD OUEST P/SIEGE</v>
          </cell>
          <cell r="C96" t="str">
            <v>S078</v>
          </cell>
          <cell r="D96">
            <v>0</v>
          </cell>
          <cell r="E96" t="str">
            <v>Comptes de liaison et reprises diverses</v>
          </cell>
        </row>
        <row r="97">
          <cell r="A97">
            <v>186671</v>
          </cell>
          <cell r="B97" t="str">
            <v>BIENS &amp; SCE SUD OUEST P/LITTORAL</v>
          </cell>
          <cell r="C97" t="str">
            <v>S078</v>
          </cell>
          <cell r="D97">
            <v>0</v>
          </cell>
          <cell r="E97" t="str">
            <v>Comptes de liaison et reprises diverses</v>
          </cell>
        </row>
        <row r="98">
          <cell r="A98">
            <v>186690</v>
          </cell>
          <cell r="B98" t="str">
            <v>BIENS &amp; SCE CTA P/SIEGE</v>
          </cell>
          <cell r="C98" t="str">
            <v>S078</v>
          </cell>
          <cell r="D98">
            <v>0</v>
          </cell>
          <cell r="E98" t="str">
            <v>Comptes de liaison et reprises diverses</v>
          </cell>
        </row>
        <row r="99">
          <cell r="A99">
            <v>186691</v>
          </cell>
          <cell r="B99" t="str">
            <v>BIENS &amp; SCE CTA P/LITTORAL</v>
          </cell>
          <cell r="C99" t="str">
            <v>S078</v>
          </cell>
          <cell r="D99">
            <v>0</v>
          </cell>
          <cell r="E99" t="str">
            <v>Comptes de liaison et reprises diverses</v>
          </cell>
        </row>
        <row r="100">
          <cell r="A100">
            <v>186692</v>
          </cell>
          <cell r="B100" t="str">
            <v>BIENS &amp; SCE CTA P/CENTRE</v>
          </cell>
          <cell r="C100" t="str">
            <v>S078</v>
          </cell>
          <cell r="D100">
            <v>0</v>
          </cell>
          <cell r="E100" t="str">
            <v>Comptes de liaison et reprises diverses</v>
          </cell>
        </row>
        <row r="101">
          <cell r="A101">
            <v>186693</v>
          </cell>
          <cell r="B101" t="str">
            <v>BIENS &amp; SCE CTA P/OUEST</v>
          </cell>
          <cell r="C101" t="str">
            <v>S078</v>
          </cell>
          <cell r="D101">
            <v>0</v>
          </cell>
          <cell r="E101" t="str">
            <v>Comptes de liaison et reprises diverses</v>
          </cell>
        </row>
        <row r="102">
          <cell r="A102">
            <v>186694</v>
          </cell>
          <cell r="B102" t="str">
            <v>BIENS &amp; SCE CTA P/NORD</v>
          </cell>
          <cell r="C102" t="str">
            <v>S078</v>
          </cell>
          <cell r="D102">
            <v>0</v>
          </cell>
          <cell r="E102" t="str">
            <v>Comptes de liaison et reprises diverses</v>
          </cell>
        </row>
        <row r="103">
          <cell r="A103">
            <v>186697</v>
          </cell>
          <cell r="B103" t="str">
            <v>BIENS &amp; SCE CTA P/S WEST</v>
          </cell>
          <cell r="C103" t="str">
            <v>S078</v>
          </cell>
          <cell r="D103">
            <v>0</v>
          </cell>
          <cell r="E103" t="str">
            <v>Comptes de liaison et reprises diverses</v>
          </cell>
        </row>
        <row r="104">
          <cell r="A104">
            <v>186701</v>
          </cell>
          <cell r="B104" t="str">
            <v>BIENS &amp; SCE SIEGE P/LITTORAL</v>
          </cell>
          <cell r="C104" t="str">
            <v>S078</v>
          </cell>
          <cell r="D104">
            <v>0</v>
          </cell>
          <cell r="E104" t="str">
            <v>Comptes de liaison et reprises diverses</v>
          </cell>
        </row>
        <row r="105">
          <cell r="A105">
            <v>186702</v>
          </cell>
          <cell r="B105" t="str">
            <v>BIENS &amp; SCE SIEGE P/CENTRE</v>
          </cell>
          <cell r="C105" t="str">
            <v>S078</v>
          </cell>
          <cell r="D105">
            <v>0</v>
          </cell>
          <cell r="E105" t="str">
            <v>Comptes de liaison et reprises diverses</v>
          </cell>
        </row>
        <row r="106">
          <cell r="A106">
            <v>186703</v>
          </cell>
          <cell r="B106" t="str">
            <v>BIENS &amp; SCE SIEGE P/OUEST</v>
          </cell>
          <cell r="C106" t="str">
            <v>S078</v>
          </cell>
          <cell r="D106">
            <v>0</v>
          </cell>
          <cell r="E106" t="str">
            <v>Comptes de liaison et reprises diverses</v>
          </cell>
        </row>
        <row r="107">
          <cell r="A107">
            <v>186704</v>
          </cell>
          <cell r="B107" t="str">
            <v>BIENS &amp; SCE SIEGE P/NORD</v>
          </cell>
          <cell r="C107" t="str">
            <v>S078</v>
          </cell>
          <cell r="D107">
            <v>0</v>
          </cell>
          <cell r="E107" t="str">
            <v>Comptes de liaison et reprises diverses</v>
          </cell>
        </row>
        <row r="108">
          <cell r="A108">
            <v>186707</v>
          </cell>
          <cell r="B108" t="str">
            <v>BIENS &amp; SCE SIEGE P/S WEST</v>
          </cell>
          <cell r="C108" t="str">
            <v>S078</v>
          </cell>
          <cell r="D108">
            <v>0</v>
          </cell>
          <cell r="E108" t="str">
            <v>Comptes de liaison et reprises diverses</v>
          </cell>
        </row>
        <row r="109">
          <cell r="A109">
            <v>186714</v>
          </cell>
          <cell r="B109" t="str">
            <v>BIENS &amp; SCE SIEGE P/NORD</v>
          </cell>
          <cell r="C109" t="str">
            <v>S078</v>
          </cell>
          <cell r="D109">
            <v>0</v>
          </cell>
          <cell r="E109" t="str">
            <v>Comptes de liaison et reprises diverses</v>
          </cell>
        </row>
        <row r="110">
          <cell r="A110">
            <v>186717</v>
          </cell>
          <cell r="B110" t="str">
            <v>BIENS &amp; SCE SIEGE P/S WEST</v>
          </cell>
          <cell r="C110" t="str">
            <v>S078</v>
          </cell>
          <cell r="D110">
            <v>0</v>
          </cell>
          <cell r="E110" t="str">
            <v>Comptes de liaison et reprises diverses</v>
          </cell>
        </row>
        <row r="111">
          <cell r="A111">
            <v>186724</v>
          </cell>
          <cell r="B111" t="str">
            <v>BIENS &amp; SCE CENTRE P/S NORD</v>
          </cell>
          <cell r="C111" t="str">
            <v>S078</v>
          </cell>
          <cell r="D111">
            <v>0</v>
          </cell>
          <cell r="E111" t="str">
            <v>Comptes de liaison et reprises diverses</v>
          </cell>
        </row>
        <row r="112">
          <cell r="A112">
            <v>186731</v>
          </cell>
          <cell r="B112" t="str">
            <v>BIENS &amp; SCE OUEST P/LITTORAL</v>
          </cell>
          <cell r="C112" t="str">
            <v>S078</v>
          </cell>
          <cell r="D112">
            <v>0</v>
          </cell>
          <cell r="E112" t="str">
            <v>Comptes de liaison et reprises diverses</v>
          </cell>
        </row>
        <row r="113">
          <cell r="A113">
            <v>186732</v>
          </cell>
          <cell r="B113" t="str">
            <v>BIENS &amp; SCE OUEST P/CENTRE</v>
          </cell>
          <cell r="C113" t="str">
            <v>S078</v>
          </cell>
          <cell r="D113">
            <v>0</v>
          </cell>
          <cell r="E113" t="str">
            <v>Comptes de liaison et reprises diverses</v>
          </cell>
        </row>
        <row r="114">
          <cell r="A114">
            <v>186734</v>
          </cell>
          <cell r="B114" t="str">
            <v>BIENS &amp; SCE OUEST P/NORD</v>
          </cell>
          <cell r="C114" t="str">
            <v>S078</v>
          </cell>
          <cell r="D114">
            <v>0</v>
          </cell>
          <cell r="E114" t="str">
            <v>Comptes de liaison et reprises diverses</v>
          </cell>
        </row>
        <row r="115">
          <cell r="A115">
            <v>186737</v>
          </cell>
          <cell r="B115" t="str">
            <v>BIENS &amp; SCE OUEST P/S WEST</v>
          </cell>
          <cell r="C115" t="str">
            <v>S078</v>
          </cell>
          <cell r="D115">
            <v>0</v>
          </cell>
          <cell r="E115" t="str">
            <v>Comptes de liaison et reprises diverses</v>
          </cell>
        </row>
        <row r="116">
          <cell r="A116">
            <v>186771</v>
          </cell>
          <cell r="B116" t="str">
            <v>BIENS &amp; SCE SUD OUEST P/LITTORAL</v>
          </cell>
          <cell r="C116" t="str">
            <v>S078</v>
          </cell>
          <cell r="D116">
            <v>0</v>
          </cell>
          <cell r="E116" t="str">
            <v>Comptes de liaison et reprises diverses</v>
          </cell>
        </row>
        <row r="117">
          <cell r="A117">
            <v>186772</v>
          </cell>
          <cell r="B117" t="str">
            <v>BIENS &amp; SCE SUD OUEST P/CENTRE</v>
          </cell>
          <cell r="C117" t="str">
            <v>S078</v>
          </cell>
          <cell r="D117">
            <v>0</v>
          </cell>
          <cell r="E117" t="str">
            <v>Comptes de liaison et reprises diverses</v>
          </cell>
        </row>
        <row r="118">
          <cell r="A118">
            <v>186774</v>
          </cell>
          <cell r="B118" t="str">
            <v>BIENS &amp; SCE SUD OUEST P/NORD</v>
          </cell>
          <cell r="C118" t="str">
            <v>S078</v>
          </cell>
          <cell r="D118">
            <v>0</v>
          </cell>
          <cell r="E118" t="str">
            <v>Comptes de liaison et reprises diverses</v>
          </cell>
        </row>
        <row r="119">
          <cell r="A119">
            <v>187955</v>
          </cell>
          <cell r="B119" t="str">
            <v>GLOBAL CPTES GESTION (18) TRANSF</v>
          </cell>
          <cell r="C119" t="str">
            <v>S078</v>
          </cell>
          <cell r="D119">
            <v>0</v>
          </cell>
          <cell r="E119" t="str">
            <v>Comptes de liaison et reprises diverses</v>
          </cell>
        </row>
        <row r="120">
          <cell r="A120">
            <v>187996</v>
          </cell>
          <cell r="B120" t="str">
            <v>GLOBAL CPTES BILAN TRANSF SIEGE</v>
          </cell>
          <cell r="C120" t="str">
            <v>S078</v>
          </cell>
          <cell r="D120">
            <v>0</v>
          </cell>
          <cell r="E120" t="str">
            <v>Comptes de liaison et reprises diverses</v>
          </cell>
        </row>
        <row r="121">
          <cell r="A121">
            <v>188002</v>
          </cell>
          <cell r="B121" t="str">
            <v>CMPTE DE LIAISON TRANSPORTEURS TIERS</v>
          </cell>
          <cell r="C121" t="str">
            <v>S078</v>
          </cell>
          <cell r="E121" t="str">
            <v>Comptes de liaison et reprises diverses</v>
          </cell>
        </row>
        <row r="122">
          <cell r="A122">
            <v>188004</v>
          </cell>
          <cell r="B122" t="str">
            <v>CMPTE DE LIAISON FOURN ORD LOCAUX</v>
          </cell>
          <cell r="C122" t="str">
            <v>S078</v>
          </cell>
          <cell r="E122" t="str">
            <v>Comptes de liaison et reprises diverses</v>
          </cell>
        </row>
        <row r="123">
          <cell r="A123">
            <v>188007</v>
          </cell>
          <cell r="B123" t="str">
            <v>CMPTE DE LIAISON TRANSPORTEURS LIVREURS</v>
          </cell>
          <cell r="C123" t="str">
            <v>S078</v>
          </cell>
          <cell r="E123" t="str">
            <v>Comptes de liaison et reprises diverses</v>
          </cell>
        </row>
        <row r="124">
          <cell r="A124">
            <v>188012</v>
          </cell>
          <cell r="B124" t="str">
            <v>CMPTE DE LIAISON PERS EOM</v>
          </cell>
          <cell r="C124" t="str">
            <v>S078</v>
          </cell>
          <cell r="E124" t="str">
            <v>Comptes de liaison et reprises diverses</v>
          </cell>
        </row>
        <row r="125">
          <cell r="A125">
            <v>188013</v>
          </cell>
          <cell r="B125" t="str">
            <v>CMPTE DE LIAISON PERS CADRES</v>
          </cell>
          <cell r="C125" t="str">
            <v>S078</v>
          </cell>
          <cell r="E125" t="str">
            <v>Comptes de liaison et reprises diverses</v>
          </cell>
        </row>
        <row r="126">
          <cell r="A126">
            <v>191100</v>
          </cell>
          <cell r="B126" t="str">
            <v>PROV.P/LITIGES NON DEDUCTIBLES</v>
          </cell>
          <cell r="C126">
            <v>0</v>
          </cell>
          <cell r="D126" t="str">
            <v>V012</v>
          </cell>
          <cell r="E126" t="str">
            <v>Provisions long terme - litiges</v>
          </cell>
        </row>
        <row r="127">
          <cell r="A127">
            <v>191115</v>
          </cell>
          <cell r="B127" t="str">
            <v>PROVISIONS P/LITIGES DEDUCTIBLES</v>
          </cell>
          <cell r="C127">
            <v>0</v>
          </cell>
          <cell r="D127" t="str">
            <v>V012</v>
          </cell>
          <cell r="E127" t="str">
            <v>Provisions long terme - litiges</v>
          </cell>
        </row>
        <row r="128">
          <cell r="A128">
            <v>195000</v>
          </cell>
          <cell r="B128" t="str">
            <v>PROVISIONS POUR IMPOTS</v>
          </cell>
          <cell r="C128">
            <v>0</v>
          </cell>
          <cell r="D128" t="str">
            <v>V012</v>
          </cell>
          <cell r="E128" t="str">
            <v>Provisions long terme - litiges</v>
          </cell>
        </row>
        <row r="129">
          <cell r="A129">
            <v>196500</v>
          </cell>
          <cell r="B129" t="str">
            <v>PROV.P/INDEMNITE DEPART RETRAITE</v>
          </cell>
          <cell r="C129">
            <v>0</v>
          </cell>
          <cell r="D129" t="str">
            <v>V013</v>
          </cell>
          <cell r="E129" t="str">
            <v>Provisions long terme - Personnel</v>
          </cell>
        </row>
        <row r="130">
          <cell r="A130">
            <v>196501</v>
          </cell>
          <cell r="B130" t="str">
            <v>PROVISION 50% IRPP/RETRAITE</v>
          </cell>
          <cell r="D130" t="str">
            <v>V013</v>
          </cell>
          <cell r="E130" t="str">
            <v>Provisions long terme - Personnel</v>
          </cell>
        </row>
        <row r="131">
          <cell r="A131">
            <v>196505</v>
          </cell>
          <cell r="B131" t="str">
            <v>PROV.PRIME MEDAILLE TRAVAIL N/D.</v>
          </cell>
          <cell r="C131">
            <v>0</v>
          </cell>
          <cell r="D131" t="str">
            <v>V013</v>
          </cell>
          <cell r="E131" t="str">
            <v>Provisions long terme - Personnel</v>
          </cell>
        </row>
        <row r="132">
          <cell r="A132">
            <v>196506</v>
          </cell>
          <cell r="B132" t="str">
            <v>PROV.PRIME ANCIENNETE N/DEC.</v>
          </cell>
          <cell r="C132">
            <v>0</v>
          </cell>
          <cell r="D132" t="str">
            <v>V013</v>
          </cell>
          <cell r="E132" t="str">
            <v>Provisions long terme - Personnel</v>
          </cell>
        </row>
        <row r="133">
          <cell r="A133">
            <v>196507</v>
          </cell>
          <cell r="B133" t="str">
            <v>PROV PRIME ANCIEN 33 ANS NON DEDUCTIBLE</v>
          </cell>
          <cell r="D133" t="str">
            <v>V013</v>
          </cell>
          <cell r="E133" t="str">
            <v>Provisions long terme - Personnel</v>
          </cell>
        </row>
        <row r="134">
          <cell r="A134">
            <v>196510</v>
          </cell>
          <cell r="B134" t="str">
            <v>PROVISIONS COMPLEMENT DECES</v>
          </cell>
          <cell r="C134">
            <v>0</v>
          </cell>
          <cell r="D134" t="str">
            <v>V013</v>
          </cell>
          <cell r="E134" t="str">
            <v>Provisions long terme - Personnel</v>
          </cell>
        </row>
        <row r="135">
          <cell r="A135">
            <v>196515</v>
          </cell>
          <cell r="B135" t="str">
            <v>PROVISIONS FRAIS OBSEQUES</v>
          </cell>
          <cell r="C135">
            <v>0</v>
          </cell>
          <cell r="D135" t="str">
            <v>V013</v>
          </cell>
          <cell r="E135" t="str">
            <v>Provisions long terme - Personnel</v>
          </cell>
        </row>
        <row r="136">
          <cell r="A136">
            <v>198247</v>
          </cell>
          <cell r="B136" t="str">
            <v>PROV.P/RENOUVEL.DU MATERIELS</v>
          </cell>
          <cell r="C136">
            <v>0</v>
          </cell>
          <cell r="D136" t="str">
            <v>V014</v>
          </cell>
          <cell r="E136" t="str">
            <v>Provisions long terme - Matériel</v>
          </cell>
        </row>
        <row r="137">
          <cell r="A137">
            <v>198820</v>
          </cell>
          <cell r="B137" t="str">
            <v>PROV.P/RISQUES INDUSTRIELS</v>
          </cell>
          <cell r="C137">
            <v>0</v>
          </cell>
          <cell r="D137" t="str">
            <v>V014</v>
          </cell>
          <cell r="E137" t="str">
            <v>Provisions long terme - Matériel</v>
          </cell>
        </row>
        <row r="138">
          <cell r="A138">
            <v>198821</v>
          </cell>
          <cell r="B138" t="str">
            <v>PROV.P/RISQUES PERTES PRODUCTION</v>
          </cell>
          <cell r="C138">
            <v>0</v>
          </cell>
          <cell r="D138" t="str">
            <v>V014</v>
          </cell>
          <cell r="E138" t="str">
            <v>Provisions long terme - Matériel</v>
          </cell>
        </row>
        <row r="139">
          <cell r="A139">
            <v>198822</v>
          </cell>
          <cell r="B139" t="str">
            <v>PROV.P/EVENTUALITES DIVERSES</v>
          </cell>
          <cell r="C139">
            <v>0</v>
          </cell>
          <cell r="D139" t="str">
            <v>V011</v>
          </cell>
          <cell r="E139" t="str">
            <v>Provisions long terme - Risques douaniers</v>
          </cell>
        </row>
        <row r="140">
          <cell r="A140">
            <v>198830</v>
          </cell>
          <cell r="B140" t="str">
            <v>PROV.P/RISQUE FISCAL &amp; DOUANIER</v>
          </cell>
          <cell r="C140">
            <v>0</v>
          </cell>
          <cell r="D140" t="str">
            <v>V015</v>
          </cell>
          <cell r="E140" t="str">
            <v>Provisions long terme - Is différé</v>
          </cell>
        </row>
        <row r="141">
          <cell r="A141">
            <v>201000</v>
          </cell>
          <cell r="B141" t="str">
            <v>IMMO INCOR TAMPON</v>
          </cell>
          <cell r="C141" t="str">
            <v>Q011</v>
          </cell>
          <cell r="D141">
            <v>0</v>
          </cell>
          <cell r="E141" t="str">
            <v>Immobilisations incorporelles</v>
          </cell>
        </row>
        <row r="142">
          <cell r="A142">
            <v>201450</v>
          </cell>
          <cell r="B142" t="str">
            <v>FRAIS D'ETUDES PREALABLES AUX INVESTISSE</v>
          </cell>
          <cell r="C142" t="str">
            <v>Q011</v>
          </cell>
          <cell r="D142">
            <v>0</v>
          </cell>
          <cell r="E142" t="str">
            <v>Immobilisations incorporelles</v>
          </cell>
        </row>
        <row r="143">
          <cell r="A143">
            <v>201480</v>
          </cell>
          <cell r="B143" t="str">
            <v>FRAIS DE FONCTIONNEMENT ANT. AU DEMARRAG</v>
          </cell>
          <cell r="C143" t="str">
            <v>Q011</v>
          </cell>
          <cell r="D143">
            <v>0</v>
          </cell>
          <cell r="E143" t="str">
            <v>Immobilisations incorporelles</v>
          </cell>
        </row>
        <row r="144">
          <cell r="A144">
            <v>201481</v>
          </cell>
          <cell r="B144" t="str">
            <v>AMORTISSEMENT FRAIS ACQUISITION IMMEUBLE</v>
          </cell>
          <cell r="C144" t="str">
            <v>Q011</v>
          </cell>
          <cell r="D144">
            <v>0</v>
          </cell>
          <cell r="E144" t="str">
            <v>Immobilisations incorporelles</v>
          </cell>
        </row>
        <row r="145">
          <cell r="A145">
            <v>213000</v>
          </cell>
          <cell r="B145" t="str">
            <v>LOGICIELS INFORMATIQUES</v>
          </cell>
          <cell r="C145" t="str">
            <v>Q011</v>
          </cell>
          <cell r="D145">
            <v>0</v>
          </cell>
          <cell r="E145" t="str">
            <v>Immobilisations incorporelles</v>
          </cell>
        </row>
        <row r="146">
          <cell r="A146">
            <v>215000</v>
          </cell>
          <cell r="B146" t="str">
            <v>FONDS COMMERCIAL</v>
          </cell>
          <cell r="C146" t="str">
            <v>Q011</v>
          </cell>
          <cell r="D146">
            <v>0</v>
          </cell>
          <cell r="E146" t="str">
            <v>Immobilisations incorporelles</v>
          </cell>
        </row>
        <row r="147">
          <cell r="A147">
            <v>215600</v>
          </cell>
          <cell r="B147" t="str">
            <v>REEVALUATION FONDS COMMERCIAL</v>
          </cell>
          <cell r="C147" t="str">
            <v>Q011</v>
          </cell>
          <cell r="E147" t="str">
            <v>Immobilisations incorporelles</v>
          </cell>
        </row>
        <row r="148">
          <cell r="A148">
            <v>223100</v>
          </cell>
          <cell r="B148" t="str">
            <v>TERRAINS DE CONSTRUCTION</v>
          </cell>
          <cell r="C148" t="str">
            <v>Q02</v>
          </cell>
          <cell r="D148">
            <v>0</v>
          </cell>
          <cell r="E148" t="str">
            <v>Terrains</v>
          </cell>
        </row>
        <row r="149">
          <cell r="A149">
            <v>228500</v>
          </cell>
          <cell r="B149" t="str">
            <v>TERRAINS DES LOGEMENTS</v>
          </cell>
          <cell r="C149" t="str">
            <v>Q02</v>
          </cell>
          <cell r="D149">
            <v>0</v>
          </cell>
          <cell r="E149" t="str">
            <v>Terrains</v>
          </cell>
        </row>
        <row r="150">
          <cell r="A150">
            <v>228600</v>
          </cell>
          <cell r="B150" t="str">
            <v>REEVALUATION TERRAINS</v>
          </cell>
          <cell r="C150" t="str">
            <v>Q02</v>
          </cell>
          <cell r="D150">
            <v>0</v>
          </cell>
          <cell r="E150" t="str">
            <v>Terrains</v>
          </cell>
        </row>
        <row r="151">
          <cell r="A151">
            <v>229100</v>
          </cell>
          <cell r="B151" t="str">
            <v>TERRAIN EN COURS D'IMMOBILISATION</v>
          </cell>
          <cell r="C151" t="str">
            <v>Q02</v>
          </cell>
          <cell r="D151">
            <v>0</v>
          </cell>
          <cell r="E151" t="str">
            <v>Terrains</v>
          </cell>
        </row>
        <row r="152">
          <cell r="A152">
            <v>231100</v>
          </cell>
          <cell r="B152" t="str">
            <v>BATIMENTS INDUSTRIELS</v>
          </cell>
          <cell r="C152" t="str">
            <v>Q03</v>
          </cell>
          <cell r="D152">
            <v>0</v>
          </cell>
          <cell r="E152" t="str">
            <v>Bâtiments</v>
          </cell>
        </row>
        <row r="153">
          <cell r="A153">
            <v>231101</v>
          </cell>
          <cell r="B153" t="str">
            <v>BATIMENTS INDUST.COMPL.REEVALUES</v>
          </cell>
          <cell r="C153" t="str">
            <v>Q03</v>
          </cell>
          <cell r="D153">
            <v>0</v>
          </cell>
          <cell r="E153" t="str">
            <v>Bâtiments</v>
          </cell>
        </row>
        <row r="154">
          <cell r="A154">
            <v>231102</v>
          </cell>
          <cell r="B154" t="str">
            <v>BATIMENTS INDUST.REEMPL.REEVAL.</v>
          </cell>
          <cell r="C154" t="str">
            <v>Q03</v>
          </cell>
          <cell r="D154">
            <v>0</v>
          </cell>
          <cell r="E154" t="str">
            <v>Bâtiments</v>
          </cell>
        </row>
        <row r="155">
          <cell r="A155">
            <v>231300</v>
          </cell>
          <cell r="B155" t="str">
            <v>BATIMENTS ADMINIST.ET COMM.</v>
          </cell>
          <cell r="C155" t="str">
            <v>Q03</v>
          </cell>
          <cell r="D155">
            <v>0</v>
          </cell>
          <cell r="E155" t="str">
            <v>Bâtiments</v>
          </cell>
        </row>
        <row r="156">
          <cell r="A156">
            <v>231301</v>
          </cell>
          <cell r="B156" t="str">
            <v>BATIMENTS ADM.COM.COMPL.REEVAL.</v>
          </cell>
          <cell r="C156" t="str">
            <v>Q03</v>
          </cell>
          <cell r="D156">
            <v>0</v>
          </cell>
          <cell r="E156" t="str">
            <v>Bâtiments</v>
          </cell>
        </row>
        <row r="157">
          <cell r="A157">
            <v>231302</v>
          </cell>
          <cell r="B157" t="str">
            <v>BATIMENTS COMM.REEMPL/REEVAL.</v>
          </cell>
          <cell r="C157" t="str">
            <v>Q03</v>
          </cell>
          <cell r="D157">
            <v>0</v>
          </cell>
          <cell r="E157" t="str">
            <v>Bâtiments</v>
          </cell>
        </row>
        <row r="158">
          <cell r="A158">
            <v>231400</v>
          </cell>
          <cell r="B158" t="str">
            <v>BATIMENTS AFFECTES AU LOGEMENTS</v>
          </cell>
          <cell r="C158" t="str">
            <v>Q03</v>
          </cell>
          <cell r="D158">
            <v>0</v>
          </cell>
          <cell r="E158" t="str">
            <v>Bâtiments</v>
          </cell>
        </row>
        <row r="159">
          <cell r="A159">
            <v>231401</v>
          </cell>
          <cell r="B159" t="str">
            <v>BATIMENTS AFFECTES.LOGEM.COMPL.REEVAL.</v>
          </cell>
          <cell r="C159" t="str">
            <v>Q03</v>
          </cell>
          <cell r="D159">
            <v>0</v>
          </cell>
          <cell r="E159" t="str">
            <v>Bâtiments</v>
          </cell>
        </row>
        <row r="160">
          <cell r="A160">
            <v>233100</v>
          </cell>
          <cell r="B160" t="str">
            <v>VOIES DE TERRE</v>
          </cell>
          <cell r="C160" t="str">
            <v>Q03</v>
          </cell>
          <cell r="D160">
            <v>0</v>
          </cell>
          <cell r="E160" t="str">
            <v>Bâtiments</v>
          </cell>
        </row>
        <row r="161">
          <cell r="A161">
            <v>233101</v>
          </cell>
          <cell r="B161" t="str">
            <v>VOIES DE TERRE COMPL.REEVAL.</v>
          </cell>
          <cell r="C161" t="str">
            <v>Q03</v>
          </cell>
          <cell r="D161">
            <v>0</v>
          </cell>
          <cell r="E161" t="str">
            <v>Bâtiments</v>
          </cell>
        </row>
        <row r="162">
          <cell r="A162">
            <v>233250</v>
          </cell>
          <cell r="B162" t="str">
            <v>VOIES DE FER</v>
          </cell>
          <cell r="C162" t="str">
            <v>Q03</v>
          </cell>
          <cell r="D162">
            <v>0</v>
          </cell>
          <cell r="E162" t="str">
            <v>Bâtiments</v>
          </cell>
        </row>
        <row r="163">
          <cell r="A163">
            <v>233251</v>
          </cell>
          <cell r="B163" t="str">
            <v>VOIES DE FER COMPL.REEVAL.</v>
          </cell>
          <cell r="C163" t="str">
            <v>Q03</v>
          </cell>
          <cell r="D163">
            <v>0</v>
          </cell>
          <cell r="E163" t="str">
            <v>Bâtiments</v>
          </cell>
        </row>
        <row r="164">
          <cell r="A164">
            <v>238600</v>
          </cell>
          <cell r="B164" t="str">
            <v>REEVALUATION BATIMENTS/CONSTRUCTIONS</v>
          </cell>
          <cell r="C164" t="str">
            <v>Q03</v>
          </cell>
          <cell r="D164">
            <v>0</v>
          </cell>
          <cell r="E164" t="str">
            <v>Bâtiments</v>
          </cell>
        </row>
        <row r="165">
          <cell r="A165">
            <v>238700</v>
          </cell>
          <cell r="B165" t="str">
            <v>INSTALLATION ET AMENAG. VILLAS LOUEES</v>
          </cell>
          <cell r="C165" t="str">
            <v>Q03</v>
          </cell>
          <cell r="D165">
            <v>0</v>
          </cell>
          <cell r="E165" t="str">
            <v>Bâtiments</v>
          </cell>
        </row>
        <row r="166">
          <cell r="A166">
            <v>238800</v>
          </cell>
          <cell r="B166" t="str">
            <v>AUTRES INSTALL. ET AGENCEMENT</v>
          </cell>
          <cell r="C166" t="str">
            <v>Q03</v>
          </cell>
          <cell r="D166">
            <v>0</v>
          </cell>
          <cell r="E166" t="str">
            <v>Bâtiments</v>
          </cell>
        </row>
        <row r="167">
          <cell r="A167">
            <v>238801</v>
          </cell>
          <cell r="B167" t="str">
            <v>AUTRES INSTALL. ET AGENAG.COMPL.REEVAL.</v>
          </cell>
          <cell r="C167" t="str">
            <v>Q03</v>
          </cell>
          <cell r="D167">
            <v>0</v>
          </cell>
          <cell r="E167" t="str">
            <v>Bâtiments</v>
          </cell>
        </row>
        <row r="168">
          <cell r="A168">
            <v>239030</v>
          </cell>
          <cell r="B168" t="str">
            <v>BAT.ET INSTALL. EN COURS ACHAT LOCAL</v>
          </cell>
          <cell r="C168" t="str">
            <v>Q08</v>
          </cell>
          <cell r="D168">
            <v>0</v>
          </cell>
          <cell r="E168" t="str">
            <v>Immobilisations en cours</v>
          </cell>
        </row>
        <row r="169">
          <cell r="A169">
            <v>239210</v>
          </cell>
          <cell r="B169" t="str">
            <v>BATIMENTS INDUSTRIELS EN COURS</v>
          </cell>
          <cell r="C169" t="str">
            <v>Q08</v>
          </cell>
          <cell r="D169">
            <v>0</v>
          </cell>
          <cell r="E169" t="str">
            <v>Immobilisations en cours</v>
          </cell>
        </row>
        <row r="170">
          <cell r="A170">
            <v>239220</v>
          </cell>
          <cell r="B170" t="str">
            <v>BATIMENT ADMIN ET CCIAUX EN COURS</v>
          </cell>
          <cell r="C170" t="str">
            <v>Q08</v>
          </cell>
          <cell r="D170">
            <v>0</v>
          </cell>
          <cell r="E170" t="str">
            <v>Immobilisations en cours</v>
          </cell>
        </row>
        <row r="171">
          <cell r="A171">
            <v>239230</v>
          </cell>
          <cell r="B171" t="str">
            <v>LOGEMENTS EN CRS</v>
          </cell>
          <cell r="C171" t="str">
            <v>Q08</v>
          </cell>
          <cell r="D171">
            <v>0</v>
          </cell>
          <cell r="E171" t="str">
            <v>Immobilisations en cours</v>
          </cell>
        </row>
        <row r="172">
          <cell r="A172">
            <v>239310</v>
          </cell>
          <cell r="B172" t="str">
            <v>ROUTES,CLOTURE EN COURS</v>
          </cell>
          <cell r="C172" t="str">
            <v>Q08</v>
          </cell>
          <cell r="D172">
            <v>0</v>
          </cell>
          <cell r="E172" t="str">
            <v>Immobilisations en cours</v>
          </cell>
        </row>
        <row r="173">
          <cell r="A173">
            <v>239320</v>
          </cell>
          <cell r="B173" t="str">
            <v>VOIES FERRES EN COURS</v>
          </cell>
          <cell r="C173" t="str">
            <v>Q08</v>
          </cell>
          <cell r="D173">
            <v>0</v>
          </cell>
          <cell r="E173" t="str">
            <v>Immobilisations en cours</v>
          </cell>
        </row>
        <row r="174">
          <cell r="A174">
            <v>241000</v>
          </cell>
          <cell r="B174" t="str">
            <v>IMMO CORPO TAMPON</v>
          </cell>
          <cell r="C174" t="str">
            <v>Q04</v>
          </cell>
          <cell r="D174">
            <v>0</v>
          </cell>
          <cell r="E174" t="str">
            <v>Intallations techniques</v>
          </cell>
        </row>
        <row r="175">
          <cell r="A175">
            <v>241100</v>
          </cell>
          <cell r="B175" t="str">
            <v>MATERIEL INDUSTRIEL</v>
          </cell>
          <cell r="C175" t="str">
            <v>Q04</v>
          </cell>
          <cell r="D175">
            <v>0</v>
          </cell>
          <cell r="E175" t="str">
            <v>Intallations techniques</v>
          </cell>
        </row>
        <row r="176">
          <cell r="A176">
            <v>241111</v>
          </cell>
          <cell r="B176" t="str">
            <v>MATERIEL INDUSTRIEL COMPL.REEVAL.</v>
          </cell>
          <cell r="C176" t="str">
            <v>Q04</v>
          </cell>
          <cell r="D176">
            <v>0</v>
          </cell>
          <cell r="E176" t="str">
            <v>Intallations techniques</v>
          </cell>
        </row>
        <row r="177">
          <cell r="A177">
            <v>241112</v>
          </cell>
          <cell r="B177" t="str">
            <v>MATERIEL INDUSTRIEL REEMPL/REEVAL.</v>
          </cell>
          <cell r="C177" t="str">
            <v>Q04</v>
          </cell>
          <cell r="D177">
            <v>0</v>
          </cell>
          <cell r="E177" t="str">
            <v>Intallations techniques</v>
          </cell>
        </row>
        <row r="178">
          <cell r="A178">
            <v>241120</v>
          </cell>
          <cell r="B178" t="str">
            <v>AUTRES MATERIELS INDUSTRIEL</v>
          </cell>
          <cell r="C178" t="str">
            <v>Q04</v>
          </cell>
          <cell r="D178">
            <v>0</v>
          </cell>
          <cell r="E178" t="str">
            <v>Intallations techniques</v>
          </cell>
        </row>
        <row r="179">
          <cell r="A179">
            <v>241121</v>
          </cell>
          <cell r="B179" t="str">
            <v>AUTRES MATERIELS INDUST. COMPL.REEVAL.</v>
          </cell>
          <cell r="C179" t="str">
            <v>Q04</v>
          </cell>
          <cell r="D179">
            <v>0</v>
          </cell>
          <cell r="E179" t="str">
            <v>Intallations techniques</v>
          </cell>
        </row>
        <row r="180">
          <cell r="A180">
            <v>241200</v>
          </cell>
          <cell r="B180" t="str">
            <v>OUTILLAGE INDUSTRIEL</v>
          </cell>
          <cell r="C180" t="str">
            <v>Q05</v>
          </cell>
          <cell r="D180">
            <v>0</v>
          </cell>
          <cell r="E180" t="str">
            <v>Matériel et outillage</v>
          </cell>
        </row>
        <row r="181">
          <cell r="A181">
            <v>241210</v>
          </cell>
          <cell r="B181" t="str">
            <v>OUTILLAGE INDUSTRIEL . COMPL.REEVAL.</v>
          </cell>
          <cell r="C181" t="str">
            <v>Q05</v>
          </cell>
          <cell r="D181">
            <v>0</v>
          </cell>
          <cell r="E181" t="str">
            <v>Matériel et outillage</v>
          </cell>
        </row>
        <row r="182">
          <cell r="A182">
            <v>241300</v>
          </cell>
          <cell r="B182" t="str">
            <v>MATERIELS COMMERCIAL</v>
          </cell>
          <cell r="C182" t="str">
            <v>Q07</v>
          </cell>
          <cell r="D182">
            <v>0</v>
          </cell>
          <cell r="E182" t="str">
            <v>Matériel et mobilier de bureau</v>
          </cell>
        </row>
        <row r="183">
          <cell r="A183">
            <v>241301</v>
          </cell>
          <cell r="B183" t="str">
            <v>MATERIELS COMMERCIAL.COMPL.REEVAL.</v>
          </cell>
          <cell r="C183" t="str">
            <v>Q07</v>
          </cell>
          <cell r="D183">
            <v>0</v>
          </cell>
          <cell r="E183" t="str">
            <v>Matériel et mobilier de bureau</v>
          </cell>
        </row>
        <row r="184">
          <cell r="A184">
            <v>241600</v>
          </cell>
          <cell r="B184" t="str">
            <v>REEVALUATION MATERIEL USINE/OUTILLAGE</v>
          </cell>
          <cell r="C184" t="str">
            <v>Q05</v>
          </cell>
          <cell r="E184" t="str">
            <v>Matériel et outillage</v>
          </cell>
        </row>
        <row r="185">
          <cell r="A185">
            <v>244100</v>
          </cell>
          <cell r="B185" t="str">
            <v>MATERIEL DE BUREAU</v>
          </cell>
          <cell r="C185" t="str">
            <v>Q07</v>
          </cell>
          <cell r="D185">
            <v>0</v>
          </cell>
          <cell r="E185" t="str">
            <v>Matériel et mobilier de bureau</v>
          </cell>
        </row>
        <row r="186">
          <cell r="A186">
            <v>244110</v>
          </cell>
          <cell r="B186" t="str">
            <v>MATERIEL DE BUREAU COMPL.REEVAL.</v>
          </cell>
          <cell r="C186" t="str">
            <v>Q07</v>
          </cell>
          <cell r="D186">
            <v>0</v>
          </cell>
          <cell r="E186" t="str">
            <v>Matériel et mobilier de bureau</v>
          </cell>
        </row>
        <row r="187">
          <cell r="A187">
            <v>244200</v>
          </cell>
          <cell r="B187" t="str">
            <v>MATERIELS INFORMATIQUES</v>
          </cell>
          <cell r="C187" t="str">
            <v>Q07</v>
          </cell>
          <cell r="D187">
            <v>0</v>
          </cell>
          <cell r="E187" t="str">
            <v>Matériel et mobilier de bureau</v>
          </cell>
        </row>
        <row r="188">
          <cell r="A188">
            <v>244300</v>
          </cell>
          <cell r="B188" t="str">
            <v>MATERIEL BUREAUTIQUE</v>
          </cell>
          <cell r="C188" t="str">
            <v>Q07</v>
          </cell>
          <cell r="D188">
            <v>0</v>
          </cell>
          <cell r="E188" t="str">
            <v>Matériel et mobilier de bureau</v>
          </cell>
        </row>
        <row r="189">
          <cell r="A189">
            <v>244400</v>
          </cell>
          <cell r="B189" t="str">
            <v>MOBILIER DE BUREAU</v>
          </cell>
          <cell r="C189" t="str">
            <v>Q07</v>
          </cell>
          <cell r="D189">
            <v>0</v>
          </cell>
          <cell r="E189" t="str">
            <v>Matériel et mobilier de bureau</v>
          </cell>
        </row>
        <row r="190">
          <cell r="A190">
            <v>244600</v>
          </cell>
          <cell r="B190" t="str">
            <v>REEVALUATION MATERIEL DE BUREAU/MOBIL/IN</v>
          </cell>
          <cell r="C190" t="str">
            <v>Q07</v>
          </cell>
          <cell r="D190">
            <v>0</v>
          </cell>
          <cell r="E190" t="str">
            <v>Matériel et mobilier de bureau</v>
          </cell>
        </row>
        <row r="191">
          <cell r="A191">
            <v>244700</v>
          </cell>
          <cell r="B191" t="str">
            <v>MATERIEL ET MOBILIER DES LOGEMENTS</v>
          </cell>
          <cell r="C191" t="str">
            <v>Q07</v>
          </cell>
          <cell r="D191">
            <v>0</v>
          </cell>
          <cell r="E191" t="str">
            <v>Matériel et mobilier de bureau</v>
          </cell>
        </row>
        <row r="192">
          <cell r="A192">
            <v>244710</v>
          </cell>
          <cell r="B192" t="str">
            <v>MAT.&amp; MOB.LOGEMENTS COMPL.REEV.</v>
          </cell>
          <cell r="C192" t="str">
            <v>Q07</v>
          </cell>
          <cell r="D192">
            <v>0</v>
          </cell>
          <cell r="E192" t="str">
            <v>Matériel et mobilier de bureau</v>
          </cell>
        </row>
        <row r="193">
          <cell r="A193">
            <v>245100</v>
          </cell>
          <cell r="B193" t="str">
            <v>MATERIEL AUTOMOBILE</v>
          </cell>
          <cell r="C193" t="str">
            <v>Q06</v>
          </cell>
          <cell r="D193">
            <v>0</v>
          </cell>
          <cell r="E193" t="str">
            <v>Matériel de transport</v>
          </cell>
        </row>
        <row r="194">
          <cell r="A194">
            <v>245101</v>
          </cell>
          <cell r="B194" t="str">
            <v>VEHICULES DE TOURISME COMPL.REEV</v>
          </cell>
          <cell r="C194" t="str">
            <v>Q06</v>
          </cell>
          <cell r="D194">
            <v>0</v>
          </cell>
          <cell r="E194" t="str">
            <v>Matériel de transport</v>
          </cell>
        </row>
        <row r="195">
          <cell r="A195">
            <v>245130</v>
          </cell>
          <cell r="B195" t="str">
            <v>CAMIONS ET FOURGONS</v>
          </cell>
          <cell r="C195" t="str">
            <v>Q06</v>
          </cell>
          <cell r="D195">
            <v>0</v>
          </cell>
          <cell r="E195" t="str">
            <v>Matériel de transport</v>
          </cell>
        </row>
        <row r="196">
          <cell r="A196">
            <v>245131</v>
          </cell>
          <cell r="B196" t="str">
            <v>CAMIONS ET FOURGONS COMPL.REEVA..</v>
          </cell>
          <cell r="C196" t="str">
            <v>Q06</v>
          </cell>
          <cell r="D196">
            <v>0</v>
          </cell>
          <cell r="E196" t="str">
            <v>Matériel de transport</v>
          </cell>
        </row>
        <row r="197">
          <cell r="A197">
            <v>245150</v>
          </cell>
          <cell r="B197" t="str">
            <v>TRACTEURS ET REMORQUES         .</v>
          </cell>
          <cell r="C197" t="str">
            <v>Q06</v>
          </cell>
          <cell r="D197">
            <v>0</v>
          </cell>
          <cell r="E197" t="str">
            <v>Matériel de transport</v>
          </cell>
        </row>
        <row r="198">
          <cell r="A198">
            <v>245151</v>
          </cell>
          <cell r="B198" t="str">
            <v>TRACTEURS ET REMORQ.COMPL.REEVA.</v>
          </cell>
          <cell r="C198" t="str">
            <v>Q06</v>
          </cell>
          <cell r="D198">
            <v>0</v>
          </cell>
          <cell r="E198" t="str">
            <v>Matériel de transport</v>
          </cell>
        </row>
        <row r="199">
          <cell r="A199">
            <v>245160</v>
          </cell>
          <cell r="B199" t="str">
            <v>AUTRES MAT.MANUT.PALETTESAutres Mat. Man</v>
          </cell>
          <cell r="C199" t="str">
            <v>Q06</v>
          </cell>
          <cell r="D199">
            <v>0</v>
          </cell>
          <cell r="E199" t="str">
            <v>Matériel de transport</v>
          </cell>
        </row>
        <row r="200">
          <cell r="A200">
            <v>245161</v>
          </cell>
          <cell r="B200" t="str">
            <v>AUTRES MAT.MANUT.COMPL.REEVAL.</v>
          </cell>
          <cell r="C200" t="str">
            <v>Q06</v>
          </cell>
          <cell r="D200">
            <v>0</v>
          </cell>
          <cell r="E200" t="str">
            <v>Matériel de transport</v>
          </cell>
        </row>
        <row r="201">
          <cell r="A201">
            <v>245190</v>
          </cell>
          <cell r="B201" t="str">
            <v>CHARIOTS ELEVATEURS</v>
          </cell>
          <cell r="C201" t="str">
            <v>Q06</v>
          </cell>
          <cell r="D201">
            <v>0</v>
          </cell>
          <cell r="E201" t="str">
            <v>Matériel de transport</v>
          </cell>
        </row>
        <row r="202">
          <cell r="A202">
            <v>245191</v>
          </cell>
          <cell r="B202" t="str">
            <v>CHARIOTS ELEVATEURS COMPL.REEVA.</v>
          </cell>
          <cell r="C202" t="str">
            <v>Q06</v>
          </cell>
          <cell r="D202">
            <v>0</v>
          </cell>
          <cell r="E202" t="str">
            <v>Matériel de transport</v>
          </cell>
        </row>
        <row r="203">
          <cell r="A203">
            <v>245600</v>
          </cell>
          <cell r="B203" t="str">
            <v>REEVALUATION MATERIEL TRANSPORT</v>
          </cell>
          <cell r="C203" t="str">
            <v>Q06</v>
          </cell>
          <cell r="E203" t="str">
            <v>Matériel de transport</v>
          </cell>
        </row>
        <row r="204">
          <cell r="A204">
            <v>245870</v>
          </cell>
          <cell r="B204" t="str">
            <v>AUTRES.VELO.MOBYLETTE.MOTO</v>
          </cell>
          <cell r="C204" t="str">
            <v>Q06</v>
          </cell>
          <cell r="D204">
            <v>0</v>
          </cell>
          <cell r="E204" t="str">
            <v>Matériel de transport</v>
          </cell>
        </row>
        <row r="205">
          <cell r="A205">
            <v>245871</v>
          </cell>
          <cell r="B205" t="str">
            <v>AUTRES.VELO.MOBYL.MOTO.COMPL.REEVA.</v>
          </cell>
          <cell r="C205" t="str">
            <v>Q06</v>
          </cell>
          <cell r="D205">
            <v>0</v>
          </cell>
          <cell r="E205" t="str">
            <v>Matériel de transport</v>
          </cell>
        </row>
        <row r="206">
          <cell r="A206">
            <v>247000</v>
          </cell>
          <cell r="B206" t="str">
            <v>AGENCEMENTS ET AMENAG. DU MATERIELMATERI</v>
          </cell>
          <cell r="C206" t="str">
            <v>Q03</v>
          </cell>
          <cell r="D206">
            <v>0</v>
          </cell>
          <cell r="E206" t="str">
            <v>Bâtiments</v>
          </cell>
        </row>
        <row r="207">
          <cell r="A207">
            <v>247810</v>
          </cell>
          <cell r="B207" t="str">
            <v>AGENCEMENTS/AMENAGEMENT INSTALLATION COM</v>
          </cell>
          <cell r="C207" t="str">
            <v>Q03</v>
          </cell>
          <cell r="D207">
            <v>0</v>
          </cell>
          <cell r="E207" t="str">
            <v>Bâtiments</v>
          </cell>
        </row>
        <row r="208">
          <cell r="A208">
            <v>249000</v>
          </cell>
          <cell r="B208" t="str">
            <v>IMMOBILISATION ENCOURS (TRANSITION)</v>
          </cell>
          <cell r="C208" t="str">
            <v>Q08</v>
          </cell>
          <cell r="E208" t="str">
            <v>Immobilisations en cours</v>
          </cell>
        </row>
        <row r="209">
          <cell r="A209">
            <v>249100</v>
          </cell>
          <cell r="B209" t="str">
            <v>IMMOBILISATION PREST/CONSO</v>
          </cell>
          <cell r="C209" t="str">
            <v>Q08</v>
          </cell>
          <cell r="D209">
            <v>0</v>
          </cell>
          <cell r="E209" t="str">
            <v>Immobilisations en cours</v>
          </cell>
        </row>
        <row r="210">
          <cell r="A210">
            <v>249102</v>
          </cell>
          <cell r="B210" t="str">
            <v>MAT EN CRS ACHAT IMPORT</v>
          </cell>
          <cell r="C210" t="str">
            <v>Q08</v>
          </cell>
          <cell r="D210">
            <v>0</v>
          </cell>
          <cell r="E210" t="str">
            <v>Immobilisations en cours</v>
          </cell>
        </row>
        <row r="211">
          <cell r="A211">
            <v>249103</v>
          </cell>
          <cell r="B211" t="str">
            <v>MAT EN COURS ACHAT LOCAL</v>
          </cell>
          <cell r="C211" t="str">
            <v>Q08</v>
          </cell>
          <cell r="D211">
            <v>0</v>
          </cell>
          <cell r="E211" t="str">
            <v>Immobilisations en cours</v>
          </cell>
        </row>
        <row r="212">
          <cell r="A212">
            <v>249104</v>
          </cell>
          <cell r="B212" t="str">
            <v>MAT EN COURS PREST ETRANG FOURN</v>
          </cell>
          <cell r="C212" t="str">
            <v>Q08</v>
          </cell>
          <cell r="D212">
            <v>0</v>
          </cell>
          <cell r="E212" t="str">
            <v>Immobilisations en cours</v>
          </cell>
        </row>
        <row r="213">
          <cell r="A213">
            <v>249105</v>
          </cell>
          <cell r="B213" t="str">
            <v>MAT EN COURS PREST LOCAL FOURN</v>
          </cell>
          <cell r="C213" t="str">
            <v>Q08</v>
          </cell>
          <cell r="D213">
            <v>0</v>
          </cell>
          <cell r="E213" t="str">
            <v>Immobilisations en cours</v>
          </cell>
        </row>
        <row r="214">
          <cell r="A214">
            <v>249200</v>
          </cell>
          <cell r="B214" t="str">
            <v>IMMOBILISATION EQUIPEMENT</v>
          </cell>
          <cell r="C214" t="str">
            <v>Q08</v>
          </cell>
          <cell r="D214">
            <v>0</v>
          </cell>
          <cell r="E214" t="str">
            <v>Immobilisations en cours</v>
          </cell>
        </row>
        <row r="215">
          <cell r="A215">
            <v>249410</v>
          </cell>
          <cell r="B215" t="str">
            <v>MATERIEL D'USINE EN COURS</v>
          </cell>
          <cell r="C215" t="str">
            <v>Q08</v>
          </cell>
          <cell r="D215">
            <v>0</v>
          </cell>
          <cell r="E215" t="str">
            <v>Immobilisations en cours</v>
          </cell>
        </row>
        <row r="216">
          <cell r="A216">
            <v>249411</v>
          </cell>
          <cell r="B216" t="str">
            <v>DROIT DE DOUANE SUR MAT D'USINE</v>
          </cell>
          <cell r="C216" t="str">
            <v>Q08</v>
          </cell>
          <cell r="D216">
            <v>0</v>
          </cell>
          <cell r="E216" t="str">
            <v>Immobilisations en cours</v>
          </cell>
        </row>
        <row r="217">
          <cell r="A217">
            <v>249412</v>
          </cell>
          <cell r="B217" t="str">
            <v>FRET/MATERIEL USINE EN CRS</v>
          </cell>
          <cell r="C217" t="str">
            <v>Q08</v>
          </cell>
          <cell r="D217">
            <v>0</v>
          </cell>
          <cell r="E217" t="str">
            <v>Immobilisations en cours</v>
          </cell>
        </row>
        <row r="218">
          <cell r="A218">
            <v>249413</v>
          </cell>
          <cell r="B218" t="str">
            <v>ASSU. TRANS/MATERIEL D'USINE EN COURS</v>
          </cell>
          <cell r="C218" t="str">
            <v>Q08</v>
          </cell>
          <cell r="D218">
            <v>0</v>
          </cell>
          <cell r="E218" t="str">
            <v>Immobilisations en cours</v>
          </cell>
        </row>
        <row r="219">
          <cell r="A219">
            <v>249414</v>
          </cell>
          <cell r="B219" t="str">
            <v>SGS/MATERIEL D'USINE EN COURS</v>
          </cell>
          <cell r="C219" t="str">
            <v>Q08</v>
          </cell>
          <cell r="D219">
            <v>0</v>
          </cell>
          <cell r="E219" t="str">
            <v>Immobilisations en cours</v>
          </cell>
        </row>
        <row r="220">
          <cell r="A220">
            <v>249415</v>
          </cell>
          <cell r="B220" t="str">
            <v>DEBOURS/MATERIEL USINE EN CRS</v>
          </cell>
          <cell r="C220" t="str">
            <v>Q08</v>
          </cell>
          <cell r="D220">
            <v>0</v>
          </cell>
          <cell r="E220" t="str">
            <v>Immobilisations en cours</v>
          </cell>
        </row>
        <row r="221">
          <cell r="A221">
            <v>249416</v>
          </cell>
          <cell r="B221" t="str">
            <v>FRAIS TRANSIT/MATERIEL USINE EN COURS</v>
          </cell>
          <cell r="C221" t="str">
            <v>Q08</v>
          </cell>
          <cell r="D221">
            <v>0</v>
          </cell>
          <cell r="E221" t="str">
            <v>Immobilisations en cours</v>
          </cell>
        </row>
        <row r="222">
          <cell r="A222">
            <v>249420</v>
          </cell>
          <cell r="B222" t="str">
            <v>PIECES RECHANGES MAT USINE EN COURS</v>
          </cell>
          <cell r="C222" t="str">
            <v>Q08</v>
          </cell>
          <cell r="D222">
            <v>0</v>
          </cell>
          <cell r="E222" t="str">
            <v>Immobilisations en cours</v>
          </cell>
        </row>
        <row r="223">
          <cell r="A223">
            <v>249421</v>
          </cell>
          <cell r="B223" t="str">
            <v>DRT DE DOUANE SUR PR IMMO MAT USINE COUR</v>
          </cell>
          <cell r="C223" t="str">
            <v>Q08</v>
          </cell>
          <cell r="D223">
            <v>0</v>
          </cell>
          <cell r="E223" t="str">
            <v>Immobilisations en cours</v>
          </cell>
        </row>
        <row r="224">
          <cell r="A224">
            <v>249422</v>
          </cell>
          <cell r="B224" t="str">
            <v>FRET/PIECES DE RECHANGE IMMO MAT USI CRS</v>
          </cell>
          <cell r="C224" t="str">
            <v>Q08</v>
          </cell>
          <cell r="D224">
            <v>0</v>
          </cell>
          <cell r="E224" t="str">
            <v>Immobilisations en cours</v>
          </cell>
        </row>
        <row r="225">
          <cell r="A225">
            <v>249423</v>
          </cell>
          <cell r="B225" t="str">
            <v>ASSU. TRANS/PR IMMO MAT USINE EN CRS</v>
          </cell>
          <cell r="C225" t="str">
            <v>Q08</v>
          </cell>
          <cell r="D225">
            <v>0</v>
          </cell>
          <cell r="E225" t="str">
            <v>Immobilisations en cours</v>
          </cell>
        </row>
        <row r="226">
          <cell r="A226">
            <v>249424</v>
          </cell>
          <cell r="B226" t="str">
            <v>SGS/PIECES DE RECHANGES MAT USINE COURS</v>
          </cell>
          <cell r="C226" t="str">
            <v>Q08</v>
          </cell>
          <cell r="D226">
            <v>0</v>
          </cell>
          <cell r="E226" t="str">
            <v>Immobilisations en cours</v>
          </cell>
        </row>
        <row r="227">
          <cell r="A227">
            <v>249425</v>
          </cell>
          <cell r="B227" t="str">
            <v>DEBOURS/PR IMMO SUR MAT USINE EN CRS</v>
          </cell>
          <cell r="C227" t="str">
            <v>Q08</v>
          </cell>
          <cell r="D227">
            <v>0</v>
          </cell>
          <cell r="E227" t="str">
            <v>Immobilisations en cours</v>
          </cell>
        </row>
        <row r="228">
          <cell r="A228">
            <v>249426</v>
          </cell>
          <cell r="B228" t="str">
            <v>FRAIS TRANSIT/PR IMMO SUR MAT USINE COUR</v>
          </cell>
          <cell r="C228" t="str">
            <v>Q08</v>
          </cell>
          <cell r="D228">
            <v>0</v>
          </cell>
          <cell r="E228" t="str">
            <v>Immobilisations en cours</v>
          </cell>
        </row>
        <row r="229">
          <cell r="A229">
            <v>249510</v>
          </cell>
          <cell r="B229" t="str">
            <v>AUTRES MAT ET MAT DE LABO EN CRS</v>
          </cell>
          <cell r="C229" t="str">
            <v>Q08</v>
          </cell>
          <cell r="D229">
            <v>0</v>
          </cell>
          <cell r="E229" t="str">
            <v>Immobilisations en cours</v>
          </cell>
        </row>
        <row r="230">
          <cell r="A230">
            <v>249511</v>
          </cell>
          <cell r="B230" t="str">
            <v>DROIT DE DOUANE AUT MAT &amp; MAT LABO EN CR</v>
          </cell>
          <cell r="C230" t="str">
            <v>Q08</v>
          </cell>
          <cell r="D230">
            <v>0</v>
          </cell>
          <cell r="E230" t="str">
            <v>Immobilisations en cours</v>
          </cell>
        </row>
        <row r="231">
          <cell r="A231">
            <v>249512</v>
          </cell>
          <cell r="B231" t="str">
            <v>FRET/AUTRE MAT&amp;MAT LABO EN CRS</v>
          </cell>
          <cell r="C231" t="str">
            <v>Q08</v>
          </cell>
          <cell r="D231">
            <v>0</v>
          </cell>
          <cell r="E231" t="str">
            <v>Immobilisations en cours</v>
          </cell>
        </row>
        <row r="232">
          <cell r="A232">
            <v>249513</v>
          </cell>
          <cell r="B232" t="str">
            <v>ASSU. TRANS/AUTRE MAT&amp;MAT LABO EN COURS</v>
          </cell>
          <cell r="C232" t="str">
            <v>Q08</v>
          </cell>
          <cell r="D232">
            <v>0</v>
          </cell>
          <cell r="E232" t="str">
            <v>Immobilisations en cours</v>
          </cell>
        </row>
        <row r="233">
          <cell r="A233">
            <v>249514</v>
          </cell>
          <cell r="B233" t="str">
            <v>SGS/AUTRE MAT &amp; MAT LABO EN COURS</v>
          </cell>
          <cell r="C233" t="str">
            <v>Q08</v>
          </cell>
          <cell r="D233">
            <v>0</v>
          </cell>
          <cell r="E233" t="str">
            <v>Immobilisations en cours</v>
          </cell>
        </row>
        <row r="234">
          <cell r="A234">
            <v>249515</v>
          </cell>
          <cell r="B234" t="str">
            <v>DEBOURS/AUTRE MAT&amp;MAT LABO EN COURS</v>
          </cell>
          <cell r="C234" t="str">
            <v>Q08</v>
          </cell>
          <cell r="D234">
            <v>0</v>
          </cell>
          <cell r="E234" t="str">
            <v>Immobilisations en cours</v>
          </cell>
        </row>
        <row r="235">
          <cell r="A235">
            <v>249516</v>
          </cell>
          <cell r="B235" t="str">
            <v>FRAIS TRANSIT/AUT MAT&amp;MAT LABO EN CRS</v>
          </cell>
          <cell r="C235" t="str">
            <v>Q08</v>
          </cell>
          <cell r="D235">
            <v>0</v>
          </cell>
          <cell r="E235" t="str">
            <v>Immobilisations en cours</v>
          </cell>
        </row>
        <row r="236">
          <cell r="A236">
            <v>249520</v>
          </cell>
          <cell r="B236" t="str">
            <v>OUTILLAGE EN COURS</v>
          </cell>
          <cell r="C236" t="str">
            <v>Q08</v>
          </cell>
          <cell r="D236">
            <v>0</v>
          </cell>
          <cell r="E236" t="str">
            <v>Immobilisations en cours</v>
          </cell>
        </row>
        <row r="237">
          <cell r="A237">
            <v>249521</v>
          </cell>
          <cell r="B237" t="str">
            <v>DROIT DE DOUANE OUTILLAGE EN CRS</v>
          </cell>
          <cell r="C237" t="str">
            <v>Q08</v>
          </cell>
          <cell r="D237">
            <v>0</v>
          </cell>
          <cell r="E237" t="str">
            <v>Immobilisations en cours</v>
          </cell>
        </row>
        <row r="238">
          <cell r="A238">
            <v>249522</v>
          </cell>
          <cell r="B238" t="str">
            <v>FRET/OUTILLAGE EN SOURS</v>
          </cell>
          <cell r="C238" t="str">
            <v>Q08</v>
          </cell>
          <cell r="D238">
            <v>0</v>
          </cell>
          <cell r="E238" t="str">
            <v>Immobilisations en cours</v>
          </cell>
        </row>
        <row r="239">
          <cell r="A239">
            <v>249523</v>
          </cell>
          <cell r="B239" t="str">
            <v>ASSU. TRANS/OUTILLAGE EN COURS</v>
          </cell>
          <cell r="C239" t="str">
            <v>Q08</v>
          </cell>
          <cell r="D239">
            <v>0</v>
          </cell>
          <cell r="E239" t="str">
            <v>Immobilisations en cours</v>
          </cell>
        </row>
        <row r="240">
          <cell r="A240">
            <v>249524</v>
          </cell>
          <cell r="B240" t="str">
            <v>SGS/OUTILLAGE EN COURS</v>
          </cell>
          <cell r="C240" t="str">
            <v>Q08</v>
          </cell>
          <cell r="D240">
            <v>0</v>
          </cell>
          <cell r="E240" t="str">
            <v>Immobilisations en cours</v>
          </cell>
        </row>
        <row r="241">
          <cell r="A241">
            <v>249525</v>
          </cell>
          <cell r="B241" t="str">
            <v>DEBOURS/OUTILLAGE EN COURS</v>
          </cell>
          <cell r="C241" t="str">
            <v>Q08</v>
          </cell>
          <cell r="D241">
            <v>0</v>
          </cell>
          <cell r="E241" t="str">
            <v>Immobilisations en cours</v>
          </cell>
        </row>
        <row r="242">
          <cell r="A242">
            <v>249526</v>
          </cell>
          <cell r="B242" t="str">
            <v>FRAIS TRANSIT/OUTILLAGE EN COURS</v>
          </cell>
          <cell r="C242" t="str">
            <v>Q08</v>
          </cell>
          <cell r="D242">
            <v>0</v>
          </cell>
          <cell r="E242" t="str">
            <v>Immobilisations en cours</v>
          </cell>
        </row>
        <row r="243">
          <cell r="A243">
            <v>249530</v>
          </cell>
          <cell r="B243" t="str">
            <v>MATERIEL PUBLICITAIRE EN CRS</v>
          </cell>
          <cell r="C243" t="str">
            <v>Q08</v>
          </cell>
          <cell r="D243">
            <v>0</v>
          </cell>
          <cell r="E243" t="str">
            <v>Immobilisations en cours</v>
          </cell>
        </row>
        <row r="244">
          <cell r="A244">
            <v>249531</v>
          </cell>
          <cell r="B244" t="str">
            <v>DROIT DE DOUANE MAT PUBLICITAIRE EN CRS</v>
          </cell>
          <cell r="C244" t="str">
            <v>Q08</v>
          </cell>
          <cell r="D244">
            <v>0</v>
          </cell>
          <cell r="E244" t="str">
            <v>Immobilisations en cours</v>
          </cell>
        </row>
        <row r="245">
          <cell r="A245">
            <v>249532</v>
          </cell>
          <cell r="B245" t="str">
            <v>FRET/MATERIEL PUBLICITAIRE EN CRS</v>
          </cell>
          <cell r="C245" t="str">
            <v>Q08</v>
          </cell>
          <cell r="D245">
            <v>0</v>
          </cell>
          <cell r="E245" t="str">
            <v>Immobilisations en cours</v>
          </cell>
        </row>
        <row r="246">
          <cell r="A246">
            <v>249533</v>
          </cell>
          <cell r="B246" t="str">
            <v>ASSU. TRANS/MATERIEL PUBLICITAIRE EN CRS</v>
          </cell>
          <cell r="C246" t="str">
            <v>Q08</v>
          </cell>
          <cell r="D246">
            <v>0</v>
          </cell>
          <cell r="E246" t="str">
            <v>Immobilisations en cours</v>
          </cell>
        </row>
        <row r="247">
          <cell r="A247">
            <v>249534</v>
          </cell>
          <cell r="B247" t="str">
            <v>SGS/MATERIEL PUBLICITAIRE EN COURS</v>
          </cell>
          <cell r="C247" t="str">
            <v>Q08</v>
          </cell>
          <cell r="D247">
            <v>0</v>
          </cell>
          <cell r="E247" t="str">
            <v>Immobilisations en cours</v>
          </cell>
        </row>
        <row r="248">
          <cell r="A248">
            <v>249535</v>
          </cell>
          <cell r="B248" t="str">
            <v>DEBOURS/MATERIEL PUBLICITAIRE EN COURS</v>
          </cell>
          <cell r="C248" t="str">
            <v>Q08</v>
          </cell>
          <cell r="D248">
            <v>0</v>
          </cell>
          <cell r="E248" t="str">
            <v>Immobilisations en cours</v>
          </cell>
        </row>
        <row r="249">
          <cell r="A249">
            <v>249536</v>
          </cell>
          <cell r="B249" t="str">
            <v>FRAIS TRANSIT/MATERIEL PUBLICIT EN COURS</v>
          </cell>
          <cell r="C249" t="str">
            <v>Q08</v>
          </cell>
          <cell r="D249">
            <v>0</v>
          </cell>
          <cell r="E249" t="str">
            <v>Immobilisations en cours</v>
          </cell>
        </row>
        <row r="250">
          <cell r="A250">
            <v>249540</v>
          </cell>
          <cell r="B250" t="str">
            <v>MATERIELS INFORMATIQUE EN CRS</v>
          </cell>
          <cell r="C250" t="str">
            <v>Q08</v>
          </cell>
          <cell r="D250">
            <v>0</v>
          </cell>
          <cell r="E250" t="str">
            <v>Immobilisations en cours</v>
          </cell>
        </row>
        <row r="251">
          <cell r="A251">
            <v>249541</v>
          </cell>
          <cell r="B251" t="str">
            <v>DROIT DE DOUANE SUR MAT INFO EN CRS</v>
          </cell>
          <cell r="C251" t="str">
            <v>Q08</v>
          </cell>
          <cell r="D251">
            <v>0</v>
          </cell>
          <cell r="E251" t="str">
            <v>Immobilisations en cours</v>
          </cell>
        </row>
        <row r="252">
          <cell r="A252">
            <v>249542</v>
          </cell>
          <cell r="B252" t="str">
            <v>FRET/MATERIEL INFORMATIQUE EN CRS</v>
          </cell>
          <cell r="C252" t="str">
            <v>Q08</v>
          </cell>
          <cell r="D252">
            <v>0</v>
          </cell>
          <cell r="E252" t="str">
            <v>Immobilisations en cours</v>
          </cell>
        </row>
        <row r="253">
          <cell r="A253">
            <v>249543</v>
          </cell>
          <cell r="B253" t="str">
            <v>ASSU. TRANS/MATERIEL INFOR EN COURS</v>
          </cell>
          <cell r="C253" t="str">
            <v>Q08</v>
          </cell>
          <cell r="D253">
            <v>0</v>
          </cell>
          <cell r="E253" t="str">
            <v>Immobilisations en cours</v>
          </cell>
        </row>
        <row r="254">
          <cell r="A254">
            <v>249544</v>
          </cell>
          <cell r="B254" t="str">
            <v>SGS/MATERIEL INFORMATIQUE EN COURS</v>
          </cell>
          <cell r="C254" t="str">
            <v>Q08</v>
          </cell>
          <cell r="D254">
            <v>0</v>
          </cell>
          <cell r="E254" t="str">
            <v>Immobilisations en cours</v>
          </cell>
        </row>
        <row r="255">
          <cell r="A255">
            <v>249545</v>
          </cell>
          <cell r="B255" t="str">
            <v>DEBOURS/MATERIEL INFORMATIQUE EN COURS</v>
          </cell>
          <cell r="C255" t="str">
            <v>Q08</v>
          </cell>
          <cell r="D255">
            <v>0</v>
          </cell>
          <cell r="E255" t="str">
            <v>Immobilisations en cours</v>
          </cell>
        </row>
        <row r="256">
          <cell r="A256">
            <v>249546</v>
          </cell>
          <cell r="B256" t="str">
            <v>FRAIS TRANSIT/MATERIEL INFORM EN COURS</v>
          </cell>
          <cell r="C256" t="str">
            <v>Q08</v>
          </cell>
          <cell r="D256">
            <v>0</v>
          </cell>
          <cell r="E256" t="str">
            <v>Immobilisations en cours</v>
          </cell>
        </row>
        <row r="257">
          <cell r="A257">
            <v>249610</v>
          </cell>
          <cell r="B257" t="str">
            <v>MATERIEL ET MOBILIER DE BUREAU EN CRS</v>
          </cell>
          <cell r="C257" t="str">
            <v>Q08</v>
          </cell>
          <cell r="D257">
            <v>0</v>
          </cell>
          <cell r="E257" t="str">
            <v>Immobilisations en cours</v>
          </cell>
        </row>
        <row r="258">
          <cell r="A258">
            <v>249611</v>
          </cell>
          <cell r="B258" t="str">
            <v>DROIT DE DOUANE MAT ET MOB DE BUR EN CRS</v>
          </cell>
          <cell r="C258" t="str">
            <v>Q08</v>
          </cell>
          <cell r="D258">
            <v>0</v>
          </cell>
          <cell r="E258" t="str">
            <v>Immobilisations en cours</v>
          </cell>
        </row>
        <row r="259">
          <cell r="A259">
            <v>249612</v>
          </cell>
          <cell r="B259" t="str">
            <v>FRET/MATERIEL&amp;MOBILIER DE BUREAU EN CRS</v>
          </cell>
          <cell r="C259" t="str">
            <v>Q08</v>
          </cell>
          <cell r="D259">
            <v>0</v>
          </cell>
          <cell r="E259" t="str">
            <v>Immobilisations en cours</v>
          </cell>
        </row>
        <row r="260">
          <cell r="A260">
            <v>249613</v>
          </cell>
          <cell r="B260" t="str">
            <v>ASSU TRANS/MATERIEL&amp;MOBILIER BURE CRS</v>
          </cell>
          <cell r="C260" t="str">
            <v>Q08</v>
          </cell>
          <cell r="D260">
            <v>0</v>
          </cell>
          <cell r="E260" t="str">
            <v>Immobilisations en cours</v>
          </cell>
        </row>
        <row r="261">
          <cell r="A261">
            <v>249614</v>
          </cell>
          <cell r="B261" t="str">
            <v>SGS/MATERIEL ET MOBILIER BUREAU CRS</v>
          </cell>
          <cell r="C261" t="str">
            <v>Q08</v>
          </cell>
          <cell r="D261">
            <v>0</v>
          </cell>
          <cell r="E261" t="str">
            <v>Immobilisations en cours</v>
          </cell>
        </row>
        <row r="262">
          <cell r="A262">
            <v>249615</v>
          </cell>
          <cell r="B262" t="str">
            <v>DEBOURS/MAT &amp; MOB BUREAU EN COURS</v>
          </cell>
          <cell r="C262" t="str">
            <v>Q08</v>
          </cell>
          <cell r="D262">
            <v>0</v>
          </cell>
          <cell r="E262" t="str">
            <v>Immobilisations en cours</v>
          </cell>
        </row>
        <row r="263">
          <cell r="A263">
            <v>249616</v>
          </cell>
          <cell r="B263" t="str">
            <v>FRAIS TRANSIT/MAT &amp; MOB BUREAU EN COURS</v>
          </cell>
          <cell r="C263" t="str">
            <v>Q08</v>
          </cell>
          <cell r="D263">
            <v>0</v>
          </cell>
          <cell r="E263" t="str">
            <v>Immobilisations en cours</v>
          </cell>
        </row>
        <row r="264">
          <cell r="A264">
            <v>249620</v>
          </cell>
          <cell r="B264" t="str">
            <v>MATERIEL ET MOBILIER DE LOGEMENT EN CRS</v>
          </cell>
          <cell r="C264" t="str">
            <v>Q08</v>
          </cell>
          <cell r="D264">
            <v>0</v>
          </cell>
          <cell r="E264" t="str">
            <v>Immobilisations en cours</v>
          </cell>
        </row>
        <row r="265">
          <cell r="A265">
            <v>249621</v>
          </cell>
          <cell r="B265" t="str">
            <v>DROIT DE DOUANE MAT ET MOB DE LGT EN CRS</v>
          </cell>
          <cell r="C265" t="str">
            <v>Q08</v>
          </cell>
          <cell r="D265">
            <v>0</v>
          </cell>
          <cell r="E265" t="str">
            <v>Immobilisations en cours</v>
          </cell>
        </row>
        <row r="266">
          <cell r="A266">
            <v>249622</v>
          </cell>
          <cell r="B266" t="str">
            <v>FRET/MATERIEL &amp; MOBILIER DE LOGEMENT CRS</v>
          </cell>
          <cell r="C266" t="str">
            <v>Q08</v>
          </cell>
          <cell r="D266">
            <v>0</v>
          </cell>
          <cell r="E266" t="str">
            <v>Immobilisations en cours</v>
          </cell>
        </row>
        <row r="267">
          <cell r="A267">
            <v>249623</v>
          </cell>
          <cell r="B267" t="str">
            <v>ASSU TRANS/MATERIEL&amp;MOBILIER LGT CRS</v>
          </cell>
          <cell r="C267" t="str">
            <v>Q08</v>
          </cell>
          <cell r="D267">
            <v>0</v>
          </cell>
          <cell r="E267" t="str">
            <v>Immobilisations en cours</v>
          </cell>
        </row>
        <row r="268">
          <cell r="A268">
            <v>249624</v>
          </cell>
          <cell r="B268" t="str">
            <v>SGS/MATERIEL&amp;MOBILIER DE LOGEMENT EN CRS</v>
          </cell>
          <cell r="C268" t="str">
            <v>Q08</v>
          </cell>
          <cell r="D268">
            <v>0</v>
          </cell>
          <cell r="E268" t="str">
            <v>Immobilisations en cours</v>
          </cell>
        </row>
        <row r="269">
          <cell r="A269">
            <v>249625</v>
          </cell>
          <cell r="B269" t="str">
            <v>DEBOURS/MAT &amp; MOB LOGEMENT EN COURS</v>
          </cell>
          <cell r="C269" t="str">
            <v>Q08</v>
          </cell>
          <cell r="D269">
            <v>0</v>
          </cell>
          <cell r="E269" t="str">
            <v>Immobilisations en cours</v>
          </cell>
        </row>
        <row r="270">
          <cell r="A270">
            <v>249626</v>
          </cell>
          <cell r="B270" t="str">
            <v>FRAIS TRANSIT/MAT &amp; MOB LGT EN COURS</v>
          </cell>
          <cell r="C270" t="str">
            <v>Q08</v>
          </cell>
          <cell r="D270">
            <v>0</v>
          </cell>
          <cell r="E270" t="str">
            <v>Immobilisations en cours</v>
          </cell>
        </row>
        <row r="271">
          <cell r="A271">
            <v>249710</v>
          </cell>
          <cell r="B271" t="str">
            <v>VEHICULES DE TOURISME EN CRS</v>
          </cell>
          <cell r="C271" t="str">
            <v>Q08</v>
          </cell>
          <cell r="D271">
            <v>0</v>
          </cell>
          <cell r="E271" t="str">
            <v>Immobilisations en cours</v>
          </cell>
        </row>
        <row r="272">
          <cell r="A272">
            <v>249711</v>
          </cell>
          <cell r="B272" t="str">
            <v>DROIT DOUANE/VEHICULE DE TOURISME EN CRS</v>
          </cell>
          <cell r="C272" t="str">
            <v>Q08</v>
          </cell>
          <cell r="D272">
            <v>0</v>
          </cell>
          <cell r="E272" t="str">
            <v>Immobilisations en cours</v>
          </cell>
        </row>
        <row r="273">
          <cell r="A273">
            <v>249712</v>
          </cell>
          <cell r="B273" t="str">
            <v>FRET/VEHICULE DE TOURISME EN CRS</v>
          </cell>
          <cell r="C273" t="str">
            <v>Q08</v>
          </cell>
          <cell r="D273">
            <v>0</v>
          </cell>
          <cell r="E273" t="str">
            <v>Immobilisations en cours</v>
          </cell>
        </row>
        <row r="274">
          <cell r="A274">
            <v>249713</v>
          </cell>
          <cell r="B274" t="str">
            <v>ASSU TRANS/VEHICULE TOURISME EN COURS</v>
          </cell>
          <cell r="C274" t="str">
            <v>Q08</v>
          </cell>
          <cell r="D274">
            <v>0</v>
          </cell>
          <cell r="E274" t="str">
            <v>Immobilisations en cours</v>
          </cell>
        </row>
        <row r="275">
          <cell r="A275">
            <v>249714</v>
          </cell>
          <cell r="B275" t="str">
            <v>SGS/VEHICULE DE TOURISME EN COURS</v>
          </cell>
          <cell r="C275" t="str">
            <v>Q08</v>
          </cell>
          <cell r="D275">
            <v>0</v>
          </cell>
          <cell r="E275" t="str">
            <v>Immobilisations en cours</v>
          </cell>
        </row>
        <row r="276">
          <cell r="A276">
            <v>249715</v>
          </cell>
          <cell r="B276" t="str">
            <v>DEBOURS/VEHICULES DE TOURISME COURS</v>
          </cell>
          <cell r="C276" t="str">
            <v>Q08</v>
          </cell>
          <cell r="D276">
            <v>0</v>
          </cell>
          <cell r="E276" t="str">
            <v>Immobilisations en cours</v>
          </cell>
        </row>
        <row r="277">
          <cell r="A277">
            <v>249716</v>
          </cell>
          <cell r="B277" t="str">
            <v>FRAIS TRANSIT/VEHICULE TOURISME COURS</v>
          </cell>
          <cell r="C277" t="str">
            <v>Q08</v>
          </cell>
          <cell r="D277">
            <v>0</v>
          </cell>
          <cell r="E277" t="str">
            <v>Immobilisations en cours</v>
          </cell>
        </row>
        <row r="278">
          <cell r="A278">
            <v>249720</v>
          </cell>
          <cell r="B278" t="str">
            <v>PICK UP ET BUS EN CRS</v>
          </cell>
          <cell r="C278" t="str">
            <v>Q08</v>
          </cell>
          <cell r="D278">
            <v>0</v>
          </cell>
          <cell r="E278" t="str">
            <v>Immobilisations en cours</v>
          </cell>
        </row>
        <row r="279">
          <cell r="A279">
            <v>249721</v>
          </cell>
          <cell r="B279" t="str">
            <v>DROIT DE DOUANE/PICK UP ET BUS EN CRS</v>
          </cell>
          <cell r="C279" t="str">
            <v>Q08</v>
          </cell>
          <cell r="D279">
            <v>0</v>
          </cell>
          <cell r="E279" t="str">
            <v>Immobilisations en cours</v>
          </cell>
        </row>
        <row r="280">
          <cell r="A280">
            <v>249722</v>
          </cell>
          <cell r="B280" t="str">
            <v>FRET/PICK UP ET BUS EN CRS</v>
          </cell>
          <cell r="C280" t="str">
            <v>Q08</v>
          </cell>
          <cell r="D280">
            <v>0</v>
          </cell>
          <cell r="E280" t="str">
            <v>Immobilisations en cours</v>
          </cell>
        </row>
        <row r="281">
          <cell r="A281">
            <v>249723</v>
          </cell>
          <cell r="B281" t="str">
            <v>ASSU TRANS/PICK UP ET BUS EN CRS</v>
          </cell>
          <cell r="C281" t="str">
            <v>Q08</v>
          </cell>
          <cell r="D281">
            <v>0</v>
          </cell>
          <cell r="E281" t="str">
            <v>Immobilisations en cours</v>
          </cell>
        </row>
        <row r="282">
          <cell r="A282">
            <v>249724</v>
          </cell>
          <cell r="B282" t="str">
            <v>SGS/PICK UP ET BUS EN COURS</v>
          </cell>
          <cell r="C282" t="str">
            <v>Q08</v>
          </cell>
          <cell r="D282">
            <v>0</v>
          </cell>
          <cell r="E282" t="str">
            <v>Immobilisations en cours</v>
          </cell>
        </row>
        <row r="283">
          <cell r="A283">
            <v>249725</v>
          </cell>
          <cell r="B283" t="str">
            <v>DEBOURS/PICK UP ET BUS EN COURS</v>
          </cell>
          <cell r="C283" t="str">
            <v>Q08</v>
          </cell>
          <cell r="D283">
            <v>0</v>
          </cell>
          <cell r="E283" t="str">
            <v>Immobilisations en cours</v>
          </cell>
        </row>
        <row r="284">
          <cell r="A284">
            <v>249726</v>
          </cell>
          <cell r="B284" t="str">
            <v>FRAIS TRANSIT/PICK UP ET BUS EN COURS</v>
          </cell>
          <cell r="C284" t="str">
            <v>Q08</v>
          </cell>
          <cell r="D284">
            <v>0</v>
          </cell>
          <cell r="E284" t="str">
            <v>Immobilisations en cours</v>
          </cell>
        </row>
        <row r="285">
          <cell r="A285">
            <v>249730</v>
          </cell>
          <cell r="B285" t="str">
            <v>CAMIONS ET FOURGONS EN COURS</v>
          </cell>
          <cell r="C285" t="str">
            <v>Q08</v>
          </cell>
          <cell r="D285">
            <v>0</v>
          </cell>
          <cell r="E285" t="str">
            <v>Immobilisations en cours</v>
          </cell>
        </row>
        <row r="286">
          <cell r="A286">
            <v>249731</v>
          </cell>
          <cell r="B286" t="str">
            <v>DROIT DE DOUANE/CAMION&amp;FOUR EN CRS</v>
          </cell>
          <cell r="C286" t="str">
            <v>Q08</v>
          </cell>
          <cell r="D286">
            <v>0</v>
          </cell>
          <cell r="E286" t="str">
            <v>Immobilisations en cours</v>
          </cell>
        </row>
        <row r="287">
          <cell r="A287">
            <v>249732</v>
          </cell>
          <cell r="B287" t="str">
            <v>FRET/CAMION ET FOURGON EN CRS</v>
          </cell>
          <cell r="C287" t="str">
            <v>Q08</v>
          </cell>
          <cell r="D287">
            <v>0</v>
          </cell>
          <cell r="E287" t="str">
            <v>Immobilisations en cours</v>
          </cell>
        </row>
        <row r="288">
          <cell r="A288">
            <v>249733</v>
          </cell>
          <cell r="B288" t="str">
            <v>ASSU TRANS/CAMIONS ET FOURGONS EN CRS</v>
          </cell>
          <cell r="C288" t="str">
            <v>Q08</v>
          </cell>
          <cell r="D288">
            <v>0</v>
          </cell>
          <cell r="E288" t="str">
            <v>Immobilisations en cours</v>
          </cell>
        </row>
        <row r="289">
          <cell r="A289">
            <v>249734</v>
          </cell>
          <cell r="B289" t="str">
            <v>SGS/CAMIONS ET FOURGONS EN COURS</v>
          </cell>
          <cell r="C289" t="str">
            <v>Q08</v>
          </cell>
          <cell r="D289">
            <v>0</v>
          </cell>
          <cell r="E289" t="str">
            <v>Immobilisations en cours</v>
          </cell>
        </row>
        <row r="290">
          <cell r="A290">
            <v>249735</v>
          </cell>
          <cell r="B290" t="str">
            <v>DEBOURS/CAMION ET FOURGON EN COURS</v>
          </cell>
          <cell r="C290" t="str">
            <v>Q08</v>
          </cell>
          <cell r="D290">
            <v>0</v>
          </cell>
          <cell r="E290" t="str">
            <v>Immobilisations en cours</v>
          </cell>
        </row>
        <row r="291">
          <cell r="A291">
            <v>249736</v>
          </cell>
          <cell r="B291" t="str">
            <v>FRAIS TRANSIT/CAMIONS ET FOURGONS COURS</v>
          </cell>
          <cell r="C291" t="str">
            <v>Q08</v>
          </cell>
          <cell r="D291">
            <v>0</v>
          </cell>
          <cell r="E291" t="str">
            <v>Immobilisations en cours</v>
          </cell>
        </row>
        <row r="292">
          <cell r="A292">
            <v>249740</v>
          </cell>
          <cell r="B292" t="str">
            <v>TRACTEURS ET REMORQUES EN COURS</v>
          </cell>
          <cell r="C292" t="str">
            <v>Q08</v>
          </cell>
          <cell r="D292">
            <v>0</v>
          </cell>
          <cell r="E292" t="str">
            <v>Immobilisations en cours</v>
          </cell>
        </row>
        <row r="293">
          <cell r="A293">
            <v>249741</v>
          </cell>
          <cell r="B293" t="str">
            <v>DROIT DE DOUANE/TRACTEUR&amp;REMO EN CRS</v>
          </cell>
          <cell r="C293" t="str">
            <v>Q08</v>
          </cell>
          <cell r="D293">
            <v>0</v>
          </cell>
          <cell r="E293" t="str">
            <v>Immobilisations en cours</v>
          </cell>
        </row>
        <row r="294">
          <cell r="A294">
            <v>249742</v>
          </cell>
          <cell r="B294" t="str">
            <v>FRET/TRACTEURS ET REMORQUES EN COURS</v>
          </cell>
          <cell r="C294" t="str">
            <v>Q08</v>
          </cell>
          <cell r="D294">
            <v>0</v>
          </cell>
          <cell r="E294" t="str">
            <v>Immobilisations en cours</v>
          </cell>
        </row>
        <row r="295">
          <cell r="A295">
            <v>249743</v>
          </cell>
          <cell r="B295" t="str">
            <v>ASSU TRANS/TRACTEURS ET REMORQUES EN CRS</v>
          </cell>
          <cell r="C295" t="str">
            <v>Q08</v>
          </cell>
          <cell r="D295">
            <v>0</v>
          </cell>
          <cell r="E295" t="str">
            <v>Immobilisations en cours</v>
          </cell>
        </row>
        <row r="296">
          <cell r="A296">
            <v>249744</v>
          </cell>
          <cell r="B296" t="str">
            <v>SGS/TRACTEURS&amp;REMORQUES EN COURS</v>
          </cell>
          <cell r="C296" t="str">
            <v>Q08</v>
          </cell>
          <cell r="D296">
            <v>0</v>
          </cell>
          <cell r="E296" t="str">
            <v>Immobilisations en cours</v>
          </cell>
        </row>
        <row r="297">
          <cell r="A297">
            <v>249745</v>
          </cell>
          <cell r="B297" t="str">
            <v>DEBOURS/TRACTEUR&amp;REMORQUE EN COURS</v>
          </cell>
          <cell r="C297" t="str">
            <v>Q08</v>
          </cell>
          <cell r="D297">
            <v>0</v>
          </cell>
          <cell r="E297" t="str">
            <v>Immobilisations en cours</v>
          </cell>
        </row>
        <row r="298">
          <cell r="A298">
            <v>249746</v>
          </cell>
          <cell r="B298" t="str">
            <v>FRAIS TRANSIT/TRACTEUR ET REMORQUE COURS</v>
          </cell>
          <cell r="C298" t="str">
            <v>Q08</v>
          </cell>
          <cell r="D298">
            <v>0</v>
          </cell>
          <cell r="E298" t="str">
            <v>Immobilisations en cours</v>
          </cell>
        </row>
        <row r="299">
          <cell r="A299">
            <v>249750</v>
          </cell>
          <cell r="B299" t="str">
            <v>MAT MANUTENTION-CHARIOT ELEV EN CRS</v>
          </cell>
          <cell r="C299" t="str">
            <v>Q08</v>
          </cell>
          <cell r="D299">
            <v>0</v>
          </cell>
          <cell r="E299" t="str">
            <v>Immobilisations en cours</v>
          </cell>
        </row>
        <row r="300">
          <cell r="A300">
            <v>249751</v>
          </cell>
          <cell r="B300" t="str">
            <v>DROIT DE DOUANE/MAT MANU EN CRS</v>
          </cell>
          <cell r="C300" t="str">
            <v>Q08</v>
          </cell>
          <cell r="D300">
            <v>0</v>
          </cell>
          <cell r="E300" t="str">
            <v>Immobilisations en cours</v>
          </cell>
        </row>
        <row r="301">
          <cell r="A301">
            <v>249752</v>
          </cell>
          <cell r="B301" t="str">
            <v>FRET/MATERIEL MANU-CHARIOT EN CRS</v>
          </cell>
          <cell r="C301" t="str">
            <v>Q08</v>
          </cell>
          <cell r="D301">
            <v>0</v>
          </cell>
          <cell r="E301" t="str">
            <v>Immobilisations en cours</v>
          </cell>
        </row>
        <row r="302">
          <cell r="A302">
            <v>249753</v>
          </cell>
          <cell r="B302" t="str">
            <v>ASSU TRANS/MAT MANUTENTION-CHARIOT CRS</v>
          </cell>
          <cell r="C302" t="str">
            <v>Q08</v>
          </cell>
          <cell r="D302">
            <v>0</v>
          </cell>
          <cell r="E302" t="str">
            <v>Immobilisations en cours</v>
          </cell>
        </row>
        <row r="303">
          <cell r="A303">
            <v>249754</v>
          </cell>
          <cell r="B303" t="str">
            <v>SGS/MATERIEL MANU-CHARIOT EN COURS</v>
          </cell>
          <cell r="C303" t="str">
            <v>Q08</v>
          </cell>
          <cell r="D303">
            <v>0</v>
          </cell>
          <cell r="E303" t="str">
            <v>Immobilisations en cours</v>
          </cell>
        </row>
        <row r="304">
          <cell r="A304">
            <v>249755</v>
          </cell>
          <cell r="B304" t="str">
            <v>DEBOURS/MATERIEL MANU-CHARIOT EN COURS</v>
          </cell>
          <cell r="C304" t="str">
            <v>Q08</v>
          </cell>
          <cell r="D304">
            <v>0</v>
          </cell>
          <cell r="E304" t="str">
            <v>Immobilisations en cours</v>
          </cell>
        </row>
        <row r="305">
          <cell r="A305">
            <v>249756</v>
          </cell>
          <cell r="B305" t="str">
            <v>FRAIS TRANSIT/MATERIEL MANU EN COURS</v>
          </cell>
          <cell r="C305" t="str">
            <v>Q08</v>
          </cell>
          <cell r="D305">
            <v>0</v>
          </cell>
          <cell r="E305" t="str">
            <v>Immobilisations en cours</v>
          </cell>
        </row>
        <row r="306">
          <cell r="A306">
            <v>249760</v>
          </cell>
          <cell r="B306" t="str">
            <v>MOTOS-VELOMOTEURS EN COURS</v>
          </cell>
          <cell r="C306" t="str">
            <v>Q08</v>
          </cell>
          <cell r="D306">
            <v>0</v>
          </cell>
          <cell r="E306" t="str">
            <v>Immobilisations en cours</v>
          </cell>
        </row>
        <row r="307">
          <cell r="A307">
            <v>249761</v>
          </cell>
          <cell r="B307" t="str">
            <v>DROIT DE DOUANE/MOTO-VELOMOTEUR EN CRS</v>
          </cell>
          <cell r="C307" t="str">
            <v>Q08</v>
          </cell>
          <cell r="D307">
            <v>0</v>
          </cell>
          <cell r="E307" t="str">
            <v>Immobilisations en cours</v>
          </cell>
        </row>
        <row r="308">
          <cell r="A308">
            <v>249762</v>
          </cell>
          <cell r="B308" t="str">
            <v>FRET/MOTO-VELOMOTEURS EN CRS</v>
          </cell>
          <cell r="C308" t="str">
            <v>Q08</v>
          </cell>
          <cell r="D308">
            <v>0</v>
          </cell>
          <cell r="E308" t="str">
            <v>Immobilisations en cours</v>
          </cell>
        </row>
        <row r="309">
          <cell r="A309">
            <v>249763</v>
          </cell>
          <cell r="B309" t="str">
            <v>ASSU TRANS/MOTO-VELOMOTEUR EN COURS</v>
          </cell>
          <cell r="C309" t="str">
            <v>Q08</v>
          </cell>
          <cell r="D309">
            <v>0</v>
          </cell>
          <cell r="E309" t="str">
            <v>Immobilisations en cours</v>
          </cell>
        </row>
        <row r="310">
          <cell r="A310">
            <v>249764</v>
          </cell>
          <cell r="B310" t="str">
            <v>SGS/MOTO-VELOMOTEURS EN COURS</v>
          </cell>
          <cell r="C310" t="str">
            <v>Q08</v>
          </cell>
          <cell r="D310">
            <v>0</v>
          </cell>
          <cell r="E310" t="str">
            <v>Immobilisations en cours</v>
          </cell>
        </row>
        <row r="311">
          <cell r="A311">
            <v>249765</v>
          </cell>
          <cell r="B311" t="str">
            <v>DEBOURS/MOTO-VELOMOTEUR EN COURS</v>
          </cell>
          <cell r="C311" t="str">
            <v>Q08</v>
          </cell>
          <cell r="D311">
            <v>0</v>
          </cell>
          <cell r="E311" t="str">
            <v>Immobilisations en cours</v>
          </cell>
        </row>
        <row r="312">
          <cell r="A312">
            <v>249766</v>
          </cell>
          <cell r="B312" t="str">
            <v>FRAIS TRANSIT/MOTO-VELOMOTEUR EN COURS</v>
          </cell>
          <cell r="C312" t="str">
            <v>Q08</v>
          </cell>
          <cell r="D312">
            <v>0</v>
          </cell>
          <cell r="E312" t="str">
            <v>Immobilisations en cours</v>
          </cell>
        </row>
        <row r="313">
          <cell r="A313">
            <v>249770</v>
          </cell>
          <cell r="B313" t="str">
            <v>PIECES DE RECHANGES IMMO SUR MAT ROULANT</v>
          </cell>
          <cell r="C313" t="str">
            <v>Q08</v>
          </cell>
          <cell r="D313">
            <v>0</v>
          </cell>
          <cell r="E313" t="str">
            <v>Immobilisations en cours</v>
          </cell>
        </row>
        <row r="314">
          <cell r="A314">
            <v>249771</v>
          </cell>
          <cell r="B314" t="str">
            <v>DROIT DE DOUANE/PR IMMO MAT ROULANT CRS</v>
          </cell>
          <cell r="C314" t="str">
            <v>Q08</v>
          </cell>
          <cell r="D314">
            <v>0</v>
          </cell>
          <cell r="E314" t="str">
            <v>Immobilisations en cours</v>
          </cell>
        </row>
        <row r="315">
          <cell r="A315">
            <v>249772</v>
          </cell>
          <cell r="B315" t="str">
            <v>FRET/PIECES DE RECHANGE IMMO MAT ROU CRS</v>
          </cell>
          <cell r="C315" t="str">
            <v>Q08</v>
          </cell>
          <cell r="D315">
            <v>0</v>
          </cell>
          <cell r="E315" t="str">
            <v>Immobilisations en cours</v>
          </cell>
        </row>
        <row r="316">
          <cell r="A316">
            <v>249773</v>
          </cell>
          <cell r="B316" t="str">
            <v>ASSU TRANS/PR IMMO SUR MAT ROULA CRS</v>
          </cell>
          <cell r="C316" t="str">
            <v>Q08</v>
          </cell>
          <cell r="D316">
            <v>0</v>
          </cell>
          <cell r="E316" t="str">
            <v>Immobilisations en cours</v>
          </cell>
        </row>
        <row r="317">
          <cell r="A317">
            <v>249774</v>
          </cell>
          <cell r="B317" t="str">
            <v>SGS/PR MAT ROULANT CRS</v>
          </cell>
          <cell r="C317" t="str">
            <v>Q08</v>
          </cell>
          <cell r="D317">
            <v>0</v>
          </cell>
          <cell r="E317" t="str">
            <v>Immobilisations en cours</v>
          </cell>
        </row>
        <row r="318">
          <cell r="A318">
            <v>249775</v>
          </cell>
          <cell r="B318" t="str">
            <v>DEBOURS/PR IMMO SUR MAT ROULANT EN COURS</v>
          </cell>
          <cell r="C318" t="str">
            <v>Q08</v>
          </cell>
          <cell r="D318">
            <v>0</v>
          </cell>
          <cell r="E318" t="str">
            <v>Immobilisations en cours</v>
          </cell>
        </row>
        <row r="319">
          <cell r="A319">
            <v>249776</v>
          </cell>
          <cell r="B319" t="str">
            <v>FRAIS TRANSI/PR MAT ROULANT EN COURS</v>
          </cell>
          <cell r="C319" t="str">
            <v>Q08</v>
          </cell>
          <cell r="D319">
            <v>0</v>
          </cell>
          <cell r="E319" t="str">
            <v>Immobilisations en cours</v>
          </cell>
        </row>
        <row r="320">
          <cell r="A320">
            <v>252000</v>
          </cell>
          <cell r="B320" t="str">
            <v>AVANCE ET ACOMPTE CDE IMMOB FOUR CAM</v>
          </cell>
          <cell r="C320" t="str">
            <v>Q08</v>
          </cell>
          <cell r="D320">
            <v>0</v>
          </cell>
          <cell r="E320" t="str">
            <v>Immobilisations en cours</v>
          </cell>
        </row>
        <row r="321">
          <cell r="A321">
            <v>261000</v>
          </cell>
          <cell r="B321" t="str">
            <v>TITRES PARTI. STES SS CTROLE EXCLUSIF</v>
          </cell>
          <cell r="C321" t="str">
            <v>Q091</v>
          </cell>
          <cell r="D321">
            <v>0</v>
          </cell>
          <cell r="E321" t="str">
            <v>Titres de participation</v>
          </cell>
        </row>
        <row r="322">
          <cell r="A322">
            <v>268000</v>
          </cell>
          <cell r="B322" t="str">
            <v>AUTRES TITRES PARTICIPATION</v>
          </cell>
          <cell r="C322" t="str">
            <v>Q091</v>
          </cell>
          <cell r="D322">
            <v>0</v>
          </cell>
          <cell r="E322" t="str">
            <v>Titres de participation</v>
          </cell>
        </row>
        <row r="323">
          <cell r="A323">
            <v>271000</v>
          </cell>
          <cell r="B323" t="str">
            <v>AUTRES VALEURS IMMO TAMPON</v>
          </cell>
          <cell r="C323" t="str">
            <v>Q094</v>
          </cell>
          <cell r="D323">
            <v>0</v>
          </cell>
          <cell r="E323" t="str">
            <v>Titres à court terme</v>
          </cell>
        </row>
        <row r="324">
          <cell r="A324">
            <v>275100</v>
          </cell>
          <cell r="B324" t="str">
            <v>DEPOTS POUR LOYERS D'AVANCE</v>
          </cell>
          <cell r="C324" t="str">
            <v>Q092</v>
          </cell>
          <cell r="D324">
            <v>0</v>
          </cell>
          <cell r="E324" t="str">
            <v>Cautionnements divers</v>
          </cell>
        </row>
        <row r="325">
          <cell r="A325">
            <v>275200</v>
          </cell>
          <cell r="B325" t="str">
            <v>DEPOT POUR ELECTRICITE</v>
          </cell>
          <cell r="C325" t="str">
            <v>Q092</v>
          </cell>
          <cell r="D325">
            <v>0</v>
          </cell>
          <cell r="E325" t="str">
            <v>Cautionnements divers</v>
          </cell>
        </row>
        <row r="326">
          <cell r="A326">
            <v>275300</v>
          </cell>
          <cell r="B326" t="str">
            <v>DEPOT POUR L'EAU</v>
          </cell>
          <cell r="C326" t="str">
            <v>Q092</v>
          </cell>
          <cell r="D326">
            <v>0</v>
          </cell>
          <cell r="E326" t="str">
            <v>Cautionnements divers</v>
          </cell>
        </row>
        <row r="327">
          <cell r="A327">
            <v>275500</v>
          </cell>
          <cell r="B327" t="str">
            <v>DEPOTS POUR POSTES ET TELECOM</v>
          </cell>
          <cell r="C327" t="str">
            <v>Q092</v>
          </cell>
          <cell r="D327">
            <v>0</v>
          </cell>
          <cell r="E327" t="str">
            <v>Cautionnements divers</v>
          </cell>
        </row>
        <row r="328">
          <cell r="A328">
            <v>275800</v>
          </cell>
          <cell r="B328" t="str">
            <v>AUTRES DEPOTS ET CAUTIONNEMENTS</v>
          </cell>
          <cell r="C328" t="str">
            <v>Q092</v>
          </cell>
          <cell r="D328">
            <v>0</v>
          </cell>
          <cell r="E328" t="str">
            <v>Cautionnements divers</v>
          </cell>
        </row>
        <row r="329">
          <cell r="A329">
            <v>275860</v>
          </cell>
          <cell r="B329" t="str">
            <v>CAUTION CAISSE RETR/VIEILL.</v>
          </cell>
          <cell r="C329" t="str">
            <v>Q092</v>
          </cell>
          <cell r="D329">
            <v>0</v>
          </cell>
          <cell r="E329" t="str">
            <v>Cautionnements divers</v>
          </cell>
        </row>
        <row r="330">
          <cell r="A330">
            <v>275890</v>
          </cell>
          <cell r="B330" t="str">
            <v>CAUTIONS CONTENTIEUSES</v>
          </cell>
          <cell r="C330" t="str">
            <v>Q092</v>
          </cell>
          <cell r="D330">
            <v>0</v>
          </cell>
          <cell r="E330" t="str">
            <v>Cautionnements divers</v>
          </cell>
        </row>
        <row r="331">
          <cell r="A331">
            <v>276400</v>
          </cell>
          <cell r="B331" t="str">
            <v>INTERETS COURUS SUR TITRESIMMOB</v>
          </cell>
          <cell r="C331" t="str">
            <v>Q094</v>
          </cell>
          <cell r="D331">
            <v>0</v>
          </cell>
          <cell r="E331" t="str">
            <v>Titres à court terme</v>
          </cell>
        </row>
        <row r="332">
          <cell r="A332">
            <v>278200</v>
          </cell>
          <cell r="B332" t="str">
            <v>PRETS A PLUS 1 AN</v>
          </cell>
          <cell r="C332" t="str">
            <v>Q094</v>
          </cell>
          <cell r="D332">
            <v>0</v>
          </cell>
          <cell r="E332" t="str">
            <v>Titres à court terme</v>
          </cell>
        </row>
        <row r="333">
          <cell r="A333">
            <v>278210</v>
          </cell>
          <cell r="B333" t="str">
            <v>PRETS AUX TRANSPORTEURS</v>
          </cell>
          <cell r="C333" t="str">
            <v>Q094</v>
          </cell>
          <cell r="D333">
            <v>0</v>
          </cell>
          <cell r="E333" t="str">
            <v>Titres à court terme</v>
          </cell>
        </row>
        <row r="334">
          <cell r="A334">
            <v>278211</v>
          </cell>
          <cell r="B334" t="str">
            <v>PRETS AUX TRANPORTEURS CONTENTIEUX</v>
          </cell>
          <cell r="C334" t="str">
            <v>Q094</v>
          </cell>
          <cell r="D334">
            <v>0</v>
          </cell>
          <cell r="E334" t="str">
            <v>Titres à court terme</v>
          </cell>
        </row>
        <row r="335">
          <cell r="A335">
            <v>278212</v>
          </cell>
          <cell r="B335" t="str">
            <v>PRETS AUX STES GROUPES</v>
          </cell>
          <cell r="C335" t="str">
            <v>Q094</v>
          </cell>
          <cell r="D335">
            <v>0</v>
          </cell>
          <cell r="E335" t="str">
            <v>Titres à court terme</v>
          </cell>
        </row>
        <row r="336">
          <cell r="A336">
            <v>278213</v>
          </cell>
          <cell r="B336" t="str">
            <v>PRETS AUX CLIENTS</v>
          </cell>
          <cell r="C336" t="str">
            <v>Q094</v>
          </cell>
          <cell r="D336">
            <v>0</v>
          </cell>
          <cell r="E336" t="str">
            <v>Titres à court terme</v>
          </cell>
        </row>
        <row r="337">
          <cell r="A337">
            <v>278214</v>
          </cell>
          <cell r="B337" t="str">
            <v>PRETSAUX CLIENTS CONTENTIEUX</v>
          </cell>
          <cell r="C337" t="str">
            <v>Q094</v>
          </cell>
          <cell r="D337">
            <v>0</v>
          </cell>
          <cell r="E337" t="str">
            <v>Titres à court terme</v>
          </cell>
        </row>
        <row r="338">
          <cell r="A338">
            <v>281000</v>
          </cell>
          <cell r="B338" t="str">
            <v>AMMORT IMMO INCOR TAMPON</v>
          </cell>
          <cell r="C338" t="str">
            <v>Q011</v>
          </cell>
          <cell r="D338" t="str">
            <v>Amort</v>
          </cell>
          <cell r="E338" t="str">
            <v>Immobilisations incorporelles</v>
          </cell>
        </row>
        <row r="339">
          <cell r="A339">
            <v>281300</v>
          </cell>
          <cell r="B339" t="str">
            <v>AMORTISSEMENTS LOGICIELS INFORMATIQUES</v>
          </cell>
          <cell r="C339" t="str">
            <v>Q011</v>
          </cell>
          <cell r="D339" t="str">
            <v>Amort</v>
          </cell>
          <cell r="E339" t="str">
            <v>Immobilisations incorporelles</v>
          </cell>
        </row>
        <row r="340">
          <cell r="A340">
            <v>281360</v>
          </cell>
          <cell r="B340" t="str">
            <v>AMORTS REEVALUAT BATIMENTS/CONSTRUCTION</v>
          </cell>
          <cell r="C340" t="str">
            <v>Q03</v>
          </cell>
          <cell r="D340" t="str">
            <v>Amort</v>
          </cell>
          <cell r="E340" t="str">
            <v>Bâtiments</v>
          </cell>
        </row>
        <row r="341">
          <cell r="A341">
            <v>283110</v>
          </cell>
          <cell r="B341" t="str">
            <v>AMORTS BATIMENTS INDUSTRIELS</v>
          </cell>
          <cell r="C341" t="str">
            <v>Q03</v>
          </cell>
          <cell r="D341" t="str">
            <v>Amort</v>
          </cell>
          <cell r="E341" t="str">
            <v>Bâtiments</v>
          </cell>
        </row>
        <row r="342">
          <cell r="A342">
            <v>283111</v>
          </cell>
          <cell r="B342" t="str">
            <v>AMTS BATIMENTS INDUST.COMP.REEV.</v>
          </cell>
          <cell r="C342" t="str">
            <v>Q03</v>
          </cell>
          <cell r="D342" t="str">
            <v>Amort</v>
          </cell>
          <cell r="E342" t="str">
            <v>Bâtiments</v>
          </cell>
        </row>
        <row r="343">
          <cell r="A343">
            <v>283112</v>
          </cell>
          <cell r="B343" t="str">
            <v>AMTS BATIMENTS INDUST.REEMP/REEV</v>
          </cell>
          <cell r="C343" t="str">
            <v>Q03</v>
          </cell>
          <cell r="D343" t="str">
            <v>Amort</v>
          </cell>
          <cell r="E343" t="str">
            <v>Bâtiments</v>
          </cell>
        </row>
        <row r="344">
          <cell r="A344">
            <v>283130</v>
          </cell>
          <cell r="B344" t="str">
            <v>AMTS BATIMENTS ADMINIST.ET COMM.</v>
          </cell>
          <cell r="C344" t="str">
            <v>Q03</v>
          </cell>
          <cell r="D344" t="str">
            <v>Amort</v>
          </cell>
          <cell r="E344" t="str">
            <v>Bâtiments</v>
          </cell>
        </row>
        <row r="345">
          <cell r="A345">
            <v>283131</v>
          </cell>
          <cell r="B345" t="str">
            <v>AMTS BATIMENT ADM.COM.COMPL.REEV</v>
          </cell>
          <cell r="C345" t="str">
            <v>Q03</v>
          </cell>
          <cell r="D345" t="str">
            <v>Amort</v>
          </cell>
          <cell r="E345" t="str">
            <v>Bâtiments</v>
          </cell>
        </row>
        <row r="346">
          <cell r="A346">
            <v>283132</v>
          </cell>
          <cell r="B346" t="str">
            <v>AMTS BATIMENTS COMM.REEMPL/REEV</v>
          </cell>
          <cell r="C346" t="str">
            <v>Q03</v>
          </cell>
          <cell r="D346" t="str">
            <v>Amort</v>
          </cell>
          <cell r="E346" t="str">
            <v>Bâtiments</v>
          </cell>
        </row>
        <row r="347">
          <cell r="A347">
            <v>283140</v>
          </cell>
          <cell r="B347" t="str">
            <v>AMTS CONSTRUCTIONS LOGEMENTS</v>
          </cell>
          <cell r="C347" t="str">
            <v>Q03</v>
          </cell>
          <cell r="D347" t="str">
            <v>Amort</v>
          </cell>
          <cell r="E347" t="str">
            <v>Bâtiments</v>
          </cell>
        </row>
        <row r="348">
          <cell r="A348">
            <v>283141</v>
          </cell>
          <cell r="B348" t="str">
            <v>AMTS CONSTRUCT LOGEM.COMPL.REEV.</v>
          </cell>
          <cell r="C348" t="str">
            <v>Q03</v>
          </cell>
          <cell r="D348" t="str">
            <v>Amort</v>
          </cell>
          <cell r="E348" t="str">
            <v>Bâtiments</v>
          </cell>
        </row>
        <row r="349">
          <cell r="A349">
            <v>283310</v>
          </cell>
          <cell r="B349" t="str">
            <v>AMORTS ROUTES ET CLOTURES</v>
          </cell>
          <cell r="C349" t="str">
            <v>Q03</v>
          </cell>
          <cell r="D349" t="str">
            <v>Amort</v>
          </cell>
          <cell r="E349" t="str">
            <v>Bâtiments</v>
          </cell>
        </row>
        <row r="350">
          <cell r="A350">
            <v>283311</v>
          </cell>
          <cell r="B350" t="str">
            <v>AMTS ROUTES &amp; CLOTURES COMP.REEV</v>
          </cell>
          <cell r="C350" t="str">
            <v>Q03</v>
          </cell>
          <cell r="D350" t="str">
            <v>Amort</v>
          </cell>
          <cell r="E350" t="str">
            <v>Bâtiments</v>
          </cell>
        </row>
        <row r="351">
          <cell r="A351">
            <v>283320</v>
          </cell>
          <cell r="B351" t="str">
            <v>AMORTS VOIES FERREES</v>
          </cell>
          <cell r="C351" t="str">
            <v>Q03</v>
          </cell>
          <cell r="D351" t="str">
            <v>Amort</v>
          </cell>
          <cell r="E351" t="str">
            <v>Bâtiments</v>
          </cell>
        </row>
        <row r="352">
          <cell r="A352">
            <v>283321</v>
          </cell>
          <cell r="B352" t="str">
            <v>AMORTS VOIES FERREES COMPL.REEV.</v>
          </cell>
          <cell r="C352" t="str">
            <v>Q03</v>
          </cell>
          <cell r="D352" t="str">
            <v>Amort</v>
          </cell>
          <cell r="E352" t="str">
            <v>Bâtiments</v>
          </cell>
        </row>
        <row r="353">
          <cell r="A353">
            <v>283870</v>
          </cell>
          <cell r="B353" t="str">
            <v>AMTS AGENCEMENTS VILLAS</v>
          </cell>
          <cell r="C353" t="str">
            <v>Q03</v>
          </cell>
          <cell r="D353" t="str">
            <v>Amort</v>
          </cell>
          <cell r="E353" t="str">
            <v>Bâtiments</v>
          </cell>
        </row>
        <row r="354">
          <cell r="A354">
            <v>283880</v>
          </cell>
          <cell r="B354" t="str">
            <v>AMTS AGENCEMENTS INSTALLATIONS</v>
          </cell>
          <cell r="C354" t="str">
            <v>Q03</v>
          </cell>
          <cell r="D354" t="str">
            <v>Amort</v>
          </cell>
          <cell r="E354" t="str">
            <v>Bâtiments</v>
          </cell>
        </row>
        <row r="355">
          <cell r="A355">
            <v>283891</v>
          </cell>
          <cell r="B355" t="str">
            <v>AMORT PROV/IMMOBILISATIONS</v>
          </cell>
          <cell r="C355" t="str">
            <v>Q04</v>
          </cell>
          <cell r="D355" t="str">
            <v>Amort</v>
          </cell>
          <cell r="E355" t="str">
            <v>Intallations techniques</v>
          </cell>
        </row>
        <row r="356">
          <cell r="A356">
            <v>284000</v>
          </cell>
          <cell r="B356" t="str">
            <v>AMMORT IMMO COR TAMPON</v>
          </cell>
          <cell r="C356" t="str">
            <v>Q04</v>
          </cell>
          <cell r="D356" t="str">
            <v>Amort</v>
          </cell>
          <cell r="E356" t="str">
            <v>Intallations techniques</v>
          </cell>
        </row>
        <row r="357">
          <cell r="A357">
            <v>284110</v>
          </cell>
          <cell r="B357" t="str">
            <v>AMORTS MATERIEL USINES</v>
          </cell>
          <cell r="C357" t="str">
            <v>Q04</v>
          </cell>
          <cell r="D357" t="str">
            <v>Amort</v>
          </cell>
          <cell r="E357" t="str">
            <v>Intallations techniques</v>
          </cell>
        </row>
        <row r="358">
          <cell r="A358">
            <v>284111</v>
          </cell>
          <cell r="B358" t="str">
            <v>AMTS MATERIEL USINES COMPL.REEV.</v>
          </cell>
          <cell r="C358" t="str">
            <v>Q04</v>
          </cell>
          <cell r="D358" t="str">
            <v>Amort</v>
          </cell>
          <cell r="E358" t="str">
            <v>Intallations techniques</v>
          </cell>
        </row>
        <row r="359">
          <cell r="A359">
            <v>284112</v>
          </cell>
          <cell r="B359" t="str">
            <v>AMTS MATERIEL USINES REEMPL/REEV</v>
          </cell>
          <cell r="C359" t="str">
            <v>Q04</v>
          </cell>
          <cell r="D359" t="str">
            <v>Amort</v>
          </cell>
          <cell r="E359" t="str">
            <v>Intallations techniques</v>
          </cell>
        </row>
        <row r="360">
          <cell r="A360">
            <v>284113</v>
          </cell>
          <cell r="B360" t="str">
            <v>AMTS AUTRES MAT.(LABO,SOCIAL)</v>
          </cell>
          <cell r="C360" t="str">
            <v>Q04</v>
          </cell>
          <cell r="D360" t="str">
            <v>Amort</v>
          </cell>
          <cell r="E360" t="str">
            <v>Intallations techniques</v>
          </cell>
        </row>
        <row r="361">
          <cell r="A361">
            <v>284114</v>
          </cell>
          <cell r="B361" t="str">
            <v>AMTS AUTRES MAT.COMPL.REEVAL</v>
          </cell>
          <cell r="C361" t="str">
            <v>Q04</v>
          </cell>
          <cell r="D361" t="str">
            <v>Amort</v>
          </cell>
          <cell r="E361" t="str">
            <v>Intallations techniques</v>
          </cell>
        </row>
        <row r="362">
          <cell r="A362">
            <v>284120</v>
          </cell>
          <cell r="B362" t="str">
            <v>AMORTS DE L'OUTILLAGE</v>
          </cell>
          <cell r="C362" t="str">
            <v>Q05</v>
          </cell>
          <cell r="D362" t="str">
            <v>Amort</v>
          </cell>
          <cell r="E362" t="str">
            <v>Matériel et outillage</v>
          </cell>
        </row>
        <row r="363">
          <cell r="A363">
            <v>284121</v>
          </cell>
          <cell r="B363" t="str">
            <v>AMORTS DE L'OUTILLAGE COMPL.REEV</v>
          </cell>
          <cell r="C363" t="str">
            <v>Q05</v>
          </cell>
          <cell r="D363" t="str">
            <v>Amort</v>
          </cell>
          <cell r="E363" t="str">
            <v>Matériel et outillage</v>
          </cell>
        </row>
        <row r="364">
          <cell r="A364">
            <v>284130</v>
          </cell>
          <cell r="B364" t="str">
            <v>AMORTS MATERIELS PUBLICITAIRES</v>
          </cell>
          <cell r="C364" t="str">
            <v>Q07</v>
          </cell>
          <cell r="D364" t="str">
            <v>Amort</v>
          </cell>
          <cell r="E364" t="str">
            <v>Matériel et mobilier de bureau</v>
          </cell>
        </row>
        <row r="365">
          <cell r="A365">
            <v>284131</v>
          </cell>
          <cell r="B365" t="str">
            <v>AMORTS MATERIELS PUB.COMPL.REEV.</v>
          </cell>
          <cell r="C365" t="str">
            <v>Q07</v>
          </cell>
          <cell r="D365" t="str">
            <v>Amort</v>
          </cell>
          <cell r="E365" t="str">
            <v>Matériel et mobilier de bureau</v>
          </cell>
        </row>
        <row r="366">
          <cell r="A366">
            <v>284160</v>
          </cell>
          <cell r="B366" t="str">
            <v>AMORTS REEVALUATION  MATERIEL USINES/OUT</v>
          </cell>
          <cell r="C366" t="str">
            <v>Q05</v>
          </cell>
          <cell r="D366" t="str">
            <v>Amort</v>
          </cell>
          <cell r="E366" t="str">
            <v>Matériel et outillage</v>
          </cell>
        </row>
        <row r="367">
          <cell r="A367">
            <v>284410</v>
          </cell>
          <cell r="B367" t="str">
            <v>AMORTS MATERIEL DE BUREAU</v>
          </cell>
          <cell r="C367" t="str">
            <v>Q07</v>
          </cell>
          <cell r="D367" t="str">
            <v>Amort</v>
          </cell>
          <cell r="E367" t="str">
            <v>Matériel et mobilier de bureau</v>
          </cell>
        </row>
        <row r="368">
          <cell r="A368">
            <v>284411</v>
          </cell>
          <cell r="B368" t="str">
            <v>AMORTS MAT.DE BUREAU COMPL.REEV.</v>
          </cell>
          <cell r="C368" t="str">
            <v>Q07</v>
          </cell>
          <cell r="D368" t="str">
            <v>Amort</v>
          </cell>
          <cell r="E368" t="str">
            <v>Matériel et mobilier de bureau</v>
          </cell>
        </row>
        <row r="369">
          <cell r="A369">
            <v>284420</v>
          </cell>
          <cell r="B369" t="str">
            <v>AMORTS MATERIEL INFORMATIQUE</v>
          </cell>
          <cell r="C369" t="str">
            <v>Q07</v>
          </cell>
          <cell r="D369" t="str">
            <v>Amort</v>
          </cell>
          <cell r="E369" t="str">
            <v>Matériel et mobilier de bureau</v>
          </cell>
        </row>
        <row r="370">
          <cell r="A370">
            <v>284430</v>
          </cell>
          <cell r="B370" t="str">
            <v>AMORTS MATERIEL BUREAUTIQUE</v>
          </cell>
          <cell r="C370" t="str">
            <v>Q07</v>
          </cell>
          <cell r="D370" t="str">
            <v>Amort</v>
          </cell>
          <cell r="E370" t="str">
            <v>Matériel et mobilier de bureau</v>
          </cell>
        </row>
        <row r="371">
          <cell r="A371">
            <v>284440</v>
          </cell>
          <cell r="B371" t="str">
            <v>AMORTS DU MOBILIER DE BUREAU</v>
          </cell>
          <cell r="C371" t="str">
            <v>Q07</v>
          </cell>
          <cell r="D371" t="str">
            <v>Amort</v>
          </cell>
          <cell r="E371" t="str">
            <v>Matériel et mobilier de bureau</v>
          </cell>
        </row>
        <row r="372">
          <cell r="A372">
            <v>284460</v>
          </cell>
          <cell r="B372" t="str">
            <v>AMORTS REEVALUAT MAT BUREAU/MOBIL/INFO</v>
          </cell>
          <cell r="C372" t="str">
            <v>Q07</v>
          </cell>
          <cell r="D372" t="str">
            <v>Amort</v>
          </cell>
          <cell r="E372" t="str">
            <v>Matériel et mobilier de bureau</v>
          </cell>
        </row>
        <row r="373">
          <cell r="A373">
            <v>284467</v>
          </cell>
          <cell r="B373" t="str">
            <v>AMORTISSEMENT AGENCEMENT/ INSTALLATION</v>
          </cell>
          <cell r="C373" t="str">
            <v>Q07</v>
          </cell>
          <cell r="D373" t="str">
            <v>Amort</v>
          </cell>
          <cell r="E373" t="str">
            <v>Matériel et mobilier de bureau</v>
          </cell>
        </row>
        <row r="374">
          <cell r="A374">
            <v>284468</v>
          </cell>
          <cell r="B374" t="str">
            <v>AMTS/REEVAL.AGENCEMENTS INSTALL.</v>
          </cell>
          <cell r="C374" t="str">
            <v>Q07</v>
          </cell>
          <cell r="D374" t="str">
            <v>Amort</v>
          </cell>
          <cell r="E374" t="str">
            <v>Matériel et mobilier de bureau</v>
          </cell>
        </row>
        <row r="375">
          <cell r="A375">
            <v>284470</v>
          </cell>
          <cell r="B375" t="str">
            <v>AMTS MAT ET MOBILIER LOGEMENTS</v>
          </cell>
          <cell r="C375" t="str">
            <v>Q07</v>
          </cell>
          <cell r="D375" t="str">
            <v>Amort</v>
          </cell>
          <cell r="E375" t="str">
            <v>Matériel et mobilier de bureau</v>
          </cell>
        </row>
        <row r="376">
          <cell r="A376">
            <v>284471</v>
          </cell>
          <cell r="B376" t="str">
            <v>AMTS MAT ET MOB.LOGEM.COMPL.REEV</v>
          </cell>
          <cell r="C376" t="str">
            <v>Q07</v>
          </cell>
          <cell r="D376" t="str">
            <v>Amort</v>
          </cell>
          <cell r="E376" t="str">
            <v>Matériel et mobilier de bureau</v>
          </cell>
        </row>
        <row r="377">
          <cell r="A377">
            <v>284510</v>
          </cell>
          <cell r="B377" t="str">
            <v>AMORTS VEHICULES DE TOURISME</v>
          </cell>
          <cell r="C377" t="str">
            <v>Q06</v>
          </cell>
          <cell r="D377" t="str">
            <v>Amort</v>
          </cell>
          <cell r="E377" t="str">
            <v>Matériel de transport</v>
          </cell>
        </row>
        <row r="378">
          <cell r="A378">
            <v>284511</v>
          </cell>
          <cell r="B378" t="str">
            <v>AMTS VEH.DE TOURISME COMPL.REEV.</v>
          </cell>
          <cell r="C378" t="str">
            <v>Q06</v>
          </cell>
          <cell r="D378" t="str">
            <v>Amort</v>
          </cell>
          <cell r="E378" t="str">
            <v>Matériel de transport</v>
          </cell>
        </row>
        <row r="379">
          <cell r="A379">
            <v>284512</v>
          </cell>
          <cell r="B379" t="str">
            <v>AMTS CAMIONS ET FOURGONS</v>
          </cell>
          <cell r="C379" t="str">
            <v>Q06</v>
          </cell>
          <cell r="D379" t="str">
            <v>Amort</v>
          </cell>
          <cell r="E379" t="str">
            <v>Matériel de transport</v>
          </cell>
        </row>
        <row r="380">
          <cell r="A380">
            <v>284513</v>
          </cell>
          <cell r="B380" t="str">
            <v>AMTS CAMIONS ET FOURG.COMPL.REEV</v>
          </cell>
          <cell r="C380" t="str">
            <v>Q06</v>
          </cell>
          <cell r="D380" t="str">
            <v>Amort</v>
          </cell>
          <cell r="E380" t="str">
            <v>Matériel de transport</v>
          </cell>
        </row>
        <row r="381">
          <cell r="A381">
            <v>284514</v>
          </cell>
          <cell r="B381" t="str">
            <v>AMTS TRACTEURS ET REMORQUES</v>
          </cell>
          <cell r="C381" t="str">
            <v>Q06</v>
          </cell>
          <cell r="D381" t="str">
            <v>Amort</v>
          </cell>
          <cell r="E381" t="str">
            <v>Matériel de transport</v>
          </cell>
        </row>
        <row r="382">
          <cell r="A382">
            <v>284515</v>
          </cell>
          <cell r="B382" t="str">
            <v>AMTS TRACT &amp; REMORQ.COMPL.REEVA.</v>
          </cell>
          <cell r="C382" t="str">
            <v>Q06</v>
          </cell>
          <cell r="D382" t="str">
            <v>Amort</v>
          </cell>
          <cell r="E382" t="str">
            <v>Matériel de transport</v>
          </cell>
        </row>
        <row r="383">
          <cell r="A383">
            <v>284518</v>
          </cell>
          <cell r="B383" t="str">
            <v>AMTS BICYCLETTES VELOMOTEURS</v>
          </cell>
          <cell r="C383" t="str">
            <v>Q06</v>
          </cell>
          <cell r="D383" t="str">
            <v>Amort</v>
          </cell>
          <cell r="E383" t="str">
            <v>Matériel de transport</v>
          </cell>
        </row>
        <row r="384">
          <cell r="A384">
            <v>284519</v>
          </cell>
          <cell r="B384" t="str">
            <v>AMTS BICYCLET.VELOMOT.COMPL.REEV</v>
          </cell>
          <cell r="C384" t="str">
            <v>Q06</v>
          </cell>
          <cell r="D384" t="str">
            <v>Amort</v>
          </cell>
          <cell r="E384" t="str">
            <v>Matériel de transport</v>
          </cell>
        </row>
        <row r="385">
          <cell r="A385">
            <v>284520</v>
          </cell>
          <cell r="B385" t="str">
            <v>AMTS AUTRES MAT.MANUT.PALETTES</v>
          </cell>
          <cell r="C385" t="str">
            <v>Q06</v>
          </cell>
          <cell r="D385" t="str">
            <v>Amort</v>
          </cell>
          <cell r="E385" t="str">
            <v>Matériel de transport</v>
          </cell>
        </row>
        <row r="386">
          <cell r="A386">
            <v>284521</v>
          </cell>
          <cell r="B386" t="str">
            <v>AMTS AUTRES MAT.MANUT.COMPL.REEV</v>
          </cell>
          <cell r="C386" t="str">
            <v>Q06</v>
          </cell>
          <cell r="D386" t="str">
            <v>Amort</v>
          </cell>
          <cell r="E386" t="str">
            <v>Matériel de transport</v>
          </cell>
        </row>
        <row r="387">
          <cell r="A387">
            <v>284522</v>
          </cell>
          <cell r="B387" t="str">
            <v>AMTS CHARIOTS ELEVATEURS</v>
          </cell>
          <cell r="C387" t="str">
            <v>Q06</v>
          </cell>
          <cell r="D387" t="str">
            <v>Amort</v>
          </cell>
          <cell r="E387" t="str">
            <v>Matériel de transport</v>
          </cell>
        </row>
        <row r="388">
          <cell r="A388">
            <v>284523</v>
          </cell>
          <cell r="B388" t="str">
            <v>AMTS CHARIOTS ELEVAT.COMPL.REEV.</v>
          </cell>
          <cell r="C388" t="str">
            <v>Q06</v>
          </cell>
          <cell r="D388" t="str">
            <v>Amort</v>
          </cell>
          <cell r="E388" t="str">
            <v>Matériel de transport</v>
          </cell>
        </row>
        <row r="389">
          <cell r="A389">
            <v>284560</v>
          </cell>
          <cell r="B389" t="str">
            <v>AMORTS REEVALUATION MATERIEL TRANSPORT</v>
          </cell>
          <cell r="C389" t="str">
            <v>Q06</v>
          </cell>
          <cell r="D389" t="str">
            <v>Amort</v>
          </cell>
          <cell r="E389" t="str">
            <v>Matériel de transport</v>
          </cell>
        </row>
        <row r="390">
          <cell r="A390">
            <v>296000</v>
          </cell>
          <cell r="B390" t="str">
            <v>AMORT AUTRES VALEURSIMMO INCOR TAMPON</v>
          </cell>
          <cell r="C390" t="str">
            <v>Q094</v>
          </cell>
          <cell r="D390" t="str">
            <v>Amort</v>
          </cell>
          <cell r="E390" t="str">
            <v>Titres à court terme</v>
          </cell>
        </row>
        <row r="391">
          <cell r="A391">
            <v>296810</v>
          </cell>
          <cell r="B391" t="str">
            <v>PROV.DEPRECIAT.TITRES NON DEDUC.</v>
          </cell>
          <cell r="C391" t="str">
            <v>Q091</v>
          </cell>
          <cell r="D391" t="str">
            <v>Amort</v>
          </cell>
          <cell r="E391" t="str">
            <v>Titres de participation</v>
          </cell>
        </row>
        <row r="392">
          <cell r="A392">
            <v>296811</v>
          </cell>
          <cell r="B392" t="str">
            <v>PROV.DEPRECIAT.TITRES DEDUC.</v>
          </cell>
          <cell r="C392" t="str">
            <v>Q091</v>
          </cell>
          <cell r="D392" t="str">
            <v>Amort</v>
          </cell>
          <cell r="E392" t="str">
            <v>Titres de participation</v>
          </cell>
        </row>
        <row r="393">
          <cell r="A393">
            <v>297135</v>
          </cell>
          <cell r="B393" t="str">
            <v>PROV.DEPRECIAT.DIVERS PRETS</v>
          </cell>
          <cell r="C393" t="str">
            <v>Q094</v>
          </cell>
          <cell r="D393" t="str">
            <v>Amort</v>
          </cell>
          <cell r="E393" t="str">
            <v>Titres à court terme</v>
          </cell>
        </row>
        <row r="394">
          <cell r="A394">
            <v>297235</v>
          </cell>
          <cell r="B394" t="str">
            <v>PROV.DEPR.DIVERS PRETS NON DEDUC</v>
          </cell>
          <cell r="C394" t="str">
            <v>Q094</v>
          </cell>
          <cell r="D394" t="str">
            <v>Amort</v>
          </cell>
          <cell r="E394" t="str">
            <v>Titres à court terme</v>
          </cell>
        </row>
        <row r="395">
          <cell r="A395">
            <v>297236</v>
          </cell>
          <cell r="B395" t="str">
            <v>PROV PR. DEPR. DIVERS PREST DED.</v>
          </cell>
          <cell r="C395" t="str">
            <v>Q094</v>
          </cell>
          <cell r="D395" t="str">
            <v>Amort</v>
          </cell>
          <cell r="E395" t="str">
            <v>Titres à court terme</v>
          </cell>
        </row>
        <row r="396">
          <cell r="A396">
            <v>297515</v>
          </cell>
          <cell r="B396" t="str">
            <v>PROV.DEP.DEPôTS &amp; CAUTION.N/DED.</v>
          </cell>
          <cell r="C396" t="str">
            <v>Q092</v>
          </cell>
          <cell r="D396" t="str">
            <v>Amort</v>
          </cell>
          <cell r="E396" t="str">
            <v>Cautionnements divers</v>
          </cell>
        </row>
        <row r="397">
          <cell r="A397">
            <v>311100</v>
          </cell>
          <cell r="B397" t="str">
            <v>STOCKS MARCHANDISES BIERE</v>
          </cell>
          <cell r="C397" t="str">
            <v>R02</v>
          </cell>
          <cell r="D397">
            <v>0</v>
          </cell>
          <cell r="E397" t="str">
            <v>Marchandises</v>
          </cell>
        </row>
        <row r="398">
          <cell r="A398">
            <v>311105</v>
          </cell>
          <cell r="B398" t="str">
            <v>STOCKS BIERES HEINEKEN IMPORTEES</v>
          </cell>
          <cell r="C398" t="str">
            <v>R02</v>
          </cell>
          <cell r="D398">
            <v>0</v>
          </cell>
          <cell r="E398" t="str">
            <v>Marchandises</v>
          </cell>
        </row>
        <row r="399">
          <cell r="A399">
            <v>311106</v>
          </cell>
          <cell r="B399" t="str">
            <v>STOCKS BIERES HEINEKEN IMPORTEES   COUT</v>
          </cell>
          <cell r="C399" t="str">
            <v>R02</v>
          </cell>
          <cell r="E399" t="str">
            <v>Marchandises</v>
          </cell>
        </row>
        <row r="400">
          <cell r="A400">
            <v>311111</v>
          </cell>
          <cell r="B400" t="str">
            <v>ENCOURS INTRA AGENCE HEINEKEN</v>
          </cell>
          <cell r="C400" t="str">
            <v>R02</v>
          </cell>
          <cell r="D400">
            <v>0</v>
          </cell>
          <cell r="E400" t="str">
            <v>Marchandises</v>
          </cell>
        </row>
        <row r="401">
          <cell r="A401">
            <v>311113</v>
          </cell>
          <cell r="B401" t="str">
            <v>ENCOURS INTER AGENCE HEINEKEN</v>
          </cell>
          <cell r="C401" t="str">
            <v>R02</v>
          </cell>
          <cell r="D401">
            <v>0</v>
          </cell>
          <cell r="E401" t="str">
            <v>Marchandises</v>
          </cell>
        </row>
        <row r="402">
          <cell r="A402">
            <v>311200</v>
          </cell>
          <cell r="B402" t="str">
            <v>STOCKS MARCHANDISES BRSA</v>
          </cell>
          <cell r="C402" t="str">
            <v>R02</v>
          </cell>
          <cell r="D402">
            <v>0</v>
          </cell>
          <cell r="E402" t="str">
            <v>Marchandises</v>
          </cell>
        </row>
        <row r="403">
          <cell r="A403">
            <v>311201</v>
          </cell>
          <cell r="B403" t="str">
            <v>STOCKS MARCHANDISES BRSA COUT</v>
          </cell>
          <cell r="C403" t="str">
            <v>R02</v>
          </cell>
          <cell r="E403" t="str">
            <v>Marchandises</v>
          </cell>
        </row>
        <row r="404">
          <cell r="A404">
            <v>311221</v>
          </cell>
          <cell r="B404" t="str">
            <v>ECR STOCKS B.G. INTER-AGENCE</v>
          </cell>
          <cell r="C404" t="str">
            <v>R02</v>
          </cell>
          <cell r="D404">
            <v>0</v>
          </cell>
          <cell r="E404" t="str">
            <v>Marchandises</v>
          </cell>
        </row>
        <row r="405">
          <cell r="A405">
            <v>311240</v>
          </cell>
          <cell r="B405" t="str">
            <v>STOCKS ISENBECK</v>
          </cell>
          <cell r="C405" t="str">
            <v>R02</v>
          </cell>
          <cell r="D405">
            <v>0</v>
          </cell>
          <cell r="E405" t="str">
            <v>Marchandises</v>
          </cell>
        </row>
        <row r="406">
          <cell r="A406">
            <v>311250</v>
          </cell>
          <cell r="B406" t="str">
            <v>STOCKS VIMTO</v>
          </cell>
          <cell r="C406" t="str">
            <v>R02</v>
          </cell>
          <cell r="D406">
            <v>0</v>
          </cell>
          <cell r="E406" t="str">
            <v>Marchandises</v>
          </cell>
        </row>
        <row r="407">
          <cell r="A407">
            <v>311260</v>
          </cell>
          <cell r="B407" t="str">
            <v>EN COURS INTRA PRODUITS SIAC</v>
          </cell>
          <cell r="C407" t="str">
            <v>R02</v>
          </cell>
          <cell r="D407">
            <v>0</v>
          </cell>
          <cell r="E407" t="str">
            <v>Marchandises</v>
          </cell>
        </row>
        <row r="408">
          <cell r="A408">
            <v>311261</v>
          </cell>
          <cell r="B408" t="str">
            <v>EN COURS INTER PRODUITS SIAC</v>
          </cell>
          <cell r="C408" t="str">
            <v>R02</v>
          </cell>
          <cell r="D408">
            <v>0</v>
          </cell>
          <cell r="E408" t="str">
            <v>Marchandises</v>
          </cell>
        </row>
        <row r="409">
          <cell r="A409">
            <v>311300</v>
          </cell>
          <cell r="B409" t="str">
            <v>STOCKS EAU TANGUI</v>
          </cell>
          <cell r="C409" t="str">
            <v>R02</v>
          </cell>
          <cell r="D409">
            <v>0</v>
          </cell>
          <cell r="E409" t="str">
            <v>Marchandises</v>
          </cell>
        </row>
        <row r="410">
          <cell r="A410">
            <v>311301</v>
          </cell>
          <cell r="B410" t="str">
            <v>STOCKS EAU TANGUI"COUT"</v>
          </cell>
          <cell r="C410" t="str">
            <v>R02</v>
          </cell>
          <cell r="E410" t="str">
            <v>Marchandises</v>
          </cell>
        </row>
        <row r="411">
          <cell r="A411">
            <v>311330</v>
          </cell>
          <cell r="B411" t="str">
            <v>ENCOURS INTRA AGENCE TANGUI</v>
          </cell>
          <cell r="C411" t="str">
            <v>R02</v>
          </cell>
          <cell r="D411">
            <v>0</v>
          </cell>
          <cell r="E411" t="str">
            <v>Marchandises</v>
          </cell>
        </row>
        <row r="412">
          <cell r="A412">
            <v>311331</v>
          </cell>
          <cell r="B412" t="str">
            <v>ENCOURS INTER AGENCE TANGUI</v>
          </cell>
          <cell r="C412" t="str">
            <v>R02</v>
          </cell>
          <cell r="D412">
            <v>0</v>
          </cell>
          <cell r="E412" t="str">
            <v>Marchandises</v>
          </cell>
        </row>
        <row r="413">
          <cell r="A413">
            <v>311400</v>
          </cell>
          <cell r="B413" t="str">
            <v>STOCKS ALCOOL MIX</v>
          </cell>
          <cell r="C413" t="str">
            <v>R02</v>
          </cell>
          <cell r="E413" t="str">
            <v>Marchandises</v>
          </cell>
        </row>
        <row r="414">
          <cell r="A414">
            <v>311500</v>
          </cell>
          <cell r="B414" t="str">
            <v>STOCKS AOC</v>
          </cell>
          <cell r="C414" t="str">
            <v>R02</v>
          </cell>
          <cell r="D414">
            <v>0</v>
          </cell>
          <cell r="E414" t="str">
            <v>Marchandises</v>
          </cell>
        </row>
        <row r="415">
          <cell r="A415">
            <v>311501</v>
          </cell>
          <cell r="B415" t="str">
            <v>STOCKS AOC"COUT"</v>
          </cell>
          <cell r="C415" t="str">
            <v>R02</v>
          </cell>
          <cell r="E415" t="str">
            <v>Marchandises</v>
          </cell>
        </row>
        <row r="416">
          <cell r="A416">
            <v>311550</v>
          </cell>
          <cell r="B416" t="str">
            <v>AOC ECR INTRA-AGENCE</v>
          </cell>
          <cell r="C416" t="str">
            <v>R02</v>
          </cell>
          <cell r="D416">
            <v>0</v>
          </cell>
          <cell r="E416" t="str">
            <v>Marchandises</v>
          </cell>
        </row>
        <row r="417">
          <cell r="A417">
            <v>311551</v>
          </cell>
          <cell r="B417" t="str">
            <v>TRANSF. A.O.C. LITTORAL</v>
          </cell>
          <cell r="C417" t="str">
            <v>R02</v>
          </cell>
          <cell r="D417">
            <v>0</v>
          </cell>
          <cell r="E417" t="str">
            <v>Marchandises</v>
          </cell>
        </row>
        <row r="418">
          <cell r="A418">
            <v>311600</v>
          </cell>
          <cell r="B418" t="str">
            <v>STOCKS SPIRITUEUX</v>
          </cell>
          <cell r="C418" t="str">
            <v>R02</v>
          </cell>
          <cell r="E418" t="str">
            <v>Marchandises</v>
          </cell>
        </row>
        <row r="419">
          <cell r="A419">
            <v>311601</v>
          </cell>
          <cell r="B419" t="str">
            <v>STOCKS SPIRITUEUX"COUT"</v>
          </cell>
          <cell r="C419" t="str">
            <v>R02</v>
          </cell>
          <cell r="E419" t="str">
            <v>Marchandises</v>
          </cell>
        </row>
        <row r="420">
          <cell r="A420">
            <v>321000</v>
          </cell>
          <cell r="B420" t="str">
            <v>STOCK MATIERES PREMIERES</v>
          </cell>
          <cell r="C420" t="str">
            <v>R01</v>
          </cell>
          <cell r="D420">
            <v>0</v>
          </cell>
          <cell r="E420" t="str">
            <v>Matières Premières et Consommables</v>
          </cell>
        </row>
        <row r="421">
          <cell r="A421">
            <v>321001</v>
          </cell>
          <cell r="B421" t="str">
            <v>STOCK MATIERES PREMIERES"COUT"</v>
          </cell>
          <cell r="C421" t="str">
            <v>R01</v>
          </cell>
          <cell r="E421" t="str">
            <v>Matières Premières et Consommables</v>
          </cell>
        </row>
        <row r="422">
          <cell r="A422">
            <v>321100</v>
          </cell>
          <cell r="B422" t="str">
            <v>STOCK DE CO2</v>
          </cell>
          <cell r="C422" t="str">
            <v>R01</v>
          </cell>
          <cell r="D422">
            <v>0</v>
          </cell>
          <cell r="E422" t="str">
            <v>Matières Premières et Consommables</v>
          </cell>
        </row>
        <row r="423">
          <cell r="A423">
            <v>331000</v>
          </cell>
          <cell r="B423" t="str">
            <v>STOCK MATIERES CONSOMMABLES</v>
          </cell>
          <cell r="C423" t="str">
            <v>R01</v>
          </cell>
          <cell r="D423">
            <v>0</v>
          </cell>
          <cell r="E423" t="str">
            <v>Matières Premières et Consommables</v>
          </cell>
        </row>
        <row r="424">
          <cell r="A424">
            <v>331001</v>
          </cell>
          <cell r="B424" t="str">
            <v>STOCK MATIERES CONSOMMABLES"COUT"</v>
          </cell>
          <cell r="C424" t="str">
            <v>R01</v>
          </cell>
          <cell r="E424" t="str">
            <v>Matières Premières et Consommables</v>
          </cell>
        </row>
        <row r="425">
          <cell r="A425">
            <v>331010</v>
          </cell>
          <cell r="B425" t="str">
            <v>STOCK DE BROYAT</v>
          </cell>
          <cell r="C425" t="str">
            <v>R01</v>
          </cell>
          <cell r="D425">
            <v>0</v>
          </cell>
          <cell r="E425" t="str">
            <v>Matières Premières et Consommables</v>
          </cell>
        </row>
        <row r="426">
          <cell r="A426">
            <v>331050</v>
          </cell>
          <cell r="B426" t="str">
            <v>STOCK MATIERES CONS. CONDITIONNEMENT</v>
          </cell>
          <cell r="C426" t="str">
            <v>R01</v>
          </cell>
          <cell r="E426" t="str">
            <v>Matières Premières et Consommables</v>
          </cell>
        </row>
        <row r="427">
          <cell r="A427">
            <v>331051</v>
          </cell>
          <cell r="B427" t="str">
            <v>STOCK MAT. CONS. CONDITIONNEMENT COÜT</v>
          </cell>
          <cell r="C427" t="str">
            <v>R01</v>
          </cell>
          <cell r="E427" t="str">
            <v>Matières Premières et Consommables</v>
          </cell>
        </row>
        <row r="428">
          <cell r="A428">
            <v>331100</v>
          </cell>
          <cell r="B428" t="str">
            <v>STOCK COMBUSTIBLES</v>
          </cell>
          <cell r="C428" t="str">
            <v>R01</v>
          </cell>
          <cell r="D428">
            <v>0</v>
          </cell>
          <cell r="E428" t="str">
            <v>Matières Premières et Consommables</v>
          </cell>
        </row>
        <row r="429">
          <cell r="A429">
            <v>331101</v>
          </cell>
          <cell r="B429" t="str">
            <v>STOCK COMBUSTIBLES"COUT"</v>
          </cell>
          <cell r="C429" t="str">
            <v>R01</v>
          </cell>
          <cell r="E429" t="str">
            <v>Matières Premières et Consommables</v>
          </cell>
        </row>
        <row r="430">
          <cell r="A430">
            <v>331200</v>
          </cell>
          <cell r="B430" t="str">
            <v>STOCK CARBURANT</v>
          </cell>
          <cell r="C430" t="str">
            <v>R01</v>
          </cell>
          <cell r="D430">
            <v>0</v>
          </cell>
          <cell r="E430" t="str">
            <v>Matières Premières et Consommables</v>
          </cell>
        </row>
        <row r="431">
          <cell r="A431">
            <v>331201</v>
          </cell>
          <cell r="B431" t="str">
            <v>STOCK CARBURANT"COUT"</v>
          </cell>
          <cell r="C431" t="str">
            <v>R01</v>
          </cell>
          <cell r="E431" t="str">
            <v>Matières Premières et Consommables</v>
          </cell>
        </row>
        <row r="432">
          <cell r="A432">
            <v>331300</v>
          </cell>
          <cell r="B432" t="str">
            <v>STOCK LUBRIFIANTS</v>
          </cell>
          <cell r="C432" t="str">
            <v>R01</v>
          </cell>
          <cell r="D432">
            <v>0</v>
          </cell>
          <cell r="E432" t="str">
            <v>Matières Premières et Consommables</v>
          </cell>
        </row>
        <row r="433">
          <cell r="A433">
            <v>331301</v>
          </cell>
          <cell r="B433" t="str">
            <v>STOCK LUBRIFIANTS"COUT"</v>
          </cell>
          <cell r="C433" t="str">
            <v>R01</v>
          </cell>
          <cell r="E433" t="str">
            <v>Matières Premières et Consommables</v>
          </cell>
        </row>
        <row r="434">
          <cell r="A434">
            <v>331710</v>
          </cell>
          <cell r="B434" t="str">
            <v>TRANSFERT STOCK MP AGENCE/SIEGE</v>
          </cell>
          <cell r="C434" t="str">
            <v>R01</v>
          </cell>
          <cell r="D434">
            <v>0</v>
          </cell>
          <cell r="E434" t="str">
            <v>Matières Premières et Consommables</v>
          </cell>
        </row>
        <row r="435">
          <cell r="A435">
            <v>331711</v>
          </cell>
          <cell r="B435" t="str">
            <v>TRANSFERT STOCK MP LITTORAL</v>
          </cell>
          <cell r="C435" t="str">
            <v>R01</v>
          </cell>
          <cell r="D435">
            <v>0</v>
          </cell>
          <cell r="E435" t="str">
            <v>Matières Premières et Consommables</v>
          </cell>
        </row>
        <row r="436">
          <cell r="A436">
            <v>331712</v>
          </cell>
          <cell r="B436" t="str">
            <v>TRANSFERT STOCK MP CENTRE</v>
          </cell>
          <cell r="C436" t="str">
            <v>R01</v>
          </cell>
          <cell r="D436">
            <v>0</v>
          </cell>
          <cell r="E436" t="str">
            <v>Matières Premières et Consommables</v>
          </cell>
        </row>
        <row r="437">
          <cell r="A437">
            <v>331713</v>
          </cell>
          <cell r="B437" t="str">
            <v>TRANSFERT STOCK MP OUEST</v>
          </cell>
          <cell r="C437" t="str">
            <v>R01</v>
          </cell>
          <cell r="D437">
            <v>0</v>
          </cell>
          <cell r="E437" t="str">
            <v>Matières Premières et Consommables</v>
          </cell>
        </row>
        <row r="438">
          <cell r="A438">
            <v>331714</v>
          </cell>
          <cell r="B438" t="str">
            <v>TRANSFERT STOCK MP NORD</v>
          </cell>
          <cell r="C438" t="str">
            <v>R01</v>
          </cell>
          <cell r="D438">
            <v>0</v>
          </cell>
          <cell r="E438" t="str">
            <v>Matières Premières et Consommables</v>
          </cell>
        </row>
        <row r="439">
          <cell r="A439">
            <v>331720</v>
          </cell>
          <cell r="B439" t="str">
            <v>TRANSFERT STOCK MC AGENCE/SIEGE</v>
          </cell>
          <cell r="C439" t="str">
            <v>R01</v>
          </cell>
          <cell r="D439">
            <v>0</v>
          </cell>
          <cell r="E439" t="str">
            <v>Matières Premières et Consommables</v>
          </cell>
        </row>
        <row r="440">
          <cell r="A440">
            <v>331721</v>
          </cell>
          <cell r="B440" t="str">
            <v>TRANSFERT STOCK MC LITTORAL</v>
          </cell>
          <cell r="C440" t="str">
            <v>R01</v>
          </cell>
          <cell r="D440">
            <v>0</v>
          </cell>
          <cell r="E440" t="str">
            <v>Matières Premières et Consommables</v>
          </cell>
        </row>
        <row r="441">
          <cell r="A441">
            <v>331722</v>
          </cell>
          <cell r="B441" t="str">
            <v>TRANSFERT STOCK MC CENTRE</v>
          </cell>
          <cell r="C441" t="str">
            <v>R01</v>
          </cell>
          <cell r="D441">
            <v>0</v>
          </cell>
          <cell r="E441" t="str">
            <v>Matières Premières et Consommables</v>
          </cell>
        </row>
        <row r="442">
          <cell r="A442">
            <v>331723</v>
          </cell>
          <cell r="B442" t="str">
            <v>TRANSFERT STOCK MC OUEST</v>
          </cell>
          <cell r="C442" t="str">
            <v>R01</v>
          </cell>
          <cell r="D442">
            <v>0</v>
          </cell>
          <cell r="E442" t="str">
            <v>Matières Premières et Consommables</v>
          </cell>
        </row>
        <row r="443">
          <cell r="A443">
            <v>331724</v>
          </cell>
          <cell r="B443" t="str">
            <v>TRANSFERT STOCK MC NORD</v>
          </cell>
          <cell r="C443" t="str">
            <v>R01</v>
          </cell>
          <cell r="D443">
            <v>0</v>
          </cell>
          <cell r="E443" t="str">
            <v>Matières Premières et Consommables</v>
          </cell>
        </row>
        <row r="444">
          <cell r="A444">
            <v>331734</v>
          </cell>
          <cell r="B444" t="str">
            <v>TRANSFERT STOCK COMBUSTIBLE NORD</v>
          </cell>
          <cell r="C444" t="str">
            <v>R01</v>
          </cell>
          <cell r="D444">
            <v>0</v>
          </cell>
          <cell r="E444" t="str">
            <v>Matières Premières et Consommables</v>
          </cell>
        </row>
        <row r="445">
          <cell r="A445">
            <v>331750</v>
          </cell>
          <cell r="B445" t="str">
            <v>TRANSFERT STOCK LUB AGENCE/SIEGE</v>
          </cell>
          <cell r="C445" t="str">
            <v>R01</v>
          </cell>
          <cell r="D445">
            <v>0</v>
          </cell>
          <cell r="E445" t="str">
            <v>Matières Premières et Consommables</v>
          </cell>
        </row>
        <row r="446">
          <cell r="A446">
            <v>331751</v>
          </cell>
          <cell r="B446" t="str">
            <v>TRANSFERT STOCK LUB LITTORAL</v>
          </cell>
          <cell r="C446" t="str">
            <v>R01</v>
          </cell>
          <cell r="D446">
            <v>0</v>
          </cell>
          <cell r="E446" t="str">
            <v>Matières Premières et Consommables</v>
          </cell>
        </row>
        <row r="447">
          <cell r="A447">
            <v>331752</v>
          </cell>
          <cell r="B447" t="str">
            <v>TRANSFERT STOCK LUB CENTRE</v>
          </cell>
          <cell r="C447" t="str">
            <v>R01</v>
          </cell>
          <cell r="D447">
            <v>0</v>
          </cell>
          <cell r="E447" t="str">
            <v>Matières Premières et Consommables</v>
          </cell>
        </row>
        <row r="448">
          <cell r="A448">
            <v>331753</v>
          </cell>
          <cell r="B448" t="str">
            <v>TRANSFERT STOCK LUB OUEST</v>
          </cell>
          <cell r="C448" t="str">
            <v>R01</v>
          </cell>
          <cell r="D448">
            <v>0</v>
          </cell>
          <cell r="E448" t="str">
            <v>Matières Premières et Consommables</v>
          </cell>
        </row>
        <row r="449">
          <cell r="A449">
            <v>331754</v>
          </cell>
          <cell r="B449" t="str">
            <v>TRANSFERT STOCK LUB NORD</v>
          </cell>
          <cell r="C449" t="str">
            <v>R01</v>
          </cell>
          <cell r="D449">
            <v>0</v>
          </cell>
          <cell r="E449" t="str">
            <v>Matières Premières et Consommables</v>
          </cell>
        </row>
        <row r="450">
          <cell r="A450">
            <v>332100</v>
          </cell>
          <cell r="B450" t="str">
            <v>STOCK VETEMENT TRAVAIL &amp; EQUIP PROTECTIO</v>
          </cell>
          <cell r="C450" t="str">
            <v>R01</v>
          </cell>
          <cell r="D450">
            <v>0</v>
          </cell>
          <cell r="E450" t="str">
            <v>Matières Premières et Consommables</v>
          </cell>
        </row>
        <row r="451">
          <cell r="A451">
            <v>332101</v>
          </cell>
          <cell r="B451" t="str">
            <v>STOCK VET TRAV &amp; EQUIP PROTECTIO"COUT"</v>
          </cell>
          <cell r="C451" t="str">
            <v>R01</v>
          </cell>
          <cell r="E451" t="str">
            <v>Matières Premières et Consommables</v>
          </cell>
        </row>
        <row r="452">
          <cell r="A452">
            <v>333000</v>
          </cell>
          <cell r="B452" t="str">
            <v>STOCK PIECES DE RECHANGE</v>
          </cell>
          <cell r="C452" t="str">
            <v>R04</v>
          </cell>
          <cell r="D452">
            <v>0</v>
          </cell>
          <cell r="E452" t="str">
            <v>Pièces de rechange et Fournitures diverses</v>
          </cell>
        </row>
        <row r="453">
          <cell r="A453">
            <v>333001</v>
          </cell>
          <cell r="B453" t="str">
            <v>STOCK PIECES DE RECHANGE"COUT"</v>
          </cell>
          <cell r="C453" t="str">
            <v>R04</v>
          </cell>
          <cell r="E453" t="str">
            <v>Pièces de rechange et Fournitures diverses</v>
          </cell>
        </row>
        <row r="454">
          <cell r="A454">
            <v>333100</v>
          </cell>
          <cell r="B454" t="str">
            <v>ARTICLES PUBLICITAIRES STOCKES</v>
          </cell>
          <cell r="C454" t="str">
            <v>R04</v>
          </cell>
          <cell r="D454">
            <v>0</v>
          </cell>
          <cell r="E454" t="str">
            <v>Pièces de rechange et Fournitures diverses</v>
          </cell>
        </row>
        <row r="455">
          <cell r="A455">
            <v>333101</v>
          </cell>
          <cell r="B455" t="str">
            <v>ARTICLES PUBLICITAIRES STOCKES"COUT"</v>
          </cell>
          <cell r="C455" t="str">
            <v>R04</v>
          </cell>
          <cell r="E455" t="str">
            <v>Pièces de rechange et Fournitures diverses</v>
          </cell>
        </row>
        <row r="456">
          <cell r="A456">
            <v>333200</v>
          </cell>
          <cell r="B456" t="str">
            <v>MAT&amp;FRNI IND PROD</v>
          </cell>
          <cell r="C456" t="str">
            <v>R04</v>
          </cell>
          <cell r="D456">
            <v>0</v>
          </cell>
          <cell r="E456" t="str">
            <v>Pièces de rechange et Fournitures diverses</v>
          </cell>
        </row>
        <row r="457">
          <cell r="A457">
            <v>333201</v>
          </cell>
          <cell r="B457" t="str">
            <v>STOCK FOURNITURES INDUSTRIELLES "COUT"</v>
          </cell>
          <cell r="C457" t="str">
            <v>R04</v>
          </cell>
          <cell r="E457" t="str">
            <v>Pièces de rechange et Fournitures diverses</v>
          </cell>
        </row>
        <row r="458">
          <cell r="A458">
            <v>333761</v>
          </cell>
          <cell r="B458" t="str">
            <v>TRANSFERT STOCK PR LITTORAL</v>
          </cell>
          <cell r="C458" t="str">
            <v>R04</v>
          </cell>
          <cell r="D458">
            <v>0</v>
          </cell>
          <cell r="E458" t="str">
            <v>Pièces de rechange et Fournitures diverses</v>
          </cell>
        </row>
        <row r="459">
          <cell r="A459">
            <v>333762</v>
          </cell>
          <cell r="B459" t="str">
            <v>TRANSFERT STOCK PR CENTRE</v>
          </cell>
          <cell r="C459" t="str">
            <v>R04</v>
          </cell>
          <cell r="D459">
            <v>0</v>
          </cell>
          <cell r="E459" t="str">
            <v>Pièces de rechange et Fournitures diverses</v>
          </cell>
        </row>
        <row r="460">
          <cell r="A460">
            <v>333763</v>
          </cell>
          <cell r="B460" t="str">
            <v>TRANSFERT STOCK PR OUEST</v>
          </cell>
          <cell r="C460" t="str">
            <v>R04</v>
          </cell>
          <cell r="D460">
            <v>0</v>
          </cell>
          <cell r="E460" t="str">
            <v>Pièces de rechange et Fournitures diverses</v>
          </cell>
        </row>
        <row r="461">
          <cell r="A461">
            <v>333764</v>
          </cell>
          <cell r="B461" t="str">
            <v>TRANSFERT STOCK PR NORD</v>
          </cell>
          <cell r="C461" t="str">
            <v>R04</v>
          </cell>
          <cell r="D461">
            <v>0</v>
          </cell>
          <cell r="E461" t="str">
            <v>Pièces de rechange et Fournitures diverses</v>
          </cell>
        </row>
        <row r="462">
          <cell r="A462">
            <v>333767</v>
          </cell>
          <cell r="B462" t="str">
            <v>TRANSFERT STOCK PR SUD OUEST</v>
          </cell>
          <cell r="C462" t="str">
            <v>R04</v>
          </cell>
          <cell r="D462">
            <v>0</v>
          </cell>
          <cell r="E462" t="str">
            <v>Pièces de rechange et Fournitures diverses</v>
          </cell>
        </row>
        <row r="463">
          <cell r="A463">
            <v>334100</v>
          </cell>
          <cell r="B463" t="str">
            <v>STOCK LISTING-IMPRIME-FRNI BUREAU STKE</v>
          </cell>
          <cell r="C463" t="str">
            <v>R04</v>
          </cell>
          <cell r="D463">
            <v>0</v>
          </cell>
          <cell r="E463" t="str">
            <v>Pièces de rechange et Fournitures diverses</v>
          </cell>
        </row>
        <row r="464">
          <cell r="A464">
            <v>334101</v>
          </cell>
          <cell r="B464" t="str">
            <v>STOCK LIST-IMPRIME-FRNI BUR STKE"COUT"</v>
          </cell>
          <cell r="C464" t="str">
            <v>R04</v>
          </cell>
          <cell r="E464" t="str">
            <v>Pièces de rechange et Fournitures diverses</v>
          </cell>
        </row>
        <row r="465">
          <cell r="A465">
            <v>335100</v>
          </cell>
          <cell r="B465" t="str">
            <v>STOCK EMBALLAGES</v>
          </cell>
          <cell r="C465" t="str">
            <v>R01</v>
          </cell>
          <cell r="D465">
            <v>0</v>
          </cell>
          <cell r="E465" t="str">
            <v>Matières Premières et Consommables</v>
          </cell>
        </row>
        <row r="466">
          <cell r="A466">
            <v>335201</v>
          </cell>
          <cell r="B466" t="str">
            <v>STOCK CASIERS COMPLETS GM 3000</v>
          </cell>
          <cell r="C466" t="str">
            <v>Q10</v>
          </cell>
          <cell r="D466">
            <v>0</v>
          </cell>
          <cell r="E466" t="str">
            <v>Emballages commerciaux</v>
          </cell>
        </row>
        <row r="467">
          <cell r="A467">
            <v>335202</v>
          </cell>
          <cell r="B467" t="str">
            <v>STOCK CASIERS COMPLETS PM 3000</v>
          </cell>
          <cell r="C467" t="str">
            <v>Q10</v>
          </cell>
          <cell r="D467">
            <v>0</v>
          </cell>
          <cell r="E467" t="str">
            <v>Emballages commerciaux</v>
          </cell>
        </row>
        <row r="468">
          <cell r="A468">
            <v>335203</v>
          </cell>
          <cell r="B468" t="str">
            <v>STOCK CASIERS VIDES GM 1200</v>
          </cell>
          <cell r="C468" t="str">
            <v>Q10</v>
          </cell>
          <cell r="D468">
            <v>0</v>
          </cell>
          <cell r="E468" t="str">
            <v>Emballages commerciaux</v>
          </cell>
        </row>
        <row r="469">
          <cell r="A469">
            <v>335204</v>
          </cell>
          <cell r="B469" t="str">
            <v>STOCK CASIERS VIDES P.M.A 1200</v>
          </cell>
          <cell r="C469" t="str">
            <v>Q10</v>
          </cell>
          <cell r="D469">
            <v>0</v>
          </cell>
          <cell r="E469" t="str">
            <v>Emballages commerciaux</v>
          </cell>
        </row>
        <row r="470">
          <cell r="A470">
            <v>335205</v>
          </cell>
          <cell r="B470" t="str">
            <v>STOCK BOUTEILLES GM A 150</v>
          </cell>
          <cell r="C470" t="str">
            <v>Q10</v>
          </cell>
          <cell r="D470">
            <v>0</v>
          </cell>
          <cell r="E470" t="str">
            <v>Emballages commerciaux</v>
          </cell>
        </row>
        <row r="471">
          <cell r="A471">
            <v>335206</v>
          </cell>
          <cell r="B471" t="str">
            <v>STOCK BOUTEILLES PM A 75</v>
          </cell>
          <cell r="C471" t="str">
            <v>Q10</v>
          </cell>
          <cell r="D471">
            <v>0</v>
          </cell>
          <cell r="E471" t="str">
            <v>Emballages commerciaux</v>
          </cell>
        </row>
        <row r="472">
          <cell r="A472">
            <v>335220</v>
          </cell>
          <cell r="B472" t="str">
            <v>STOCKS CASIER COMPLET GM 2880</v>
          </cell>
          <cell r="C472" t="str">
            <v>Q10</v>
          </cell>
          <cell r="D472">
            <v>0</v>
          </cell>
          <cell r="E472" t="str">
            <v>Emballages commerciaux</v>
          </cell>
        </row>
        <row r="473">
          <cell r="A473">
            <v>335230</v>
          </cell>
          <cell r="B473" t="str">
            <v>STOCKS CASIERS VIDE LITRE 1080</v>
          </cell>
          <cell r="C473" t="str">
            <v>Q10</v>
          </cell>
          <cell r="D473">
            <v>0</v>
          </cell>
          <cell r="E473" t="str">
            <v>Emballages commerciaux</v>
          </cell>
        </row>
        <row r="474">
          <cell r="A474">
            <v>335233</v>
          </cell>
          <cell r="B474" t="str">
            <v>STOCKS CASIER VIDE GM 1080</v>
          </cell>
          <cell r="C474" t="str">
            <v>Q10</v>
          </cell>
          <cell r="D474">
            <v>0</v>
          </cell>
          <cell r="E474" t="str">
            <v>Emballages commerciaux</v>
          </cell>
        </row>
        <row r="475">
          <cell r="A475">
            <v>335250</v>
          </cell>
          <cell r="B475" t="str">
            <v>STOCK FUTS A 8.000</v>
          </cell>
          <cell r="C475" t="str">
            <v>Q10</v>
          </cell>
          <cell r="D475">
            <v>0</v>
          </cell>
          <cell r="E475" t="str">
            <v>Emballages commerciaux</v>
          </cell>
        </row>
        <row r="476">
          <cell r="A476">
            <v>335261</v>
          </cell>
          <cell r="B476" t="str">
            <v>STOCK CASIERS COMPLETS GM 3000"COUT"</v>
          </cell>
          <cell r="C476" t="str">
            <v>Q10</v>
          </cell>
          <cell r="E476" t="str">
            <v>Emballages commerciaux</v>
          </cell>
        </row>
        <row r="477">
          <cell r="A477">
            <v>335262</v>
          </cell>
          <cell r="B477" t="str">
            <v>STOCK CASIERS COMPLETS PM 3000"COUT"</v>
          </cell>
          <cell r="C477" t="str">
            <v>Q10</v>
          </cell>
          <cell r="E477" t="str">
            <v>Emballages commerciaux</v>
          </cell>
        </row>
        <row r="478">
          <cell r="A478">
            <v>335263</v>
          </cell>
          <cell r="B478" t="str">
            <v>STOCK CASIERS VIDES GM 1200"COUT"</v>
          </cell>
          <cell r="C478" t="str">
            <v>Q10</v>
          </cell>
          <cell r="E478" t="str">
            <v>Emballages commerciaux</v>
          </cell>
        </row>
        <row r="479">
          <cell r="A479">
            <v>335264</v>
          </cell>
          <cell r="B479" t="str">
            <v>STOCK CASIERS VIDES P.M.A 1200"COUT"</v>
          </cell>
          <cell r="C479" t="str">
            <v>Q10</v>
          </cell>
          <cell r="E479" t="str">
            <v>Emballages commerciaux</v>
          </cell>
        </row>
        <row r="480">
          <cell r="A480">
            <v>335265</v>
          </cell>
          <cell r="B480" t="str">
            <v>STOCK BOUTEILLES GM A 150"COUT"</v>
          </cell>
          <cell r="C480" t="str">
            <v>Q10</v>
          </cell>
          <cell r="E480" t="str">
            <v>Emballages commerciaux</v>
          </cell>
        </row>
        <row r="481">
          <cell r="A481">
            <v>335266</v>
          </cell>
          <cell r="B481" t="str">
            <v>STOCK BOUTEILLES PM A 75"COUT"</v>
          </cell>
          <cell r="C481" t="str">
            <v>Q10</v>
          </cell>
          <cell r="E481" t="str">
            <v>Emballages commerciaux</v>
          </cell>
        </row>
        <row r="482">
          <cell r="A482">
            <v>335267</v>
          </cell>
          <cell r="B482" t="str">
            <v>STOCK FUTS A 8.000 COUT</v>
          </cell>
          <cell r="C482" t="str">
            <v>Q10</v>
          </cell>
          <cell r="E482" t="str">
            <v>Emballages commerciaux</v>
          </cell>
        </row>
        <row r="483">
          <cell r="A483">
            <v>335340</v>
          </cell>
          <cell r="B483" t="str">
            <v>ENCOURS INTER STK CASIERS CPL GM 3000</v>
          </cell>
          <cell r="C483" t="str">
            <v>Q10</v>
          </cell>
          <cell r="D483">
            <v>0</v>
          </cell>
          <cell r="E483" t="str">
            <v>Emballages commerciaux</v>
          </cell>
        </row>
        <row r="484">
          <cell r="A484">
            <v>335341</v>
          </cell>
          <cell r="B484" t="str">
            <v>ENCOURS INTRA STK CASIERS CPL PM 3000</v>
          </cell>
          <cell r="C484" t="str">
            <v>Q10</v>
          </cell>
          <cell r="D484">
            <v>0</v>
          </cell>
          <cell r="E484" t="str">
            <v>Emballages commerciaux</v>
          </cell>
        </row>
        <row r="485">
          <cell r="A485">
            <v>335342</v>
          </cell>
          <cell r="B485" t="str">
            <v>ECR INTER STK CV GM 1200</v>
          </cell>
          <cell r="C485" t="str">
            <v>Q10</v>
          </cell>
          <cell r="D485">
            <v>0</v>
          </cell>
          <cell r="E485" t="str">
            <v>Emballages commerciaux</v>
          </cell>
        </row>
        <row r="486">
          <cell r="A486">
            <v>335343</v>
          </cell>
          <cell r="B486" t="str">
            <v>ENCOURS INTER STK CASIERS VIDES PM 1200</v>
          </cell>
          <cell r="C486" t="str">
            <v>Q10</v>
          </cell>
          <cell r="D486">
            <v>0</v>
          </cell>
          <cell r="E486" t="str">
            <v>Emballages commerciaux</v>
          </cell>
        </row>
        <row r="487">
          <cell r="A487">
            <v>335344</v>
          </cell>
          <cell r="B487" t="str">
            <v>ENCOURS INTRA STK BOUTEILLES GM</v>
          </cell>
          <cell r="C487" t="str">
            <v>Q10</v>
          </cell>
          <cell r="D487">
            <v>0</v>
          </cell>
          <cell r="E487" t="str">
            <v>Emballages commerciaux</v>
          </cell>
        </row>
        <row r="488">
          <cell r="A488">
            <v>335345</v>
          </cell>
          <cell r="B488" t="str">
            <v>ENCOURS INTRA STK BOUTEILLES PM</v>
          </cell>
          <cell r="C488" t="str">
            <v>Q10</v>
          </cell>
          <cell r="D488">
            <v>0</v>
          </cell>
          <cell r="E488" t="str">
            <v>Emballages commerciaux</v>
          </cell>
        </row>
        <row r="489">
          <cell r="A489">
            <v>335350</v>
          </cell>
          <cell r="B489" t="str">
            <v>ENCOURS INTRA STK CASIERS CPL GM 1</v>
          </cell>
          <cell r="C489" t="str">
            <v>Q10</v>
          </cell>
          <cell r="D489">
            <v>0</v>
          </cell>
          <cell r="E489" t="str">
            <v>Emballages commerciaux</v>
          </cell>
        </row>
        <row r="490">
          <cell r="A490">
            <v>335351</v>
          </cell>
          <cell r="B490" t="str">
            <v>ENCOURS INTRA STK CASIERS CPL PM 1</v>
          </cell>
          <cell r="C490" t="str">
            <v>Q10</v>
          </cell>
          <cell r="D490">
            <v>0</v>
          </cell>
          <cell r="E490" t="str">
            <v>Emballages commerciaux</v>
          </cell>
        </row>
        <row r="491">
          <cell r="A491">
            <v>335352</v>
          </cell>
          <cell r="B491" t="str">
            <v>ENCOURS INTRA STK VIDES GM A 10</v>
          </cell>
          <cell r="C491" t="str">
            <v>Q10</v>
          </cell>
          <cell r="D491">
            <v>0</v>
          </cell>
          <cell r="E491" t="str">
            <v>Emballages commerciaux</v>
          </cell>
        </row>
        <row r="492">
          <cell r="A492">
            <v>335353</v>
          </cell>
          <cell r="B492" t="str">
            <v>ENCOURS INTRA CV PM</v>
          </cell>
          <cell r="C492" t="str">
            <v>Q10</v>
          </cell>
          <cell r="D492">
            <v>0</v>
          </cell>
          <cell r="E492" t="str">
            <v>Emballages commerciaux</v>
          </cell>
        </row>
        <row r="493">
          <cell r="A493">
            <v>335354</v>
          </cell>
          <cell r="B493" t="str">
            <v>ENCOURS INTRA STK BOUTEILLE GM</v>
          </cell>
          <cell r="C493" t="str">
            <v>Q10</v>
          </cell>
          <cell r="D493">
            <v>0</v>
          </cell>
          <cell r="E493" t="str">
            <v>Emballages commerciaux</v>
          </cell>
        </row>
        <row r="494">
          <cell r="A494">
            <v>335355</v>
          </cell>
          <cell r="B494" t="str">
            <v>ENCOURS INTER STK BOUTEILLE PM</v>
          </cell>
          <cell r="C494" t="str">
            <v>Q10</v>
          </cell>
          <cell r="D494">
            <v>0</v>
          </cell>
          <cell r="E494" t="str">
            <v>Emballages commerciaux</v>
          </cell>
        </row>
        <row r="495">
          <cell r="A495">
            <v>335367</v>
          </cell>
          <cell r="B495" t="str">
            <v>STOCK FUTS A 8.000"COUT"</v>
          </cell>
          <cell r="C495" t="str">
            <v>Q10</v>
          </cell>
          <cell r="E495" t="str">
            <v>Emballages commerciaux</v>
          </cell>
        </row>
        <row r="496">
          <cell r="A496">
            <v>335401</v>
          </cell>
          <cell r="B496" t="str">
            <v>ENCOURS INTER STK CASIERS CPL GM COUT</v>
          </cell>
          <cell r="C496" t="str">
            <v>Q10</v>
          </cell>
          <cell r="E496" t="str">
            <v>Emballages commerciaux</v>
          </cell>
        </row>
        <row r="497">
          <cell r="A497">
            <v>335501</v>
          </cell>
          <cell r="B497" t="str">
            <v>ENCOURS INTRA STK CASIERS CPL PM COUT</v>
          </cell>
          <cell r="C497" t="str">
            <v>Q10</v>
          </cell>
          <cell r="E497" t="str">
            <v>Emballages commerciaux</v>
          </cell>
        </row>
        <row r="498">
          <cell r="A498">
            <v>335801</v>
          </cell>
          <cell r="B498" t="str">
            <v>ENCOURS INTRA STK BOUTEILLES GM COUT</v>
          </cell>
          <cell r="C498" t="str">
            <v>Q10</v>
          </cell>
          <cell r="E498" t="str">
            <v>Emballages commerciaux</v>
          </cell>
        </row>
        <row r="499">
          <cell r="A499">
            <v>335519</v>
          </cell>
          <cell r="B499" t="str">
            <v>ECR INTRA STOCK FUTS A 8000</v>
          </cell>
          <cell r="C499" t="str">
            <v>Q10</v>
          </cell>
          <cell r="D499">
            <v>0</v>
          </cell>
          <cell r="E499" t="str">
            <v>Emballages commerciaux</v>
          </cell>
        </row>
        <row r="500">
          <cell r="A500">
            <v>335529</v>
          </cell>
          <cell r="B500" t="str">
            <v>ENCOURS INTER STK FUTS A 8000</v>
          </cell>
          <cell r="C500" t="str">
            <v>Q10</v>
          </cell>
          <cell r="D500">
            <v>0</v>
          </cell>
          <cell r="E500" t="str">
            <v>Emballages commerciaux</v>
          </cell>
        </row>
        <row r="501">
          <cell r="A501">
            <v>335601</v>
          </cell>
          <cell r="B501" t="str">
            <v>ECR INTER STK CV GM 1200 COUT</v>
          </cell>
          <cell r="C501" t="str">
            <v>Q10</v>
          </cell>
          <cell r="E501" t="str">
            <v>Emballages commerciaux</v>
          </cell>
        </row>
        <row r="502">
          <cell r="A502">
            <v>335620</v>
          </cell>
          <cell r="B502" t="str">
            <v>COMPL.PRIX P/EMBAL.NEUFS BOUTEIL</v>
          </cell>
          <cell r="C502" t="str">
            <v>Q10</v>
          </cell>
          <cell r="D502">
            <v>0</v>
          </cell>
          <cell r="E502" t="str">
            <v>Emballages commerciaux</v>
          </cell>
        </row>
        <row r="503">
          <cell r="A503">
            <v>335730</v>
          </cell>
          <cell r="B503" t="str">
            <v>TRSF STK RET/ACH.CAS.COM.GM 3000</v>
          </cell>
          <cell r="C503" t="str">
            <v>Q10</v>
          </cell>
          <cell r="D503">
            <v>0</v>
          </cell>
          <cell r="E503" t="str">
            <v>Emballages commerciaux</v>
          </cell>
        </row>
        <row r="504">
          <cell r="A504">
            <v>335800</v>
          </cell>
          <cell r="B504" t="str">
            <v>STOCK PALETTES RECUPERABLES</v>
          </cell>
          <cell r="C504" t="str">
            <v>R01</v>
          </cell>
          <cell r="D504">
            <v>0</v>
          </cell>
          <cell r="E504" t="str">
            <v>Matières Premières et Consommables</v>
          </cell>
        </row>
        <row r="505">
          <cell r="A505">
            <v>335801</v>
          </cell>
          <cell r="B505" t="str">
            <v>ENCOURS INTRA STK BOUTEILLES GM COUT</v>
          </cell>
          <cell r="C505" t="str">
            <v>R01</v>
          </cell>
          <cell r="E505" t="str">
            <v>Matières Premières et Consommables</v>
          </cell>
        </row>
        <row r="506">
          <cell r="A506">
            <v>338100</v>
          </cell>
          <cell r="B506" t="str">
            <v>STOCK CONSOMMABLE DE LABORATOIRE</v>
          </cell>
          <cell r="C506" t="str">
            <v>R01</v>
          </cell>
          <cell r="D506">
            <v>0</v>
          </cell>
          <cell r="E506" t="str">
            <v>Matières Premières et Consommables</v>
          </cell>
        </row>
        <row r="507">
          <cell r="A507">
            <v>341000</v>
          </cell>
          <cell r="B507" t="str">
            <v>STOCK SEMI FINI</v>
          </cell>
          <cell r="C507" t="str">
            <v>R03</v>
          </cell>
          <cell r="D507">
            <v>0</v>
          </cell>
          <cell r="E507" t="str">
            <v>Produits Finis et Semi-finis</v>
          </cell>
        </row>
        <row r="508">
          <cell r="A508">
            <v>341010</v>
          </cell>
          <cell r="B508" t="str">
            <v>33 EXPORT EN COURS FABRICATION</v>
          </cell>
          <cell r="C508" t="str">
            <v>R03</v>
          </cell>
          <cell r="D508">
            <v>0</v>
          </cell>
          <cell r="E508" t="str">
            <v>Produits Finis et Semi-finis</v>
          </cell>
        </row>
        <row r="509">
          <cell r="A509">
            <v>341020</v>
          </cell>
          <cell r="B509" t="str">
            <v>TUBORG EN COURS FABRICATION</v>
          </cell>
          <cell r="C509" t="str">
            <v>R03</v>
          </cell>
          <cell r="D509">
            <v>0</v>
          </cell>
          <cell r="E509" t="str">
            <v>Produits Finis et Semi-finis</v>
          </cell>
        </row>
        <row r="510">
          <cell r="A510">
            <v>341030</v>
          </cell>
          <cell r="B510" t="str">
            <v>AMSTEL EN COURS FABRICATION</v>
          </cell>
          <cell r="C510" t="str">
            <v>R03</v>
          </cell>
          <cell r="D510">
            <v>0</v>
          </cell>
          <cell r="E510" t="str">
            <v>Produits Finis et Semi-finis</v>
          </cell>
        </row>
        <row r="511">
          <cell r="A511">
            <v>341040</v>
          </cell>
          <cell r="B511" t="str">
            <v>MUTZIG EN COURS FABRICATION</v>
          </cell>
          <cell r="C511" t="str">
            <v>R03</v>
          </cell>
          <cell r="D511">
            <v>0</v>
          </cell>
          <cell r="E511" t="str">
            <v>Produits Finis et Semi-finis</v>
          </cell>
        </row>
        <row r="512">
          <cell r="A512">
            <v>341050</v>
          </cell>
          <cell r="B512" t="str">
            <v>CASTEL BIERE EN COURS FABRICAT.</v>
          </cell>
          <cell r="C512" t="str">
            <v>R03</v>
          </cell>
          <cell r="D512">
            <v>0</v>
          </cell>
          <cell r="E512" t="str">
            <v>Produits Finis et Semi-finis</v>
          </cell>
        </row>
        <row r="513">
          <cell r="A513">
            <v>341055</v>
          </cell>
          <cell r="B513" t="str">
            <v>CASTLE MILK EN COURS FABRICATION</v>
          </cell>
          <cell r="C513" t="str">
            <v>R03</v>
          </cell>
          <cell r="D513">
            <v>0</v>
          </cell>
          <cell r="E513" t="str">
            <v>Produits Finis et Semi-finis</v>
          </cell>
        </row>
        <row r="514">
          <cell r="A514">
            <v>341060</v>
          </cell>
          <cell r="B514" t="str">
            <v>PELFORTH EN COURS DE FABRICATION</v>
          </cell>
          <cell r="C514" t="str">
            <v>R03</v>
          </cell>
          <cell r="D514">
            <v>0</v>
          </cell>
          <cell r="E514" t="str">
            <v>Produits Finis et Semi-finis</v>
          </cell>
        </row>
        <row r="515">
          <cell r="A515">
            <v>341090</v>
          </cell>
          <cell r="B515" t="str">
            <v>AUTRES PRODUITS ENCOURS DE FAB.</v>
          </cell>
          <cell r="C515" t="str">
            <v>R03</v>
          </cell>
          <cell r="D515">
            <v>0</v>
          </cell>
          <cell r="E515" t="str">
            <v>Produits Finis et Semi-finis</v>
          </cell>
        </row>
        <row r="516">
          <cell r="A516">
            <v>341097</v>
          </cell>
          <cell r="B516" t="str">
            <v>STOCKS SEMI FINIS "COUT"</v>
          </cell>
          <cell r="C516" t="str">
            <v>R03</v>
          </cell>
          <cell r="E516" t="str">
            <v>Produits Finis et Semi-finis</v>
          </cell>
        </row>
        <row r="517">
          <cell r="A517">
            <v>341100</v>
          </cell>
          <cell r="B517" t="str">
            <v>SIROPS EN COURS DE PRODUCTION</v>
          </cell>
          <cell r="C517" t="str">
            <v>R03</v>
          </cell>
          <cell r="E517" t="str">
            <v>Produits Finis et Semi-finis</v>
          </cell>
        </row>
        <row r="518">
          <cell r="A518">
            <v>343100</v>
          </cell>
          <cell r="B518" t="str">
            <v>STOCK PRODUITS SEMI-FINIS</v>
          </cell>
          <cell r="C518" t="str">
            <v>R03</v>
          </cell>
          <cell r="D518">
            <v>0</v>
          </cell>
          <cell r="E518" t="str">
            <v>Produits Finis et Semi-finis</v>
          </cell>
        </row>
        <row r="519">
          <cell r="A519">
            <v>361000</v>
          </cell>
          <cell r="B519" t="str">
            <v>PRODUITS FINIS STOCKES - BIERES</v>
          </cell>
          <cell r="C519" t="str">
            <v>R03</v>
          </cell>
          <cell r="D519">
            <v>0</v>
          </cell>
          <cell r="E519" t="str">
            <v>Produits Finis et Semi-finis</v>
          </cell>
        </row>
        <row r="520">
          <cell r="A520">
            <v>361001</v>
          </cell>
          <cell r="B520" t="str">
            <v>PRODUITS FINIS STOCKES - BIERES"COUT"</v>
          </cell>
          <cell r="C520" t="str">
            <v>R03</v>
          </cell>
          <cell r="E520" t="str">
            <v>Produits Finis et Semi-finis</v>
          </cell>
        </row>
        <row r="521">
          <cell r="A521">
            <v>361060</v>
          </cell>
          <cell r="B521" t="str">
            <v>PROD FINIS ALCOOL MIX</v>
          </cell>
          <cell r="C521" t="str">
            <v>R03</v>
          </cell>
          <cell r="D521">
            <v>0</v>
          </cell>
          <cell r="E521" t="str">
            <v>Produits Finis et Semi-finis</v>
          </cell>
        </row>
        <row r="522">
          <cell r="A522">
            <v>361061</v>
          </cell>
          <cell r="B522" t="str">
            <v>PROD FINIS ALCOOL MIX"COUT"</v>
          </cell>
          <cell r="C522" t="str">
            <v>R03</v>
          </cell>
          <cell r="E522" t="str">
            <v>Produits Finis et Semi-finis</v>
          </cell>
        </row>
        <row r="523">
          <cell r="A523">
            <v>361075</v>
          </cell>
          <cell r="B523" t="str">
            <v>BOOSTER PRODUITS FINIS STOCKES</v>
          </cell>
          <cell r="C523" t="str">
            <v>R03</v>
          </cell>
          <cell r="D523">
            <v>0</v>
          </cell>
          <cell r="E523" t="str">
            <v>Produits Finis et Semi-finis</v>
          </cell>
        </row>
        <row r="524">
          <cell r="A524">
            <v>361080</v>
          </cell>
          <cell r="B524" t="str">
            <v>PROD FINIS BOISSONS GAZEUSES</v>
          </cell>
          <cell r="C524" t="str">
            <v>R03</v>
          </cell>
          <cell r="D524">
            <v>0</v>
          </cell>
          <cell r="E524" t="str">
            <v>Produits Finis et Semi-finis</v>
          </cell>
        </row>
        <row r="525">
          <cell r="A525">
            <v>361081</v>
          </cell>
          <cell r="B525" t="str">
            <v>PROD FINIS BOISSONS GAZEUSES"COUT"</v>
          </cell>
          <cell r="C525" t="str">
            <v>R03</v>
          </cell>
          <cell r="E525" t="str">
            <v>Produits Finis et Semi-finis</v>
          </cell>
        </row>
        <row r="526">
          <cell r="A526">
            <v>361090</v>
          </cell>
          <cell r="B526" t="str">
            <v>PROD FINIS EAU TANGUI</v>
          </cell>
          <cell r="C526" t="str">
            <v>R03</v>
          </cell>
          <cell r="D526">
            <v>0</v>
          </cell>
          <cell r="E526" t="str">
            <v>Produits Finis et Semi-finis</v>
          </cell>
        </row>
        <row r="527">
          <cell r="A527">
            <v>361095</v>
          </cell>
          <cell r="B527" t="str">
            <v>STOCK PROD FINIS AQUABELLE</v>
          </cell>
          <cell r="C527" t="str">
            <v>R03</v>
          </cell>
          <cell r="E527" t="str">
            <v>Produits Finis et Semi-finis</v>
          </cell>
        </row>
        <row r="528">
          <cell r="A528">
            <v>361096</v>
          </cell>
          <cell r="B528" t="str">
            <v>STOCK PROD FINIS AQUABELLE"COUT"</v>
          </cell>
          <cell r="C528" t="str">
            <v>R03</v>
          </cell>
          <cell r="E528" t="str">
            <v>Produits Finis et Semi-finis</v>
          </cell>
        </row>
        <row r="529">
          <cell r="A529">
            <v>361100</v>
          </cell>
          <cell r="B529" t="str">
            <v>PRODUITS FINIS SOCAVER</v>
          </cell>
          <cell r="C529" t="str">
            <v>R03</v>
          </cell>
          <cell r="D529">
            <v>0</v>
          </cell>
          <cell r="E529" t="str">
            <v>Produits Finis et Semi-finis</v>
          </cell>
        </row>
        <row r="530">
          <cell r="A530">
            <v>362000</v>
          </cell>
          <cell r="B530" t="str">
            <v>BIERE EN COURS DE ROUTE INTER</v>
          </cell>
          <cell r="C530" t="str">
            <v>R03</v>
          </cell>
          <cell r="D530">
            <v>0</v>
          </cell>
          <cell r="E530" t="str">
            <v>Produits Finis et Semi-finis</v>
          </cell>
        </row>
        <row r="531">
          <cell r="A531">
            <v>362001</v>
          </cell>
          <cell r="B531" t="str">
            <v>BIERE EN COURS DE ROUTE INTRA AGENCES</v>
          </cell>
          <cell r="C531" t="str">
            <v>R03</v>
          </cell>
          <cell r="D531">
            <v>0</v>
          </cell>
          <cell r="E531" t="str">
            <v>Produits Finis et Semi-finis</v>
          </cell>
        </row>
        <row r="532">
          <cell r="A532">
            <v>362060</v>
          </cell>
          <cell r="B532" t="str">
            <v>ALCOOL MIX EN CRS INTRA</v>
          </cell>
          <cell r="C532" t="str">
            <v>R03</v>
          </cell>
          <cell r="D532">
            <v>0</v>
          </cell>
          <cell r="E532" t="str">
            <v>Produits Finis et Semi-finis</v>
          </cell>
        </row>
        <row r="533">
          <cell r="A533">
            <v>362061</v>
          </cell>
          <cell r="B533" t="str">
            <v>ALCOOL MIX EN CRS INTER</v>
          </cell>
          <cell r="C533" t="str">
            <v>R03</v>
          </cell>
          <cell r="D533">
            <v>0</v>
          </cell>
          <cell r="E533" t="str">
            <v>Produits Finis et Semi-finis</v>
          </cell>
        </row>
        <row r="534">
          <cell r="A534">
            <v>362100</v>
          </cell>
          <cell r="B534" t="str">
            <v>EN COURS STOCK BG INTER AGENCE</v>
          </cell>
          <cell r="C534" t="str">
            <v>R03</v>
          </cell>
          <cell r="D534">
            <v>0</v>
          </cell>
          <cell r="E534" t="str">
            <v>Produits Finis et Semi-finis</v>
          </cell>
        </row>
        <row r="535">
          <cell r="A535">
            <v>362101</v>
          </cell>
          <cell r="B535" t="str">
            <v>EN COURS STOCK BG INTRA AGENCE</v>
          </cell>
          <cell r="C535" t="str">
            <v>R03</v>
          </cell>
          <cell r="D535">
            <v>0</v>
          </cell>
          <cell r="E535" t="str">
            <v>Produits Finis et Semi-finis</v>
          </cell>
        </row>
        <row r="536">
          <cell r="A536">
            <v>363000</v>
          </cell>
          <cell r="B536" t="str">
            <v>PRODUITS FINIS PREFORMES TANGUI</v>
          </cell>
          <cell r="C536" t="str">
            <v>R03</v>
          </cell>
          <cell r="E536" t="str">
            <v>Produits Finis et Semi-finis</v>
          </cell>
        </row>
        <row r="537">
          <cell r="A537">
            <v>371100</v>
          </cell>
          <cell r="B537" t="str">
            <v>PRODUITS INTERMEDIAIRES/RESIDUELS</v>
          </cell>
          <cell r="C537" t="str">
            <v>R03</v>
          </cell>
          <cell r="D537">
            <v>0</v>
          </cell>
          <cell r="E537" t="str">
            <v>Produits Finis et Semi-finis</v>
          </cell>
        </row>
        <row r="538">
          <cell r="A538">
            <v>371101</v>
          </cell>
          <cell r="B538" t="str">
            <v>PRODUITS INTERMEDIAIRES/RESIDUELS COUT</v>
          </cell>
          <cell r="C538" t="str">
            <v>R03</v>
          </cell>
          <cell r="E538" t="str">
            <v>Produits Finis et Semi-finis</v>
          </cell>
        </row>
        <row r="539">
          <cell r="A539">
            <v>381080</v>
          </cell>
          <cell r="B539" t="str">
            <v>EN COURS SUR ACHAT MARCHANDISES</v>
          </cell>
          <cell r="C539" t="str">
            <v>R05</v>
          </cell>
          <cell r="D539">
            <v>0</v>
          </cell>
          <cell r="E539" t="str">
            <v>Stock en Cours de Route</v>
          </cell>
        </row>
        <row r="540">
          <cell r="A540">
            <v>382120</v>
          </cell>
          <cell r="B540" t="str">
            <v>EN COURS SUR ACHAT MATIERE PREMIERE IMPO</v>
          </cell>
          <cell r="C540" t="str">
            <v>R05</v>
          </cell>
          <cell r="D540">
            <v>0</v>
          </cell>
          <cell r="E540" t="str">
            <v>Stock en Cours de Route</v>
          </cell>
        </row>
        <row r="541">
          <cell r="A541">
            <v>383000</v>
          </cell>
          <cell r="B541" t="str">
            <v>EN COURS DE ROUTE MATIERE CONSOMMABLE</v>
          </cell>
          <cell r="C541" t="str">
            <v>R05</v>
          </cell>
          <cell r="E541" t="str">
            <v>Stock en Cours de Route</v>
          </cell>
        </row>
        <row r="542">
          <cell r="A542">
            <v>383100</v>
          </cell>
          <cell r="B542" t="str">
            <v>EN COURS SUR ACHAT MATIERE CONSO IMPO</v>
          </cell>
          <cell r="C542" t="str">
            <v>R05</v>
          </cell>
          <cell r="D542">
            <v>0</v>
          </cell>
          <cell r="E542" t="str">
            <v>Stock en Cours de Route</v>
          </cell>
        </row>
        <row r="543">
          <cell r="A543">
            <v>383150</v>
          </cell>
          <cell r="B543" t="str">
            <v>ECR ACHAT MC CONDITIONNEMENT</v>
          </cell>
          <cell r="C543" t="str">
            <v>R05</v>
          </cell>
          <cell r="E543" t="str">
            <v>Stock en Cours de Route</v>
          </cell>
        </row>
        <row r="544">
          <cell r="A544">
            <v>383310</v>
          </cell>
          <cell r="B544" t="str">
            <v>EN COURS SUR ACHAT PIECES RECHANGES IMPO</v>
          </cell>
          <cell r="C544" t="str">
            <v>R05</v>
          </cell>
          <cell r="D544">
            <v>0</v>
          </cell>
          <cell r="E544" t="str">
            <v>Stock en Cours de Route</v>
          </cell>
        </row>
        <row r="545">
          <cell r="A545">
            <v>383600</v>
          </cell>
          <cell r="B545" t="str">
            <v>EN COURS ACHATS AUTRES APPROV IMPORTES</v>
          </cell>
          <cell r="C545" t="str">
            <v>R05</v>
          </cell>
          <cell r="E545" t="str">
            <v>Stock en Cours de Route</v>
          </cell>
        </row>
        <row r="546">
          <cell r="A546">
            <v>384000</v>
          </cell>
          <cell r="B546" t="str">
            <v>EN COURS DE ROUTE PIECES DE RECHANGE</v>
          </cell>
          <cell r="C546" t="str">
            <v>R05</v>
          </cell>
          <cell r="E546" t="str">
            <v>Stock en Cours de Route</v>
          </cell>
        </row>
        <row r="547">
          <cell r="A547">
            <v>392200</v>
          </cell>
          <cell r="B547" t="str">
            <v>PROV.P/DEPREC.MAT.PREM.N/DEDUC</v>
          </cell>
          <cell r="C547" t="str">
            <v>R01</v>
          </cell>
          <cell r="D547" t="str">
            <v>Amort</v>
          </cell>
          <cell r="E547" t="str">
            <v>Matières Premières et Consommables</v>
          </cell>
        </row>
        <row r="548">
          <cell r="A548">
            <v>392210</v>
          </cell>
          <cell r="B548" t="str">
            <v>PROV.DEPRECIATION MAT.PREM.DEDUC</v>
          </cell>
          <cell r="C548" t="str">
            <v>R01</v>
          </cell>
          <cell r="D548" t="str">
            <v>Amort</v>
          </cell>
          <cell r="E548" t="str">
            <v>Matières Premières et Consommables</v>
          </cell>
        </row>
        <row r="549">
          <cell r="A549">
            <v>392250</v>
          </cell>
          <cell r="B549" t="str">
            <v>PROV.DEPREC.STK PIECES RECHANGES</v>
          </cell>
          <cell r="C549" t="str">
            <v>R04</v>
          </cell>
          <cell r="D549" t="str">
            <v>Amort</v>
          </cell>
          <cell r="E549" t="str">
            <v>Pièces de rechange et Fournitures diverses</v>
          </cell>
        </row>
        <row r="550">
          <cell r="A550">
            <v>393215</v>
          </cell>
          <cell r="B550" t="str">
            <v>PROV P/DEP STOCKS MSES</v>
          </cell>
          <cell r="C550" t="str">
            <v>R02</v>
          </cell>
          <cell r="D550" t="str">
            <v>Amort</v>
          </cell>
          <cell r="E550" t="str">
            <v>Marchandises</v>
          </cell>
        </row>
        <row r="551">
          <cell r="A551">
            <v>393260</v>
          </cell>
          <cell r="B551" t="str">
            <v>PROV DEPRECIAT.EMBAL.HN N.DEDUC.</v>
          </cell>
          <cell r="C551" t="str">
            <v>Q10</v>
          </cell>
          <cell r="D551" t="str">
            <v>Amort</v>
          </cell>
          <cell r="E551" t="str">
            <v>Emballages commerciaux</v>
          </cell>
        </row>
        <row r="552">
          <cell r="A552">
            <v>393270</v>
          </cell>
          <cell r="B552" t="str">
            <v>PROV.DEPRECIAT.STK DORMANT EMBAL</v>
          </cell>
          <cell r="C552" t="str">
            <v>Q10</v>
          </cell>
          <cell r="D552" t="str">
            <v>Amort</v>
          </cell>
          <cell r="E552" t="str">
            <v>Emballages commerciaux</v>
          </cell>
        </row>
        <row r="553">
          <cell r="A553">
            <v>393280</v>
          </cell>
          <cell r="B553" t="str">
            <v>PROV.P/DEPREC.STOCK EMBAL.NEUF</v>
          </cell>
          <cell r="C553" t="str">
            <v>Q10</v>
          </cell>
          <cell r="D553" t="str">
            <v>Amort</v>
          </cell>
          <cell r="E553" t="str">
            <v>Emballages commerciaux</v>
          </cell>
        </row>
        <row r="554">
          <cell r="A554">
            <v>393290</v>
          </cell>
          <cell r="B554" t="str">
            <v>PROV.P/DEPREC.STOCK AUTRES APPROVISIONNE</v>
          </cell>
          <cell r="C554" t="str">
            <v>R01</v>
          </cell>
          <cell r="D554" t="str">
            <v>Amort</v>
          </cell>
          <cell r="E554" t="str">
            <v>Matières Premières et Consommables</v>
          </cell>
        </row>
        <row r="555">
          <cell r="A555">
            <v>396220</v>
          </cell>
          <cell r="B555" t="str">
            <v>PROV.DEPR.S/PROD FINIS DECORES</v>
          </cell>
          <cell r="C555" t="str">
            <v>R03</v>
          </cell>
          <cell r="D555" t="str">
            <v>Amort</v>
          </cell>
          <cell r="E555" t="str">
            <v>Produits Finis et Semi-finis</v>
          </cell>
        </row>
        <row r="556">
          <cell r="A556">
            <v>396230</v>
          </cell>
          <cell r="B556" t="str">
            <v>PROV.D.S/PROD FINIS NON DECORES</v>
          </cell>
          <cell r="C556" t="str">
            <v>R03</v>
          </cell>
          <cell r="D556" t="str">
            <v>Amort</v>
          </cell>
          <cell r="E556" t="str">
            <v>Produits Finis et Semi-finis</v>
          </cell>
        </row>
        <row r="557">
          <cell r="A557">
            <v>396240</v>
          </cell>
          <cell r="B557" t="str">
            <v>PROV.D.S/PROD SEMI-FINIS</v>
          </cell>
          <cell r="C557" t="str">
            <v>R03</v>
          </cell>
          <cell r="D557" t="str">
            <v>Amort</v>
          </cell>
          <cell r="E557" t="str">
            <v>Produits Finis et Semi-finis</v>
          </cell>
        </row>
        <row r="558">
          <cell r="A558">
            <v>401100</v>
          </cell>
          <cell r="B558" t="str">
            <v>FOURNISSEURS NORMAUX LOCAUX</v>
          </cell>
          <cell r="C558" t="str">
            <v>S01</v>
          </cell>
          <cell r="D558" t="str">
            <v>X01</v>
          </cell>
          <cell r="E558" t="str">
            <v>Avances et acomptes Fournisseurs / Fournisseurs</v>
          </cell>
        </row>
        <row r="559">
          <cell r="A559">
            <v>401103</v>
          </cell>
          <cell r="B559" t="str">
            <v>INTERMEDIAIRE D'IMPORTAT° PRINCIPAL</v>
          </cell>
          <cell r="C559" t="str">
            <v>S01</v>
          </cell>
          <cell r="D559" t="str">
            <v>X01</v>
          </cell>
          <cell r="E559" t="str">
            <v>Avances et acomptes Fournisseurs / Fournisseurs</v>
          </cell>
        </row>
        <row r="560">
          <cell r="A560">
            <v>401108</v>
          </cell>
          <cell r="B560" t="str">
            <v>BAILLEURS PRINCIPAL</v>
          </cell>
          <cell r="C560" t="str">
            <v>S01</v>
          </cell>
          <cell r="D560" t="str">
            <v>X01</v>
          </cell>
          <cell r="E560" t="str">
            <v>Avances et acomptes Fournisseurs / Fournisseurs</v>
          </cell>
        </row>
        <row r="561">
          <cell r="A561">
            <v>401110</v>
          </cell>
          <cell r="B561" t="str">
            <v>FOURNISSEURS ETRANGERS</v>
          </cell>
          <cell r="C561" t="str">
            <v>S02</v>
          </cell>
          <cell r="D561" t="str">
            <v>X02</v>
          </cell>
          <cell r="E561" t="str">
            <v>Avances DGE courante / DGE courante</v>
          </cell>
        </row>
        <row r="562">
          <cell r="A562">
            <v>401200</v>
          </cell>
          <cell r="B562" t="str">
            <v>FOURNIS.GROUPE</v>
          </cell>
          <cell r="C562" t="str">
            <v>S01</v>
          </cell>
          <cell r="D562" t="str">
            <v>X01</v>
          </cell>
          <cell r="E562" t="str">
            <v>Avances et acomptes Fournisseurs / Fournisseurs</v>
          </cell>
        </row>
        <row r="563">
          <cell r="A563">
            <v>401206</v>
          </cell>
          <cell r="B563" t="str">
            <v>SOCIETE GROUPE BGI PRINCIPAL</v>
          </cell>
          <cell r="C563" t="str">
            <v>S01</v>
          </cell>
          <cell r="D563" t="str">
            <v>X01</v>
          </cell>
          <cell r="E563" t="str">
            <v>Avances et acomptes Fournisseurs / Fournisseurs</v>
          </cell>
        </row>
        <row r="564">
          <cell r="A564">
            <v>401300</v>
          </cell>
          <cell r="B564" t="str">
            <v>FOURNISSEURS SOUS TRAITANT</v>
          </cell>
          <cell r="C564" t="str">
            <v>S01</v>
          </cell>
          <cell r="D564" t="str">
            <v>X01</v>
          </cell>
          <cell r="E564" t="str">
            <v>Avances et acomptes Fournisseurs / Fournisseurs</v>
          </cell>
        </row>
        <row r="565">
          <cell r="A565">
            <v>401310</v>
          </cell>
          <cell r="B565" t="str">
            <v>FOURNISSEURS TRANSPORTEUR TIERS</v>
          </cell>
          <cell r="C565" t="str">
            <v>S01</v>
          </cell>
          <cell r="D565" t="str">
            <v>X01</v>
          </cell>
          <cell r="E565" t="str">
            <v>Avances et acomptes Fournisseurs / Fournisseurs</v>
          </cell>
        </row>
        <row r="566">
          <cell r="A566">
            <v>401320</v>
          </cell>
          <cell r="B566" t="str">
            <v>FOURNISSEURS TRANSPORTEUR LIVREURS</v>
          </cell>
          <cell r="C566" t="str">
            <v>S01</v>
          </cell>
          <cell r="D566" t="str">
            <v>X01</v>
          </cell>
          <cell r="E566" t="str">
            <v>Avances et acomptes Fournisseurs / Fournisseurs</v>
          </cell>
        </row>
        <row r="567">
          <cell r="A567">
            <v>401700</v>
          </cell>
          <cell r="B567" t="str">
            <v>FOURNIS.RETENUES GARANTIE</v>
          </cell>
          <cell r="C567" t="str">
            <v>S01</v>
          </cell>
          <cell r="D567" t="str">
            <v>X01</v>
          </cell>
          <cell r="E567" t="str">
            <v>Avances et acomptes Fournisseurs / Fournisseurs</v>
          </cell>
        </row>
        <row r="568">
          <cell r="A568">
            <v>401701</v>
          </cell>
          <cell r="B568" t="str">
            <v>FOURN TRANS CAUTION P/AVARIE</v>
          </cell>
          <cell r="C568" t="str">
            <v>S01</v>
          </cell>
          <cell r="D568" t="str">
            <v>X01</v>
          </cell>
          <cell r="E568" t="str">
            <v>Avances et acomptes Fournisseurs / Fournisseurs</v>
          </cell>
        </row>
        <row r="569">
          <cell r="A569">
            <v>401702</v>
          </cell>
          <cell r="B569" t="str">
            <v>RETENUE DE GARANTI TL</v>
          </cell>
          <cell r="C569" t="str">
            <v>S01</v>
          </cell>
          <cell r="D569" t="str">
            <v>X01</v>
          </cell>
          <cell r="E569" t="str">
            <v>Avances et acomptes Fournisseurs / Fournisseurs</v>
          </cell>
        </row>
        <row r="570">
          <cell r="A570">
            <v>401704</v>
          </cell>
          <cell r="B570" t="str">
            <v>FOURNIS ORD LOC RETENUES GARANTIE</v>
          </cell>
          <cell r="C570" t="str">
            <v>S01</v>
          </cell>
          <cell r="D570" t="str">
            <v>X01</v>
          </cell>
          <cell r="E570" t="str">
            <v>Avances et acomptes Fournisseurs / Fournisseurs</v>
          </cell>
        </row>
        <row r="571">
          <cell r="A571">
            <v>401707</v>
          </cell>
          <cell r="B571" t="str">
            <v>TRANSPORTEURS LIVREURS CAUTION G</v>
          </cell>
          <cell r="C571" t="str">
            <v>S01</v>
          </cell>
          <cell r="D571" t="str">
            <v>X01</v>
          </cell>
          <cell r="E571" t="str">
            <v>Avances et acomptes Fournisseurs / Fournisseurs</v>
          </cell>
        </row>
        <row r="572">
          <cell r="A572">
            <v>401710</v>
          </cell>
          <cell r="B572" t="str">
            <v>EPARGNE TRANSPORTEURS LIVREURS</v>
          </cell>
          <cell r="C572" t="str">
            <v>S01</v>
          </cell>
          <cell r="D572" t="str">
            <v>X01</v>
          </cell>
          <cell r="E572" t="str">
            <v>Avances et acomptes Fournisseurs / Fournisseurs</v>
          </cell>
        </row>
        <row r="573">
          <cell r="A573">
            <v>401717</v>
          </cell>
          <cell r="B573" t="str">
            <v>TRANSPORTEURS LIVREURS EPARGNE</v>
          </cell>
          <cell r="C573" t="str">
            <v>S01</v>
          </cell>
          <cell r="D573" t="str">
            <v>X01</v>
          </cell>
          <cell r="E573" t="str">
            <v>Avances et acomptes Fournisseurs / Fournisseurs</v>
          </cell>
        </row>
        <row r="574">
          <cell r="A574">
            <v>401740</v>
          </cell>
          <cell r="B574" t="str">
            <v>FOURNISSEURS D'IMMOILISATION</v>
          </cell>
          <cell r="C574" t="str">
            <v>S01</v>
          </cell>
          <cell r="D574" t="str">
            <v>X01</v>
          </cell>
          <cell r="E574" t="str">
            <v>Avances et acomptes Fournisseurs / Fournisseurs</v>
          </cell>
        </row>
        <row r="575">
          <cell r="A575">
            <v>401802</v>
          </cell>
          <cell r="B575" t="str">
            <v>TRANSPORTEURS TIERS CONTENTIEUX</v>
          </cell>
          <cell r="C575" t="str">
            <v>S01</v>
          </cell>
          <cell r="D575" t="str">
            <v>X01</v>
          </cell>
          <cell r="E575" t="str">
            <v>Avances et acomptes Fournisseurs / Fournisseurs</v>
          </cell>
        </row>
        <row r="576">
          <cell r="A576">
            <v>401804</v>
          </cell>
          <cell r="B576" t="str">
            <v>FOURNISSEURS  ORD LOC CONTENTIEUX</v>
          </cell>
          <cell r="C576" t="str">
            <v>S01</v>
          </cell>
          <cell r="D576" t="str">
            <v>X01</v>
          </cell>
          <cell r="E576" t="str">
            <v>Avances et acomptes Fournisseurs / Fournisseurs</v>
          </cell>
        </row>
        <row r="577">
          <cell r="A577">
            <v>401807</v>
          </cell>
          <cell r="B577" t="str">
            <v>TRANSPORTEURS LIVREURS CONTENTIEUX</v>
          </cell>
          <cell r="C577" t="str">
            <v>S01</v>
          </cell>
          <cell r="D577" t="str">
            <v>X01</v>
          </cell>
          <cell r="E577" t="str">
            <v>Avances et acomptes Fournisseurs / Fournisseurs</v>
          </cell>
        </row>
        <row r="578">
          <cell r="A578">
            <v>402100</v>
          </cell>
          <cell r="B578" t="str">
            <v>FOURNISSEURS EFFETS A PAYER</v>
          </cell>
          <cell r="C578" t="str">
            <v>S01</v>
          </cell>
          <cell r="D578" t="str">
            <v>X01</v>
          </cell>
          <cell r="E578" t="str">
            <v>Avances et acomptes Fournisseurs / Fournisseurs</v>
          </cell>
        </row>
        <row r="579">
          <cell r="A579">
            <v>402150</v>
          </cell>
          <cell r="B579" t="str">
            <v>FOURN-FACT.DIVERSES A PAYER</v>
          </cell>
          <cell r="C579" t="str">
            <v>S01</v>
          </cell>
          <cell r="D579" t="str">
            <v>X01</v>
          </cell>
          <cell r="E579" t="str">
            <v>Avances et acomptes Fournisseurs / Fournisseurs</v>
          </cell>
        </row>
        <row r="580">
          <cell r="A580">
            <v>402160</v>
          </cell>
          <cell r="B580" t="str">
            <v>FOURN-CHEQUES NON ENCAISSES</v>
          </cell>
          <cell r="C580" t="str">
            <v>S01</v>
          </cell>
          <cell r="D580" t="str">
            <v>X01</v>
          </cell>
          <cell r="E580" t="str">
            <v>Avances et acomptes Fournisseurs / Fournisseurs</v>
          </cell>
        </row>
        <row r="581">
          <cell r="A581">
            <v>402170</v>
          </cell>
          <cell r="B581" t="str">
            <v>C.N.A.- ASSURANCE MARCHANDISES</v>
          </cell>
          <cell r="C581" t="str">
            <v>S01</v>
          </cell>
          <cell r="D581" t="str">
            <v>X01</v>
          </cell>
          <cell r="E581" t="str">
            <v>Avances et acomptes Fournisseurs / Fournisseurs</v>
          </cell>
        </row>
        <row r="582">
          <cell r="A582">
            <v>408000</v>
          </cell>
          <cell r="B582" t="str">
            <v>CHARGES A PAYER AUTOMATIQUE</v>
          </cell>
          <cell r="C582" t="str">
            <v>S01</v>
          </cell>
          <cell r="D582" t="str">
            <v>X01</v>
          </cell>
          <cell r="E582" t="str">
            <v>Avances et acomptes Fournisseurs / Fournisseurs</v>
          </cell>
        </row>
        <row r="583">
          <cell r="A583">
            <v>408110</v>
          </cell>
          <cell r="B583" t="str">
            <v>FACT.NON PARVENUES -EAU ELECTRICITE</v>
          </cell>
          <cell r="C583" t="str">
            <v>S01</v>
          </cell>
          <cell r="D583" t="str">
            <v>X01</v>
          </cell>
          <cell r="E583" t="str">
            <v>Avances et acomptes Fournisseurs / Fournisseurs</v>
          </cell>
        </row>
        <row r="584">
          <cell r="A584">
            <v>408112</v>
          </cell>
          <cell r="B584" t="str">
            <v>FACT.NON PARVENUES TELEGRA.TELEPHONE</v>
          </cell>
          <cell r="C584" t="str">
            <v>S01</v>
          </cell>
          <cell r="D584" t="str">
            <v>X01</v>
          </cell>
          <cell r="E584" t="str">
            <v>Avances et acomptes Fournisseurs / Fournisseurs</v>
          </cell>
        </row>
        <row r="585">
          <cell r="A585">
            <v>408126</v>
          </cell>
          <cell r="B585" t="str">
            <v>FACT.NON PARVENUES-ASSUR.AUTO+IPT</v>
          </cell>
          <cell r="C585" t="str">
            <v>S01</v>
          </cell>
          <cell r="D585" t="str">
            <v>X01</v>
          </cell>
          <cell r="E585" t="str">
            <v>Avances et acomptes Fournisseurs / Fournisseurs</v>
          </cell>
        </row>
        <row r="586">
          <cell r="A586">
            <v>408127</v>
          </cell>
          <cell r="B586" t="str">
            <v>FACT.NON PARVENUES-ASSUR.STOCKS/TRANSP.</v>
          </cell>
          <cell r="C586" t="str">
            <v>S01</v>
          </cell>
          <cell r="D586" t="str">
            <v>X01</v>
          </cell>
          <cell r="E586" t="str">
            <v>Avances et acomptes Fournisseurs / Fournisseurs</v>
          </cell>
        </row>
        <row r="587">
          <cell r="A587">
            <v>408131</v>
          </cell>
          <cell r="B587" t="str">
            <v>FACT.NON PARVENUES-LOYERS CONSTRUC.</v>
          </cell>
          <cell r="C587" t="str">
            <v>S01</v>
          </cell>
          <cell r="D587" t="str">
            <v>X01</v>
          </cell>
          <cell r="E587" t="str">
            <v>Avances et acomptes Fournisseurs / Fournisseurs</v>
          </cell>
        </row>
        <row r="588">
          <cell r="A588">
            <v>408132</v>
          </cell>
          <cell r="B588" t="str">
            <v>FACT.NON PARVENUES-LOYERS LOG.PERSN.</v>
          </cell>
          <cell r="C588" t="str">
            <v>S01</v>
          </cell>
          <cell r="D588" t="str">
            <v>X01</v>
          </cell>
          <cell r="E588" t="str">
            <v>Avances et acomptes Fournisseurs / Fournisseurs</v>
          </cell>
        </row>
        <row r="589">
          <cell r="A589">
            <v>408140</v>
          </cell>
          <cell r="B589" t="str">
            <v>FACT.A RECEV/ACH.MAT.PREMIERES</v>
          </cell>
          <cell r="C589" t="str">
            <v>S01</v>
          </cell>
          <cell r="D589" t="str">
            <v>X01</v>
          </cell>
          <cell r="E589" t="str">
            <v>Avances et acomptes Fournisseurs / Fournisseurs</v>
          </cell>
        </row>
        <row r="590">
          <cell r="A590">
            <v>408141</v>
          </cell>
          <cell r="B590" t="str">
            <v>FACT.A RECEV/ACH.MAT.CONSOMMABLE</v>
          </cell>
          <cell r="C590" t="str">
            <v>S01</v>
          </cell>
          <cell r="D590" t="str">
            <v>X01</v>
          </cell>
          <cell r="E590" t="str">
            <v>Avances et acomptes Fournisseurs / Fournisseurs</v>
          </cell>
        </row>
        <row r="591">
          <cell r="A591">
            <v>408142</v>
          </cell>
          <cell r="B591" t="str">
            <v>FACT.A RECEV/ACH.COMBUSTIBLES</v>
          </cell>
          <cell r="C591" t="str">
            <v>S01</v>
          </cell>
          <cell r="D591" t="str">
            <v>X01</v>
          </cell>
          <cell r="E591" t="str">
            <v>Avances et acomptes Fournisseurs / Fournisseurs</v>
          </cell>
        </row>
        <row r="592">
          <cell r="A592">
            <v>408143</v>
          </cell>
          <cell r="B592" t="str">
            <v>FACT.A RECEV/ACH.CARBURANTS</v>
          </cell>
          <cell r="C592" t="str">
            <v>S01</v>
          </cell>
          <cell r="D592" t="str">
            <v>X01</v>
          </cell>
          <cell r="E592" t="str">
            <v>Avances et acomptes Fournisseurs / Fournisseurs</v>
          </cell>
        </row>
        <row r="593">
          <cell r="A593">
            <v>408144</v>
          </cell>
          <cell r="B593" t="str">
            <v>FACT.A RECEV/ACH.PIECES RECHANGE</v>
          </cell>
          <cell r="C593" t="str">
            <v>S01</v>
          </cell>
          <cell r="D593" t="str">
            <v>X01</v>
          </cell>
          <cell r="E593" t="str">
            <v>Avances et acomptes Fournisseurs / Fournisseurs</v>
          </cell>
        </row>
        <row r="594">
          <cell r="A594">
            <v>408145</v>
          </cell>
          <cell r="B594" t="str">
            <v>FACT.A RECEV/ACH.LUBRIFIANTS</v>
          </cell>
          <cell r="C594" t="str">
            <v>S01</v>
          </cell>
          <cell r="D594" t="str">
            <v>X01</v>
          </cell>
          <cell r="E594" t="str">
            <v>Avances et acomptes Fournisseurs / Fournisseurs</v>
          </cell>
        </row>
        <row r="595">
          <cell r="A595">
            <v>408146</v>
          </cell>
          <cell r="B595" t="str">
            <v>FACT.A RECEV/ACH.EMBALLAGES</v>
          </cell>
          <cell r="C595" t="str">
            <v>S01</v>
          </cell>
          <cell r="D595" t="str">
            <v>X01</v>
          </cell>
          <cell r="E595" t="str">
            <v>Avances et acomptes Fournisseurs / Fournisseurs</v>
          </cell>
        </row>
        <row r="596">
          <cell r="A596">
            <v>408147</v>
          </cell>
          <cell r="B596" t="str">
            <v>FACT.A RECEV/ACH.PALETTES</v>
          </cell>
          <cell r="C596" t="str">
            <v>S01</v>
          </cell>
          <cell r="D596" t="str">
            <v>X01</v>
          </cell>
          <cell r="E596" t="str">
            <v>Avances et acomptes Fournisseurs / Fournisseurs</v>
          </cell>
        </row>
        <row r="597">
          <cell r="A597">
            <v>408161</v>
          </cell>
          <cell r="B597" t="str">
            <v>FACT.NON PARVENUES-INTERETS/BANQ.CAMER.</v>
          </cell>
          <cell r="C597" t="str">
            <v>S01</v>
          </cell>
          <cell r="D597" t="str">
            <v>X01</v>
          </cell>
          <cell r="E597" t="str">
            <v>Avances et acomptes Fournisseurs / Fournisseurs</v>
          </cell>
        </row>
        <row r="598">
          <cell r="A598">
            <v>408163</v>
          </cell>
          <cell r="B598" t="str">
            <v>FACT.NON PARVENUES-AUTRES CHARGES</v>
          </cell>
          <cell r="C598" t="str">
            <v>S01</v>
          </cell>
          <cell r="D598" t="str">
            <v>X01</v>
          </cell>
          <cell r="E598" t="str">
            <v>Avances et acomptes Fournisseurs / Fournisseurs</v>
          </cell>
        </row>
        <row r="599">
          <cell r="A599">
            <v>408164</v>
          </cell>
          <cell r="B599" t="str">
            <v>FACT.NON PARVENUES-HONO.COMPTA.LOCAUX</v>
          </cell>
          <cell r="C599" t="str">
            <v>S01</v>
          </cell>
          <cell r="D599" t="str">
            <v>X01</v>
          </cell>
          <cell r="E599" t="str">
            <v>Avances et acomptes Fournisseurs / Fournisseurs</v>
          </cell>
        </row>
        <row r="600">
          <cell r="A600">
            <v>408165</v>
          </cell>
          <cell r="B600" t="str">
            <v>FACT A REC/ACH VETEMENTS TRAVAIL</v>
          </cell>
          <cell r="C600" t="str">
            <v>S01</v>
          </cell>
          <cell r="D600" t="str">
            <v>X01</v>
          </cell>
          <cell r="E600" t="str">
            <v>Avances et acomptes Fournisseurs / Fournisseurs</v>
          </cell>
        </row>
        <row r="601">
          <cell r="A601">
            <v>408166</v>
          </cell>
          <cell r="B601" t="str">
            <v>FACT NON PARVENUES PREST SERV CAMEROUM</v>
          </cell>
          <cell r="C601" t="str">
            <v>S01</v>
          </cell>
          <cell r="D601" t="str">
            <v>X01</v>
          </cell>
          <cell r="E601" t="str">
            <v>Avances et acomptes Fournisseurs / Fournisseurs</v>
          </cell>
        </row>
        <row r="602">
          <cell r="A602">
            <v>408167</v>
          </cell>
          <cell r="B602" t="str">
            <v>FACT NON PARVENUES ASSIST TECH ETRANGERE</v>
          </cell>
          <cell r="C602" t="str">
            <v>S01</v>
          </cell>
          <cell r="D602" t="str">
            <v>X01</v>
          </cell>
          <cell r="E602" t="str">
            <v>Avances et acomptes Fournisseurs / Fournisseurs</v>
          </cell>
        </row>
        <row r="603">
          <cell r="A603">
            <v>408168</v>
          </cell>
          <cell r="B603" t="str">
            <v>FACTURE NON PARVENUE IMPR-LISTING-FRNI</v>
          </cell>
          <cell r="C603" t="str">
            <v>S01</v>
          </cell>
          <cell r="D603" t="str">
            <v>X01</v>
          </cell>
          <cell r="E603" t="str">
            <v>Avances et acomptes Fournisseurs / Fournisseurs</v>
          </cell>
        </row>
        <row r="604">
          <cell r="A604">
            <v>408169</v>
          </cell>
          <cell r="B604" t="str">
            <v>FACT NON PARVENUE CONSOMMABLE LABOR</v>
          </cell>
          <cell r="C604" t="str">
            <v>S01</v>
          </cell>
          <cell r="D604" t="str">
            <v>X01</v>
          </cell>
          <cell r="E604" t="str">
            <v>Avances et acomptes Fournisseurs / Fournisseurs</v>
          </cell>
        </row>
        <row r="605">
          <cell r="A605">
            <v>408170</v>
          </cell>
          <cell r="B605" t="str">
            <v>FACT NON PARV ART PUB</v>
          </cell>
          <cell r="C605" t="str">
            <v>S01</v>
          </cell>
          <cell r="D605" t="str">
            <v>X01</v>
          </cell>
          <cell r="E605" t="str">
            <v>Avances et acomptes Fournisseurs / Fournisseurs</v>
          </cell>
        </row>
        <row r="606">
          <cell r="A606">
            <v>408172</v>
          </cell>
          <cell r="B606" t="str">
            <v>FACT NON PARVENUS REDEVBTM DJINO</v>
          </cell>
          <cell r="C606" t="str">
            <v>S01</v>
          </cell>
          <cell r="D606" t="str">
            <v>X01</v>
          </cell>
          <cell r="E606" t="str">
            <v>Avances et acomptes Fournisseurs / Fournisseurs</v>
          </cell>
        </row>
        <row r="607">
          <cell r="A607">
            <v>408173</v>
          </cell>
          <cell r="B607" t="str">
            <v>FACT NON PARVENUES REDEV CMS</v>
          </cell>
          <cell r="C607" t="str">
            <v>S01</v>
          </cell>
          <cell r="D607" t="str">
            <v>X01</v>
          </cell>
          <cell r="E607" t="str">
            <v>Avances et acomptes Fournisseurs / Fournisseurs</v>
          </cell>
        </row>
        <row r="608">
          <cell r="A608">
            <v>408174</v>
          </cell>
          <cell r="B608" t="str">
            <v>FACT NON PARVENUES REDEV PELFORTH</v>
          </cell>
          <cell r="C608" t="str">
            <v>S01</v>
          </cell>
          <cell r="D608" t="str">
            <v>X01</v>
          </cell>
          <cell r="E608" t="str">
            <v>Avances et acomptes Fournisseurs / Fournisseurs</v>
          </cell>
        </row>
        <row r="609">
          <cell r="A609">
            <v>408175</v>
          </cell>
          <cell r="B609" t="str">
            <v>FACT NON RECUES REDEV BTM CASTEL</v>
          </cell>
          <cell r="C609" t="str">
            <v>S01</v>
          </cell>
          <cell r="D609" t="str">
            <v>X01</v>
          </cell>
          <cell r="E609" t="str">
            <v>Avances et acomptes Fournisseurs / Fournisseurs</v>
          </cell>
        </row>
        <row r="610">
          <cell r="A610">
            <v>408176</v>
          </cell>
          <cell r="B610" t="str">
            <v>FACT.NON PARVENUES REDEV. TUBORG</v>
          </cell>
          <cell r="C610" t="str">
            <v>S01</v>
          </cell>
          <cell r="D610" t="str">
            <v>X01</v>
          </cell>
          <cell r="E610" t="str">
            <v>Avances et acomptes Fournisseurs / Fournisseurs</v>
          </cell>
        </row>
        <row r="611">
          <cell r="A611">
            <v>408177</v>
          </cell>
          <cell r="B611" t="str">
            <v>FACT.NON PARVENUES REDEV. BGI 33 EXP</v>
          </cell>
          <cell r="C611" t="str">
            <v>S01</v>
          </cell>
          <cell r="D611" t="str">
            <v>X01</v>
          </cell>
          <cell r="E611" t="str">
            <v>Avances et acomptes Fournisseurs / Fournisseurs</v>
          </cell>
        </row>
        <row r="612">
          <cell r="A612">
            <v>408178</v>
          </cell>
          <cell r="B612" t="str">
            <v>FACT NON PARVENUES REDEV AMSTEL</v>
          </cell>
          <cell r="C612" t="str">
            <v>S01</v>
          </cell>
          <cell r="D612" t="str">
            <v>X01</v>
          </cell>
          <cell r="E612" t="str">
            <v>Avances et acomptes Fournisseurs / Fournisseurs</v>
          </cell>
        </row>
        <row r="613">
          <cell r="A613">
            <v>408179</v>
          </cell>
          <cell r="B613" t="str">
            <v>FACT NON PARVENUES REDEV MUTZIG</v>
          </cell>
          <cell r="C613" t="str">
            <v>S01</v>
          </cell>
          <cell r="D613" t="str">
            <v>X01</v>
          </cell>
          <cell r="E613" t="str">
            <v>Avances et acomptes Fournisseurs / Fournisseurs</v>
          </cell>
        </row>
        <row r="614">
          <cell r="A614">
            <v>408183</v>
          </cell>
          <cell r="B614" t="str">
            <v>FACT.REDEVANCE ORANGINA NON PARVENUES</v>
          </cell>
          <cell r="C614" t="str">
            <v>S01</v>
          </cell>
          <cell r="D614" t="str">
            <v>X01</v>
          </cell>
          <cell r="E614" t="str">
            <v>Avances et acomptes Fournisseurs / Fournisseurs</v>
          </cell>
        </row>
        <row r="615">
          <cell r="A615">
            <v>408184</v>
          </cell>
          <cell r="B615" t="str">
            <v>FACT.REDEVANCE AQUABELLE A RECEVOIR</v>
          </cell>
          <cell r="C615" t="str">
            <v>S01</v>
          </cell>
          <cell r="D615" t="str">
            <v>X01</v>
          </cell>
          <cell r="E615" t="str">
            <v>Avances et acomptes Fournisseurs / Fournisseurs</v>
          </cell>
        </row>
        <row r="616">
          <cell r="A616">
            <v>408190</v>
          </cell>
          <cell r="B616" t="str">
            <v>PROV CGARGES DIVERSES A PAYER</v>
          </cell>
          <cell r="C616" t="str">
            <v>S01</v>
          </cell>
          <cell r="D616" t="str">
            <v>X01</v>
          </cell>
          <cell r="E616" t="str">
            <v>Avances et acomptes Fournisseurs / Fournisseurs</v>
          </cell>
        </row>
        <row r="617">
          <cell r="A617">
            <v>408200</v>
          </cell>
          <cell r="B617" t="str">
            <v>FACTURE NON PARVENUE FOUNISSEUR TERRAIN</v>
          </cell>
          <cell r="C617" t="str">
            <v>S01</v>
          </cell>
          <cell r="D617" t="str">
            <v>X01</v>
          </cell>
          <cell r="E617" t="str">
            <v>Avances et acomptes Fournisseurs / Fournisseurs</v>
          </cell>
        </row>
        <row r="618">
          <cell r="A618">
            <v>408300</v>
          </cell>
          <cell r="B618" t="str">
            <v>FACTURE NON PARVENUE FOUNISSEUR BATIMENT</v>
          </cell>
          <cell r="C618" t="str">
            <v>S01</v>
          </cell>
          <cell r="D618" t="str">
            <v>X01</v>
          </cell>
          <cell r="E618" t="str">
            <v>Avances et acomptes Fournisseurs / Fournisseurs</v>
          </cell>
        </row>
        <row r="619">
          <cell r="A619">
            <v>408326</v>
          </cell>
          <cell r="B619" t="str">
            <v>AUTRES FACT A RECEVOIR</v>
          </cell>
          <cell r="C619" t="str">
            <v>S01</v>
          </cell>
          <cell r="D619" t="str">
            <v>X01</v>
          </cell>
          <cell r="E619" t="str">
            <v>Avances et acomptes Fournisseurs / Fournisseurs</v>
          </cell>
        </row>
        <row r="620">
          <cell r="A620">
            <v>408330</v>
          </cell>
          <cell r="B620" t="str">
            <v>FACT TRANSPT PF A RECEVOIR</v>
          </cell>
          <cell r="C620" t="str">
            <v>S01</v>
          </cell>
          <cell r="D620" t="str">
            <v>X01</v>
          </cell>
          <cell r="E620" t="str">
            <v>Avances et acomptes Fournisseurs / Fournisseurs</v>
          </cell>
        </row>
        <row r="621">
          <cell r="A621">
            <v>408341</v>
          </cell>
          <cell r="B621" t="str">
            <v>FACT NON PARV PREST SERV ETRANG</v>
          </cell>
          <cell r="C621" t="str">
            <v>S01</v>
          </cell>
          <cell r="D621" t="str">
            <v>X01</v>
          </cell>
          <cell r="E621" t="str">
            <v>Avances et acomptes Fournisseurs / Fournisseurs</v>
          </cell>
        </row>
        <row r="622">
          <cell r="A622">
            <v>408342</v>
          </cell>
          <cell r="B622" t="str">
            <v>FACTURE NON-PARVENUE SACOFRINA</v>
          </cell>
          <cell r="C622" t="str">
            <v>S02</v>
          </cell>
          <cell r="D622" t="str">
            <v>X02</v>
          </cell>
          <cell r="E622" t="str">
            <v>Avances DGE courante / DGE courante</v>
          </cell>
        </row>
        <row r="623">
          <cell r="A623">
            <v>408400</v>
          </cell>
          <cell r="B623" t="str">
            <v>FACTURE NON PARVENUE FOUNISSEUR ROUTE,</v>
          </cell>
          <cell r="C623" t="str">
            <v>S01</v>
          </cell>
          <cell r="D623" t="str">
            <v>X01</v>
          </cell>
          <cell r="E623" t="str">
            <v>Avances et acomptes Fournisseurs / Fournisseurs</v>
          </cell>
        </row>
        <row r="624">
          <cell r="A624">
            <v>408500</v>
          </cell>
          <cell r="B624" t="str">
            <v>FACTURE NON PARVENUE FOUNISSEUR MAT USIN</v>
          </cell>
          <cell r="C624" t="str">
            <v>S01</v>
          </cell>
          <cell r="D624" t="str">
            <v>X01</v>
          </cell>
          <cell r="E624" t="str">
            <v>Avances et acomptes Fournisseurs / Fournisseurs</v>
          </cell>
        </row>
        <row r="625">
          <cell r="A625">
            <v>408600</v>
          </cell>
          <cell r="B625" t="str">
            <v>FACTURE NON PARVENUE FOUNISSEUR AUT MATE</v>
          </cell>
          <cell r="C625" t="str">
            <v>S01</v>
          </cell>
          <cell r="D625" t="str">
            <v>X01</v>
          </cell>
          <cell r="E625" t="str">
            <v>Avances et acomptes Fournisseurs / Fournisseurs</v>
          </cell>
        </row>
        <row r="626">
          <cell r="A626">
            <v>408700</v>
          </cell>
          <cell r="B626" t="str">
            <v>FACTURE NON PARVENUE FRNSS MAT ET MOB</v>
          </cell>
          <cell r="C626" t="str">
            <v>S01</v>
          </cell>
          <cell r="D626" t="str">
            <v>X01</v>
          </cell>
          <cell r="E626" t="str">
            <v>Avances et acomptes Fournisseurs / Fournisseurs</v>
          </cell>
        </row>
        <row r="627">
          <cell r="A627">
            <v>408800</v>
          </cell>
          <cell r="B627" t="str">
            <v>FACTURE NON PARVENUE FRNSS MAT TRANSPORT</v>
          </cell>
          <cell r="C627" t="str">
            <v>S01</v>
          </cell>
          <cell r="D627" t="str">
            <v>X01</v>
          </cell>
          <cell r="E627" t="str">
            <v>Avances et acomptes Fournisseurs / Fournisseurs</v>
          </cell>
        </row>
        <row r="628">
          <cell r="A628">
            <v>409100</v>
          </cell>
          <cell r="B628" t="str">
            <v>FOURNISSEURS AVCES ET COMPTES</v>
          </cell>
          <cell r="C628" t="str">
            <v>S01</v>
          </cell>
          <cell r="D628" t="str">
            <v>X01</v>
          </cell>
          <cell r="E628" t="str">
            <v>Avances et acomptes Fournisseurs / Fournisseurs</v>
          </cell>
        </row>
        <row r="629">
          <cell r="A629">
            <v>409102</v>
          </cell>
          <cell r="B629" t="str">
            <v>TRANSPORTEURS TIERS DEBITEURS</v>
          </cell>
          <cell r="C629" t="str">
            <v>S01</v>
          </cell>
          <cell r="D629" t="str">
            <v>X01</v>
          </cell>
          <cell r="E629" t="str">
            <v>Avances et acomptes Fournisseurs / Fournisseurs</v>
          </cell>
        </row>
        <row r="630">
          <cell r="A630">
            <v>409104</v>
          </cell>
          <cell r="B630" t="str">
            <v>FOURNISSEURS ORD LOC DEBITEURS</v>
          </cell>
          <cell r="C630" t="str">
            <v>S01</v>
          </cell>
          <cell r="D630" t="str">
            <v>X01</v>
          </cell>
          <cell r="E630" t="str">
            <v>Avances et acomptes Fournisseurs / Fournisseurs</v>
          </cell>
        </row>
        <row r="631">
          <cell r="A631">
            <v>409105</v>
          </cell>
          <cell r="B631" t="str">
            <v>FOURNISSEURS ETRANGER AVANCES</v>
          </cell>
          <cell r="C631" t="str">
            <v>S01</v>
          </cell>
          <cell r="D631" t="str">
            <v>X01</v>
          </cell>
          <cell r="E631" t="str">
            <v>Avances et acomptes Fournisseurs / Fournisseurs</v>
          </cell>
        </row>
        <row r="632">
          <cell r="A632">
            <v>409107</v>
          </cell>
          <cell r="B632" t="str">
            <v>TRANSPORTEURS LIVREURS DEBITEURS</v>
          </cell>
          <cell r="C632" t="str">
            <v>S01</v>
          </cell>
          <cell r="D632" t="str">
            <v>X01</v>
          </cell>
          <cell r="E632" t="str">
            <v>Avances et acomptes Fournisseurs / Fournisseurs</v>
          </cell>
        </row>
        <row r="633">
          <cell r="A633">
            <v>409108</v>
          </cell>
          <cell r="B633" t="str">
            <v>PRESTATAIRES DEBITEURS</v>
          </cell>
          <cell r="C633" t="str">
            <v>S01</v>
          </cell>
          <cell r="D633" t="str">
            <v>X01</v>
          </cell>
          <cell r="E633" t="str">
            <v>Avances et acomptes Fournisseurs / Fournisseurs</v>
          </cell>
        </row>
        <row r="634">
          <cell r="A634">
            <v>409112</v>
          </cell>
          <cell r="B634" t="str">
            <v>TRANSPORTEURS TIERS AVANCE</v>
          </cell>
          <cell r="C634" t="str">
            <v>S01</v>
          </cell>
          <cell r="D634" t="str">
            <v>X01</v>
          </cell>
          <cell r="E634" t="str">
            <v>Avances et acomptes Fournisseurs / Fournisseurs</v>
          </cell>
        </row>
        <row r="635">
          <cell r="A635">
            <v>409113</v>
          </cell>
          <cell r="B635" t="str">
            <v>INTERMEDIAIRE D'IMPORTAT° AVANCE</v>
          </cell>
          <cell r="C635" t="str">
            <v>S01</v>
          </cell>
          <cell r="D635" t="str">
            <v>X01</v>
          </cell>
          <cell r="E635" t="str">
            <v>Avances et acomptes Fournisseurs / Fournisseurs</v>
          </cell>
        </row>
        <row r="636">
          <cell r="A636">
            <v>409114</v>
          </cell>
          <cell r="B636" t="str">
            <v>FOURNISSEURS ORD LOC AVANCES</v>
          </cell>
          <cell r="C636" t="str">
            <v>S01</v>
          </cell>
          <cell r="D636" t="str">
            <v>X01</v>
          </cell>
          <cell r="E636" t="str">
            <v>Avances et acomptes Fournisseurs / Fournisseurs</v>
          </cell>
        </row>
        <row r="637">
          <cell r="A637">
            <v>409115</v>
          </cell>
          <cell r="B637" t="str">
            <v>FOURNISSEURS ETRANGERS DEBITEURS</v>
          </cell>
          <cell r="C637" t="str">
            <v>S01</v>
          </cell>
          <cell r="D637" t="str">
            <v>X01</v>
          </cell>
          <cell r="E637" t="str">
            <v>Avances et acomptes Fournisseurs / Fournisseurs</v>
          </cell>
        </row>
        <row r="638">
          <cell r="A638">
            <v>409117</v>
          </cell>
          <cell r="B638" t="str">
            <v>TRANSPORTEURS LIVREURS AVANCES</v>
          </cell>
          <cell r="C638" t="str">
            <v>S01</v>
          </cell>
          <cell r="D638" t="str">
            <v>X01</v>
          </cell>
          <cell r="E638" t="str">
            <v>Avances et acomptes Fournisseurs / Fournisseurs</v>
          </cell>
        </row>
        <row r="639">
          <cell r="A639">
            <v>409201</v>
          </cell>
          <cell r="B639" t="str">
            <v>SOCIETE GROUPE SABC AVANCES</v>
          </cell>
          <cell r="C639" t="str">
            <v>S01</v>
          </cell>
          <cell r="D639" t="str">
            <v>X01</v>
          </cell>
          <cell r="E639" t="str">
            <v>Avances et acomptes Fournisseurs / Fournisseurs</v>
          </cell>
        </row>
        <row r="640">
          <cell r="A640">
            <v>409346</v>
          </cell>
          <cell r="B640" t="str">
            <v>FRAIS DE DOSSIER PVL</v>
          </cell>
          <cell r="C640" t="str">
            <v>S01</v>
          </cell>
          <cell r="D640" t="str">
            <v>X01</v>
          </cell>
          <cell r="E640" t="str">
            <v>Avances et acomptes Fournisseurs / Fournisseurs</v>
          </cell>
        </row>
        <row r="641">
          <cell r="A641">
            <v>409348</v>
          </cell>
          <cell r="B641" t="str">
            <v>ECART D'ACTIVITES PLV</v>
          </cell>
          <cell r="C641" t="str">
            <v>S01</v>
          </cell>
          <cell r="D641" t="str">
            <v>X01</v>
          </cell>
          <cell r="E641" t="str">
            <v>Avances et acomptes Fournisseurs / Fournisseurs</v>
          </cell>
        </row>
        <row r="642">
          <cell r="A642">
            <v>409349</v>
          </cell>
          <cell r="B642" t="str">
            <v>EN ATTENTE PVL</v>
          </cell>
          <cell r="C642" t="str">
            <v>S01</v>
          </cell>
          <cell r="D642" t="str">
            <v>X01</v>
          </cell>
          <cell r="E642" t="str">
            <v>Avances et acomptes Fournisseurs / Fournisseurs</v>
          </cell>
        </row>
        <row r="643">
          <cell r="A643">
            <v>409357</v>
          </cell>
          <cell r="B643" t="str">
            <v>TRANSPORTEURS LIVREURS FACTURE GARAGE</v>
          </cell>
          <cell r="C643" t="str">
            <v>S01</v>
          </cell>
          <cell r="D643" t="str">
            <v>X01</v>
          </cell>
          <cell r="E643" t="str">
            <v>Avances et acomptes Fournisseurs / Fournisseurs</v>
          </cell>
        </row>
        <row r="644">
          <cell r="A644">
            <v>409405</v>
          </cell>
          <cell r="B644" t="str">
            <v>FOURN ETRANGERS MAT. EMB &amp; CONS</v>
          </cell>
          <cell r="C644" t="str">
            <v>S01</v>
          </cell>
          <cell r="D644" t="str">
            <v>X01</v>
          </cell>
          <cell r="E644" t="str">
            <v>Avances et acomptes Fournisseurs / Fournisseurs</v>
          </cell>
        </row>
        <row r="645">
          <cell r="A645">
            <v>409200</v>
          </cell>
          <cell r="B645" t="str">
            <v>FOURNISSEURS GROUPES AVCE ET ACOMPTE</v>
          </cell>
          <cell r="C645" t="str">
            <v>S02</v>
          </cell>
          <cell r="D645" t="str">
            <v>X02</v>
          </cell>
          <cell r="E645" t="str">
            <v>Avances DGE courante / DGE courante</v>
          </cell>
        </row>
        <row r="646">
          <cell r="A646">
            <v>409300</v>
          </cell>
          <cell r="B646" t="str">
            <v>FOUR SOUS TRAITANT AVCE ACPTE</v>
          </cell>
          <cell r="C646" t="str">
            <v>S01</v>
          </cell>
          <cell r="D646" t="str">
            <v>X01</v>
          </cell>
          <cell r="E646" t="str">
            <v>Avances et acomptes Fournisseurs / Fournisseurs</v>
          </cell>
        </row>
        <row r="647">
          <cell r="A647">
            <v>409310</v>
          </cell>
          <cell r="B647" t="str">
            <v>AVANCE/CDE EXPL FOURN TRANS LOCAUX</v>
          </cell>
          <cell r="C647" t="str">
            <v>S01</v>
          </cell>
          <cell r="D647" t="str">
            <v>X01</v>
          </cell>
          <cell r="E647" t="str">
            <v>Avances et acomptes Fournisseurs / Fournisseurs</v>
          </cell>
        </row>
        <row r="648">
          <cell r="A648">
            <v>409330</v>
          </cell>
          <cell r="B648" t="str">
            <v>AVANCES AUX TRANSPORTEURS LIVREURS</v>
          </cell>
          <cell r="C648" t="str">
            <v>S01</v>
          </cell>
          <cell r="D648" t="str">
            <v>X01</v>
          </cell>
          <cell r="E648" t="str">
            <v>Avances et acomptes Fournisseurs / Fournisseurs</v>
          </cell>
        </row>
        <row r="649">
          <cell r="A649">
            <v>409337</v>
          </cell>
          <cell r="B649" t="str">
            <v>ENREGISTREMENT CONTRAT TL</v>
          </cell>
          <cell r="C649" t="str">
            <v>S01</v>
          </cell>
          <cell r="D649" t="str">
            <v>X01</v>
          </cell>
          <cell r="E649" t="str">
            <v>Avances et acomptes Fournisseurs / Fournisseurs</v>
          </cell>
        </row>
        <row r="650">
          <cell r="A650">
            <v>409344</v>
          </cell>
          <cell r="B650" t="str">
            <v>FAC. ORANGE PVL</v>
          </cell>
          <cell r="C650" t="str">
            <v>S01</v>
          </cell>
          <cell r="D650" t="str">
            <v>X01</v>
          </cell>
          <cell r="E650" t="str">
            <v>Avances et acomptes Fournisseurs / Fournisseurs</v>
          </cell>
        </row>
        <row r="651">
          <cell r="A651">
            <v>409345</v>
          </cell>
          <cell r="B651" t="str">
            <v>SOUS ACT. MENSUEL PVL</v>
          </cell>
          <cell r="C651" t="str">
            <v>S01</v>
          </cell>
          <cell r="D651" t="str">
            <v>X01</v>
          </cell>
          <cell r="E651" t="str">
            <v>Avances et acomptes Fournisseurs / Fournisseurs</v>
          </cell>
        </row>
        <row r="652">
          <cell r="A652">
            <v>409347</v>
          </cell>
          <cell r="B652" t="str">
            <v>CONSTRUCTION CARROSSERIE CAMION TL</v>
          </cell>
          <cell r="C652" t="str">
            <v>S01</v>
          </cell>
          <cell r="D652" t="str">
            <v>X01</v>
          </cell>
          <cell r="E652" t="str">
            <v>Avances et acomptes Fournisseurs / Fournisseurs</v>
          </cell>
        </row>
        <row r="653">
          <cell r="A653">
            <v>409350</v>
          </cell>
          <cell r="B653" t="str">
            <v>RETENUES GARAGE TRANSPORTEURS LIVREURS</v>
          </cell>
          <cell r="C653" t="str">
            <v>S01</v>
          </cell>
          <cell r="D653" t="str">
            <v>X01</v>
          </cell>
          <cell r="E653" t="str">
            <v>Avances et acomptes Fournisseurs / Fournisseurs</v>
          </cell>
        </row>
        <row r="654">
          <cell r="A654">
            <v>409367</v>
          </cell>
          <cell r="B654" t="str">
            <v>REGLEMENT LOCATION PLV A RETENIR</v>
          </cell>
          <cell r="C654" t="str">
            <v>S01</v>
          </cell>
          <cell r="D654" t="str">
            <v>X01</v>
          </cell>
          <cell r="E654" t="str">
            <v>Avances et acomptes Fournisseurs / Fournisseurs</v>
          </cell>
        </row>
        <row r="655">
          <cell r="A655">
            <v>409377</v>
          </cell>
          <cell r="B655" t="str">
            <v>CARBURANT CAMION TL</v>
          </cell>
          <cell r="C655" t="str">
            <v>S01</v>
          </cell>
          <cell r="D655" t="str">
            <v>X01</v>
          </cell>
          <cell r="E655" t="str">
            <v>Avances et acomptes Fournisseurs / Fournisseurs</v>
          </cell>
        </row>
        <row r="656">
          <cell r="A656">
            <v>409387</v>
          </cell>
          <cell r="B656" t="str">
            <v>EXTENSION GARANTIE  TL</v>
          </cell>
          <cell r="C656" t="str">
            <v>S01</v>
          </cell>
          <cell r="D656" t="str">
            <v>X01</v>
          </cell>
          <cell r="E656" t="str">
            <v>Avances et acomptes Fournisseurs / Fournisseurs</v>
          </cell>
        </row>
        <row r="657">
          <cell r="A657">
            <v>409400</v>
          </cell>
          <cell r="B657" t="str">
            <v>FOUR CREANCE POUR MAT ET EMB A RENDRE</v>
          </cell>
          <cell r="C657" t="str">
            <v>S01</v>
          </cell>
          <cell r="D657" t="str">
            <v>X01</v>
          </cell>
          <cell r="E657" t="str">
            <v>Avances et acomptes Fournisseurs / Fournisseurs</v>
          </cell>
        </row>
        <row r="658">
          <cell r="A658">
            <v>409700</v>
          </cell>
          <cell r="B658" t="str">
            <v>FOURNISSEURS DEBITEURS LOCAUX</v>
          </cell>
          <cell r="C658" t="str">
            <v>S01</v>
          </cell>
          <cell r="D658" t="str">
            <v>X01</v>
          </cell>
          <cell r="E658" t="str">
            <v>Avances et acomptes Fournisseurs / Fournisseurs</v>
          </cell>
        </row>
        <row r="659">
          <cell r="A659">
            <v>409730</v>
          </cell>
          <cell r="B659" t="str">
            <v>FOURNISSEURS  TL DEBITEURS</v>
          </cell>
          <cell r="C659" t="str">
            <v>S01</v>
          </cell>
          <cell r="D659" t="str">
            <v>X01</v>
          </cell>
          <cell r="E659" t="str">
            <v>Avances et acomptes Fournisseurs / Fournisseurs</v>
          </cell>
        </row>
        <row r="660">
          <cell r="A660">
            <v>409741</v>
          </cell>
          <cell r="B660" t="str">
            <v>FOURNISSEURS  TRANSPORTEURS TIERS CONTEN</v>
          </cell>
          <cell r="C660" t="str">
            <v>S01</v>
          </cell>
          <cell r="D660" t="str">
            <v>X01</v>
          </cell>
          <cell r="E660" t="str">
            <v>Avances et acomptes Fournisseurs / Fournisseurs</v>
          </cell>
        </row>
        <row r="661">
          <cell r="A661">
            <v>409751</v>
          </cell>
          <cell r="B661" t="str">
            <v>FOURNISSEURS TL CONTENTIEUX</v>
          </cell>
          <cell r="C661" t="str">
            <v>S01</v>
          </cell>
          <cell r="D661" t="str">
            <v>X01</v>
          </cell>
          <cell r="E661" t="str">
            <v>Avances et acomptes Fournisseurs / Fournisseurs</v>
          </cell>
        </row>
        <row r="662">
          <cell r="A662">
            <v>409760</v>
          </cell>
          <cell r="B662" t="str">
            <v>FOURNISSEURS  CONTENTIEUX CAMEROUN</v>
          </cell>
          <cell r="C662" t="str">
            <v>S01</v>
          </cell>
          <cell r="D662" t="str">
            <v>X01</v>
          </cell>
          <cell r="E662" t="str">
            <v>Avances et acomptes Fournisseurs / Fournisseurs</v>
          </cell>
        </row>
        <row r="663">
          <cell r="A663">
            <v>409891</v>
          </cell>
          <cell r="B663" t="str">
            <v>PROVISION PRESTATION TL</v>
          </cell>
          <cell r="C663" t="str">
            <v>S01</v>
          </cell>
          <cell r="D663" t="str">
            <v>X01</v>
          </cell>
          <cell r="E663" t="str">
            <v>Avances et acomptes Fournisseurs / Fournisseurs</v>
          </cell>
        </row>
        <row r="664">
          <cell r="A664">
            <v>411100</v>
          </cell>
          <cell r="B664" t="str">
            <v>CLIENTS ORDINAIRES</v>
          </cell>
          <cell r="C664" t="str">
            <v>S03</v>
          </cell>
          <cell r="D664" t="str">
            <v>X03</v>
          </cell>
          <cell r="E664" t="str">
            <v>Créances clients / Clients créditeurs</v>
          </cell>
        </row>
        <row r="665">
          <cell r="A665">
            <v>411105</v>
          </cell>
          <cell r="B665" t="str">
            <v>CLIENTS TRANSPORTEUR LIVREURS</v>
          </cell>
          <cell r="C665" t="str">
            <v>S03</v>
          </cell>
          <cell r="D665" t="str">
            <v>X03</v>
          </cell>
          <cell r="E665" t="str">
            <v>Créances clients / Clients créditeurs</v>
          </cell>
        </row>
        <row r="666">
          <cell r="A666">
            <v>411110</v>
          </cell>
          <cell r="B666" t="str">
            <v>CLIENTS TRANSPORTEUR TIERS</v>
          </cell>
          <cell r="C666" t="str">
            <v>S03</v>
          </cell>
          <cell r="D666" t="str">
            <v>X03</v>
          </cell>
          <cell r="E666" t="str">
            <v>Créances clients / Clients créditeurs</v>
          </cell>
        </row>
        <row r="667">
          <cell r="A667">
            <v>411130</v>
          </cell>
          <cell r="B667" t="str">
            <v>CLIENTS CADRE</v>
          </cell>
          <cell r="C667" t="str">
            <v>S03</v>
          </cell>
          <cell r="D667" t="str">
            <v>X03</v>
          </cell>
          <cell r="E667" t="str">
            <v>Créances clients / Clients créditeurs</v>
          </cell>
        </row>
        <row r="668">
          <cell r="A668">
            <v>411140</v>
          </cell>
          <cell r="B668" t="str">
            <v>CLIENTS DIVERS CESSION</v>
          </cell>
          <cell r="C668" t="str">
            <v>S03</v>
          </cell>
          <cell r="D668" t="str">
            <v>X03</v>
          </cell>
          <cell r="E668" t="str">
            <v>Créances clients / Clients créditeurs</v>
          </cell>
        </row>
        <row r="669">
          <cell r="A669">
            <v>411181</v>
          </cell>
          <cell r="B669" t="str">
            <v>CLIENT VENTES DIVERSES</v>
          </cell>
          <cell r="C669" t="str">
            <v>S03</v>
          </cell>
          <cell r="D669" t="str">
            <v>X03</v>
          </cell>
          <cell r="E669" t="str">
            <v>Créances clients / Clients créditeurs</v>
          </cell>
        </row>
        <row r="670">
          <cell r="A670">
            <v>411182</v>
          </cell>
          <cell r="B670" t="str">
            <v>CLIENTS VENTES PRESTATION DIVERSES</v>
          </cell>
          <cell r="C670" t="str">
            <v>S03</v>
          </cell>
          <cell r="D670" t="str">
            <v>X03</v>
          </cell>
          <cell r="E670" t="str">
            <v>Créances clients / Clients créditeurs</v>
          </cell>
        </row>
        <row r="671">
          <cell r="A671">
            <v>411200</v>
          </cell>
          <cell r="B671" t="str">
            <v>CLIENT GROUPE</v>
          </cell>
          <cell r="C671" t="str">
            <v>S03</v>
          </cell>
          <cell r="D671" t="str">
            <v>X03</v>
          </cell>
          <cell r="E671" t="str">
            <v>Créances clients / Clients créditeurs</v>
          </cell>
        </row>
        <row r="672">
          <cell r="A672">
            <v>411300</v>
          </cell>
          <cell r="B672" t="str">
            <v>CLIENT EXPORT HORS GROUPE</v>
          </cell>
          <cell r="C672" t="str">
            <v>S03</v>
          </cell>
          <cell r="D672" t="str">
            <v>X03</v>
          </cell>
          <cell r="E672" t="str">
            <v>Créances clients / Clients créditeurs</v>
          </cell>
        </row>
        <row r="673">
          <cell r="A673">
            <v>411700</v>
          </cell>
          <cell r="B673" t="str">
            <v>CLIENT RETENUE DE GARANTIE</v>
          </cell>
          <cell r="C673" t="str">
            <v>S03</v>
          </cell>
          <cell r="D673" t="str">
            <v>X03</v>
          </cell>
          <cell r="E673" t="str">
            <v>Créances clients / Clients créditeurs</v>
          </cell>
        </row>
        <row r="674">
          <cell r="A674">
            <v>411800</v>
          </cell>
          <cell r="B674" t="str">
            <v>CLIENT REMISES REVENTILEES A PAYER</v>
          </cell>
          <cell r="C674" t="str">
            <v>S03</v>
          </cell>
          <cell r="D674" t="str">
            <v>X03</v>
          </cell>
          <cell r="E674" t="str">
            <v>Créances clients / Clients créditeurs</v>
          </cell>
        </row>
        <row r="675">
          <cell r="A675">
            <v>411810</v>
          </cell>
          <cell r="B675" t="str">
            <v>CLIENT RISTOURNES REVENTILEES A PAYER</v>
          </cell>
          <cell r="C675" t="str">
            <v>S03</v>
          </cell>
          <cell r="D675" t="str">
            <v>X03</v>
          </cell>
          <cell r="E675" t="str">
            <v>Créances clients / Clients créditeurs</v>
          </cell>
        </row>
        <row r="676">
          <cell r="A676">
            <v>412100</v>
          </cell>
          <cell r="B676" t="str">
            <v>CLIENT EFFET A RECEVOIR</v>
          </cell>
          <cell r="C676" t="str">
            <v>S03</v>
          </cell>
          <cell r="D676" t="str">
            <v>X03</v>
          </cell>
          <cell r="E676" t="str">
            <v>Créances clients / Clients créditeurs</v>
          </cell>
        </row>
        <row r="677">
          <cell r="A677">
            <v>414100</v>
          </cell>
          <cell r="B677" t="str">
            <v>CREANCE SUR CESSION D'IMMOB</v>
          </cell>
          <cell r="C677" t="str">
            <v>S03</v>
          </cell>
          <cell r="D677" t="str">
            <v>X03</v>
          </cell>
          <cell r="E677" t="str">
            <v>Créances clients / Clients créditeurs</v>
          </cell>
        </row>
        <row r="678">
          <cell r="A678">
            <v>416100</v>
          </cell>
          <cell r="B678" t="str">
            <v>CREANCE LITIGIEUSES</v>
          </cell>
          <cell r="C678" t="str">
            <v>S03</v>
          </cell>
          <cell r="D678" t="str">
            <v>X03</v>
          </cell>
          <cell r="E678" t="str">
            <v>Créances clients / Clients créditeurs</v>
          </cell>
        </row>
        <row r="679">
          <cell r="A679">
            <v>416109</v>
          </cell>
          <cell r="B679" t="str">
            <v>TIERS- AFFAIRES LITIGIEUSES</v>
          </cell>
          <cell r="C679" t="str">
            <v>S03</v>
          </cell>
          <cell r="D679" t="str">
            <v>X03</v>
          </cell>
          <cell r="E679" t="str">
            <v>Créances clients / Clients créditeurs</v>
          </cell>
        </row>
        <row r="680">
          <cell r="A680">
            <v>416200</v>
          </cell>
          <cell r="B680" t="str">
            <v>CREANCE DOUTEUSES</v>
          </cell>
          <cell r="C680" t="str">
            <v>S03</v>
          </cell>
          <cell r="D680" t="str">
            <v>X03</v>
          </cell>
          <cell r="E680" t="str">
            <v>Créances clients / Clients créditeurs</v>
          </cell>
        </row>
        <row r="681">
          <cell r="A681">
            <v>416210</v>
          </cell>
          <cell r="B681" t="str">
            <v>CREANCES TL A REGULARISER</v>
          </cell>
          <cell r="C681" t="str">
            <v>S03</v>
          </cell>
          <cell r="D681" t="str">
            <v>X03</v>
          </cell>
          <cell r="E681" t="str">
            <v>Créances clients / Clients créditeurs</v>
          </cell>
        </row>
        <row r="682">
          <cell r="A682">
            <v>418100</v>
          </cell>
          <cell r="B682" t="str">
            <v>TIERS- NOTE DE DEBIT ETABLIES</v>
          </cell>
          <cell r="C682" t="str">
            <v>S03</v>
          </cell>
          <cell r="D682" t="str">
            <v>X03</v>
          </cell>
          <cell r="E682" t="str">
            <v>Créances clients / Clients créditeurs</v>
          </cell>
        </row>
        <row r="683">
          <cell r="A683">
            <v>418101</v>
          </cell>
          <cell r="B683" t="str">
            <v>TIERS- FACTURES ETABLIES</v>
          </cell>
          <cell r="C683" t="str">
            <v>S03</v>
          </cell>
          <cell r="D683" t="str">
            <v>X03</v>
          </cell>
          <cell r="E683" t="str">
            <v>Créances clients / Clients créditeurs</v>
          </cell>
        </row>
        <row r="684">
          <cell r="A684">
            <v>418891</v>
          </cell>
          <cell r="B684" t="str">
            <v>CLIENT, REMISES A REVENTILER RFA</v>
          </cell>
          <cell r="C684" t="str">
            <v>S03</v>
          </cell>
          <cell r="D684" t="str">
            <v>X03</v>
          </cell>
          <cell r="E684" t="str">
            <v>Créances clients / Clients créditeurs</v>
          </cell>
        </row>
        <row r="685">
          <cell r="A685">
            <v>418892</v>
          </cell>
          <cell r="B685" t="str">
            <v>CLIENT, RISTOURNES A REVENTILER RFA</v>
          </cell>
          <cell r="C685" t="str">
            <v>S03</v>
          </cell>
          <cell r="D685" t="str">
            <v>X03</v>
          </cell>
          <cell r="E685" t="str">
            <v>Créances clients / Clients créditeurs</v>
          </cell>
        </row>
        <row r="686">
          <cell r="A686">
            <v>419110</v>
          </cell>
          <cell r="B686" t="str">
            <v>CLIENTS AVANCE ET ACOMPTE</v>
          </cell>
          <cell r="C686" t="str">
            <v>S03</v>
          </cell>
          <cell r="D686" t="str">
            <v>X03</v>
          </cell>
          <cell r="E686" t="str">
            <v>Créances clients / Clients créditeurs</v>
          </cell>
        </row>
        <row r="687">
          <cell r="A687">
            <v>419200</v>
          </cell>
          <cell r="B687" t="str">
            <v>CLIENTS  GROUPE AVANCE ET ACOMPTE</v>
          </cell>
          <cell r="C687" t="str">
            <v>S03</v>
          </cell>
          <cell r="D687" t="str">
            <v>X03</v>
          </cell>
          <cell r="E687" t="str">
            <v>Créances clients / Clients créditeurs</v>
          </cell>
        </row>
        <row r="688">
          <cell r="A688">
            <v>419300</v>
          </cell>
          <cell r="B688" t="str">
            <v>CLT PRLVT / ACHAT</v>
          </cell>
          <cell r="C688" t="str">
            <v>S03</v>
          </cell>
          <cell r="D688" t="str">
            <v>X03</v>
          </cell>
          <cell r="E688" t="str">
            <v>Créances clients / Clients créditeurs</v>
          </cell>
        </row>
        <row r="689">
          <cell r="A689">
            <v>419810</v>
          </cell>
          <cell r="B689" t="str">
            <v>RIST.A PAYER S/LISTING</v>
          </cell>
          <cell r="C689" t="str">
            <v>S03</v>
          </cell>
          <cell r="D689" t="str">
            <v>X03</v>
          </cell>
          <cell r="E689" t="str">
            <v>Créances clients / Clients créditeurs</v>
          </cell>
        </row>
        <row r="690">
          <cell r="A690">
            <v>419811</v>
          </cell>
          <cell r="B690" t="str">
            <v>RIST.DETAIL.PROV.(AV.NON ETABLI)</v>
          </cell>
          <cell r="C690" t="str">
            <v>S03</v>
          </cell>
          <cell r="D690" t="str">
            <v>X03</v>
          </cell>
          <cell r="E690" t="str">
            <v>Créances clients / Clients créditeurs</v>
          </cell>
        </row>
        <row r="691">
          <cell r="A691">
            <v>419812</v>
          </cell>
          <cell r="B691" t="str">
            <v>RISTOURNES PAYEES</v>
          </cell>
          <cell r="C691" t="str">
            <v>S03</v>
          </cell>
          <cell r="D691" t="str">
            <v>X03</v>
          </cell>
          <cell r="E691" t="str">
            <v>Créances clients / Clients créditeurs</v>
          </cell>
        </row>
        <row r="692">
          <cell r="A692">
            <v>419820</v>
          </cell>
          <cell r="B692" t="str">
            <v>RIST.A PAYER S/NOM</v>
          </cell>
          <cell r="C692" t="str">
            <v>S03</v>
          </cell>
          <cell r="D692" t="str">
            <v>X03</v>
          </cell>
          <cell r="E692" t="str">
            <v>Créances clients / Clients créditeurs</v>
          </cell>
        </row>
        <row r="693">
          <cell r="A693">
            <v>419830</v>
          </cell>
          <cell r="B693" t="str">
            <v>CLIENTS RIST.NON ENCAISSEES</v>
          </cell>
          <cell r="C693" t="str">
            <v>S03</v>
          </cell>
          <cell r="D693" t="str">
            <v>X03</v>
          </cell>
          <cell r="E693" t="str">
            <v>Créances clients / Clients créditeurs</v>
          </cell>
        </row>
        <row r="694">
          <cell r="A694">
            <v>419840</v>
          </cell>
          <cell r="B694" t="str">
            <v>AVANCES/RISTOURNES</v>
          </cell>
          <cell r="C694" t="str">
            <v>S03</v>
          </cell>
          <cell r="D694" t="str">
            <v>X03</v>
          </cell>
          <cell r="E694" t="str">
            <v>Créances clients / Clients créditeurs</v>
          </cell>
        </row>
        <row r="695">
          <cell r="A695">
            <v>419850</v>
          </cell>
          <cell r="B695" t="str">
            <v>REMISES  A PAYER</v>
          </cell>
          <cell r="C695" t="str">
            <v>S03</v>
          </cell>
          <cell r="D695" t="str">
            <v>X03</v>
          </cell>
          <cell r="E695" t="str">
            <v>Créances clients / Clients créditeurs</v>
          </cell>
        </row>
        <row r="696">
          <cell r="A696">
            <v>419856</v>
          </cell>
          <cell r="B696" t="str">
            <v>REMISES GROS.PROVISIONS</v>
          </cell>
          <cell r="C696" t="str">
            <v>S03</v>
          </cell>
          <cell r="D696" t="str">
            <v>X03</v>
          </cell>
          <cell r="E696" t="str">
            <v>Créances clients / Clients créditeurs</v>
          </cell>
        </row>
        <row r="697">
          <cell r="A697">
            <v>419860</v>
          </cell>
          <cell r="B697" t="str">
            <v>REM EXCEP A PAYER</v>
          </cell>
          <cell r="C697" t="str">
            <v>S03</v>
          </cell>
          <cell r="D697" t="str">
            <v>X03</v>
          </cell>
          <cell r="E697" t="str">
            <v>Créances clients / Clients créditeurs</v>
          </cell>
        </row>
        <row r="698">
          <cell r="A698">
            <v>419861</v>
          </cell>
          <cell r="B698" t="str">
            <v>PSA A RETROCEDER</v>
          </cell>
          <cell r="C698" t="str">
            <v>S03</v>
          </cell>
          <cell r="D698" t="str">
            <v>X03</v>
          </cell>
          <cell r="E698" t="str">
            <v>Créances clients / Clients créditeurs</v>
          </cell>
        </row>
        <row r="699">
          <cell r="A699">
            <v>419865</v>
          </cell>
          <cell r="B699" t="str">
            <v>CLTS, AVANCES S/REMISES</v>
          </cell>
          <cell r="C699" t="str">
            <v>S03</v>
          </cell>
          <cell r="D699" t="str">
            <v>X03</v>
          </cell>
          <cell r="E699" t="str">
            <v>Créances clients / Clients créditeurs</v>
          </cell>
        </row>
        <row r="700">
          <cell r="A700">
            <v>419875</v>
          </cell>
          <cell r="B700" t="str">
            <v>RET.GARANTIES S/REMISES</v>
          </cell>
          <cell r="C700" t="str">
            <v>S03</v>
          </cell>
          <cell r="D700" t="str">
            <v>X03</v>
          </cell>
          <cell r="E700" t="str">
            <v>Créances clients / Clients créditeurs</v>
          </cell>
        </row>
        <row r="701">
          <cell r="A701">
            <v>419876</v>
          </cell>
          <cell r="B701" t="str">
            <v>EPARGNE BONUS DEVELOPPEMENT</v>
          </cell>
          <cell r="C701" t="str">
            <v>S03</v>
          </cell>
          <cell r="D701" t="str">
            <v>X03</v>
          </cell>
          <cell r="E701" t="str">
            <v>Créances clients / Clients créditeurs</v>
          </cell>
        </row>
        <row r="702">
          <cell r="A702">
            <v>419877</v>
          </cell>
          <cell r="B702" t="str">
            <v>BONUS CASSE</v>
          </cell>
          <cell r="C702" t="str">
            <v>S03</v>
          </cell>
          <cell r="D702" t="str">
            <v>X03</v>
          </cell>
          <cell r="E702" t="str">
            <v>Créances clients / Clients créditeurs</v>
          </cell>
        </row>
        <row r="703">
          <cell r="A703">
            <v>419878</v>
          </cell>
          <cell r="B703" t="str">
            <v>PARTICIPATION RISTOURNE</v>
          </cell>
          <cell r="C703" t="str">
            <v>S03</v>
          </cell>
          <cell r="D703" t="str">
            <v>X03</v>
          </cell>
          <cell r="E703" t="str">
            <v>Créances clients / Clients créditeurs</v>
          </cell>
        </row>
        <row r="704">
          <cell r="A704">
            <v>419879</v>
          </cell>
          <cell r="B704" t="str">
            <v>REMISE COMPLEMENTAIRE</v>
          </cell>
          <cell r="C704" t="str">
            <v>S03</v>
          </cell>
          <cell r="D704" t="str">
            <v>X03</v>
          </cell>
          <cell r="E704" t="str">
            <v>Créances clients / Clients créditeurs</v>
          </cell>
        </row>
        <row r="705">
          <cell r="A705">
            <v>419880</v>
          </cell>
          <cell r="B705" t="str">
            <v>ROYALTY MELONG</v>
          </cell>
          <cell r="C705" t="str">
            <v>S03</v>
          </cell>
          <cell r="D705" t="str">
            <v>X03</v>
          </cell>
          <cell r="E705" t="str">
            <v>Créances clients / Clients créditeurs</v>
          </cell>
        </row>
        <row r="706">
          <cell r="A706">
            <v>419881</v>
          </cell>
          <cell r="B706" t="str">
            <v>REMISE PRESTATION TANGUII</v>
          </cell>
          <cell r="C706" t="str">
            <v>S03</v>
          </cell>
          <cell r="D706" t="str">
            <v>X03</v>
          </cell>
          <cell r="E706" t="str">
            <v>Créances clients / Clients créditeurs</v>
          </cell>
        </row>
        <row r="707">
          <cell r="A707">
            <v>419882</v>
          </cell>
          <cell r="B707" t="str">
            <v>REMISE SPECIALE CONCESSIONNAIRES</v>
          </cell>
          <cell r="C707" t="str">
            <v>S03</v>
          </cell>
          <cell r="D707" t="str">
            <v>X03</v>
          </cell>
          <cell r="E707" t="str">
            <v>Créances clients / Clients créditeurs</v>
          </cell>
        </row>
        <row r="708">
          <cell r="A708">
            <v>419883</v>
          </cell>
          <cell r="B708" t="str">
            <v>REMISE EXCEPTIONNELLE DISTRIBUTION CASIE</v>
          </cell>
          <cell r="C708" t="str">
            <v>S03</v>
          </cell>
          <cell r="D708" t="str">
            <v>X03</v>
          </cell>
          <cell r="E708" t="str">
            <v>Créances clients / Clients créditeurs</v>
          </cell>
        </row>
        <row r="709">
          <cell r="A709">
            <v>419890</v>
          </cell>
          <cell r="B709" t="str">
            <v>TIERS CLIENTS CREDITEURS A REGULARISER</v>
          </cell>
          <cell r="C709" t="str">
            <v>S03</v>
          </cell>
          <cell r="D709" t="str">
            <v>X03</v>
          </cell>
          <cell r="E709" t="str">
            <v>Créances clients / Clients créditeurs</v>
          </cell>
        </row>
        <row r="710">
          <cell r="A710">
            <v>419891</v>
          </cell>
          <cell r="B710" t="str">
            <v>PROVISION REMISES SUR VENTES</v>
          </cell>
          <cell r="C710" t="str">
            <v>S03</v>
          </cell>
          <cell r="D710" t="str">
            <v>X03</v>
          </cell>
          <cell r="E710" t="str">
            <v>Créances clients / Clients créditeurs</v>
          </cell>
        </row>
        <row r="711">
          <cell r="A711">
            <v>419892</v>
          </cell>
          <cell r="B711" t="str">
            <v>PROVISION PARTICIP RISTOURNE  SUR VENTES</v>
          </cell>
          <cell r="C711">
            <v>0</v>
          </cell>
          <cell r="D711" t="str">
            <v>X03</v>
          </cell>
          <cell r="E711" t="str">
            <v>Clients créditeurs</v>
          </cell>
        </row>
        <row r="712">
          <cell r="A712">
            <v>419893</v>
          </cell>
          <cell r="B712" t="str">
            <v>PROVISION REMISE PRESTATAIRES TANGUI</v>
          </cell>
          <cell r="C712">
            <v>0</v>
          </cell>
          <cell r="D712" t="str">
            <v>X03</v>
          </cell>
          <cell r="E712" t="str">
            <v>Clients créditeurs</v>
          </cell>
        </row>
        <row r="713">
          <cell r="A713">
            <v>421110</v>
          </cell>
          <cell r="B713" t="str">
            <v>AVANCES AUX E.O.M.(A-3MOIS)</v>
          </cell>
          <cell r="C713" t="str">
            <v>S05</v>
          </cell>
          <cell r="D713" t="str">
            <v>X071</v>
          </cell>
          <cell r="E713" t="str">
            <v xml:space="preserve">Prêts et avances au personnel / </v>
          </cell>
        </row>
        <row r="714">
          <cell r="A714">
            <v>421122</v>
          </cell>
          <cell r="B714" t="str">
            <v>PERSONNEL EOM AVANCE</v>
          </cell>
          <cell r="C714" t="str">
            <v>S05</v>
          </cell>
          <cell r="D714" t="str">
            <v>X071</v>
          </cell>
          <cell r="E714" t="str">
            <v xml:space="preserve">Prêts et avances au personnel / </v>
          </cell>
        </row>
        <row r="715">
          <cell r="A715">
            <v>421143</v>
          </cell>
          <cell r="B715" t="str">
            <v>PERSONNEL CADRES AVANCE</v>
          </cell>
          <cell r="C715" t="str">
            <v>S05</v>
          </cell>
          <cell r="D715" t="str">
            <v>X071</v>
          </cell>
          <cell r="E715" t="str">
            <v xml:space="preserve">Prêts et avances au personnel / </v>
          </cell>
        </row>
        <row r="716">
          <cell r="A716">
            <v>421153</v>
          </cell>
          <cell r="B716" t="str">
            <v>PERSONNEL CADRES AVANCE VEHICULE</v>
          </cell>
          <cell r="C716" t="str">
            <v>S05</v>
          </cell>
          <cell r="D716" t="str">
            <v>X071</v>
          </cell>
          <cell r="E716" t="str">
            <v xml:space="preserve">Prêts et avances au personnel / </v>
          </cell>
        </row>
        <row r="717">
          <cell r="A717">
            <v>421162</v>
          </cell>
          <cell r="B717" t="str">
            <v>EOM AVANCES CONGES</v>
          </cell>
          <cell r="C717" t="str">
            <v>S05</v>
          </cell>
          <cell r="D717" t="str">
            <v>X071</v>
          </cell>
          <cell r="E717" t="str">
            <v xml:space="preserve">Prêts et avances au personnel / </v>
          </cell>
        </row>
        <row r="718">
          <cell r="A718">
            <v>421163</v>
          </cell>
          <cell r="B718" t="str">
            <v>PERSONNEL CADRES AVANCE FOND DE SOLIDARI</v>
          </cell>
          <cell r="C718" t="str">
            <v>S05</v>
          </cell>
          <cell r="D718" t="str">
            <v>X071</v>
          </cell>
          <cell r="E718" t="str">
            <v xml:space="preserve">Prêts et avances au personnel / </v>
          </cell>
        </row>
        <row r="719">
          <cell r="A719">
            <v>421173</v>
          </cell>
          <cell r="B719" t="str">
            <v>AVANCE/FONDS SOCIAL D'EQUIP.CAD.</v>
          </cell>
          <cell r="C719" t="str">
            <v>S05</v>
          </cell>
          <cell r="D719" t="str">
            <v>X071</v>
          </cell>
          <cell r="E719" t="str">
            <v xml:space="preserve">Prêts et avances au personnel / </v>
          </cell>
        </row>
        <row r="720">
          <cell r="A720">
            <v>421243</v>
          </cell>
          <cell r="B720" t="str">
            <v>PERSONNEL CADRES ACOMPTE</v>
          </cell>
          <cell r="C720" t="str">
            <v>S05</v>
          </cell>
          <cell r="D720" t="str">
            <v>X071</v>
          </cell>
          <cell r="E720" t="str">
            <v xml:space="preserve">Prêts et avances au personnel / </v>
          </cell>
        </row>
        <row r="721">
          <cell r="A721">
            <v>421120</v>
          </cell>
          <cell r="B721" t="str">
            <v>AVANCES AUX E.O.M.(A+3MOIS)</v>
          </cell>
          <cell r="C721" t="str">
            <v>S05</v>
          </cell>
          <cell r="D721" t="str">
            <v>X071</v>
          </cell>
          <cell r="E721" t="str">
            <v xml:space="preserve">Prêts et avances au personnel / </v>
          </cell>
        </row>
        <row r="722">
          <cell r="A722">
            <v>421140</v>
          </cell>
          <cell r="B722" t="str">
            <v>AVANCES AUX CADRES</v>
          </cell>
          <cell r="C722" t="str">
            <v>S05</v>
          </cell>
          <cell r="D722" t="str">
            <v>X071</v>
          </cell>
          <cell r="E722" t="str">
            <v xml:space="preserve">Prêts et avances au personnel / </v>
          </cell>
        </row>
        <row r="723">
          <cell r="A723">
            <v>421145</v>
          </cell>
          <cell r="B723" t="str">
            <v>AVANCES AUX CADRES/VEHICULE</v>
          </cell>
          <cell r="C723" t="str">
            <v>S05</v>
          </cell>
          <cell r="D723" t="str">
            <v>X071</v>
          </cell>
          <cell r="E723" t="str">
            <v xml:space="preserve">Prêts et avances au personnel / </v>
          </cell>
        </row>
        <row r="724">
          <cell r="A724">
            <v>421150</v>
          </cell>
          <cell r="B724" t="str">
            <v>AVANCES FONDS SOLIDARITE CADRES</v>
          </cell>
          <cell r="C724" t="str">
            <v>S05</v>
          </cell>
          <cell r="D724" t="str">
            <v>X071</v>
          </cell>
          <cell r="E724" t="str">
            <v xml:space="preserve">Prêts et avances au personnel / </v>
          </cell>
        </row>
        <row r="725">
          <cell r="A725">
            <v>421155</v>
          </cell>
          <cell r="B725" t="str">
            <v>AVANCE/FONDS SOCIAL D'EQUIP.CAD.</v>
          </cell>
          <cell r="C725" t="str">
            <v>S05</v>
          </cell>
          <cell r="D725" t="str">
            <v>X071</v>
          </cell>
          <cell r="E725" t="str">
            <v xml:space="preserve">Prêts et avances au personnel / </v>
          </cell>
        </row>
        <row r="726">
          <cell r="A726">
            <v>421160</v>
          </cell>
          <cell r="B726" t="str">
            <v>AVANCES / CONGES E.O.M</v>
          </cell>
          <cell r="C726" t="str">
            <v>S05</v>
          </cell>
          <cell r="D726" t="str">
            <v>X071</v>
          </cell>
          <cell r="E726" t="str">
            <v xml:space="preserve">Prêts et avances au personnel / </v>
          </cell>
        </row>
        <row r="727">
          <cell r="A727">
            <v>421170</v>
          </cell>
          <cell r="B727" t="str">
            <v>AVANCES/CONGES CADRES</v>
          </cell>
          <cell r="C727" t="str">
            <v>S05</v>
          </cell>
          <cell r="D727" t="str">
            <v>X071</v>
          </cell>
          <cell r="E727" t="str">
            <v xml:space="preserve">Prêts et avances au personnel / </v>
          </cell>
        </row>
        <row r="728">
          <cell r="A728">
            <v>421183</v>
          </cell>
          <cell r="B728" t="str">
            <v>AV CADRE - HOUSE PLAN</v>
          </cell>
          <cell r="C728" t="str">
            <v>S05</v>
          </cell>
          <cell r="D728" t="str">
            <v>X071</v>
          </cell>
          <cell r="E728" t="str">
            <v xml:space="preserve">Prêts et avances au personnel / </v>
          </cell>
        </row>
        <row r="729">
          <cell r="A729">
            <v>421220</v>
          </cell>
          <cell r="B729" t="str">
            <v>ACOMPTES AUX E.O.M</v>
          </cell>
          <cell r="C729" t="str">
            <v>S05</v>
          </cell>
          <cell r="D729" t="str">
            <v>X071</v>
          </cell>
          <cell r="E729" t="str">
            <v xml:space="preserve">Prêts et avances au personnel / </v>
          </cell>
        </row>
        <row r="730">
          <cell r="A730">
            <v>421224</v>
          </cell>
          <cell r="B730" t="str">
            <v>EOM ACOMPTES HORS 15e</v>
          </cell>
          <cell r="C730" t="str">
            <v>S05</v>
          </cell>
          <cell r="D730" t="str">
            <v>X071</v>
          </cell>
          <cell r="E730" t="str">
            <v xml:space="preserve">Prêts et avances au personnel / </v>
          </cell>
        </row>
        <row r="731">
          <cell r="A731">
            <v>421240</v>
          </cell>
          <cell r="B731" t="str">
            <v>ACOMPTES AUX CADRES</v>
          </cell>
          <cell r="C731" t="str">
            <v>S05</v>
          </cell>
          <cell r="D731" t="str">
            <v>X071</v>
          </cell>
          <cell r="E731" t="str">
            <v xml:space="preserve">Prêts et avances au personnel / </v>
          </cell>
        </row>
        <row r="732">
          <cell r="A732">
            <v>421320</v>
          </cell>
          <cell r="B732" t="str">
            <v>COMPTES COURANTS E.O.M</v>
          </cell>
          <cell r="C732" t="str">
            <v>S05</v>
          </cell>
          <cell r="D732" t="str">
            <v>X071</v>
          </cell>
          <cell r="E732" t="str">
            <v xml:space="preserve">Prêts et avances au personnel / </v>
          </cell>
        </row>
        <row r="733">
          <cell r="A733">
            <v>421330</v>
          </cell>
          <cell r="B733" t="str">
            <v>COMPTE COURANT CADRES</v>
          </cell>
          <cell r="C733" t="str">
            <v>S05</v>
          </cell>
          <cell r="D733" t="str">
            <v>X071</v>
          </cell>
          <cell r="E733" t="str">
            <v xml:space="preserve">Prêts et avances au personnel / </v>
          </cell>
        </row>
        <row r="734">
          <cell r="A734">
            <v>421322</v>
          </cell>
          <cell r="B734" t="str">
            <v>PERSONNEL EOM COURANT</v>
          </cell>
          <cell r="C734" t="str">
            <v>S05</v>
          </cell>
          <cell r="D734" t="str">
            <v>X071</v>
          </cell>
          <cell r="E734" t="str">
            <v xml:space="preserve">Prêts et avances au personnel / </v>
          </cell>
        </row>
        <row r="735">
          <cell r="A735">
            <v>421333</v>
          </cell>
          <cell r="B735" t="str">
            <v>PERSONNEL CADRES COMPTE COURANT</v>
          </cell>
          <cell r="C735" t="str">
            <v>S05</v>
          </cell>
          <cell r="D735" t="str">
            <v>X071</v>
          </cell>
          <cell r="E735" t="str">
            <v xml:space="preserve">Prêts et avances au personnel / </v>
          </cell>
        </row>
        <row r="736">
          <cell r="A736">
            <v>421340</v>
          </cell>
          <cell r="B736" t="str">
            <v>ASSUR.AUTO+VIGN.CADRES A RETENIR</v>
          </cell>
          <cell r="C736" t="str">
            <v>S05</v>
          </cell>
          <cell r="D736" t="str">
            <v>X071</v>
          </cell>
          <cell r="E736" t="str">
            <v xml:space="preserve">Prêts et avances au personnel / </v>
          </cell>
        </row>
        <row r="737">
          <cell r="A737">
            <v>421350</v>
          </cell>
          <cell r="B737" t="str">
            <v>ASSUR.VOL HABITATION A RETENIR</v>
          </cell>
          <cell r="C737" t="str">
            <v>S05</v>
          </cell>
          <cell r="D737" t="str">
            <v>X071</v>
          </cell>
          <cell r="E737" t="str">
            <v xml:space="preserve">Prêts et avances au personnel / </v>
          </cell>
        </row>
        <row r="738">
          <cell r="A738">
            <v>421360</v>
          </cell>
          <cell r="B738" t="str">
            <v>ASSUR.RC CHEF FAMILLE A RETENIR</v>
          </cell>
          <cell r="C738" t="str">
            <v>S05</v>
          </cell>
          <cell r="D738" t="str">
            <v>X071</v>
          </cell>
          <cell r="E738" t="str">
            <v xml:space="preserve">Prêts et avances au personnel / </v>
          </cell>
        </row>
        <row r="739">
          <cell r="A739">
            <v>421370</v>
          </cell>
          <cell r="B739" t="str">
            <v>ASSUR.SOINS ETR CADRES A RETENIR</v>
          </cell>
          <cell r="C739" t="str">
            <v>S05</v>
          </cell>
          <cell r="D739" t="str">
            <v>X071</v>
          </cell>
          <cell r="E739" t="str">
            <v xml:space="preserve">Prêts et avances au personnel / </v>
          </cell>
        </row>
        <row r="740">
          <cell r="A740">
            <v>421380</v>
          </cell>
          <cell r="B740" t="str">
            <v>ECART DEBITEUR CPTE PERS</v>
          </cell>
          <cell r="C740" t="str">
            <v>S05</v>
          </cell>
          <cell r="D740" t="str">
            <v>X071</v>
          </cell>
          <cell r="E740" t="str">
            <v xml:space="preserve">Prêts et avances au personnel / </v>
          </cell>
        </row>
        <row r="741">
          <cell r="A741">
            <v>422220</v>
          </cell>
          <cell r="B741" t="str">
            <v>ECART CREDITEUR CPTE PERS</v>
          </cell>
          <cell r="C741" t="str">
            <v>S05</v>
          </cell>
          <cell r="D741" t="str">
            <v>X071</v>
          </cell>
          <cell r="E741" t="str">
            <v xml:space="preserve">Prêts et avances au personnel / </v>
          </cell>
        </row>
        <row r="742">
          <cell r="A742">
            <v>422330</v>
          </cell>
          <cell r="B742" t="str">
            <v>COMPTES COURANT CADRE</v>
          </cell>
          <cell r="C742" t="str">
            <v>S05</v>
          </cell>
          <cell r="D742" t="str">
            <v>X071</v>
          </cell>
          <cell r="E742" t="str">
            <v xml:space="preserve">Prêts et avances au personnel / </v>
          </cell>
        </row>
        <row r="743">
          <cell r="A743">
            <v>422510</v>
          </cell>
          <cell r="B743" t="str">
            <v>REMUNER.DUES MANOEUVRES OCCASIO.</v>
          </cell>
          <cell r="C743" t="str">
            <v>S05</v>
          </cell>
          <cell r="D743" t="str">
            <v>X071</v>
          </cell>
          <cell r="E743" t="str">
            <v xml:space="preserve">Prêts et avances au personnel / </v>
          </cell>
        </row>
        <row r="744">
          <cell r="A744">
            <v>422520</v>
          </cell>
          <cell r="B744" t="str">
            <v>RENU DUES EOM</v>
          </cell>
          <cell r="C744" t="str">
            <v>S05</v>
          </cell>
          <cell r="D744" t="str">
            <v>X071</v>
          </cell>
          <cell r="E744" t="str">
            <v xml:space="preserve">Prêts et avances au personnel / </v>
          </cell>
        </row>
        <row r="745">
          <cell r="A745">
            <v>422540</v>
          </cell>
          <cell r="B745" t="str">
            <v>RENUMERATIONS DUES AUX CADRES</v>
          </cell>
          <cell r="C745" t="str">
            <v>S05</v>
          </cell>
          <cell r="D745" t="str">
            <v>X071</v>
          </cell>
          <cell r="E745" t="str">
            <v xml:space="preserve">Prêts et avances au personnel / </v>
          </cell>
        </row>
        <row r="746">
          <cell r="A746">
            <v>422560</v>
          </cell>
          <cell r="B746" t="str">
            <v>SALAIRES EN INSTANCE</v>
          </cell>
          <cell r="C746" t="str">
            <v>S05</v>
          </cell>
          <cell r="D746" t="str">
            <v>X071</v>
          </cell>
          <cell r="E746" t="str">
            <v xml:space="preserve">Prêts et avances au personnel / </v>
          </cell>
        </row>
        <row r="747">
          <cell r="A747">
            <v>423110</v>
          </cell>
          <cell r="B747" t="str">
            <v>RETENUES PRETS S/SAL.EOM P/TIERS</v>
          </cell>
          <cell r="C747" t="str">
            <v>S05</v>
          </cell>
          <cell r="D747" t="str">
            <v>X071</v>
          </cell>
          <cell r="E747" t="str">
            <v xml:space="preserve">Prêts et avances au personnel / </v>
          </cell>
        </row>
        <row r="748">
          <cell r="A748">
            <v>423132</v>
          </cell>
          <cell r="B748" t="str">
            <v>PERSONNEL EOM OPPOSITION S/SALAIRE</v>
          </cell>
          <cell r="C748" t="str">
            <v>S05</v>
          </cell>
          <cell r="D748" t="str">
            <v>X071</v>
          </cell>
          <cell r="E748" t="str">
            <v xml:space="preserve">Prêts et avances au personnel / </v>
          </cell>
        </row>
        <row r="749">
          <cell r="A749">
            <v>423140</v>
          </cell>
          <cell r="B749" t="str">
            <v>OPPOSITIONS S/SALAIRES CADRES</v>
          </cell>
          <cell r="C749" t="str">
            <v>S05</v>
          </cell>
          <cell r="D749" t="str">
            <v>X071</v>
          </cell>
          <cell r="E749" t="str">
            <v xml:space="preserve">Prêts et avances au personnel / </v>
          </cell>
        </row>
        <row r="750">
          <cell r="A750">
            <v>423143</v>
          </cell>
          <cell r="B750" t="str">
            <v>PERSONNEL CADRES OPPOSITION S/SALAIRES</v>
          </cell>
          <cell r="C750" t="str">
            <v>S05</v>
          </cell>
          <cell r="D750" t="str">
            <v>X071</v>
          </cell>
          <cell r="E750" t="str">
            <v xml:space="preserve">Prêts et avances au personnel / </v>
          </cell>
        </row>
        <row r="751">
          <cell r="A751">
            <v>423150</v>
          </cell>
          <cell r="B751" t="str">
            <v>RET/SAL.CADRES A VERSER A TIERS</v>
          </cell>
          <cell r="C751" t="str">
            <v>S05</v>
          </cell>
          <cell r="D751" t="str">
            <v>X071</v>
          </cell>
          <cell r="E751" t="str">
            <v xml:space="preserve">Prêts et avances au personnel / </v>
          </cell>
        </row>
        <row r="752">
          <cell r="A752">
            <v>423152</v>
          </cell>
          <cell r="B752" t="str">
            <v>PERSONNEL EOM RET/SAL A VERSER A TIERS</v>
          </cell>
          <cell r="C752" t="str">
            <v>S05</v>
          </cell>
          <cell r="D752" t="str">
            <v>X071</v>
          </cell>
          <cell r="E752" t="str">
            <v xml:space="preserve">Prêts et avances au personnel / </v>
          </cell>
        </row>
        <row r="753">
          <cell r="A753">
            <v>423153</v>
          </cell>
          <cell r="B753" t="str">
            <v>PERSONNEL CADRES RET/SAL A VERSER TIERS</v>
          </cell>
          <cell r="C753" t="str">
            <v>S05</v>
          </cell>
          <cell r="D753" t="str">
            <v>X071</v>
          </cell>
          <cell r="E753" t="str">
            <v xml:space="preserve">Prêts et avances au personnel / </v>
          </cell>
        </row>
        <row r="754">
          <cell r="A754">
            <v>423120</v>
          </cell>
          <cell r="B754" t="str">
            <v>RETENUES/SALAIRES-LOYERS</v>
          </cell>
          <cell r="C754" t="str">
            <v>S05</v>
          </cell>
          <cell r="D754" t="str">
            <v>X071</v>
          </cell>
          <cell r="E754" t="str">
            <v xml:space="preserve">Prêts et avances au personnel / </v>
          </cell>
        </row>
        <row r="755">
          <cell r="A755">
            <v>423130</v>
          </cell>
          <cell r="B755" t="str">
            <v>OPPOSITIONS S/SALAIRES E.O.M.</v>
          </cell>
          <cell r="C755" t="str">
            <v>S05</v>
          </cell>
          <cell r="D755" t="str">
            <v>X071</v>
          </cell>
          <cell r="E755" t="str">
            <v xml:space="preserve">Prêts et avances au personnel / </v>
          </cell>
        </row>
        <row r="756">
          <cell r="A756">
            <v>423140</v>
          </cell>
          <cell r="B756" t="str">
            <v>OPPOSITIONS S/SALAIRES CADRES</v>
          </cell>
          <cell r="C756" t="str">
            <v>S05</v>
          </cell>
          <cell r="D756" t="str">
            <v>X071</v>
          </cell>
          <cell r="E756" t="str">
            <v xml:space="preserve">Prêts et avances au personnel / </v>
          </cell>
        </row>
        <row r="757">
          <cell r="A757">
            <v>423150</v>
          </cell>
          <cell r="B757" t="str">
            <v>RET/SAL.CADRES A VERSER A TIERS</v>
          </cell>
          <cell r="C757" t="str">
            <v>S05</v>
          </cell>
          <cell r="D757" t="str">
            <v>X071</v>
          </cell>
          <cell r="E757" t="str">
            <v xml:space="preserve">Prêts et avances au personnel / </v>
          </cell>
        </row>
        <row r="758">
          <cell r="A758">
            <v>423180</v>
          </cell>
          <cell r="B758" t="str">
            <v>AFFAIRES LITIGIEUSES PERSONNEL</v>
          </cell>
          <cell r="C758" t="str">
            <v>S05</v>
          </cell>
          <cell r="D758" t="str">
            <v>X071</v>
          </cell>
          <cell r="E758" t="str">
            <v xml:space="preserve">Prêts et avances au personnel / </v>
          </cell>
        </row>
        <row r="759">
          <cell r="A759">
            <v>423220</v>
          </cell>
          <cell r="B759" t="str">
            <v>ASSURANCE VIE EOM</v>
          </cell>
          <cell r="C759" t="str">
            <v>S05</v>
          </cell>
          <cell r="D759" t="str">
            <v>X071</v>
          </cell>
          <cell r="E759" t="str">
            <v xml:space="preserve">Prêts et avances au personnel / </v>
          </cell>
        </row>
        <row r="760">
          <cell r="A760">
            <v>423240</v>
          </cell>
          <cell r="B760" t="str">
            <v>RET/SALAIRE ASSURANCE.VIE CADRES</v>
          </cell>
          <cell r="C760" t="str">
            <v>S05</v>
          </cell>
          <cell r="D760" t="str">
            <v>X071</v>
          </cell>
          <cell r="E760" t="str">
            <v xml:space="preserve">Prêts et avances au personnel / </v>
          </cell>
        </row>
        <row r="761">
          <cell r="A761">
            <v>423250</v>
          </cell>
          <cell r="B761" t="str">
            <v>ASSUR.RETENUES OPEREES A VERSER</v>
          </cell>
          <cell r="C761" t="str">
            <v>S05</v>
          </cell>
          <cell r="D761" t="str">
            <v>X071</v>
          </cell>
          <cell r="E761" t="str">
            <v xml:space="preserve">Prêts et avances au personnel / </v>
          </cell>
        </row>
        <row r="762">
          <cell r="A762">
            <v>423320</v>
          </cell>
          <cell r="B762" t="str">
            <v>PERS.AVIS A TIERS DETENTEUR/EOM</v>
          </cell>
          <cell r="C762" t="str">
            <v>S05</v>
          </cell>
          <cell r="D762" t="str">
            <v>X071</v>
          </cell>
          <cell r="E762" t="str">
            <v xml:space="preserve">Prêts et avances au personnel / </v>
          </cell>
        </row>
        <row r="763">
          <cell r="A763">
            <v>424200</v>
          </cell>
          <cell r="B763" t="str">
            <v>ALLOCATIONS FAMILIALES INTERNES</v>
          </cell>
          <cell r="C763" t="str">
            <v>S05</v>
          </cell>
          <cell r="D763" t="str">
            <v>X071</v>
          </cell>
          <cell r="E763" t="str">
            <v xml:space="preserve">Prêts et avances au personnel / </v>
          </cell>
        </row>
        <row r="764">
          <cell r="A764">
            <v>424510</v>
          </cell>
          <cell r="B764" t="str">
            <v>CLUB BRASSERIES DOUALA-BALI</v>
          </cell>
          <cell r="C764" t="str">
            <v>S05</v>
          </cell>
          <cell r="D764" t="str">
            <v>X071</v>
          </cell>
          <cell r="E764" t="str">
            <v xml:space="preserve">Prêts et avances au personnel / </v>
          </cell>
        </row>
        <row r="765">
          <cell r="A765">
            <v>424520</v>
          </cell>
          <cell r="B765" t="str">
            <v>CLUB BRASSERIES YAOUNDE</v>
          </cell>
          <cell r="C765" t="str">
            <v>S05</v>
          </cell>
          <cell r="D765" t="str">
            <v>X071</v>
          </cell>
          <cell r="E765" t="str">
            <v xml:space="preserve">Prêts et avances au personnel / </v>
          </cell>
        </row>
        <row r="766">
          <cell r="A766">
            <v>424530</v>
          </cell>
          <cell r="B766" t="str">
            <v>CLUB BRASSERIES BAFOUSSAM</v>
          </cell>
          <cell r="C766" t="str">
            <v>S05</v>
          </cell>
          <cell r="D766" t="str">
            <v>X071</v>
          </cell>
          <cell r="E766" t="str">
            <v xml:space="preserve">Prêts et avances au personnel / </v>
          </cell>
        </row>
        <row r="767">
          <cell r="A767">
            <v>424550</v>
          </cell>
          <cell r="B767" t="str">
            <v>CLUB CADRES "33"</v>
          </cell>
          <cell r="C767" t="str">
            <v>S05</v>
          </cell>
          <cell r="D767" t="str">
            <v>X071</v>
          </cell>
          <cell r="E767" t="str">
            <v xml:space="preserve">Prêts et avances au personnel / </v>
          </cell>
        </row>
        <row r="768">
          <cell r="A768">
            <v>424570</v>
          </cell>
          <cell r="B768" t="str">
            <v>CLUB BRASSERIES OMBE</v>
          </cell>
          <cell r="C768" t="str">
            <v>S05</v>
          </cell>
          <cell r="D768" t="str">
            <v>X071</v>
          </cell>
          <cell r="E768" t="str">
            <v xml:space="preserve">Prêts et avances au personnel / </v>
          </cell>
        </row>
        <row r="769">
          <cell r="A769">
            <v>425220</v>
          </cell>
          <cell r="B769" t="str">
            <v>COTISATIONS SYNDICALES DUES EOM</v>
          </cell>
          <cell r="C769" t="str">
            <v>S05</v>
          </cell>
          <cell r="D769" t="str">
            <v>X071</v>
          </cell>
          <cell r="E769" t="str">
            <v xml:space="preserve">Prêts et avances au personnel / </v>
          </cell>
        </row>
        <row r="770">
          <cell r="A770">
            <v>425240</v>
          </cell>
          <cell r="B770" t="str">
            <v>COTISAT.SYNDICALES DUES CADRES</v>
          </cell>
          <cell r="C770" t="str">
            <v>S05</v>
          </cell>
          <cell r="D770" t="str">
            <v>X071</v>
          </cell>
          <cell r="E770" t="str">
            <v xml:space="preserve">Prêts et avances au personnel / </v>
          </cell>
        </row>
        <row r="771">
          <cell r="A771">
            <v>428120</v>
          </cell>
          <cell r="B771" t="str">
            <v>DETTES PROV.P/CONGES A PAYER EOM</v>
          </cell>
          <cell r="C771" t="str">
            <v>S05</v>
          </cell>
          <cell r="D771" t="str">
            <v>X071</v>
          </cell>
          <cell r="E771" t="str">
            <v xml:space="preserve">Prêts et avances au personnel / </v>
          </cell>
        </row>
        <row r="772">
          <cell r="A772">
            <v>428140</v>
          </cell>
          <cell r="B772" t="str">
            <v>DETTES PROV./CONGES A P.CAD.NAT.</v>
          </cell>
          <cell r="C772" t="str">
            <v>S05</v>
          </cell>
          <cell r="D772" t="str">
            <v>X071</v>
          </cell>
          <cell r="E772" t="str">
            <v xml:space="preserve">Prêts et avances au personnel / </v>
          </cell>
        </row>
        <row r="773">
          <cell r="A773">
            <v>428150</v>
          </cell>
          <cell r="B773" t="str">
            <v>DETTES PROV/CONGES A P.CAD.N.NAT</v>
          </cell>
          <cell r="C773" t="str">
            <v>S05</v>
          </cell>
          <cell r="D773" t="str">
            <v>X071</v>
          </cell>
          <cell r="E773" t="str">
            <v xml:space="preserve">Prêts et avances au personnel / </v>
          </cell>
        </row>
        <row r="774">
          <cell r="A774">
            <v>428620</v>
          </cell>
          <cell r="B774" t="str">
            <v>CH.A PAYER-SAL.DIF.+CHARGES</v>
          </cell>
          <cell r="C774" t="str">
            <v>S05</v>
          </cell>
          <cell r="D774" t="str">
            <v>X071</v>
          </cell>
          <cell r="E774" t="str">
            <v xml:space="preserve">Prêts et avances au personnel / </v>
          </cell>
        </row>
        <row r="775">
          <cell r="A775">
            <v>428629</v>
          </cell>
          <cell r="B775" t="str">
            <v>CH.A PAYER.REAJUSTEMENT SALAIRE EOM</v>
          </cell>
          <cell r="C775" t="str">
            <v>S05</v>
          </cell>
          <cell r="D775" t="str">
            <v>X071</v>
          </cell>
          <cell r="E775" t="str">
            <v xml:space="preserve">Prêts et avances au personnel / </v>
          </cell>
        </row>
        <row r="776">
          <cell r="A776">
            <v>428632</v>
          </cell>
          <cell r="B776" t="str">
            <v>CH.A PAYER-ASSUR.INV.DECES</v>
          </cell>
          <cell r="C776" t="str">
            <v>S05</v>
          </cell>
          <cell r="D776" t="str">
            <v>X071</v>
          </cell>
          <cell r="E776" t="str">
            <v xml:space="preserve">Prêts et avances au personnel / </v>
          </cell>
        </row>
        <row r="777">
          <cell r="A777">
            <v>428647</v>
          </cell>
          <cell r="B777" t="str">
            <v>CH.A PAYER VOYAGES CONGES</v>
          </cell>
          <cell r="C777" t="str">
            <v>S05</v>
          </cell>
          <cell r="D777" t="str">
            <v>X071</v>
          </cell>
          <cell r="E777" t="str">
            <v xml:space="preserve">Prêts et avances au personnel / </v>
          </cell>
        </row>
        <row r="778">
          <cell r="A778">
            <v>428661</v>
          </cell>
          <cell r="B778" t="str">
            <v>CH.A PAYER ANCIEN MEDAILLES EOM</v>
          </cell>
          <cell r="C778" t="str">
            <v>S05</v>
          </cell>
          <cell r="D778" t="str">
            <v>X071</v>
          </cell>
          <cell r="E778" t="str">
            <v xml:space="preserve">Prêts et avances au personnel / </v>
          </cell>
        </row>
        <row r="779">
          <cell r="A779">
            <v>428662</v>
          </cell>
          <cell r="B779" t="str">
            <v>CH.A PAYER ANCIEN MEDAILLES CADRES</v>
          </cell>
          <cell r="C779" t="str">
            <v>S05</v>
          </cell>
          <cell r="D779" t="str">
            <v>X071</v>
          </cell>
          <cell r="E779" t="str">
            <v xml:space="preserve">Prêts et avances au personnel / </v>
          </cell>
        </row>
        <row r="780">
          <cell r="A780">
            <v>428663</v>
          </cell>
          <cell r="B780" t="str">
            <v>CHARGES A PAYER PRIME ANCIEN (33 ANS)</v>
          </cell>
          <cell r="C780" t="str">
            <v>S05</v>
          </cell>
          <cell r="D780" t="str">
            <v>X071</v>
          </cell>
          <cell r="E780" t="str">
            <v xml:space="preserve">Prêts et avances au personnel / </v>
          </cell>
        </row>
        <row r="781">
          <cell r="A781">
            <v>428664</v>
          </cell>
          <cell r="B781" t="str">
            <v>CHARGES A PAYER GRATIFICATION</v>
          </cell>
          <cell r="C781" t="str">
            <v>S05</v>
          </cell>
          <cell r="D781" t="str">
            <v>X071</v>
          </cell>
          <cell r="E781" t="str">
            <v xml:space="preserve">Prêts et avances au personnel / </v>
          </cell>
        </row>
        <row r="782">
          <cell r="A782">
            <v>428680</v>
          </cell>
          <cell r="B782" t="str">
            <v>PERSONNEL EOM ECART CREDIETUR</v>
          </cell>
          <cell r="C782" t="str">
            <v>S05</v>
          </cell>
          <cell r="D782" t="str">
            <v>X071</v>
          </cell>
          <cell r="E782" t="str">
            <v xml:space="preserve">Prêts et avances au personnel / </v>
          </cell>
        </row>
        <row r="783">
          <cell r="A783">
            <v>428780</v>
          </cell>
          <cell r="B783" t="str">
            <v>PERSONNEL EOM ECART DEBITEUR</v>
          </cell>
          <cell r="C783" t="str">
            <v>S05</v>
          </cell>
          <cell r="D783" t="str">
            <v>X071</v>
          </cell>
          <cell r="E783" t="str">
            <v xml:space="preserve">Prêts et avances au personnel / </v>
          </cell>
        </row>
        <row r="784">
          <cell r="A784">
            <v>428880</v>
          </cell>
          <cell r="B784" t="str">
            <v>PROVISION GRATIFICATIONS</v>
          </cell>
          <cell r="C784" t="str">
            <v>S05</v>
          </cell>
          <cell r="D784" t="str">
            <v>X071</v>
          </cell>
          <cell r="E784" t="str">
            <v xml:space="preserve">Prêts et avances au personnel / </v>
          </cell>
        </row>
        <row r="785">
          <cell r="A785">
            <v>428881</v>
          </cell>
          <cell r="B785" t="str">
            <v>PROVISION RETRAITE C.R.E</v>
          </cell>
          <cell r="C785" t="str">
            <v>S05</v>
          </cell>
          <cell r="D785" t="str">
            <v>X071</v>
          </cell>
          <cell r="E785" t="str">
            <v xml:space="preserve">Prêts et avances au personnel / </v>
          </cell>
        </row>
        <row r="786">
          <cell r="A786">
            <v>428883</v>
          </cell>
          <cell r="B786" t="str">
            <v>PROVISION CONGES + CHARGES E.O.M</v>
          </cell>
          <cell r="C786" t="str">
            <v>S05</v>
          </cell>
          <cell r="D786" t="str">
            <v>X071</v>
          </cell>
          <cell r="E786" t="str">
            <v xml:space="preserve">Prêts et avances au personnel / </v>
          </cell>
        </row>
        <row r="787">
          <cell r="A787">
            <v>428884</v>
          </cell>
          <cell r="B787" t="str">
            <v>PROVISION CONGES+CHARGE CADRES NATIONAUX</v>
          </cell>
          <cell r="C787" t="str">
            <v>S05</v>
          </cell>
          <cell r="D787" t="str">
            <v>X071</v>
          </cell>
          <cell r="E787" t="str">
            <v xml:space="preserve">Prêts et avances au personnel / </v>
          </cell>
        </row>
        <row r="788">
          <cell r="A788">
            <v>428885</v>
          </cell>
          <cell r="B788" t="str">
            <v>PROVISION CONGES+CHARGE CADRES NATIONAUX</v>
          </cell>
          <cell r="C788" t="str">
            <v>S05</v>
          </cell>
          <cell r="D788" t="str">
            <v>X071</v>
          </cell>
          <cell r="E788" t="str">
            <v xml:space="preserve">Prêts et avances au personnel / </v>
          </cell>
        </row>
        <row r="789">
          <cell r="A789">
            <v>428887</v>
          </cell>
          <cell r="B789" t="str">
            <v>PROVISION RETRAITE C.R.E</v>
          </cell>
          <cell r="C789" t="str">
            <v>S05</v>
          </cell>
          <cell r="D789" t="str">
            <v>X071</v>
          </cell>
          <cell r="E789" t="str">
            <v xml:space="preserve">Prêts et avances au personnel / </v>
          </cell>
        </row>
        <row r="790">
          <cell r="A790">
            <v>428888</v>
          </cell>
          <cell r="B790" t="str">
            <v>FACT ASSUR MALADIE CADRE</v>
          </cell>
          <cell r="C790" t="str">
            <v>S05</v>
          </cell>
          <cell r="D790" t="str">
            <v>X071</v>
          </cell>
          <cell r="E790" t="str">
            <v xml:space="preserve">Prêts et avances au personnel / </v>
          </cell>
        </row>
        <row r="791">
          <cell r="A791">
            <v>428889</v>
          </cell>
          <cell r="B791" t="str">
            <v>PROVISION ASSURANCE MALADIE CADRE</v>
          </cell>
          <cell r="C791" t="str">
            <v>S05</v>
          </cell>
          <cell r="D791" t="str">
            <v>X071</v>
          </cell>
          <cell r="E791" t="str">
            <v xml:space="preserve">Prêts et avances au personnel / </v>
          </cell>
        </row>
        <row r="792">
          <cell r="A792">
            <v>428890</v>
          </cell>
          <cell r="B792" t="str">
            <v>PROVISION PRIME/OBJECTIF + CHARG</v>
          </cell>
          <cell r="C792" t="str">
            <v>S05</v>
          </cell>
          <cell r="D792" t="str">
            <v>X071</v>
          </cell>
          <cell r="E792" t="str">
            <v xml:space="preserve">Prêts et avances au personnel / </v>
          </cell>
        </row>
        <row r="793">
          <cell r="A793">
            <v>428891</v>
          </cell>
          <cell r="B793" t="str">
            <v>PROVISION PRIME/OBJECTIF + CHARG</v>
          </cell>
          <cell r="C793" t="str">
            <v>S05</v>
          </cell>
          <cell r="D793" t="str">
            <v>X071</v>
          </cell>
          <cell r="E793" t="str">
            <v xml:space="preserve">Prêts et avances au personnel / </v>
          </cell>
        </row>
        <row r="794">
          <cell r="A794">
            <v>428892</v>
          </cell>
          <cell r="B794" t="str">
            <v>PROV. PRIME SUR OBJECTIFS + CH CADR NATI</v>
          </cell>
          <cell r="C794" t="str">
            <v>S05</v>
          </cell>
          <cell r="D794" t="str">
            <v>X071</v>
          </cell>
          <cell r="E794" t="str">
            <v xml:space="preserve">Prêts et avances au personnel / </v>
          </cell>
        </row>
        <row r="795">
          <cell r="A795">
            <v>430210</v>
          </cell>
          <cell r="B795" t="str">
            <v>A.T. FRAIS A RECUPERER</v>
          </cell>
          <cell r="C795" t="str">
            <v>S05</v>
          </cell>
          <cell r="D795" t="str">
            <v>X071</v>
          </cell>
          <cell r="E795" t="str">
            <v xml:space="preserve">Prêts et avances au personnel / </v>
          </cell>
        </row>
        <row r="796">
          <cell r="A796">
            <v>430220</v>
          </cell>
          <cell r="B796" t="str">
            <v>A.T. HONORAIRES A RECUPERER</v>
          </cell>
          <cell r="C796" t="str">
            <v>S05</v>
          </cell>
          <cell r="D796" t="str">
            <v>X071</v>
          </cell>
          <cell r="E796" t="str">
            <v xml:space="preserve">Prêts et avances au personnel / </v>
          </cell>
        </row>
        <row r="797">
          <cell r="A797">
            <v>430230</v>
          </cell>
          <cell r="B797" t="str">
            <v>A.T. INDEMNITES A RECUPERER</v>
          </cell>
          <cell r="C797" t="str">
            <v>S05</v>
          </cell>
          <cell r="D797" t="str">
            <v>X071</v>
          </cell>
          <cell r="E797" t="str">
            <v xml:space="preserve">Prêts et avances au personnel / </v>
          </cell>
        </row>
        <row r="798">
          <cell r="A798">
            <v>430240</v>
          </cell>
          <cell r="B798" t="str">
            <v>A.T. DOSSIERS CONSTITUES/CNPS</v>
          </cell>
          <cell r="C798" t="str">
            <v>S05</v>
          </cell>
          <cell r="D798" t="str">
            <v>X071</v>
          </cell>
          <cell r="E798" t="str">
            <v xml:space="preserve">Prêts et avances au personnel / </v>
          </cell>
        </row>
        <row r="799">
          <cell r="A799">
            <v>431100</v>
          </cell>
          <cell r="B799" t="str">
            <v>CNPS PRESTATIONS FAMILIALES</v>
          </cell>
          <cell r="C799" t="str">
            <v>S05</v>
          </cell>
          <cell r="D799" t="str">
            <v>X071</v>
          </cell>
          <cell r="E799" t="str">
            <v xml:space="preserve">Prêts et avances au personnel / </v>
          </cell>
        </row>
        <row r="800">
          <cell r="A800">
            <v>431210</v>
          </cell>
          <cell r="B800" t="str">
            <v>A.T. FRAIS A RECUPERER</v>
          </cell>
          <cell r="C800" t="str">
            <v>S05</v>
          </cell>
          <cell r="D800" t="str">
            <v>X071</v>
          </cell>
          <cell r="E800" t="str">
            <v xml:space="preserve">Prêts et avances au personnel / </v>
          </cell>
        </row>
        <row r="801">
          <cell r="A801">
            <v>431220</v>
          </cell>
          <cell r="B801" t="str">
            <v>A.T. HONORAIRES A RECUPERER</v>
          </cell>
          <cell r="C801" t="str">
            <v>S05</v>
          </cell>
          <cell r="D801" t="str">
            <v>X071</v>
          </cell>
          <cell r="E801" t="str">
            <v xml:space="preserve">Prêts et avances au personnel / </v>
          </cell>
        </row>
        <row r="802">
          <cell r="A802">
            <v>431230</v>
          </cell>
          <cell r="B802" t="str">
            <v>A.T. INDEMNITES A RECEVOIR</v>
          </cell>
          <cell r="C802" t="str">
            <v>S05</v>
          </cell>
          <cell r="D802" t="str">
            <v>X071</v>
          </cell>
          <cell r="E802" t="str">
            <v xml:space="preserve">Prêts et avances au personnel / </v>
          </cell>
        </row>
        <row r="803">
          <cell r="A803">
            <v>431280</v>
          </cell>
          <cell r="B803" t="str">
            <v>A.T. DOSSIERS CONSTITUES/CNPS</v>
          </cell>
          <cell r="C803" t="str">
            <v>S05</v>
          </cell>
          <cell r="D803" t="str">
            <v>X071</v>
          </cell>
          <cell r="E803" t="str">
            <v xml:space="preserve">Prêts et avances au personnel / </v>
          </cell>
        </row>
        <row r="804">
          <cell r="A804">
            <v>431320</v>
          </cell>
          <cell r="B804" t="str">
            <v>COTIS.DUES CNPS EOM</v>
          </cell>
          <cell r="C804" t="str">
            <v>S05</v>
          </cell>
          <cell r="D804" t="str">
            <v>X071</v>
          </cell>
          <cell r="E804" t="str">
            <v xml:space="preserve">Prêts et avances au personnel / </v>
          </cell>
        </row>
        <row r="805">
          <cell r="A805">
            <v>431340</v>
          </cell>
          <cell r="B805" t="str">
            <v>COTIS.DUES CNPS CADRES</v>
          </cell>
          <cell r="C805" t="str">
            <v>S05</v>
          </cell>
          <cell r="D805" t="str">
            <v>X071</v>
          </cell>
          <cell r="E805" t="str">
            <v xml:space="preserve">Prêts et avances au personnel / </v>
          </cell>
        </row>
        <row r="806">
          <cell r="A806">
            <v>431370</v>
          </cell>
          <cell r="B806" t="str">
            <v>CNPS A REGULARISER FIN EX.</v>
          </cell>
          <cell r="C806" t="str">
            <v>S05</v>
          </cell>
          <cell r="D806" t="str">
            <v>X071</v>
          </cell>
          <cell r="E806" t="str">
            <v xml:space="preserve">Prêts et avances au personnel / </v>
          </cell>
        </row>
        <row r="807">
          <cell r="A807">
            <v>431420</v>
          </cell>
          <cell r="B807" t="str">
            <v>COTIS.RETR.EOM (AVENIR RETRAITE)</v>
          </cell>
          <cell r="C807" t="str">
            <v>S05</v>
          </cell>
          <cell r="D807" t="str">
            <v>X071</v>
          </cell>
          <cell r="E807" t="str">
            <v xml:space="preserve">Prêts et avances au personnel / </v>
          </cell>
        </row>
        <row r="808">
          <cell r="A808">
            <v>431440</v>
          </cell>
          <cell r="B808" t="str">
            <v>COTIS.DUES RETR.CADRES NATIONAUX</v>
          </cell>
          <cell r="C808" t="str">
            <v>S05</v>
          </cell>
          <cell r="D808" t="str">
            <v>X071</v>
          </cell>
          <cell r="E808" t="str">
            <v xml:space="preserve">Prêts et avances au personnel / </v>
          </cell>
        </row>
        <row r="809">
          <cell r="A809">
            <v>431850</v>
          </cell>
          <cell r="B809" t="str">
            <v>COTIS.DUES GARP</v>
          </cell>
          <cell r="C809" t="str">
            <v>S05</v>
          </cell>
          <cell r="D809" t="str">
            <v>X071</v>
          </cell>
          <cell r="E809" t="str">
            <v xml:space="preserve">Prêts et avances au personnel / </v>
          </cell>
        </row>
        <row r="810">
          <cell r="A810">
            <v>431851</v>
          </cell>
          <cell r="B810" t="str">
            <v>RETENUES COTIS.RETR.CHOMAGE</v>
          </cell>
          <cell r="C810" t="str">
            <v>S05</v>
          </cell>
          <cell r="D810" t="str">
            <v>X071</v>
          </cell>
          <cell r="E810" t="str">
            <v xml:space="preserve">Prêts et avances au personnel / </v>
          </cell>
        </row>
        <row r="811">
          <cell r="A811">
            <v>431852</v>
          </cell>
          <cell r="B811" t="str">
            <v>PREV.INDIV.ACCIDENT CAD.NON NAT.</v>
          </cell>
          <cell r="C811" t="str">
            <v>S05</v>
          </cell>
          <cell r="D811" t="str">
            <v>X071</v>
          </cell>
          <cell r="E811" t="str">
            <v xml:space="preserve">Prêts et avances au personnel / </v>
          </cell>
        </row>
        <row r="812">
          <cell r="A812">
            <v>431860</v>
          </cell>
          <cell r="B812" t="str">
            <v>ASSUR.VIE CADRES CAMEROUNAIS</v>
          </cell>
          <cell r="C812" t="str">
            <v>S05</v>
          </cell>
          <cell r="D812" t="str">
            <v>X071</v>
          </cell>
          <cell r="E812" t="str">
            <v xml:space="preserve">Prêts et avances au personnel / </v>
          </cell>
        </row>
        <row r="813">
          <cell r="A813">
            <v>432050</v>
          </cell>
          <cell r="B813" t="str">
            <v>COTIS.DUES RETRAITE REGIME FACULTATIF</v>
          </cell>
          <cell r="C813" t="str">
            <v>S05</v>
          </cell>
          <cell r="D813" t="str">
            <v>X071</v>
          </cell>
          <cell r="E813" t="str">
            <v xml:space="preserve">Prêts et avances au personnel / </v>
          </cell>
        </row>
        <row r="814">
          <cell r="A814">
            <v>432052</v>
          </cell>
          <cell r="B814" t="str">
            <v>COTISATION RETRAITE EXPATRIE REGIME OBLI</v>
          </cell>
          <cell r="C814" t="str">
            <v>S05</v>
          </cell>
          <cell r="D814" t="str">
            <v>X071</v>
          </cell>
          <cell r="E814" t="str">
            <v xml:space="preserve">Prêts et avances au personnel / </v>
          </cell>
        </row>
        <row r="815">
          <cell r="A815">
            <v>433110</v>
          </cell>
          <cell r="B815" t="str">
            <v>MUTUELLE RET.OPEREES A VERSER EO</v>
          </cell>
          <cell r="C815" t="str">
            <v>S05</v>
          </cell>
          <cell r="D815" t="str">
            <v>X071</v>
          </cell>
          <cell r="E815" t="str">
            <v xml:space="preserve">Prêts et avances au personnel / </v>
          </cell>
        </row>
        <row r="816">
          <cell r="A816">
            <v>433120</v>
          </cell>
          <cell r="B816" t="str">
            <v>MUTUELLE COTISATIONS E.O.</v>
          </cell>
          <cell r="C816" t="str">
            <v>S05</v>
          </cell>
          <cell r="D816" t="str">
            <v>X071</v>
          </cell>
          <cell r="E816" t="str">
            <v xml:space="preserve">Prêts et avances au personnel / </v>
          </cell>
        </row>
        <row r="817">
          <cell r="A817">
            <v>433130</v>
          </cell>
          <cell r="B817" t="str">
            <v>MUTUELLE COTISATIONS A.M.</v>
          </cell>
          <cell r="C817" t="str">
            <v>S05</v>
          </cell>
          <cell r="D817" t="str">
            <v>X071</v>
          </cell>
          <cell r="E817" t="str">
            <v xml:space="preserve">Prêts et avances au personnel / </v>
          </cell>
        </row>
        <row r="818">
          <cell r="A818">
            <v>433151</v>
          </cell>
          <cell r="B818" t="str">
            <v>MUTUELLE AVANCES EMPL/OUVRIERS</v>
          </cell>
          <cell r="C818" t="str">
            <v>S05</v>
          </cell>
          <cell r="D818" t="str">
            <v>X071</v>
          </cell>
          <cell r="E818" t="str">
            <v xml:space="preserve">Prêts et avances au personnel / </v>
          </cell>
        </row>
        <row r="819">
          <cell r="A819">
            <v>433152</v>
          </cell>
          <cell r="B819" t="str">
            <v>MUTUELLE AVANCES AG.MAITRISE</v>
          </cell>
          <cell r="C819" t="str">
            <v>S05</v>
          </cell>
          <cell r="D819" t="str">
            <v>X071</v>
          </cell>
          <cell r="E819" t="str">
            <v xml:space="preserve">Prêts et avances au personnel / </v>
          </cell>
        </row>
        <row r="820">
          <cell r="A820">
            <v>433155</v>
          </cell>
          <cell r="B820" t="str">
            <v>MUTUELLE-FONDS SOLIDARITE A.M.</v>
          </cell>
          <cell r="C820" t="str">
            <v>S05</v>
          </cell>
          <cell r="D820" t="str">
            <v>X071</v>
          </cell>
          <cell r="E820" t="str">
            <v xml:space="preserve">Prêts et avances au personnel / </v>
          </cell>
        </row>
        <row r="821">
          <cell r="A821">
            <v>433158</v>
          </cell>
          <cell r="B821" t="str">
            <v>MUTUELLE-INTERETS VERSES/EPARGNE</v>
          </cell>
          <cell r="C821" t="str">
            <v>S05</v>
          </cell>
          <cell r="D821" t="str">
            <v>X071</v>
          </cell>
          <cell r="E821" t="str">
            <v xml:space="preserve">Prêts et avances au personnel / </v>
          </cell>
        </row>
        <row r="822">
          <cell r="A822">
            <v>433159</v>
          </cell>
          <cell r="B822" t="str">
            <v>MUTUELLE-INTERETS RECUS S/PRETS</v>
          </cell>
          <cell r="C822" t="str">
            <v>S05</v>
          </cell>
          <cell r="D822" t="str">
            <v>X071</v>
          </cell>
          <cell r="E822" t="str">
            <v xml:space="preserve">Prêts et avances au personnel / </v>
          </cell>
        </row>
        <row r="823">
          <cell r="A823">
            <v>433170</v>
          </cell>
          <cell r="B823" t="str">
            <v>DROITS D'AUTEUR A REVERSER</v>
          </cell>
          <cell r="C823">
            <v>0</v>
          </cell>
          <cell r="D823" t="str">
            <v>X071</v>
          </cell>
          <cell r="E823">
            <v>0</v>
          </cell>
        </row>
        <row r="824">
          <cell r="A824">
            <v>441100</v>
          </cell>
          <cell r="B824" t="str">
            <v>IMPOT/SOCIETE-SOLDE DUE</v>
          </cell>
          <cell r="C824">
            <v>0</v>
          </cell>
          <cell r="D824" t="str">
            <v>X04</v>
          </cell>
          <cell r="E824" t="str">
            <v>Dettes fiscales</v>
          </cell>
        </row>
        <row r="825">
          <cell r="A825">
            <v>441150</v>
          </cell>
          <cell r="B825" t="str">
            <v>IMPOT/SOCIETE-ACOMPTE</v>
          </cell>
          <cell r="C825" t="str">
            <v>S04</v>
          </cell>
          <cell r="D825">
            <v>0</v>
          </cell>
          <cell r="E825" t="str">
            <v>Créances fiscales</v>
          </cell>
        </row>
        <row r="826">
          <cell r="A826">
            <v>441151</v>
          </cell>
          <cell r="B826" t="str">
            <v>IMPOT/STE - ACOMPTE A PAYER (D)</v>
          </cell>
          <cell r="C826" t="str">
            <v>S04</v>
          </cell>
          <cell r="D826">
            <v>0</v>
          </cell>
          <cell r="E826" t="str">
            <v>Créances fiscales</v>
          </cell>
        </row>
        <row r="827">
          <cell r="A827">
            <v>441152</v>
          </cell>
          <cell r="B827" t="str">
            <v>IMPOT/STE - ACOMPTE A PAYER (C)</v>
          </cell>
          <cell r="C827">
            <v>0</v>
          </cell>
          <cell r="D827" t="str">
            <v>X04</v>
          </cell>
          <cell r="E827" t="str">
            <v>Dettes fiscales</v>
          </cell>
        </row>
        <row r="828">
          <cell r="A828">
            <v>441160</v>
          </cell>
          <cell r="B828" t="str">
            <v>PRELEV.S/LOYER CREDIT IMPOT</v>
          </cell>
          <cell r="C828" t="str">
            <v>S04</v>
          </cell>
          <cell r="D828">
            <v>0</v>
          </cell>
          <cell r="E828" t="str">
            <v>Créances fiscales</v>
          </cell>
        </row>
        <row r="829">
          <cell r="A829">
            <v>441165</v>
          </cell>
          <cell r="B829" t="str">
            <v>IMPOT/REVENU RET.SOURCE M.à REG.</v>
          </cell>
          <cell r="C829" t="str">
            <v>S04</v>
          </cell>
          <cell r="D829">
            <v>0</v>
          </cell>
          <cell r="E829" t="str">
            <v>Créances fiscales</v>
          </cell>
        </row>
        <row r="830">
          <cell r="A830">
            <v>441170</v>
          </cell>
          <cell r="B830" t="str">
            <v>PRELEVMENT S/ACHAT CREDIT IMPOTS</v>
          </cell>
          <cell r="C830" t="str">
            <v>S04</v>
          </cell>
          <cell r="E830" t="str">
            <v>Créances fiscales</v>
          </cell>
        </row>
        <row r="831">
          <cell r="A831">
            <v>441200</v>
          </cell>
          <cell r="B831" t="str">
            <v>TPRCM DUE</v>
          </cell>
          <cell r="C831" t="str">
            <v>S04</v>
          </cell>
          <cell r="D831">
            <v>0</v>
          </cell>
          <cell r="E831" t="str">
            <v>Créances fiscales</v>
          </cell>
        </row>
        <row r="832">
          <cell r="A832">
            <v>441219</v>
          </cell>
          <cell r="B832" t="str">
            <v>TRCM PAYEE</v>
          </cell>
          <cell r="C832" t="str">
            <v>S04</v>
          </cell>
          <cell r="D832">
            <v>0</v>
          </cell>
          <cell r="E832" t="str">
            <v>Créances fiscales</v>
          </cell>
        </row>
        <row r="833">
          <cell r="A833">
            <v>441220</v>
          </cell>
          <cell r="B833" t="str">
            <v>TPRCM CREDIT D'IMPOT</v>
          </cell>
          <cell r="C833" t="str">
            <v>S04</v>
          </cell>
          <cell r="D833">
            <v>0</v>
          </cell>
          <cell r="E833" t="str">
            <v>Créances fiscales</v>
          </cell>
        </row>
        <row r="834">
          <cell r="A834">
            <v>441290</v>
          </cell>
          <cell r="B834" t="str">
            <v>TPRCM S/REDEV.MUTZIG PROVISION</v>
          </cell>
          <cell r="C834" t="str">
            <v>S04</v>
          </cell>
          <cell r="D834">
            <v>0</v>
          </cell>
          <cell r="E834" t="str">
            <v>Créances fiscales</v>
          </cell>
        </row>
        <row r="835">
          <cell r="A835">
            <v>441291</v>
          </cell>
          <cell r="B835" t="str">
            <v>TPRCM S/REDEVANCES AMSTEL</v>
          </cell>
          <cell r="C835" t="str">
            <v>S04</v>
          </cell>
          <cell r="D835">
            <v>0</v>
          </cell>
          <cell r="E835" t="str">
            <v>Créances fiscales</v>
          </cell>
        </row>
        <row r="836">
          <cell r="A836">
            <v>441292</v>
          </cell>
          <cell r="B836" t="str">
            <v>TPRCM S/REDEVANCES BTM</v>
          </cell>
          <cell r="C836" t="str">
            <v>S04</v>
          </cell>
          <cell r="D836">
            <v>0</v>
          </cell>
          <cell r="E836" t="str">
            <v>Créances fiscales</v>
          </cell>
        </row>
        <row r="837">
          <cell r="A837">
            <v>442110</v>
          </cell>
          <cell r="B837" t="str">
            <v>PATENTES DUES</v>
          </cell>
          <cell r="C837" t="str">
            <v>S04</v>
          </cell>
          <cell r="D837">
            <v>0</v>
          </cell>
          <cell r="E837" t="str">
            <v>Créances fiscales</v>
          </cell>
        </row>
        <row r="838">
          <cell r="A838">
            <v>442130</v>
          </cell>
          <cell r="B838" t="str">
            <v>REDEVANCE CRTV A PAYER</v>
          </cell>
          <cell r="C838" t="str">
            <v>S04</v>
          </cell>
          <cell r="D838">
            <v>0</v>
          </cell>
          <cell r="E838" t="str">
            <v>Créances fiscales</v>
          </cell>
        </row>
        <row r="839">
          <cell r="A839">
            <v>442150</v>
          </cell>
          <cell r="B839" t="str">
            <v>TSR/PRESTATIONS ETRANGERES</v>
          </cell>
          <cell r="C839" t="str">
            <v>S04</v>
          </cell>
          <cell r="D839">
            <v>0</v>
          </cell>
          <cell r="E839" t="str">
            <v>Créances fiscales</v>
          </cell>
        </row>
        <row r="840">
          <cell r="A840">
            <v>442159</v>
          </cell>
          <cell r="B840" t="str">
            <v>TSR PAYEE</v>
          </cell>
          <cell r="C840" t="str">
            <v>S04</v>
          </cell>
          <cell r="D840">
            <v>0</v>
          </cell>
          <cell r="E840" t="str">
            <v>Créances fiscales</v>
          </cell>
        </row>
        <row r="841">
          <cell r="A841">
            <v>442160</v>
          </cell>
          <cell r="B841" t="str">
            <v>TAXE D'EXTRACTION D'EAU</v>
          </cell>
          <cell r="C841" t="str">
            <v>S04</v>
          </cell>
          <cell r="D841">
            <v>0</v>
          </cell>
          <cell r="E841" t="str">
            <v>Créances fiscales</v>
          </cell>
        </row>
        <row r="842">
          <cell r="A842">
            <v>442649</v>
          </cell>
          <cell r="B842" t="str">
            <v>CREDIT DOUANE AVC OBT./EXPORT.</v>
          </cell>
          <cell r="C842" t="str">
            <v>S04</v>
          </cell>
          <cell r="D842">
            <v>0</v>
          </cell>
          <cell r="E842" t="str">
            <v>Créances fiscales</v>
          </cell>
        </row>
        <row r="843">
          <cell r="A843">
            <v>442860</v>
          </cell>
          <cell r="B843" t="str">
            <v>AUTRES TAXES D'ENREGISTREMENT</v>
          </cell>
          <cell r="C843" t="str">
            <v>S04</v>
          </cell>
          <cell r="D843">
            <v>0</v>
          </cell>
          <cell r="E843" t="str">
            <v>Créances fiscales</v>
          </cell>
        </row>
        <row r="844">
          <cell r="A844">
            <v>443130</v>
          </cell>
          <cell r="B844" t="str">
            <v>TVA 23,7% COLL./VTES PRODUITS</v>
          </cell>
          <cell r="C844" t="str">
            <v>S04</v>
          </cell>
          <cell r="D844">
            <v>0</v>
          </cell>
          <cell r="E844" t="str">
            <v>Créances fiscales</v>
          </cell>
        </row>
        <row r="845">
          <cell r="A845">
            <v>443141</v>
          </cell>
          <cell r="B845" t="str">
            <v>TAX 20,25% C/VTE CONCESS.&amp; GROS.</v>
          </cell>
          <cell r="C845" t="str">
            <v>S04</v>
          </cell>
          <cell r="D845">
            <v>0</v>
          </cell>
          <cell r="E845" t="str">
            <v>Créances fiscales</v>
          </cell>
        </row>
        <row r="846">
          <cell r="A846">
            <v>443142</v>
          </cell>
          <cell r="B846" t="str">
            <v>TAX 19,25% C/VTES CADRES</v>
          </cell>
          <cell r="C846" t="str">
            <v>S04</v>
          </cell>
          <cell r="D846">
            <v>0</v>
          </cell>
          <cell r="E846" t="str">
            <v>Créances fiscales</v>
          </cell>
        </row>
        <row r="847">
          <cell r="A847">
            <v>443150</v>
          </cell>
          <cell r="B847" t="str">
            <v>PSA 1% SUR VENTES</v>
          </cell>
          <cell r="C847" t="str">
            <v>S04</v>
          </cell>
          <cell r="D847">
            <v>0</v>
          </cell>
          <cell r="E847" t="str">
            <v>Créances fiscales</v>
          </cell>
        </row>
        <row r="848">
          <cell r="A848">
            <v>443151</v>
          </cell>
          <cell r="B848" t="str">
            <v>PSA 5%</v>
          </cell>
          <cell r="C848" t="str">
            <v>S04</v>
          </cell>
          <cell r="D848">
            <v>0</v>
          </cell>
          <cell r="E848" t="str">
            <v>Créances fiscales</v>
          </cell>
        </row>
        <row r="849">
          <cell r="A849">
            <v>443154</v>
          </cell>
          <cell r="B849" t="str">
            <v>TVA COLLECTEES 19,25</v>
          </cell>
          <cell r="C849" t="str">
            <v>S04</v>
          </cell>
          <cell r="D849">
            <v>0</v>
          </cell>
          <cell r="E849" t="str">
            <v>Créances fiscales</v>
          </cell>
        </row>
        <row r="850">
          <cell r="A850">
            <v>443155</v>
          </cell>
          <cell r="B850" t="str">
            <v>PSA 1,5</v>
          </cell>
          <cell r="C850" t="str">
            <v>S04</v>
          </cell>
          <cell r="D850">
            <v>0</v>
          </cell>
          <cell r="E850" t="str">
            <v>Créances fiscales</v>
          </cell>
        </row>
        <row r="851">
          <cell r="A851">
            <v>443156</v>
          </cell>
          <cell r="B851" t="str">
            <v>TVA COLLECTEE SUR REMISES</v>
          </cell>
          <cell r="C851" t="str">
            <v>S04</v>
          </cell>
          <cell r="D851">
            <v>0</v>
          </cell>
          <cell r="E851" t="str">
            <v>Créances fiscales</v>
          </cell>
        </row>
        <row r="852">
          <cell r="A852">
            <v>443157</v>
          </cell>
          <cell r="B852" t="str">
            <v>TVA COLLECTEE SUR RISTOURNES</v>
          </cell>
          <cell r="C852" t="str">
            <v>S04</v>
          </cell>
          <cell r="D852">
            <v>0</v>
          </cell>
          <cell r="E852" t="str">
            <v>Créances fiscales</v>
          </cell>
        </row>
        <row r="853">
          <cell r="A853">
            <v>443158</v>
          </cell>
          <cell r="B853" t="str">
            <v>TVA 19,25%  /RIST</v>
          </cell>
          <cell r="C853" t="str">
            <v>S04</v>
          </cell>
          <cell r="E853" t="str">
            <v>Créances fiscales</v>
          </cell>
        </row>
        <row r="854">
          <cell r="A854">
            <v>443159</v>
          </cell>
          <cell r="B854" t="str">
            <v>PSA 5%  /RIST</v>
          </cell>
          <cell r="C854" t="str">
            <v>S04</v>
          </cell>
          <cell r="E854" t="str">
            <v>Créances fiscales</v>
          </cell>
        </row>
        <row r="855">
          <cell r="A855">
            <v>443160</v>
          </cell>
          <cell r="B855" t="str">
            <v>TAXES COLL/VENTES PRESTIGES</v>
          </cell>
          <cell r="C855" t="str">
            <v>S04</v>
          </cell>
          <cell r="D855">
            <v>0</v>
          </cell>
          <cell r="E855" t="str">
            <v>Créances fiscales</v>
          </cell>
        </row>
        <row r="856">
          <cell r="A856">
            <v>443161</v>
          </cell>
          <cell r="B856" t="str">
            <v>TAXES COLL/VENTES GROS/CONCESS</v>
          </cell>
          <cell r="C856" t="str">
            <v>S04</v>
          </cell>
          <cell r="D856">
            <v>0</v>
          </cell>
          <cell r="E856" t="str">
            <v>Créances fiscales</v>
          </cell>
        </row>
        <row r="857">
          <cell r="A857">
            <v>443162</v>
          </cell>
          <cell r="B857" t="str">
            <v>TVA COLLECTEES SUR VENTE DETAILLANT</v>
          </cell>
          <cell r="C857" t="str">
            <v>S04</v>
          </cell>
          <cell r="D857">
            <v>0</v>
          </cell>
          <cell r="E857" t="str">
            <v>Créances fiscales</v>
          </cell>
        </row>
        <row r="858">
          <cell r="A858">
            <v>443165</v>
          </cell>
          <cell r="B858" t="str">
            <v>RETROCESSION 4% PSA DETAILLANT</v>
          </cell>
          <cell r="C858" t="str">
            <v>S04</v>
          </cell>
          <cell r="D858">
            <v>0</v>
          </cell>
          <cell r="E858" t="str">
            <v>Créances fiscales</v>
          </cell>
        </row>
        <row r="859">
          <cell r="A859">
            <v>443168</v>
          </cell>
          <cell r="B859" t="str">
            <v>RETROCESSION EPARGNE 4% : DETAILLANTS</v>
          </cell>
          <cell r="C859" t="str">
            <v>S04</v>
          </cell>
          <cell r="D859">
            <v>0</v>
          </cell>
          <cell r="E859" t="str">
            <v>Créances fiscales</v>
          </cell>
        </row>
        <row r="860">
          <cell r="A860">
            <v>443169</v>
          </cell>
          <cell r="B860" t="str">
            <v>PSA COMPL RETROCESS° EX 2010 DETAILLANTS</v>
          </cell>
          <cell r="C860" t="str">
            <v>S04</v>
          </cell>
          <cell r="E860" t="str">
            <v>Créances fiscales</v>
          </cell>
        </row>
        <row r="861">
          <cell r="A861">
            <v>443170</v>
          </cell>
          <cell r="B861" t="str">
            <v>TVA 19,25% COLL/VTES DIVERSES</v>
          </cell>
          <cell r="C861" t="str">
            <v>S04</v>
          </cell>
          <cell r="D861">
            <v>0</v>
          </cell>
          <cell r="E861" t="str">
            <v>Créances fiscales</v>
          </cell>
        </row>
        <row r="862">
          <cell r="A862">
            <v>443177</v>
          </cell>
          <cell r="B862" t="str">
            <v>DA COLLECTE SUR REM BIERE+AM CONS GRO</v>
          </cell>
          <cell r="C862" t="str">
            <v>S04</v>
          </cell>
          <cell r="D862">
            <v>0</v>
          </cell>
          <cell r="E862" t="str">
            <v>Créances fiscales</v>
          </cell>
        </row>
        <row r="863">
          <cell r="A863">
            <v>443178</v>
          </cell>
          <cell r="B863" t="str">
            <v>DA COLLECTE SUR REM BRSA + SIROP</v>
          </cell>
          <cell r="C863" t="str">
            <v>S04</v>
          </cell>
          <cell r="D863">
            <v>0</v>
          </cell>
          <cell r="E863" t="str">
            <v>Créances fiscales</v>
          </cell>
        </row>
        <row r="864">
          <cell r="A864">
            <v>443179</v>
          </cell>
          <cell r="B864" t="str">
            <v>RETROCESSION 4% PSA GROSSISTES</v>
          </cell>
          <cell r="C864" t="str">
            <v>S04</v>
          </cell>
          <cell r="D864">
            <v>0</v>
          </cell>
          <cell r="E864" t="str">
            <v>Créances fiscales</v>
          </cell>
        </row>
        <row r="865">
          <cell r="A865">
            <v>443198</v>
          </cell>
          <cell r="B865" t="str">
            <v>TVA 19,25% /REM</v>
          </cell>
          <cell r="C865" t="str">
            <v>S04</v>
          </cell>
          <cell r="D865">
            <v>0</v>
          </cell>
          <cell r="E865" t="str">
            <v>Créances fiscales</v>
          </cell>
        </row>
        <row r="866">
          <cell r="A866">
            <v>443199</v>
          </cell>
          <cell r="B866" t="str">
            <v>PSA 5% /REM</v>
          </cell>
          <cell r="C866" t="str">
            <v>S04</v>
          </cell>
          <cell r="D866">
            <v>0</v>
          </cell>
          <cell r="E866" t="str">
            <v>Créances fiscales</v>
          </cell>
        </row>
        <row r="867">
          <cell r="A867">
            <v>443230</v>
          </cell>
          <cell r="B867" t="str">
            <v>TVA 18,7% COLL./VENTES DIVERSES</v>
          </cell>
          <cell r="C867" t="str">
            <v>S04</v>
          </cell>
          <cell r="D867">
            <v>0</v>
          </cell>
          <cell r="E867" t="str">
            <v>Créances fiscales</v>
          </cell>
        </row>
        <row r="868">
          <cell r="A868">
            <v>443250</v>
          </cell>
          <cell r="B868" t="str">
            <v>TVA COLLECTEE SUR PRESTATION LOCALES</v>
          </cell>
          <cell r="C868" t="str">
            <v>S04</v>
          </cell>
          <cell r="D868">
            <v>0</v>
          </cell>
          <cell r="E868" t="str">
            <v>Créances fiscales</v>
          </cell>
        </row>
        <row r="869">
          <cell r="A869">
            <v>443251</v>
          </cell>
          <cell r="B869" t="str">
            <v>TVA COLLECTEE SUR PRESTATION ETRANGERE</v>
          </cell>
          <cell r="C869" t="str">
            <v>S04</v>
          </cell>
          <cell r="D869">
            <v>0</v>
          </cell>
          <cell r="E869" t="str">
            <v>Créances fiscales</v>
          </cell>
        </row>
        <row r="870">
          <cell r="A870">
            <v>443252</v>
          </cell>
          <cell r="B870" t="str">
            <v>TVA COLL/REDEVANCES DE MARQUES</v>
          </cell>
          <cell r="C870" t="str">
            <v>S04</v>
          </cell>
          <cell r="D870">
            <v>0</v>
          </cell>
          <cell r="E870" t="str">
            <v>Créances fiscales</v>
          </cell>
        </row>
        <row r="871">
          <cell r="A871">
            <v>443440</v>
          </cell>
          <cell r="B871" t="str">
            <v>TVA 19.7% COL./VTES PRODUITS</v>
          </cell>
          <cell r="C871" t="str">
            <v>S04</v>
          </cell>
          <cell r="D871">
            <v>0</v>
          </cell>
          <cell r="E871" t="str">
            <v>Créances fiscales</v>
          </cell>
        </row>
        <row r="872">
          <cell r="A872">
            <v>443450</v>
          </cell>
          <cell r="B872" t="str">
            <v>TVA COLL.S/PRODUCT.à SOI MEME</v>
          </cell>
          <cell r="C872" t="str">
            <v>S04</v>
          </cell>
          <cell r="D872">
            <v>0</v>
          </cell>
          <cell r="E872" t="str">
            <v>Créances fiscales</v>
          </cell>
        </row>
        <row r="873">
          <cell r="A873">
            <v>444120</v>
          </cell>
          <cell r="B873" t="str">
            <v>ETAT, T.V.A. DUE</v>
          </cell>
          <cell r="C873" t="str">
            <v>S04</v>
          </cell>
          <cell r="D873">
            <v>0</v>
          </cell>
          <cell r="E873" t="str">
            <v>Créances fiscales</v>
          </cell>
        </row>
        <row r="874">
          <cell r="A874">
            <v>444121</v>
          </cell>
          <cell r="B874" t="str">
            <v>T.V.A. A PAYER (D)</v>
          </cell>
          <cell r="C874" t="str">
            <v>S04</v>
          </cell>
          <cell r="D874">
            <v>0</v>
          </cell>
          <cell r="E874" t="str">
            <v>Créances fiscales</v>
          </cell>
        </row>
        <row r="875">
          <cell r="A875">
            <v>444122</v>
          </cell>
          <cell r="B875" t="str">
            <v>T.V.A. A PAYER (C)</v>
          </cell>
          <cell r="C875">
            <v>0</v>
          </cell>
          <cell r="D875" t="str">
            <v>X04</v>
          </cell>
          <cell r="E875" t="str">
            <v>Dettes fiscales</v>
          </cell>
        </row>
        <row r="876">
          <cell r="A876">
            <v>444127</v>
          </cell>
          <cell r="B876" t="str">
            <v>SOLDE DE TVA A PAYER EX.N-1</v>
          </cell>
          <cell r="C876">
            <v>0</v>
          </cell>
          <cell r="D876" t="str">
            <v>X04</v>
          </cell>
          <cell r="E876" t="str">
            <v>Dettes fiscales</v>
          </cell>
        </row>
        <row r="877">
          <cell r="A877">
            <v>444990</v>
          </cell>
          <cell r="B877" t="str">
            <v>TVA JUIN N-1 A RECUPERER</v>
          </cell>
          <cell r="C877" t="str">
            <v>S04</v>
          </cell>
          <cell r="D877">
            <v>0</v>
          </cell>
          <cell r="E877" t="str">
            <v>Créances fiscales</v>
          </cell>
        </row>
        <row r="878">
          <cell r="A878">
            <v>444993</v>
          </cell>
          <cell r="B878" t="str">
            <v>TVA DIFF.S/REMISES RISTOURNES</v>
          </cell>
          <cell r="C878" t="str">
            <v>S04</v>
          </cell>
          <cell r="D878">
            <v>0</v>
          </cell>
          <cell r="E878" t="str">
            <v>Créances fiscales</v>
          </cell>
        </row>
        <row r="879">
          <cell r="A879">
            <v>444994</v>
          </cell>
          <cell r="B879" t="str">
            <v>CREDITS DE TVA-DOSSIERS DEPOSES</v>
          </cell>
          <cell r="C879" t="str">
            <v>S04</v>
          </cell>
          <cell r="D879">
            <v>0</v>
          </cell>
          <cell r="E879" t="str">
            <v>Créances fiscales</v>
          </cell>
        </row>
        <row r="880">
          <cell r="A880">
            <v>444995</v>
          </cell>
          <cell r="B880" t="str">
            <v>TVA RETENUE A LA SOURCE AUTO REG</v>
          </cell>
          <cell r="C880" t="str">
            <v>S04</v>
          </cell>
          <cell r="D880">
            <v>0</v>
          </cell>
          <cell r="E880" t="str">
            <v>Créances fiscales</v>
          </cell>
        </row>
        <row r="881">
          <cell r="A881">
            <v>444996</v>
          </cell>
          <cell r="B881" t="str">
            <v>IR RETENUE SOURCE MANU A REGUL</v>
          </cell>
          <cell r="C881" t="str">
            <v>S04</v>
          </cell>
          <cell r="D881">
            <v>0</v>
          </cell>
          <cell r="E881" t="str">
            <v>Créances fiscales</v>
          </cell>
        </row>
        <row r="882">
          <cell r="A882">
            <v>444998</v>
          </cell>
          <cell r="B882" t="str">
            <v>SOLDE DEBITEUR TVA EX N_-1</v>
          </cell>
          <cell r="C882" t="str">
            <v>S04</v>
          </cell>
          <cell r="D882">
            <v>0</v>
          </cell>
          <cell r="E882" t="str">
            <v>Créances fiscales</v>
          </cell>
        </row>
        <row r="883">
          <cell r="A883">
            <v>444999</v>
          </cell>
          <cell r="B883" t="str">
            <v>TCA - CREDIT D'IMPOT</v>
          </cell>
          <cell r="C883" t="str">
            <v>S04</v>
          </cell>
          <cell r="D883">
            <v>0</v>
          </cell>
          <cell r="E883" t="str">
            <v>Créances fiscales</v>
          </cell>
        </row>
        <row r="884">
          <cell r="A884">
            <v>445150</v>
          </cell>
          <cell r="B884" t="str">
            <v>TVA  DEDUCTIBLE BIEN LOCAL</v>
          </cell>
          <cell r="C884" t="str">
            <v>S04</v>
          </cell>
          <cell r="D884">
            <v>0</v>
          </cell>
          <cell r="E884" t="str">
            <v>Créances fiscales</v>
          </cell>
        </row>
        <row r="885">
          <cell r="A885">
            <v>445152</v>
          </cell>
          <cell r="B885" t="str">
            <v>TVA DEDUCTIBLE PRESTATIONS LOCALES</v>
          </cell>
          <cell r="C885" t="str">
            <v>S04</v>
          </cell>
          <cell r="D885">
            <v>0</v>
          </cell>
          <cell r="E885" t="str">
            <v>Créances fiscales</v>
          </cell>
        </row>
        <row r="886">
          <cell r="A886">
            <v>445210</v>
          </cell>
          <cell r="B886" t="str">
            <v>REGULARISATION DE TVA SUR IMPORT 06/07/0</v>
          </cell>
          <cell r="C886" t="str">
            <v>S04</v>
          </cell>
          <cell r="D886">
            <v>0</v>
          </cell>
          <cell r="E886" t="str">
            <v>Créances fiscales</v>
          </cell>
        </row>
        <row r="887">
          <cell r="A887">
            <v>445250</v>
          </cell>
          <cell r="B887" t="str">
            <v>TVA DEDUCTIBLE BIEN IMPORTE</v>
          </cell>
          <cell r="C887" t="str">
            <v>S04</v>
          </cell>
          <cell r="D887">
            <v>0</v>
          </cell>
          <cell r="E887" t="str">
            <v>Créances fiscales</v>
          </cell>
        </row>
        <row r="888">
          <cell r="A888">
            <v>445452</v>
          </cell>
          <cell r="B888" t="str">
            <v>TVA DEDUC/PREST.ETRANG.</v>
          </cell>
          <cell r="C888" t="str">
            <v>S04</v>
          </cell>
          <cell r="D888">
            <v>0</v>
          </cell>
          <cell r="E888" t="str">
            <v>Créances fiscales</v>
          </cell>
        </row>
        <row r="889">
          <cell r="A889">
            <v>445453</v>
          </cell>
          <cell r="B889" t="str">
            <v>TVA DEDUC/REDEV. DE MARQUES</v>
          </cell>
          <cell r="C889" t="str">
            <v>S04</v>
          </cell>
          <cell r="D889">
            <v>0</v>
          </cell>
          <cell r="E889" t="str">
            <v>Créances fiscales</v>
          </cell>
        </row>
        <row r="890">
          <cell r="A890">
            <v>445454</v>
          </cell>
          <cell r="B890" t="str">
            <v>TVA 19,25% A RECUP/PROD. A N/M</v>
          </cell>
          <cell r="C890" t="str">
            <v>S04</v>
          </cell>
          <cell r="D890">
            <v>0</v>
          </cell>
          <cell r="E890" t="str">
            <v>Créances fiscales</v>
          </cell>
        </row>
        <row r="891">
          <cell r="A891">
            <v>446600</v>
          </cell>
          <cell r="B891" t="str">
            <v>DROIT D'ACCISES PAYE</v>
          </cell>
          <cell r="C891" t="str">
            <v>S04</v>
          </cell>
          <cell r="D891">
            <v>0</v>
          </cell>
          <cell r="E891" t="str">
            <v>Créances fiscales</v>
          </cell>
        </row>
        <row r="892">
          <cell r="A892">
            <v>446670</v>
          </cell>
          <cell r="B892" t="str">
            <v>DROIT D'ACCISES A PAYER SOLDE EXERCICE</v>
          </cell>
          <cell r="C892" t="str">
            <v>S04</v>
          </cell>
          <cell r="E892" t="str">
            <v>Créances fiscales</v>
          </cell>
        </row>
        <row r="893">
          <cell r="A893">
            <v>446601</v>
          </cell>
          <cell r="B893" t="str">
            <v>DROIT D'ACCISES A PAYER (D)</v>
          </cell>
          <cell r="C893" t="str">
            <v>S04</v>
          </cell>
          <cell r="D893">
            <v>0</v>
          </cell>
          <cell r="E893" t="str">
            <v>Créances fiscales</v>
          </cell>
        </row>
        <row r="894">
          <cell r="A894">
            <v>446602</v>
          </cell>
          <cell r="B894" t="str">
            <v>DROIT D'ACCISES A PAYER (C)</v>
          </cell>
          <cell r="C894">
            <v>0</v>
          </cell>
          <cell r="D894" t="str">
            <v>X04</v>
          </cell>
          <cell r="E894" t="str">
            <v>Dettes fiscales</v>
          </cell>
        </row>
        <row r="895">
          <cell r="A895">
            <v>446700</v>
          </cell>
          <cell r="B895" t="str">
            <v>PRELEV.S/ACHATS 1% PAYE</v>
          </cell>
          <cell r="C895" t="str">
            <v>S04</v>
          </cell>
          <cell r="D895">
            <v>0</v>
          </cell>
          <cell r="E895" t="str">
            <v>Créances fiscales</v>
          </cell>
        </row>
        <row r="896">
          <cell r="A896">
            <v>446701</v>
          </cell>
          <cell r="B896" t="str">
            <v>PRELEV.S/ACHATS COLLECTE</v>
          </cell>
          <cell r="C896" t="str">
            <v>S04</v>
          </cell>
          <cell r="D896">
            <v>0</v>
          </cell>
          <cell r="E896" t="str">
            <v>Créances fiscales</v>
          </cell>
        </row>
        <row r="897">
          <cell r="A897">
            <v>446702</v>
          </cell>
          <cell r="B897" t="str">
            <v>PRELEV.S/ACHATS A PAYER (C)</v>
          </cell>
          <cell r="C897">
            <v>0</v>
          </cell>
          <cell r="D897" t="str">
            <v>X04</v>
          </cell>
          <cell r="E897" t="str">
            <v>Dettes fiscales</v>
          </cell>
        </row>
        <row r="898">
          <cell r="A898">
            <v>446703</v>
          </cell>
          <cell r="B898" t="str">
            <v>PRELEV.S/ACHATS A PAYER (C)</v>
          </cell>
          <cell r="C898">
            <v>0</v>
          </cell>
          <cell r="D898" t="str">
            <v>X04</v>
          </cell>
          <cell r="E898" t="str">
            <v>Dettes fiscales</v>
          </cell>
        </row>
        <row r="899">
          <cell r="A899">
            <v>446710</v>
          </cell>
          <cell r="B899" t="str">
            <v>PSA COLLECTE SUR CLIENTS PRESTIGES</v>
          </cell>
          <cell r="C899" t="str">
            <v>S04</v>
          </cell>
          <cell r="D899">
            <v>0</v>
          </cell>
          <cell r="E899" t="str">
            <v>Créances fiscales</v>
          </cell>
        </row>
        <row r="900">
          <cell r="A900">
            <v>446770</v>
          </cell>
          <cell r="B900" t="str">
            <v>PRELEV.1% A PAYER N-1</v>
          </cell>
          <cell r="C900" t="str">
            <v>S04</v>
          </cell>
          <cell r="D900">
            <v>0</v>
          </cell>
          <cell r="E900" t="str">
            <v>Créances fiscales</v>
          </cell>
        </row>
        <row r="901">
          <cell r="A901">
            <v>447000</v>
          </cell>
          <cell r="B901" t="str">
            <v>AVOIR TVA 19,25% RET.SOUR.S/ACH.</v>
          </cell>
          <cell r="C901" t="str">
            <v>S04</v>
          </cell>
          <cell r="D901">
            <v>0</v>
          </cell>
          <cell r="E901" t="str">
            <v>Créances fiscales</v>
          </cell>
        </row>
        <row r="902">
          <cell r="A902">
            <v>447001</v>
          </cell>
          <cell r="B902" t="str">
            <v>TVA RET.SOUR.S/ACH. A PAYER (D)</v>
          </cell>
          <cell r="C902" t="str">
            <v>S04</v>
          </cell>
          <cell r="D902">
            <v>0</v>
          </cell>
          <cell r="E902" t="str">
            <v>Créances fiscales</v>
          </cell>
        </row>
        <row r="903">
          <cell r="A903">
            <v>447002</v>
          </cell>
          <cell r="B903" t="str">
            <v>TVA RET.SOUR.S/ACH. A PAYER (C)</v>
          </cell>
          <cell r="C903">
            <v>0</v>
          </cell>
          <cell r="D903" t="str">
            <v>X04</v>
          </cell>
          <cell r="E903" t="str">
            <v>Dettes fiscales</v>
          </cell>
        </row>
        <row r="904">
          <cell r="A904">
            <v>447009</v>
          </cell>
          <cell r="B904" t="str">
            <v>TVA 19,25% RET.SOURCE.S/ACHATS</v>
          </cell>
          <cell r="C904" t="str">
            <v>S04</v>
          </cell>
          <cell r="D904">
            <v>0</v>
          </cell>
          <cell r="E904" t="str">
            <v>Créances fiscales</v>
          </cell>
        </row>
        <row r="905">
          <cell r="A905">
            <v>447010</v>
          </cell>
          <cell r="B905" t="str">
            <v>TVA 19,25 % RET. SOURCE REMISE/RISTOURNE</v>
          </cell>
          <cell r="C905" t="str">
            <v>S04</v>
          </cell>
          <cell r="E905" t="str">
            <v>Créances fiscales</v>
          </cell>
        </row>
        <row r="906">
          <cell r="A906">
            <v>447100</v>
          </cell>
          <cell r="B906" t="str">
            <v>RETENUE IR (1,65%)</v>
          </cell>
          <cell r="C906" t="str">
            <v>S04</v>
          </cell>
          <cell r="D906">
            <v>0</v>
          </cell>
          <cell r="E906" t="str">
            <v>Créances fiscales</v>
          </cell>
        </row>
        <row r="907">
          <cell r="A907">
            <v>447102</v>
          </cell>
          <cell r="B907" t="str">
            <v>RETENUE TVA 19,25%+IR1,1%(20,35%)</v>
          </cell>
          <cell r="C907" t="str">
            <v>S04</v>
          </cell>
          <cell r="D907">
            <v>0</v>
          </cell>
          <cell r="E907" t="str">
            <v>Créances fiscales</v>
          </cell>
        </row>
        <row r="908">
          <cell r="A908">
            <v>447103</v>
          </cell>
          <cell r="B908" t="str">
            <v>RETENUE TVA 19,25%+IR 1,1%(20,90%)</v>
          </cell>
          <cell r="C908" t="str">
            <v>S04</v>
          </cell>
          <cell r="D908">
            <v>0</v>
          </cell>
          <cell r="E908" t="str">
            <v>Créances fiscales</v>
          </cell>
        </row>
        <row r="909">
          <cell r="A909">
            <v>447104</v>
          </cell>
          <cell r="B909" t="str">
            <v>RETENUE TVA 19,25%+IR 5,5%(24,75%)</v>
          </cell>
          <cell r="C909">
            <v>0</v>
          </cell>
          <cell r="D909" t="str">
            <v>X04</v>
          </cell>
          <cell r="E909" t="str">
            <v>Dettes fiscales</v>
          </cell>
        </row>
        <row r="910">
          <cell r="A910">
            <v>447105</v>
          </cell>
          <cell r="B910" t="str">
            <v>PRELEVEMENT S/LOYERS 10% PAYES</v>
          </cell>
          <cell r="C910" t="str">
            <v>S04</v>
          </cell>
          <cell r="D910">
            <v>0</v>
          </cell>
          <cell r="E910" t="str">
            <v>Créances fiscales</v>
          </cell>
        </row>
        <row r="911">
          <cell r="A911">
            <v>447109</v>
          </cell>
          <cell r="B911" t="str">
            <v>IR 1,1% RET.SOURCE/ACHATS</v>
          </cell>
          <cell r="C911" t="str">
            <v>S04</v>
          </cell>
          <cell r="D911">
            <v>0</v>
          </cell>
          <cell r="E911" t="str">
            <v>Créances fiscales</v>
          </cell>
        </row>
        <row r="912">
          <cell r="A912">
            <v>447101</v>
          </cell>
          <cell r="B912" t="str">
            <v>RETENUE IR (5,5%)</v>
          </cell>
          <cell r="C912" t="str">
            <v>S04</v>
          </cell>
          <cell r="E912" t="str">
            <v>Créances fiscales</v>
          </cell>
        </row>
        <row r="913">
          <cell r="A913">
            <v>447106</v>
          </cell>
          <cell r="B913" t="str">
            <v>PRELEVEMENT SUR LOYERS (10%)</v>
          </cell>
          <cell r="C913" t="str">
            <v>S04</v>
          </cell>
          <cell r="E913" t="str">
            <v>Créances fiscales</v>
          </cell>
        </row>
        <row r="914">
          <cell r="A914">
            <v>447110</v>
          </cell>
          <cell r="B914" t="str">
            <v>RETENUE TVA NON DEDUCTIBLE+IR 1,1%</v>
          </cell>
          <cell r="C914" t="str">
            <v>S04</v>
          </cell>
          <cell r="E914" t="str">
            <v>Créances fiscales</v>
          </cell>
        </row>
        <row r="915">
          <cell r="A915">
            <v>447111</v>
          </cell>
          <cell r="B915" t="str">
            <v>RETENUE TVA NON DEDUCTIBLE+IR 1,65%</v>
          </cell>
          <cell r="C915" t="str">
            <v>S04</v>
          </cell>
          <cell r="E915" t="str">
            <v>Créances fiscales</v>
          </cell>
        </row>
        <row r="916">
          <cell r="A916">
            <v>447112</v>
          </cell>
          <cell r="B916" t="str">
            <v>RETENUE TVA NON DEDUCTIBLE+IR 5,5%</v>
          </cell>
          <cell r="C916" t="str">
            <v>S04</v>
          </cell>
          <cell r="E916" t="str">
            <v>Créances fiscales</v>
          </cell>
        </row>
        <row r="917">
          <cell r="A917">
            <v>447113</v>
          </cell>
          <cell r="B917" t="str">
            <v>RETENUE TVA 19,25%+IR1,1%+ TSP3%(23,35%)</v>
          </cell>
          <cell r="C917" t="str">
            <v>S04</v>
          </cell>
          <cell r="E917" t="str">
            <v>Créances fiscales</v>
          </cell>
        </row>
        <row r="918">
          <cell r="A918">
            <v>447114</v>
          </cell>
          <cell r="B918" t="str">
            <v>RETENUE TVA 19,25%+IR1,1%+TSP10%(23,35%)</v>
          </cell>
          <cell r="C918" t="str">
            <v>S04</v>
          </cell>
          <cell r="E918" t="str">
            <v>Créances fiscales</v>
          </cell>
        </row>
        <row r="919">
          <cell r="A919">
            <v>447115</v>
          </cell>
          <cell r="B919" t="str">
            <v>RETENUE TVA 19,25%+IR5,5%+ TSP3%(27,75%)</v>
          </cell>
          <cell r="C919" t="str">
            <v>S04</v>
          </cell>
          <cell r="E919" t="str">
            <v>Créances fiscales</v>
          </cell>
        </row>
        <row r="920">
          <cell r="A920">
            <v>447116</v>
          </cell>
          <cell r="B920" t="str">
            <v>RETENUE TVA 19,25%+IR5,5%+TSP10%(34,75%)</v>
          </cell>
          <cell r="C920" t="str">
            <v>S04</v>
          </cell>
          <cell r="E920" t="str">
            <v>Créances fiscales</v>
          </cell>
        </row>
        <row r="921">
          <cell r="A921">
            <v>447117</v>
          </cell>
          <cell r="B921" t="str">
            <v>RETENUE IR (3,3%)</v>
          </cell>
          <cell r="D921" t="str">
            <v>X04</v>
          </cell>
          <cell r="E921" t="str">
            <v>Dettes fiscales</v>
          </cell>
        </row>
        <row r="922">
          <cell r="A922">
            <v>447118</v>
          </cell>
          <cell r="B922" t="str">
            <v>RETENUE IR 1,1%</v>
          </cell>
          <cell r="C922">
            <v>0</v>
          </cell>
          <cell r="D922" t="str">
            <v>X04</v>
          </cell>
          <cell r="E922" t="str">
            <v>Dettes fiscales</v>
          </cell>
        </row>
        <row r="923">
          <cell r="A923">
            <v>447119</v>
          </cell>
          <cell r="B923" t="str">
            <v>RETENUE CICAM 6,88%</v>
          </cell>
          <cell r="D923" t="str">
            <v>X04</v>
          </cell>
          <cell r="E923" t="str">
            <v>Dettes fiscales</v>
          </cell>
        </row>
        <row r="924">
          <cell r="A924">
            <v>447120</v>
          </cell>
          <cell r="B924" t="str">
            <v>ETAT,TVA RET A LA SOURCE PAYEE(TVA RET P</v>
          </cell>
          <cell r="D924" t="str">
            <v>X04</v>
          </cell>
          <cell r="E924" t="str">
            <v>Dettes fiscales</v>
          </cell>
        </row>
        <row r="925">
          <cell r="A925">
            <v>447121</v>
          </cell>
          <cell r="B925" t="str">
            <v>ETAT, TVA RET. SOURCE /REM &amp; RIST. PAYEE</v>
          </cell>
          <cell r="D925" t="str">
            <v>X04</v>
          </cell>
          <cell r="E925" t="str">
            <v>Dettes fiscales</v>
          </cell>
        </row>
        <row r="926">
          <cell r="A926">
            <v>447122</v>
          </cell>
          <cell r="B926" t="str">
            <v>DROIT TIMBRE SUR PUB RETENU A LA SOURCE</v>
          </cell>
          <cell r="D926" t="str">
            <v>X04</v>
          </cell>
          <cell r="E926" t="str">
            <v>Dettes fiscales</v>
          </cell>
        </row>
        <row r="927">
          <cell r="A927">
            <v>447125</v>
          </cell>
          <cell r="B927" t="str">
            <v>ETAT,IR RET A LA SOURCE PAYEE(IR RET PAY</v>
          </cell>
          <cell r="D927" t="str">
            <v>X04</v>
          </cell>
          <cell r="E927" t="str">
            <v>Dettes fiscales</v>
          </cell>
        </row>
        <row r="928">
          <cell r="A928">
            <v>447126</v>
          </cell>
          <cell r="B928" t="str">
            <v>RETENUE IR 5,5% + TSP 3% (8,5%)</v>
          </cell>
          <cell r="D928" t="str">
            <v>X04</v>
          </cell>
          <cell r="E928" t="str">
            <v>Dettes fiscales</v>
          </cell>
        </row>
        <row r="929">
          <cell r="A929">
            <v>447127</v>
          </cell>
          <cell r="B929" t="str">
            <v>RETENUE IR 5,5% + TSP 10% (15,5%)</v>
          </cell>
          <cell r="D929" t="str">
            <v>X04</v>
          </cell>
          <cell r="E929" t="str">
            <v>Dettes fiscales</v>
          </cell>
        </row>
        <row r="930">
          <cell r="A930">
            <v>447220</v>
          </cell>
          <cell r="B930" t="str">
            <v>IMPOTS DUS RETENUS/SALAIRES EOM</v>
          </cell>
          <cell r="C930">
            <v>0</v>
          </cell>
          <cell r="D930" t="str">
            <v>X04</v>
          </cell>
          <cell r="E930" t="str">
            <v>Dettes fiscales</v>
          </cell>
        </row>
        <row r="931">
          <cell r="A931">
            <v>447240</v>
          </cell>
          <cell r="B931" t="str">
            <v>IMPOTS DUS RETENUS/SAL.CADRES</v>
          </cell>
          <cell r="C931">
            <v>0</v>
          </cell>
          <cell r="D931" t="str">
            <v>X04</v>
          </cell>
          <cell r="E931" t="str">
            <v>Dettes fiscales</v>
          </cell>
        </row>
        <row r="932">
          <cell r="A932">
            <v>447260</v>
          </cell>
          <cell r="B932" t="str">
            <v>TAXE COM.&amp; CAC S/IMP.S/SAL.EOM</v>
          </cell>
          <cell r="C932">
            <v>0</v>
          </cell>
          <cell r="D932" t="str">
            <v>X04</v>
          </cell>
          <cell r="E932" t="str">
            <v>Dettes fiscales</v>
          </cell>
        </row>
        <row r="933">
          <cell r="A933">
            <v>447262</v>
          </cell>
          <cell r="B933" t="str">
            <v>TAXE COM.&amp; CAC S/IMP.S/SAL.CADRES</v>
          </cell>
          <cell r="C933">
            <v>0</v>
          </cell>
          <cell r="D933" t="str">
            <v>X04</v>
          </cell>
          <cell r="E933" t="str">
            <v>Dettes fiscales</v>
          </cell>
        </row>
        <row r="934">
          <cell r="A934">
            <v>447812</v>
          </cell>
          <cell r="B934" t="str">
            <v>COTIS.DUES CREDIT FONCIER EOM</v>
          </cell>
          <cell r="C934">
            <v>0</v>
          </cell>
          <cell r="D934" t="str">
            <v>X04</v>
          </cell>
          <cell r="E934" t="str">
            <v>Dettes fiscales</v>
          </cell>
        </row>
        <row r="935">
          <cell r="A935">
            <v>447814</v>
          </cell>
          <cell r="B935" t="str">
            <v>COTIS.DUES CREDIT FONCIER CADRES</v>
          </cell>
          <cell r="C935">
            <v>0</v>
          </cell>
          <cell r="D935" t="str">
            <v>X04</v>
          </cell>
          <cell r="E935" t="str">
            <v>Dettes fiscales</v>
          </cell>
        </row>
        <row r="936">
          <cell r="A936">
            <v>447822</v>
          </cell>
          <cell r="B936" t="str">
            <v>REDEVANCE CRTV DUE RET/SAL.EOM</v>
          </cell>
          <cell r="C936">
            <v>0</v>
          </cell>
          <cell r="D936" t="str">
            <v>X04</v>
          </cell>
          <cell r="E936" t="str">
            <v>Dettes fiscales</v>
          </cell>
        </row>
        <row r="937">
          <cell r="A937">
            <v>447824</v>
          </cell>
          <cell r="B937" t="str">
            <v>REDEVANCE CRTV DUE RET/SAL.CAD.</v>
          </cell>
          <cell r="C937">
            <v>0</v>
          </cell>
          <cell r="D937" t="str">
            <v>X04</v>
          </cell>
          <cell r="E937" t="str">
            <v>Dettes fiscales</v>
          </cell>
        </row>
        <row r="938">
          <cell r="A938">
            <v>448604</v>
          </cell>
          <cell r="B938" t="str">
            <v>TAXES A PAYER S/ CONTRÔLE FIS. TVA</v>
          </cell>
          <cell r="C938">
            <v>0</v>
          </cell>
          <cell r="D938" t="str">
            <v>X04</v>
          </cell>
          <cell r="E938" t="str">
            <v>Dettes fiscales</v>
          </cell>
        </row>
        <row r="939">
          <cell r="A939">
            <v>448720</v>
          </cell>
          <cell r="B939" t="str">
            <v>AUTRES TAXE ENREGISTREMENT à REG</v>
          </cell>
          <cell r="C939">
            <v>0</v>
          </cell>
          <cell r="D939" t="str">
            <v>X04</v>
          </cell>
          <cell r="E939" t="str">
            <v>Dettes fiscales</v>
          </cell>
        </row>
        <row r="940">
          <cell r="A940">
            <v>448740</v>
          </cell>
          <cell r="B940" t="str">
            <v>DROIT D'ACCISE N-1 A REGULARISER</v>
          </cell>
          <cell r="C940">
            <v>0</v>
          </cell>
          <cell r="D940" t="str">
            <v>X04</v>
          </cell>
          <cell r="E940" t="str">
            <v>Dettes fiscales</v>
          </cell>
        </row>
        <row r="941">
          <cell r="A941">
            <v>448745</v>
          </cell>
          <cell r="B941" t="str">
            <v>PRELEV 1% EX. N-1 A REGULARISER</v>
          </cell>
          <cell r="C941">
            <v>0</v>
          </cell>
          <cell r="D941" t="str">
            <v>X04</v>
          </cell>
          <cell r="E941" t="str">
            <v>Dettes fiscales</v>
          </cell>
        </row>
        <row r="942">
          <cell r="A942">
            <v>461500</v>
          </cell>
          <cell r="B942" t="str">
            <v>AUGMENT.CAPITAL ROMPUS ACHETES</v>
          </cell>
          <cell r="C942">
            <v>0</v>
          </cell>
          <cell r="D942" t="str">
            <v>X076</v>
          </cell>
          <cell r="E942" t="str">
            <v>Jetons de présence</v>
          </cell>
        </row>
        <row r="943">
          <cell r="A943">
            <v>462100</v>
          </cell>
          <cell r="B943" t="str">
            <v>DIVIDENDES A RECEVOIR</v>
          </cell>
          <cell r="D943" t="str">
            <v>X075</v>
          </cell>
          <cell r="E943" t="str">
            <v>Dividendes à payer</v>
          </cell>
        </row>
        <row r="944">
          <cell r="A944">
            <v>465100</v>
          </cell>
          <cell r="B944" t="str">
            <v>DIVIDENDES A PAYER ACTION</v>
          </cell>
          <cell r="C944">
            <v>0</v>
          </cell>
          <cell r="D944" t="str">
            <v>X075</v>
          </cell>
          <cell r="E944" t="str">
            <v>Dividendes à payer</v>
          </cell>
        </row>
        <row r="945">
          <cell r="A945">
            <v>465102</v>
          </cell>
          <cell r="B945" t="str">
            <v>DIVIDENDES ACTIONS</v>
          </cell>
          <cell r="C945">
            <v>0</v>
          </cell>
          <cell r="D945" t="str">
            <v>X075</v>
          </cell>
          <cell r="E945" t="str">
            <v>Dividendes à payer</v>
          </cell>
        </row>
        <row r="946">
          <cell r="A946">
            <v>465301</v>
          </cell>
          <cell r="B946" t="str">
            <v>INDEMNITE DE FONCTION</v>
          </cell>
          <cell r="C946">
            <v>0</v>
          </cell>
          <cell r="D946" t="str">
            <v>X076</v>
          </cell>
          <cell r="E946" t="str">
            <v>Jetons de présence</v>
          </cell>
        </row>
        <row r="947">
          <cell r="A947">
            <v>466000</v>
          </cell>
          <cell r="B947" t="str">
            <v>C/C FILIALES</v>
          </cell>
          <cell r="C947" t="str">
            <v>S06</v>
          </cell>
          <cell r="D947" t="str">
            <v>X06</v>
          </cell>
          <cell r="E947" t="str">
            <v>Créances CT Sociétés apparentées / Compte Courant CT Sociétés apparentées</v>
          </cell>
        </row>
        <row r="948">
          <cell r="A948">
            <v>466100</v>
          </cell>
          <cell r="B948" t="str">
            <v>C/C SIAC RISTOURNES A PAYER</v>
          </cell>
          <cell r="C948" t="str">
            <v>S06</v>
          </cell>
          <cell r="D948" t="str">
            <v>X06</v>
          </cell>
          <cell r="E948" t="str">
            <v>Créances CT Sociétés apparentées / Compte Courant CT Sociétés apparentées</v>
          </cell>
        </row>
        <row r="949">
          <cell r="A949">
            <v>471000</v>
          </cell>
          <cell r="B949" t="str">
            <v>LITIGE CONTROLE FACTURE</v>
          </cell>
          <cell r="C949" t="str">
            <v>S073</v>
          </cell>
          <cell r="D949">
            <v>0</v>
          </cell>
          <cell r="E949" t="str">
            <v>Tiers débiteurs</v>
          </cell>
        </row>
        <row r="950">
          <cell r="A950">
            <v>471100</v>
          </cell>
          <cell r="B950" t="str">
            <v>CPTES D'ATTENTE NOTES DE DEBIT ETABLIES</v>
          </cell>
          <cell r="C950" t="str">
            <v>S073</v>
          </cell>
          <cell r="D950">
            <v>0</v>
          </cell>
          <cell r="E950" t="str">
            <v>Tiers débiteurs</v>
          </cell>
        </row>
        <row r="951">
          <cell r="A951">
            <v>471101</v>
          </cell>
          <cell r="B951" t="str">
            <v>CPTES D'ATTENTE-FACT. DIVERSES ETABLIES</v>
          </cell>
          <cell r="C951" t="str">
            <v>S073</v>
          </cell>
          <cell r="D951">
            <v>0</v>
          </cell>
          <cell r="E951" t="str">
            <v>Tiers débiteurs</v>
          </cell>
        </row>
        <row r="952">
          <cell r="A952">
            <v>471103</v>
          </cell>
          <cell r="B952" t="str">
            <v>CPTES D'ATTENTE-DEBITEUR A REGUL.</v>
          </cell>
          <cell r="C952" t="str">
            <v>S073</v>
          </cell>
          <cell r="D952">
            <v>0</v>
          </cell>
          <cell r="E952" t="str">
            <v>Tiers débiteurs</v>
          </cell>
        </row>
        <row r="953">
          <cell r="A953">
            <v>471105</v>
          </cell>
          <cell r="B953" t="str">
            <v>CPTES DE LIAISON COURANT</v>
          </cell>
          <cell r="C953" t="str">
            <v>S073</v>
          </cell>
          <cell r="E953" t="str">
            <v>Tiers débiteurs</v>
          </cell>
        </row>
        <row r="954">
          <cell r="A954">
            <v>471109</v>
          </cell>
          <cell r="B954" t="str">
            <v>CPTES D'ATTENTE-AFFAIRES LITIGIEUSES</v>
          </cell>
          <cell r="C954" t="str">
            <v>S073</v>
          </cell>
          <cell r="D954">
            <v>0</v>
          </cell>
          <cell r="E954" t="str">
            <v>Tiers débiteurs</v>
          </cell>
        </row>
        <row r="955">
          <cell r="A955">
            <v>471119</v>
          </cell>
          <cell r="B955" t="str">
            <v>ABONNEMENT TELEX. TELEG. TEL</v>
          </cell>
          <cell r="C955">
            <v>0</v>
          </cell>
          <cell r="D955" t="str">
            <v>X077</v>
          </cell>
          <cell r="E955" t="str">
            <v>Tiers créditeurs</v>
          </cell>
        </row>
        <row r="956">
          <cell r="A956">
            <v>471120</v>
          </cell>
          <cell r="B956" t="str">
            <v>FACTURE ASSURANCE GLOBALE DOMMAGES</v>
          </cell>
          <cell r="C956">
            <v>0</v>
          </cell>
          <cell r="D956" t="str">
            <v>X077</v>
          </cell>
          <cell r="E956" t="str">
            <v>Tiers créditeurs</v>
          </cell>
        </row>
        <row r="957">
          <cell r="A957">
            <v>471122</v>
          </cell>
          <cell r="B957" t="str">
            <v>FACT.ASSURANCE</v>
          </cell>
          <cell r="C957">
            <v>0</v>
          </cell>
          <cell r="D957" t="str">
            <v>X077</v>
          </cell>
          <cell r="E957" t="str">
            <v>Tiers créditeurs</v>
          </cell>
        </row>
        <row r="958">
          <cell r="A958">
            <v>471125</v>
          </cell>
          <cell r="B958" t="str">
            <v>ABONNEMENT ASSUR. GLOBALE DOMMAGES</v>
          </cell>
          <cell r="C958">
            <v>0</v>
          </cell>
          <cell r="D958" t="str">
            <v>X077</v>
          </cell>
          <cell r="E958" t="str">
            <v>Tiers créditeurs</v>
          </cell>
        </row>
        <row r="959">
          <cell r="A959">
            <v>471126</v>
          </cell>
          <cell r="B959" t="str">
            <v>ABONNEMENT ASSUR. RC + VOL</v>
          </cell>
          <cell r="C959">
            <v>0</v>
          </cell>
          <cell r="D959" t="str">
            <v>X077</v>
          </cell>
          <cell r="E959" t="str">
            <v>Tiers créditeurs</v>
          </cell>
        </row>
        <row r="960">
          <cell r="A960">
            <v>471127</v>
          </cell>
          <cell r="B960" t="str">
            <v>ABONNENEMENT ASSUR AUTO PERS</v>
          </cell>
          <cell r="C960">
            <v>0</v>
          </cell>
          <cell r="D960" t="str">
            <v>X077</v>
          </cell>
          <cell r="E960" t="str">
            <v>Tiers créditeurs</v>
          </cell>
        </row>
        <row r="961">
          <cell r="A961">
            <v>471128</v>
          </cell>
          <cell r="B961" t="str">
            <v>ABONNEMENT ASSUR.STKS ET TRANSIT</v>
          </cell>
          <cell r="C961">
            <v>0</v>
          </cell>
          <cell r="D961" t="str">
            <v>X077</v>
          </cell>
          <cell r="E961" t="str">
            <v>Tiers créditeurs</v>
          </cell>
        </row>
        <row r="962">
          <cell r="A962">
            <v>471129</v>
          </cell>
          <cell r="B962" t="str">
            <v>ABONNEMENT HONOR. DE COURTIER</v>
          </cell>
          <cell r="C962">
            <v>0</v>
          </cell>
          <cell r="D962" t="str">
            <v>X077</v>
          </cell>
          <cell r="E962" t="str">
            <v>Tiers créditeurs</v>
          </cell>
        </row>
        <row r="963">
          <cell r="A963">
            <v>471131</v>
          </cell>
          <cell r="B963" t="str">
            <v>INTERET COMPTE COURANT BANQUE</v>
          </cell>
          <cell r="C963">
            <v>0</v>
          </cell>
          <cell r="D963" t="str">
            <v>X077</v>
          </cell>
          <cell r="E963" t="str">
            <v>Tiers créditeurs</v>
          </cell>
        </row>
        <row r="964">
          <cell r="A964">
            <v>471139</v>
          </cell>
          <cell r="B964" t="str">
            <v>ABONNEMENT INTERETS C/C BA</v>
          </cell>
          <cell r="C964">
            <v>0</v>
          </cell>
          <cell r="D964" t="str">
            <v>X077</v>
          </cell>
          <cell r="E964" t="str">
            <v>Tiers créditeurs</v>
          </cell>
        </row>
        <row r="965">
          <cell r="A965">
            <v>471193</v>
          </cell>
          <cell r="B965" t="str">
            <v>TRESORERIE A REGULARISER</v>
          </cell>
          <cell r="C965" t="str">
            <v>S071</v>
          </cell>
          <cell r="D965" t="str">
            <v>X077</v>
          </cell>
          <cell r="E965" t="str">
            <v xml:space="preserve"> / Tiers créditeurs</v>
          </cell>
        </row>
        <row r="966">
          <cell r="A966">
            <v>471194</v>
          </cell>
          <cell r="B966" t="str">
            <v>CAISSES DEPENSES A JUSTIFIER</v>
          </cell>
          <cell r="C966" t="str">
            <v>S071</v>
          </cell>
          <cell r="D966" t="str">
            <v>X077</v>
          </cell>
          <cell r="E966" t="str">
            <v xml:space="preserve"> / Tiers créditeurs</v>
          </cell>
        </row>
        <row r="967">
          <cell r="A967">
            <v>471195</v>
          </cell>
          <cell r="B967" t="str">
            <v>CAISSES TRANSFERT INTERNE DES FONDS</v>
          </cell>
          <cell r="C967" t="str">
            <v>S071</v>
          </cell>
          <cell r="D967" t="str">
            <v>X077</v>
          </cell>
          <cell r="E967" t="str">
            <v xml:space="preserve"> / Tiers créditeurs</v>
          </cell>
        </row>
        <row r="968">
          <cell r="A968">
            <v>471196</v>
          </cell>
          <cell r="B968" t="str">
            <v>DF - DEPENSES A REGULARISER</v>
          </cell>
          <cell r="C968" t="str">
            <v>S071</v>
          </cell>
          <cell r="D968" t="str">
            <v>X077</v>
          </cell>
          <cell r="E968" t="str">
            <v xml:space="preserve"> / Tiers créditeurs</v>
          </cell>
        </row>
        <row r="969">
          <cell r="A969">
            <v>471197</v>
          </cell>
          <cell r="B969" t="str">
            <v>CPTE TRANSIT REMISE ET RISTOURNE</v>
          </cell>
          <cell r="C969" t="str">
            <v>S071</v>
          </cell>
          <cell r="D969" t="str">
            <v>X077</v>
          </cell>
          <cell r="E969" t="str">
            <v xml:space="preserve"> / Tiers créditeurs</v>
          </cell>
        </row>
        <row r="970">
          <cell r="A970">
            <v>471199</v>
          </cell>
          <cell r="B970" t="str">
            <v>CREANCES RAPPROCHEMENTS A REGULARISER</v>
          </cell>
          <cell r="C970" t="str">
            <v>S071</v>
          </cell>
          <cell r="D970" t="str">
            <v>X077</v>
          </cell>
          <cell r="E970" t="str">
            <v xml:space="preserve"> / Tiers créditeurs</v>
          </cell>
        </row>
        <row r="971">
          <cell r="A971">
            <v>471200</v>
          </cell>
          <cell r="B971" t="str">
            <v>CPTES D'ATTENTE-CREDITEURS DIVERS</v>
          </cell>
          <cell r="C971" t="str">
            <v>S071</v>
          </cell>
          <cell r="D971" t="str">
            <v>X077</v>
          </cell>
          <cell r="E971" t="str">
            <v xml:space="preserve"> / Tiers créditeurs</v>
          </cell>
        </row>
        <row r="972">
          <cell r="A972">
            <v>471201</v>
          </cell>
          <cell r="B972" t="str">
            <v>CPTES D'ATTENTE-CREDITEURS A REGUL.</v>
          </cell>
          <cell r="C972" t="str">
            <v>S071</v>
          </cell>
          <cell r="D972" t="str">
            <v>X077</v>
          </cell>
          <cell r="E972" t="str">
            <v xml:space="preserve"> / Tiers créditeurs</v>
          </cell>
        </row>
        <row r="973">
          <cell r="A973">
            <v>471202</v>
          </cell>
          <cell r="B973" t="str">
            <v>CPTES D'ATTENTE-CHEQUES NON ENCAISSES</v>
          </cell>
          <cell r="C973" t="str">
            <v>S071</v>
          </cell>
          <cell r="D973" t="str">
            <v>X077</v>
          </cell>
          <cell r="E973" t="str">
            <v xml:space="preserve"> / Tiers créditeurs</v>
          </cell>
        </row>
        <row r="974">
          <cell r="A974">
            <v>471203</v>
          </cell>
          <cell r="B974" t="str">
            <v>CPTES D'ATTENTE ASSURANCE MARCH.-C.N.A.</v>
          </cell>
          <cell r="C974" t="str">
            <v>S071</v>
          </cell>
          <cell r="D974" t="str">
            <v>X077</v>
          </cell>
          <cell r="E974" t="str">
            <v xml:space="preserve"> / Tiers créditeurs</v>
          </cell>
        </row>
        <row r="975">
          <cell r="A975">
            <v>471205</v>
          </cell>
          <cell r="B975" t="str">
            <v>ASSURANCE TRANSP. LIV. A VERSER</v>
          </cell>
          <cell r="C975" t="str">
            <v>S071</v>
          </cell>
          <cell r="D975" t="str">
            <v>X077</v>
          </cell>
          <cell r="E975" t="str">
            <v xml:space="preserve"> / Tiers créditeurs</v>
          </cell>
        </row>
        <row r="976">
          <cell r="A976">
            <v>471211</v>
          </cell>
          <cell r="B976" t="str">
            <v>FAC REDEV CASTEL BEER</v>
          </cell>
          <cell r="C976">
            <v>0</v>
          </cell>
          <cell r="D976" t="str">
            <v>X02</v>
          </cell>
          <cell r="E976" t="str">
            <v>DGE courante</v>
          </cell>
        </row>
        <row r="977">
          <cell r="A977">
            <v>471212</v>
          </cell>
          <cell r="B977" t="str">
            <v>FAC REDEV TUBORG</v>
          </cell>
          <cell r="C977">
            <v>0</v>
          </cell>
          <cell r="D977" t="str">
            <v>X02</v>
          </cell>
          <cell r="E977" t="str">
            <v>DGE courante</v>
          </cell>
        </row>
        <row r="978">
          <cell r="A978">
            <v>471213</v>
          </cell>
          <cell r="B978" t="str">
            <v>FAC REDEV 33 EXPORT</v>
          </cell>
          <cell r="C978">
            <v>0</v>
          </cell>
          <cell r="D978" t="str">
            <v>X02</v>
          </cell>
          <cell r="E978" t="str">
            <v>DGE courante</v>
          </cell>
        </row>
        <row r="979">
          <cell r="A979">
            <v>471214</v>
          </cell>
          <cell r="B979" t="str">
            <v>FAC REDEV AMSTEL</v>
          </cell>
          <cell r="C979">
            <v>0</v>
          </cell>
          <cell r="D979" t="str">
            <v>X01</v>
          </cell>
          <cell r="E979" t="str">
            <v>Fournisseurs</v>
          </cell>
        </row>
        <row r="980">
          <cell r="A980">
            <v>471215</v>
          </cell>
          <cell r="B980" t="str">
            <v>FAC REDEV MUTZIG</v>
          </cell>
          <cell r="C980">
            <v>0</v>
          </cell>
          <cell r="D980" t="str">
            <v>X01</v>
          </cell>
          <cell r="E980" t="str">
            <v>Fournisseurs</v>
          </cell>
        </row>
        <row r="981">
          <cell r="A981">
            <v>471216</v>
          </cell>
          <cell r="B981" t="str">
            <v>FAC REDEV DJINO</v>
          </cell>
          <cell r="C981">
            <v>0</v>
          </cell>
          <cell r="D981" t="str">
            <v>X02</v>
          </cell>
          <cell r="E981" t="str">
            <v>DGE courante</v>
          </cell>
        </row>
        <row r="982">
          <cell r="A982">
            <v>471217</v>
          </cell>
          <cell r="B982" t="str">
            <v>FAC REDEV CMS</v>
          </cell>
          <cell r="C982">
            <v>0</v>
          </cell>
          <cell r="D982" t="str">
            <v>X01</v>
          </cell>
          <cell r="E982" t="str">
            <v>Fournisseurs</v>
          </cell>
        </row>
        <row r="983">
          <cell r="A983">
            <v>471218</v>
          </cell>
          <cell r="B983" t="str">
            <v>FAC REDEV BOOSTER</v>
          </cell>
          <cell r="C983">
            <v>0</v>
          </cell>
          <cell r="D983" t="str">
            <v>X02</v>
          </cell>
          <cell r="E983" t="str">
            <v>DGE courante</v>
          </cell>
        </row>
        <row r="984">
          <cell r="A984">
            <v>471219</v>
          </cell>
          <cell r="B984" t="str">
            <v>FAC REDEV PELFORTH</v>
          </cell>
          <cell r="C984">
            <v>0</v>
          </cell>
          <cell r="D984" t="str">
            <v>X02</v>
          </cell>
          <cell r="E984" t="str">
            <v>DGE courante</v>
          </cell>
        </row>
        <row r="985">
          <cell r="A985">
            <v>471220</v>
          </cell>
          <cell r="B985" t="str">
            <v>FAC REDEV ISENBECK</v>
          </cell>
          <cell r="D985" t="str">
            <v>X02</v>
          </cell>
          <cell r="E985" t="str">
            <v>DGE courante</v>
          </cell>
        </row>
        <row r="986">
          <cell r="A986">
            <v>471221</v>
          </cell>
          <cell r="B986" t="str">
            <v>FAC REDEV MALT UP</v>
          </cell>
          <cell r="D986" t="str">
            <v>X02</v>
          </cell>
          <cell r="E986" t="str">
            <v>DGE courante</v>
          </cell>
        </row>
        <row r="987">
          <cell r="A987">
            <v>471223</v>
          </cell>
          <cell r="B987" t="str">
            <v>FAC REDEV XXL ENERGY</v>
          </cell>
          <cell r="D987" t="str">
            <v>X02</v>
          </cell>
          <cell r="E987" t="str">
            <v>DGE courante</v>
          </cell>
        </row>
        <row r="988">
          <cell r="A988">
            <v>471611</v>
          </cell>
          <cell r="B988" t="str">
            <v>CH.D'AVANCE-ASSUR.R.C.ENTREPRISE</v>
          </cell>
          <cell r="C988">
            <v>0</v>
          </cell>
          <cell r="D988" t="str">
            <v>X077</v>
          </cell>
          <cell r="E988" t="str">
            <v>Tiers créditeurs</v>
          </cell>
        </row>
        <row r="989">
          <cell r="A989">
            <v>474604</v>
          </cell>
          <cell r="B989" t="str">
            <v>FACT.ABON.HONO. AVOCATS ETRANGERS</v>
          </cell>
          <cell r="C989">
            <v>0</v>
          </cell>
          <cell r="D989" t="str">
            <v>X077</v>
          </cell>
          <cell r="E989" t="str">
            <v>Tiers créditeurs</v>
          </cell>
        </row>
        <row r="990">
          <cell r="A990">
            <v>474607</v>
          </cell>
          <cell r="B990" t="str">
            <v>PROV.ASSIST.TECH.ETRANGERE</v>
          </cell>
          <cell r="C990">
            <v>0</v>
          </cell>
          <cell r="D990" t="str">
            <v>X02</v>
          </cell>
          <cell r="E990" t="str">
            <v>DGE courante</v>
          </cell>
        </row>
        <row r="991">
          <cell r="A991">
            <v>474608</v>
          </cell>
          <cell r="B991" t="str">
            <v>PROV.ASSIST. ADMINIST. SERTE</v>
          </cell>
          <cell r="C991">
            <v>0</v>
          </cell>
          <cell r="D991" t="str">
            <v>X02</v>
          </cell>
          <cell r="E991" t="str">
            <v>DGE courante</v>
          </cell>
        </row>
        <row r="992">
          <cell r="A992">
            <v>474609</v>
          </cell>
          <cell r="B992" t="str">
            <v>PROV.ABON.CPTABLES ET FISCALE</v>
          </cell>
          <cell r="C992">
            <v>0</v>
          </cell>
          <cell r="D992" t="str">
            <v>X077</v>
          </cell>
          <cell r="E992" t="str">
            <v>Tiers créditeurs</v>
          </cell>
        </row>
        <row r="993">
          <cell r="A993">
            <v>474610</v>
          </cell>
          <cell r="B993" t="str">
            <v>FACT. CONSOMMATION ELECTRICITE USINE</v>
          </cell>
          <cell r="C993">
            <v>0</v>
          </cell>
          <cell r="D993" t="str">
            <v>X077</v>
          </cell>
          <cell r="E993" t="str">
            <v>Tiers créditeurs</v>
          </cell>
        </row>
        <row r="994">
          <cell r="A994">
            <v>474611</v>
          </cell>
          <cell r="B994" t="str">
            <v>FACT. CONSOMMATION EAU USINE</v>
          </cell>
          <cell r="C994">
            <v>0</v>
          </cell>
          <cell r="D994" t="str">
            <v>X077</v>
          </cell>
          <cell r="E994" t="str">
            <v>Tiers créditeurs</v>
          </cell>
        </row>
        <row r="995">
          <cell r="A995">
            <v>474625</v>
          </cell>
          <cell r="B995" t="str">
            <v>PROV.TRANSP/MATIERES PREMIERES</v>
          </cell>
          <cell r="C995">
            <v>0</v>
          </cell>
          <cell r="D995" t="str">
            <v>X077</v>
          </cell>
          <cell r="E995" t="str">
            <v>Tiers créditeurs</v>
          </cell>
        </row>
        <row r="996">
          <cell r="A996">
            <v>474626</v>
          </cell>
          <cell r="B996" t="str">
            <v>PROV.TRANSP/MATIERES CONSOMMABLES</v>
          </cell>
          <cell r="C996">
            <v>0</v>
          </cell>
          <cell r="D996" t="str">
            <v>X077</v>
          </cell>
          <cell r="E996" t="str">
            <v>Tiers créditeurs</v>
          </cell>
        </row>
        <row r="997">
          <cell r="A997">
            <v>474639</v>
          </cell>
          <cell r="B997" t="str">
            <v>PROV.TRANSP/TRANSF.PROD.FINIS</v>
          </cell>
          <cell r="C997">
            <v>0</v>
          </cell>
          <cell r="D997" t="str">
            <v>X077</v>
          </cell>
          <cell r="E997" t="str">
            <v>Tiers créditeurs</v>
          </cell>
        </row>
        <row r="998">
          <cell r="A998">
            <v>474652</v>
          </cell>
          <cell r="B998" t="str">
            <v>PROVISION REDEVANCE DJINO</v>
          </cell>
          <cell r="C998">
            <v>0</v>
          </cell>
          <cell r="D998" t="str">
            <v>X02</v>
          </cell>
          <cell r="E998" t="str">
            <v>DGE courante</v>
          </cell>
        </row>
        <row r="999">
          <cell r="A999">
            <v>474653</v>
          </cell>
          <cell r="B999" t="str">
            <v>PROVISION REDEVANCE cms</v>
          </cell>
          <cell r="C999">
            <v>0</v>
          </cell>
          <cell r="D999" t="str">
            <v>X01</v>
          </cell>
          <cell r="E999" t="str">
            <v>Fournisseurs</v>
          </cell>
        </row>
        <row r="1000">
          <cell r="A1000">
            <v>474655</v>
          </cell>
          <cell r="B1000" t="str">
            <v>PROVISION REDEVANCE CASTEL</v>
          </cell>
          <cell r="C1000">
            <v>0</v>
          </cell>
          <cell r="D1000" t="str">
            <v>X02</v>
          </cell>
          <cell r="E1000" t="str">
            <v>DGE courante</v>
          </cell>
        </row>
        <row r="1001">
          <cell r="A1001">
            <v>474656</v>
          </cell>
          <cell r="B1001" t="str">
            <v>PROVISION REDEVANCE TUBORG</v>
          </cell>
          <cell r="C1001">
            <v>0</v>
          </cell>
          <cell r="D1001" t="str">
            <v>X02</v>
          </cell>
          <cell r="E1001" t="str">
            <v>DGE courante</v>
          </cell>
        </row>
        <row r="1002">
          <cell r="A1002">
            <v>474657</v>
          </cell>
          <cell r="B1002" t="str">
            <v>PROVISION REDEVANCE "33" EXPORT</v>
          </cell>
          <cell r="C1002">
            <v>0</v>
          </cell>
          <cell r="D1002" t="str">
            <v>X02</v>
          </cell>
          <cell r="E1002" t="str">
            <v>DGE courante</v>
          </cell>
        </row>
        <row r="1003">
          <cell r="A1003">
            <v>474658</v>
          </cell>
          <cell r="B1003" t="str">
            <v>PROVISION REDEVANCE AMSTEL</v>
          </cell>
          <cell r="C1003">
            <v>0</v>
          </cell>
          <cell r="D1003" t="str">
            <v>X01</v>
          </cell>
          <cell r="E1003" t="str">
            <v>Fournisseurs</v>
          </cell>
        </row>
        <row r="1004">
          <cell r="A1004">
            <v>474659</v>
          </cell>
          <cell r="B1004" t="str">
            <v>PROVISION REDEVANCE MUTZIG</v>
          </cell>
          <cell r="C1004">
            <v>0</v>
          </cell>
          <cell r="D1004" t="str">
            <v>X01</v>
          </cell>
          <cell r="E1004" t="str">
            <v>Fournisseurs</v>
          </cell>
        </row>
        <row r="1005">
          <cell r="A1005">
            <v>474660</v>
          </cell>
          <cell r="B1005" t="str">
            <v>PROVISION REDEVANCE BOOSTE</v>
          </cell>
          <cell r="C1005">
            <v>0</v>
          </cell>
          <cell r="D1005" t="str">
            <v>X02</v>
          </cell>
          <cell r="E1005" t="str">
            <v>DGE courante</v>
          </cell>
        </row>
        <row r="1006">
          <cell r="A1006">
            <v>474662</v>
          </cell>
          <cell r="B1006" t="str">
            <v>PROVISION REDEVANCE MALT UP</v>
          </cell>
          <cell r="D1006" t="str">
            <v>X02</v>
          </cell>
          <cell r="E1006" t="str">
            <v>DGE courante</v>
          </cell>
        </row>
        <row r="1007">
          <cell r="A1007">
            <v>474663</v>
          </cell>
          <cell r="B1007" t="str">
            <v>ABO. CESSIONS BOISSONS CADR</v>
          </cell>
          <cell r="C1007">
            <v>0</v>
          </cell>
          <cell r="D1007" t="str">
            <v>X077</v>
          </cell>
          <cell r="E1007" t="str">
            <v>Tiers créditeurs</v>
          </cell>
        </row>
        <row r="1008">
          <cell r="A1008">
            <v>474664</v>
          </cell>
          <cell r="B1008" t="str">
            <v>PROVISION REDEVANCE PELFORTH</v>
          </cell>
          <cell r="C1008">
            <v>0</v>
          </cell>
          <cell r="D1008" t="str">
            <v>X02</v>
          </cell>
          <cell r="E1008" t="str">
            <v>DGE courante</v>
          </cell>
        </row>
        <row r="1009">
          <cell r="A1009">
            <v>474665</v>
          </cell>
          <cell r="B1009" t="str">
            <v>PROV.INDEMNITES KILOMETRIQ</v>
          </cell>
          <cell r="C1009">
            <v>0</v>
          </cell>
          <cell r="D1009" t="str">
            <v>X077</v>
          </cell>
          <cell r="E1009" t="str">
            <v>Tiers créditeurs</v>
          </cell>
        </row>
        <row r="1010">
          <cell r="A1010">
            <v>474666</v>
          </cell>
          <cell r="B1010" t="str">
            <v>PROVISION REDEVANCE ORANGINA</v>
          </cell>
          <cell r="D1010" t="str">
            <v>X02</v>
          </cell>
          <cell r="E1010" t="str">
            <v>DGE courante</v>
          </cell>
        </row>
        <row r="1011">
          <cell r="A1011">
            <v>474667</v>
          </cell>
          <cell r="B1011" t="str">
            <v>PROVISION REDEVANCE XXL ENERGY</v>
          </cell>
          <cell r="D1011" t="str">
            <v>X02</v>
          </cell>
          <cell r="E1011" t="str">
            <v>DGE courante</v>
          </cell>
        </row>
        <row r="1012">
          <cell r="A1012">
            <v>474686</v>
          </cell>
          <cell r="B1012" t="str">
            <v>PROVISION PUB PANAFRICAINE</v>
          </cell>
          <cell r="C1012">
            <v>0</v>
          </cell>
          <cell r="D1012" t="str">
            <v>X02</v>
          </cell>
          <cell r="E1012" t="str">
            <v>DGE courante</v>
          </cell>
        </row>
        <row r="1013">
          <cell r="A1013">
            <v>474770</v>
          </cell>
          <cell r="B1013" t="str">
            <v>PRODUIT FINANCIER</v>
          </cell>
          <cell r="C1013" t="str">
            <v>S073</v>
          </cell>
          <cell r="D1013" t="str">
            <v>X077</v>
          </cell>
          <cell r="E1013" t="str">
            <v>Tiers débiteurs / Tiers créditeurs</v>
          </cell>
        </row>
        <row r="1014">
          <cell r="A1014">
            <v>474775</v>
          </cell>
          <cell r="B1014" t="str">
            <v>PROV.PROD.FINANCIERS DEPOT</v>
          </cell>
          <cell r="C1014" t="str">
            <v>S073</v>
          </cell>
          <cell r="D1014" t="str">
            <v>X077</v>
          </cell>
          <cell r="E1014" t="str">
            <v>Tiers débiteurs / Tiers créditeurs</v>
          </cell>
        </row>
        <row r="1015">
          <cell r="A1015">
            <v>476100</v>
          </cell>
          <cell r="B1015" t="str">
            <v>CHARGES CONSTATEES D'AVANCE</v>
          </cell>
          <cell r="C1015" t="str">
            <v>S073</v>
          </cell>
          <cell r="D1015" t="str">
            <v>X077</v>
          </cell>
          <cell r="E1015" t="str">
            <v>Tiers débiteurs / Tiers créditeurs</v>
          </cell>
        </row>
        <row r="1016">
          <cell r="A1016">
            <v>476102</v>
          </cell>
          <cell r="B1016" t="str">
            <v>TRANSPORTEURS TIERS ASSURANCE</v>
          </cell>
          <cell r="C1016" t="str">
            <v>S073</v>
          </cell>
          <cell r="D1016" t="str">
            <v>X077</v>
          </cell>
          <cell r="E1016" t="str">
            <v>Tiers débiteurs / Tiers créditeurs</v>
          </cell>
        </row>
        <row r="1017">
          <cell r="A1017">
            <v>476207</v>
          </cell>
          <cell r="B1017" t="str">
            <v>TRANSPORTEURS LIVREURS ASSURANCE</v>
          </cell>
          <cell r="C1017" t="str">
            <v>S073</v>
          </cell>
          <cell r="D1017" t="str">
            <v>X077</v>
          </cell>
          <cell r="E1017" t="str">
            <v>Tiers débiteurs / Tiers créditeurs</v>
          </cell>
        </row>
        <row r="1018">
          <cell r="A1018">
            <v>476608</v>
          </cell>
          <cell r="B1018" t="str">
            <v>BAILLEURS AVANCES</v>
          </cell>
          <cell r="C1018" t="str">
            <v>S073</v>
          </cell>
          <cell r="D1018" t="str">
            <v>X077</v>
          </cell>
          <cell r="E1018" t="str">
            <v>Tiers débiteurs / Tiers créditeurs</v>
          </cell>
        </row>
        <row r="1019">
          <cell r="A1019">
            <v>476600</v>
          </cell>
          <cell r="B1019" t="str">
            <v>LOYERS PAYES D'AVANCE</v>
          </cell>
          <cell r="C1019" t="str">
            <v>S073</v>
          </cell>
          <cell r="D1019" t="str">
            <v>X077</v>
          </cell>
          <cell r="E1019" t="str">
            <v>Tiers débiteurs / Tiers créditeurs</v>
          </cell>
        </row>
        <row r="1020">
          <cell r="A1020">
            <v>476610</v>
          </cell>
          <cell r="B1020" t="str">
            <v>CH.D'AVANCE-ASSUR.GLOB-DOM.</v>
          </cell>
          <cell r="C1020" t="str">
            <v>S073</v>
          </cell>
          <cell r="D1020" t="str">
            <v>X077</v>
          </cell>
          <cell r="E1020" t="str">
            <v>Tiers débiteurs / Tiers créditeurs</v>
          </cell>
        </row>
        <row r="1021">
          <cell r="A1021">
            <v>476611</v>
          </cell>
          <cell r="B1021" t="str">
            <v>CH.D'AVANCE-ASSUR.RCE</v>
          </cell>
          <cell r="C1021" t="str">
            <v>S073</v>
          </cell>
          <cell r="D1021" t="str">
            <v>X077</v>
          </cell>
          <cell r="E1021" t="str">
            <v>Tiers débiteurs / Tiers créditeurs</v>
          </cell>
        </row>
        <row r="1022">
          <cell r="A1022">
            <v>476690</v>
          </cell>
          <cell r="B1022" t="str">
            <v>CH.D'AVANCE-AUTRES CHARGES</v>
          </cell>
          <cell r="C1022" t="str">
            <v>S073</v>
          </cell>
          <cell r="D1022" t="str">
            <v>X077</v>
          </cell>
          <cell r="E1022" t="str">
            <v>Tiers débiteurs / Tiers créditeurs</v>
          </cell>
        </row>
        <row r="1023">
          <cell r="A1023">
            <v>477000</v>
          </cell>
          <cell r="B1023" t="str">
            <v>PRODUITS CONSTATES D'AVANCE</v>
          </cell>
          <cell r="C1023" t="str">
            <v>S073</v>
          </cell>
          <cell r="D1023" t="str">
            <v>X077</v>
          </cell>
          <cell r="E1023" t="str">
            <v>Tiers débiteurs / Tiers créditeurs</v>
          </cell>
        </row>
        <row r="1024">
          <cell r="A1024">
            <v>477121</v>
          </cell>
          <cell r="B1024" t="str">
            <v>PROD.A RECEV/PROD.FINANCIERS</v>
          </cell>
          <cell r="C1024" t="str">
            <v>S073</v>
          </cell>
          <cell r="D1024" t="str">
            <v>X077</v>
          </cell>
          <cell r="E1024" t="str">
            <v>Tiers débiteurs / Tiers créditeurs</v>
          </cell>
        </row>
        <row r="1025">
          <cell r="A1025">
            <v>477191</v>
          </cell>
          <cell r="B1025" t="str">
            <v>PROD.A RECEV/AUTRES PRODUITS</v>
          </cell>
          <cell r="C1025" t="str">
            <v>S073</v>
          </cell>
          <cell r="D1025" t="str">
            <v>X077</v>
          </cell>
          <cell r="E1025" t="str">
            <v>Tiers débiteurs / Tiers créditeurs</v>
          </cell>
        </row>
        <row r="1026">
          <cell r="A1026">
            <v>477211</v>
          </cell>
          <cell r="B1026" t="str">
            <v>MARCH.A RECEP/MAT.PREMIERES</v>
          </cell>
          <cell r="C1026" t="str">
            <v>S073</v>
          </cell>
          <cell r="D1026" t="str">
            <v>X077</v>
          </cell>
          <cell r="E1026" t="str">
            <v>Tiers débiteurs / Tiers créditeurs</v>
          </cell>
        </row>
        <row r="1027">
          <cell r="A1027">
            <v>477215</v>
          </cell>
          <cell r="B1027" t="str">
            <v>MARCH.A RECEP/PIECES RECHANGES</v>
          </cell>
          <cell r="C1027" t="str">
            <v>S073</v>
          </cell>
          <cell r="D1027" t="str">
            <v>X077</v>
          </cell>
          <cell r="E1027" t="str">
            <v>Tiers débiteurs / Tiers créditeurs</v>
          </cell>
        </row>
        <row r="1028">
          <cell r="A1028">
            <v>477218</v>
          </cell>
          <cell r="B1028" t="str">
            <v>PRODUITS A RECEV.ACTIVITE REVENT</v>
          </cell>
          <cell r="C1028" t="str">
            <v>S073</v>
          </cell>
          <cell r="D1028" t="str">
            <v>X077</v>
          </cell>
          <cell r="E1028" t="str">
            <v>Tiers débiteurs / Tiers créditeurs</v>
          </cell>
        </row>
        <row r="1029">
          <cell r="A1029">
            <v>477300</v>
          </cell>
          <cell r="B1029" t="str">
            <v>INDEMNITES ASSURANCES A RECEVOIR</v>
          </cell>
          <cell r="C1029" t="str">
            <v>S073</v>
          </cell>
          <cell r="D1029" t="str">
            <v>X077</v>
          </cell>
          <cell r="E1029" t="str">
            <v>Tiers débiteurs / Tiers créditeurs</v>
          </cell>
        </row>
        <row r="1030">
          <cell r="A1030">
            <v>477310</v>
          </cell>
          <cell r="B1030" t="str">
            <v>AVARIES/TRANSF.PAR TRANSPORT</v>
          </cell>
          <cell r="C1030" t="str">
            <v>S073</v>
          </cell>
          <cell r="D1030" t="str">
            <v>X077</v>
          </cell>
          <cell r="E1030" t="str">
            <v>Tiers débiteurs / Tiers créditeurs</v>
          </cell>
        </row>
        <row r="1031">
          <cell r="A1031">
            <v>477320</v>
          </cell>
          <cell r="B1031" t="str">
            <v>AVARIES MARCHANDISES-C.N.A</v>
          </cell>
          <cell r="C1031" t="str">
            <v>S073</v>
          </cell>
          <cell r="D1031" t="str">
            <v>X077</v>
          </cell>
          <cell r="E1031" t="str">
            <v>Tiers débiteurs / Tiers créditeurs</v>
          </cell>
        </row>
        <row r="1032">
          <cell r="A1032">
            <v>477330</v>
          </cell>
          <cell r="B1032" t="str">
            <v>AVARIES CASSES T/L GRAS SAVOYE</v>
          </cell>
          <cell r="C1032" t="str">
            <v>S073</v>
          </cell>
          <cell r="D1032" t="str">
            <v>X077</v>
          </cell>
          <cell r="E1032" t="str">
            <v>Tiers débiteurs / Tiers créditeurs</v>
          </cell>
        </row>
        <row r="1033">
          <cell r="A1033">
            <v>477340</v>
          </cell>
          <cell r="B1033" t="str">
            <v>AVARIES DOSS.A DEPOSER SNAC</v>
          </cell>
          <cell r="C1033" t="str">
            <v>S073</v>
          </cell>
          <cell r="D1033" t="str">
            <v>X077</v>
          </cell>
          <cell r="E1033" t="str">
            <v>Tiers débiteurs / Tiers créditeurs</v>
          </cell>
        </row>
        <row r="1034">
          <cell r="A1034">
            <v>477350</v>
          </cell>
          <cell r="B1034" t="str">
            <v>INDEMNITES A RECEVOIR-CHANAS</v>
          </cell>
          <cell r="C1034" t="str">
            <v>S073</v>
          </cell>
          <cell r="D1034" t="str">
            <v>X077</v>
          </cell>
          <cell r="E1034" t="str">
            <v>Tiers débiteurs / Tiers créditeurs</v>
          </cell>
        </row>
        <row r="1035">
          <cell r="A1035">
            <v>477360</v>
          </cell>
          <cell r="B1035" t="str">
            <v>AVARIES A REMBOURSER PAR DIV.</v>
          </cell>
          <cell r="C1035" t="str">
            <v>S073</v>
          </cell>
          <cell r="D1035" t="str">
            <v>X077</v>
          </cell>
          <cell r="E1035" t="str">
            <v>Tiers débiteurs / Tiers créditeurs</v>
          </cell>
        </row>
        <row r="1036">
          <cell r="A1036">
            <v>477370</v>
          </cell>
          <cell r="B1036" t="str">
            <v>REMBOURSEMENT ASSUR.CHANAS</v>
          </cell>
          <cell r="C1036" t="str">
            <v>S073</v>
          </cell>
          <cell r="D1036" t="str">
            <v>X077</v>
          </cell>
          <cell r="E1036" t="str">
            <v>Tiers débiteurs / Tiers créditeurs</v>
          </cell>
        </row>
        <row r="1037">
          <cell r="A1037">
            <v>477380</v>
          </cell>
          <cell r="B1037" t="str">
            <v>REMBOURSEMENT ASSURANCE SNAC</v>
          </cell>
          <cell r="C1037" t="str">
            <v>S073</v>
          </cell>
          <cell r="D1037" t="str">
            <v>X077</v>
          </cell>
          <cell r="E1037" t="str">
            <v>Tiers débiteurs / Tiers créditeurs</v>
          </cell>
        </row>
        <row r="1038">
          <cell r="A1038">
            <v>477385</v>
          </cell>
          <cell r="B1038" t="str">
            <v>REMBOURSEMENTS ATTENDUS FNE</v>
          </cell>
          <cell r="C1038" t="str">
            <v>S073</v>
          </cell>
          <cell r="D1038" t="str">
            <v>X077</v>
          </cell>
          <cell r="E1038" t="str">
            <v>Tiers débiteurs / Tiers créditeurs</v>
          </cell>
        </row>
        <row r="1039">
          <cell r="A1039">
            <v>477390</v>
          </cell>
          <cell r="B1039" t="str">
            <v>REMBOURSEMENT RETRAITE CADRES</v>
          </cell>
          <cell r="C1039" t="str">
            <v>S073</v>
          </cell>
          <cell r="D1039" t="str">
            <v>X077</v>
          </cell>
          <cell r="E1039" t="str">
            <v>Tiers débiteurs / Tiers créditeurs</v>
          </cell>
        </row>
        <row r="1040">
          <cell r="A1040">
            <v>477400</v>
          </cell>
          <cell r="B1040" t="str">
            <v>REMBOURSEMENT ASSURANCE SPORT</v>
          </cell>
          <cell r="C1040" t="str">
            <v>S073</v>
          </cell>
          <cell r="D1040" t="str">
            <v>X077</v>
          </cell>
          <cell r="E1040" t="str">
            <v>Tiers débiteurs / Tiers créditeurs</v>
          </cell>
        </row>
        <row r="1041">
          <cell r="A1041">
            <v>477405</v>
          </cell>
          <cell r="B1041" t="str">
            <v>SINISTRES AUTO+IPT</v>
          </cell>
          <cell r="C1041" t="str">
            <v>S073</v>
          </cell>
          <cell r="D1041" t="str">
            <v>X077</v>
          </cell>
          <cell r="E1041" t="str">
            <v>Tiers débiteurs / Tiers créditeurs</v>
          </cell>
        </row>
        <row r="1042">
          <cell r="A1042">
            <v>477410</v>
          </cell>
          <cell r="B1042" t="str">
            <v>REMBOURSEMENT ASSURANCE AVARIE</v>
          </cell>
          <cell r="C1042" t="str">
            <v>S073</v>
          </cell>
          <cell r="D1042" t="str">
            <v>X077</v>
          </cell>
          <cell r="E1042" t="str">
            <v>Tiers débiteurs / Tiers créditeurs</v>
          </cell>
        </row>
        <row r="1043">
          <cell r="A1043">
            <v>477420</v>
          </cell>
          <cell r="B1043" t="str">
            <v>SINISTRE DOMMAGE INDEMNITE A RECEVOIR</v>
          </cell>
          <cell r="C1043" t="str">
            <v>S073</v>
          </cell>
          <cell r="D1043" t="str">
            <v>X077</v>
          </cell>
          <cell r="E1043" t="str">
            <v>Tiers débiteurs / Tiers créditeurs</v>
          </cell>
        </row>
        <row r="1044">
          <cell r="A1044">
            <v>477425</v>
          </cell>
          <cell r="B1044" t="str">
            <v>SINISTRES VOLS/DETOURNEMENTS/PILLAGES</v>
          </cell>
          <cell r="C1044" t="str">
            <v>S073</v>
          </cell>
          <cell r="D1044" t="str">
            <v>X077</v>
          </cell>
          <cell r="E1044" t="str">
            <v>Tiers débiteurs / Tiers créditeurs</v>
          </cell>
        </row>
        <row r="1045">
          <cell r="A1045">
            <v>481100</v>
          </cell>
          <cell r="B1045" t="str">
            <v>FOURNISSEUR D'IMMONBILISATION INCORPOREL</v>
          </cell>
          <cell r="C1045" t="str">
            <v>S073</v>
          </cell>
          <cell r="D1045" t="str">
            <v>X077</v>
          </cell>
          <cell r="E1045" t="str">
            <v>Tiers débiteurs / Tiers créditeurs</v>
          </cell>
        </row>
        <row r="1046">
          <cell r="A1046">
            <v>481200</v>
          </cell>
          <cell r="B1046" t="str">
            <v>FOURNISSEUR D'IMMONBILISATION CORPORELLE</v>
          </cell>
          <cell r="C1046" t="str">
            <v>S073</v>
          </cell>
          <cell r="D1046" t="str">
            <v>X077</v>
          </cell>
          <cell r="E1046" t="str">
            <v>Tiers débiteurs / Tiers créditeurs</v>
          </cell>
        </row>
        <row r="1047">
          <cell r="A1047">
            <v>485814</v>
          </cell>
          <cell r="B1047" t="str">
            <v>TIERS-FACT.A ETABLIR CESS.IMMOB.</v>
          </cell>
          <cell r="C1047" t="str">
            <v>S073</v>
          </cell>
          <cell r="D1047" t="str">
            <v>X077</v>
          </cell>
          <cell r="E1047" t="str">
            <v>Tiers débiteurs / Tiers créditeurs</v>
          </cell>
        </row>
        <row r="1048">
          <cell r="A1048">
            <v>488000</v>
          </cell>
          <cell r="B1048" t="str">
            <v>SIAC ACHAT CREANCE GRPE ALLEMAND</v>
          </cell>
          <cell r="C1048" t="str">
            <v>S073</v>
          </cell>
          <cell r="D1048" t="str">
            <v>X077</v>
          </cell>
          <cell r="E1048" t="str">
            <v>Tiers débiteurs / Tiers créditeurs</v>
          </cell>
        </row>
        <row r="1049">
          <cell r="A1049">
            <v>490300</v>
          </cell>
          <cell r="B1049" t="str">
            <v>PROV.DEPRECIAT.FOURN.DEBIT.DEDUC</v>
          </cell>
          <cell r="C1049" t="str">
            <v>S01</v>
          </cell>
          <cell r="D1049" t="str">
            <v>Amort</v>
          </cell>
          <cell r="E1049" t="str">
            <v>Avances et acomptes Fournisseurs</v>
          </cell>
        </row>
        <row r="1050">
          <cell r="A1050">
            <v>490310</v>
          </cell>
          <cell r="B1050" t="str">
            <v>PROVISIONS FOURN. DEBITEUR NON DEDUCTIBL</v>
          </cell>
          <cell r="C1050" t="str">
            <v>S01</v>
          </cell>
          <cell r="D1050" t="str">
            <v>Amort</v>
          </cell>
          <cell r="E1050" t="str">
            <v>Avances et acomptes Fournisseurs</v>
          </cell>
        </row>
        <row r="1051">
          <cell r="A1051">
            <v>491131</v>
          </cell>
          <cell r="B1051" t="str">
            <v>PROV.DEPRECIATION CLIENTS DEDUC.</v>
          </cell>
          <cell r="C1051" t="str">
            <v>S03</v>
          </cell>
          <cell r="D1051" t="str">
            <v>Amort</v>
          </cell>
          <cell r="E1051" t="str">
            <v>Créances clients</v>
          </cell>
        </row>
        <row r="1052">
          <cell r="A1052">
            <v>491232</v>
          </cell>
          <cell r="B1052" t="str">
            <v>PROV.DEPRECIAT.CLIENTS NON DEDUC</v>
          </cell>
          <cell r="C1052" t="str">
            <v>S03</v>
          </cell>
          <cell r="D1052" t="str">
            <v>Amort</v>
          </cell>
          <cell r="E1052" t="str">
            <v>Créances clients</v>
          </cell>
        </row>
        <row r="1053">
          <cell r="A1053">
            <v>491233</v>
          </cell>
          <cell r="B1053" t="str">
            <v>PROV.P/RISQUES N/DEDUCT.CLIENTS</v>
          </cell>
          <cell r="C1053" t="str">
            <v>S03</v>
          </cell>
          <cell r="D1053" t="str">
            <v>Amort</v>
          </cell>
          <cell r="E1053" t="str">
            <v>Créances clients</v>
          </cell>
        </row>
        <row r="1054">
          <cell r="A1054">
            <v>492340</v>
          </cell>
          <cell r="B1054" t="str">
            <v>PROV.DEPRECIATION PERSONNEL</v>
          </cell>
          <cell r="C1054" t="str">
            <v>S05</v>
          </cell>
          <cell r="D1054" t="str">
            <v>Amort</v>
          </cell>
          <cell r="E1054" t="str">
            <v>Prêts et avances au personnel</v>
          </cell>
        </row>
        <row r="1055">
          <cell r="A1055">
            <v>496639</v>
          </cell>
          <cell r="B1055" t="str">
            <v>PROV.DEPRECIAT.STES DU GROUPE</v>
          </cell>
          <cell r="C1055" t="str">
            <v>S06</v>
          </cell>
          <cell r="D1055" t="str">
            <v>Amort</v>
          </cell>
          <cell r="E1055" t="str">
            <v>Créances CT Sociétés apparentées</v>
          </cell>
        </row>
        <row r="1056">
          <cell r="A1056">
            <v>497360</v>
          </cell>
          <cell r="B1056" t="str">
            <v>PROV.DEPRECIATION TIERS DIVERS</v>
          </cell>
          <cell r="C1056" t="str">
            <v>S073</v>
          </cell>
          <cell r="D1056" t="str">
            <v>Amort</v>
          </cell>
          <cell r="E1056" t="str">
            <v>Tiers débiteurs</v>
          </cell>
        </row>
        <row r="1057">
          <cell r="A1057">
            <v>497370</v>
          </cell>
          <cell r="B1057" t="str">
            <v>PROV.DEBIT.DIVERS NON DEDUCTIBLE</v>
          </cell>
          <cell r="C1057" t="str">
            <v>S073</v>
          </cell>
          <cell r="D1057" t="str">
            <v>Amort</v>
          </cell>
          <cell r="E1057" t="str">
            <v>Tiers débiteurs</v>
          </cell>
        </row>
        <row r="1058">
          <cell r="A1058">
            <v>505000</v>
          </cell>
          <cell r="B1058" t="str">
            <v>TITRES A COURT TERME</v>
          </cell>
          <cell r="C1058" t="str">
            <v>Q094</v>
          </cell>
          <cell r="D1058">
            <v>0</v>
          </cell>
          <cell r="E1058" t="str">
            <v>Titres à court terme</v>
          </cell>
        </row>
        <row r="1059">
          <cell r="A1059">
            <v>513100</v>
          </cell>
          <cell r="B1059" t="str">
            <v>CHEQUES A ENCAISSER PERS</v>
          </cell>
          <cell r="C1059" t="str">
            <v>T015</v>
          </cell>
          <cell r="D1059">
            <v>0</v>
          </cell>
          <cell r="E1059" t="str">
            <v>Chèques à encaisser</v>
          </cell>
        </row>
        <row r="1060">
          <cell r="A1060">
            <v>513902</v>
          </cell>
          <cell r="B1060" t="str">
            <v>ENCAISSTS CHEQUE EN COURS</v>
          </cell>
          <cell r="C1060" t="str">
            <v>T015</v>
          </cell>
          <cell r="D1060">
            <v>0</v>
          </cell>
          <cell r="E1060" t="str">
            <v>Chèques à encaisser</v>
          </cell>
        </row>
        <row r="1061">
          <cell r="A1061">
            <v>513200</v>
          </cell>
          <cell r="B1061" t="str">
            <v>PERSONNEL CHEQ A ENCAISSER PERS</v>
          </cell>
          <cell r="C1061" t="str">
            <v>T015</v>
          </cell>
          <cell r="E1061" t="str">
            <v>Chèques à encaisser</v>
          </cell>
        </row>
        <row r="1062">
          <cell r="A1062">
            <v>518200</v>
          </cell>
          <cell r="B1062" t="str">
            <v>BILLETS DE FONDS</v>
          </cell>
          <cell r="C1062">
            <v>0</v>
          </cell>
          <cell r="D1062" t="str">
            <v>Y012</v>
          </cell>
          <cell r="E1062" t="str">
            <v>Billets court terme revolving ou non</v>
          </cell>
        </row>
        <row r="1063">
          <cell r="A1063">
            <v>521010</v>
          </cell>
          <cell r="B1063" t="str">
            <v>SGBC EXPORT</v>
          </cell>
          <cell r="C1063" t="str">
            <v>T012</v>
          </cell>
          <cell r="D1063" t="str">
            <v>Y011</v>
          </cell>
          <cell r="E1063" t="str">
            <v>Banques / Découverts</v>
          </cell>
        </row>
        <row r="1064">
          <cell r="A1064">
            <v>521101</v>
          </cell>
          <cell r="B1064" t="str">
            <v>BICEC RECETTES</v>
          </cell>
          <cell r="C1064" t="str">
            <v>T012</v>
          </cell>
          <cell r="D1064" t="str">
            <v>Y011</v>
          </cell>
          <cell r="E1064" t="str">
            <v>Banques / Découverts</v>
          </cell>
        </row>
        <row r="1065">
          <cell r="A1065">
            <v>521102</v>
          </cell>
          <cell r="B1065" t="str">
            <v>CL RECETTES</v>
          </cell>
          <cell r="C1065" t="str">
            <v>T012</v>
          </cell>
          <cell r="D1065" t="str">
            <v>Y011</v>
          </cell>
          <cell r="E1065" t="str">
            <v>Banques / Découverts</v>
          </cell>
        </row>
        <row r="1066">
          <cell r="A1066">
            <v>521104</v>
          </cell>
          <cell r="B1066" t="str">
            <v>SGBC RECETTES</v>
          </cell>
          <cell r="C1066" t="str">
            <v>T012</v>
          </cell>
          <cell r="D1066" t="str">
            <v>Y011</v>
          </cell>
          <cell r="E1066" t="str">
            <v>Banques / Découverts</v>
          </cell>
        </row>
        <row r="1067">
          <cell r="A1067">
            <v>521105</v>
          </cell>
          <cell r="B1067" t="str">
            <v>C.B.C BANK RECETTES</v>
          </cell>
          <cell r="C1067" t="str">
            <v>T012</v>
          </cell>
          <cell r="D1067" t="str">
            <v>Y011</v>
          </cell>
          <cell r="E1067" t="str">
            <v>Banques / Découverts</v>
          </cell>
        </row>
        <row r="1068">
          <cell r="A1068">
            <v>521106</v>
          </cell>
          <cell r="B1068" t="str">
            <v>CITIBANK RECETTES</v>
          </cell>
          <cell r="C1068" t="str">
            <v>T012</v>
          </cell>
          <cell r="D1068" t="str">
            <v>Y011</v>
          </cell>
          <cell r="E1068" t="str">
            <v>Banques / Découverts</v>
          </cell>
        </row>
        <row r="1069">
          <cell r="A1069">
            <v>521107</v>
          </cell>
          <cell r="B1069" t="str">
            <v>AMITY BANK RECETTES</v>
          </cell>
          <cell r="C1069" t="str">
            <v>T012</v>
          </cell>
          <cell r="D1069" t="str">
            <v>Y011</v>
          </cell>
          <cell r="E1069" t="str">
            <v>Banques / Découverts</v>
          </cell>
        </row>
        <row r="1070">
          <cell r="A1070">
            <v>521108</v>
          </cell>
          <cell r="B1070" t="str">
            <v>CCEI BANK RECETTES (GUINEE EQUATORIALE)</v>
          </cell>
          <cell r="C1070" t="str">
            <v>T012</v>
          </cell>
          <cell r="D1070" t="str">
            <v>Y011</v>
          </cell>
          <cell r="E1070" t="str">
            <v>Banques / Découverts</v>
          </cell>
        </row>
        <row r="1071">
          <cell r="A1071">
            <v>521109</v>
          </cell>
          <cell r="B1071" t="str">
            <v>ECOBANK RECETTE OMBE/MUYUKA</v>
          </cell>
          <cell r="C1071" t="str">
            <v>T012</v>
          </cell>
          <cell r="D1071" t="str">
            <v>Y011</v>
          </cell>
          <cell r="E1071" t="str">
            <v>Banques / Découverts</v>
          </cell>
        </row>
        <row r="1072">
          <cell r="A1072">
            <v>521120</v>
          </cell>
          <cell r="B1072" t="str">
            <v>SCB EXPORT YAOUNDE</v>
          </cell>
          <cell r="C1072" t="str">
            <v>T012</v>
          </cell>
          <cell r="D1072" t="str">
            <v>Y011</v>
          </cell>
          <cell r="E1072" t="str">
            <v>Banques / Découverts</v>
          </cell>
        </row>
        <row r="1073">
          <cell r="A1073">
            <v>521127</v>
          </cell>
          <cell r="B1073" t="str">
            <v>SGBGE MALABO</v>
          </cell>
          <cell r="C1073" t="str">
            <v>T012</v>
          </cell>
          <cell r="D1073" t="str">
            <v>Y011</v>
          </cell>
          <cell r="E1073" t="str">
            <v>Banques / Découverts</v>
          </cell>
        </row>
        <row r="1074">
          <cell r="A1074">
            <v>521140</v>
          </cell>
          <cell r="B1074" t="str">
            <v>SCB EXPORT GAROUA</v>
          </cell>
          <cell r="C1074" t="str">
            <v>T012</v>
          </cell>
          <cell r="D1074" t="str">
            <v>Y011</v>
          </cell>
          <cell r="E1074" t="str">
            <v>Banques / Découverts</v>
          </cell>
        </row>
        <row r="1075">
          <cell r="A1075">
            <v>521200</v>
          </cell>
          <cell r="B1075" t="str">
            <v>SGBC DOUANE</v>
          </cell>
          <cell r="C1075" t="str">
            <v>T012</v>
          </cell>
          <cell r="D1075" t="str">
            <v>Y011</v>
          </cell>
          <cell r="E1075" t="str">
            <v>Banques / Découverts</v>
          </cell>
        </row>
        <row r="1076">
          <cell r="A1076">
            <v>521207</v>
          </cell>
          <cell r="B1076" t="str">
            <v>AMITY BANK DEPENSES</v>
          </cell>
          <cell r="C1076" t="str">
            <v>T012</v>
          </cell>
          <cell r="D1076" t="str">
            <v>Y011</v>
          </cell>
          <cell r="E1076" t="str">
            <v>Banques / Découverts</v>
          </cell>
        </row>
        <row r="1077">
          <cell r="A1077">
            <v>521208</v>
          </cell>
          <cell r="B1077" t="str">
            <v>AFRILAND FIRST BANK DEPENSES</v>
          </cell>
          <cell r="C1077" t="str">
            <v>T012</v>
          </cell>
          <cell r="D1077" t="str">
            <v>Y011</v>
          </cell>
          <cell r="E1077" t="str">
            <v>Banques / Découverts</v>
          </cell>
        </row>
        <row r="1078">
          <cell r="A1078">
            <v>521209</v>
          </cell>
          <cell r="B1078" t="str">
            <v>ECOBANK</v>
          </cell>
          <cell r="C1078" t="str">
            <v>T012</v>
          </cell>
          <cell r="D1078" t="str">
            <v>Y011</v>
          </cell>
          <cell r="E1078" t="str">
            <v>Banques / Découverts</v>
          </cell>
        </row>
        <row r="1079">
          <cell r="A1079">
            <v>521210</v>
          </cell>
          <cell r="B1079" t="str">
            <v>BICEC DEPENSES</v>
          </cell>
          <cell r="C1079" t="str">
            <v>T012</v>
          </cell>
          <cell r="D1079" t="str">
            <v>Y011</v>
          </cell>
          <cell r="E1079" t="str">
            <v>Banques / Découverts</v>
          </cell>
        </row>
        <row r="1080">
          <cell r="A1080">
            <v>521211</v>
          </cell>
          <cell r="B1080" t="str">
            <v>BICEC COCA COLA</v>
          </cell>
          <cell r="C1080" t="str">
            <v>T012</v>
          </cell>
          <cell r="D1080" t="str">
            <v>Y011</v>
          </cell>
          <cell r="E1080" t="str">
            <v>Banques / Découverts</v>
          </cell>
        </row>
        <row r="1081">
          <cell r="A1081">
            <v>521220</v>
          </cell>
          <cell r="B1081" t="str">
            <v>CL DEPENSES</v>
          </cell>
          <cell r="C1081" t="str">
            <v>T012</v>
          </cell>
          <cell r="D1081" t="str">
            <v>Y011</v>
          </cell>
          <cell r="E1081" t="str">
            <v>Banques / Découverts</v>
          </cell>
        </row>
        <row r="1082">
          <cell r="A1082">
            <v>521230</v>
          </cell>
          <cell r="B1082" t="str">
            <v>SGBC BALI</v>
          </cell>
          <cell r="C1082" t="str">
            <v>T012</v>
          </cell>
          <cell r="D1082" t="str">
            <v>Y011</v>
          </cell>
          <cell r="E1082" t="str">
            <v>Banques / Découverts</v>
          </cell>
        </row>
        <row r="1083">
          <cell r="A1083">
            <v>521240</v>
          </cell>
          <cell r="B1083" t="str">
            <v>S G B C   DEPENSES</v>
          </cell>
          <cell r="C1083" t="str">
            <v>T012</v>
          </cell>
          <cell r="D1083" t="str">
            <v>Y011</v>
          </cell>
          <cell r="E1083" t="str">
            <v>Banques / Découverts</v>
          </cell>
        </row>
        <row r="1084">
          <cell r="A1084">
            <v>521250</v>
          </cell>
          <cell r="B1084" t="str">
            <v>STANDARD-CHARTERED DEPENSES</v>
          </cell>
          <cell r="C1084" t="str">
            <v>T012</v>
          </cell>
          <cell r="D1084" t="str">
            <v>Y011</v>
          </cell>
          <cell r="E1084" t="str">
            <v>Banques / Découverts</v>
          </cell>
        </row>
        <row r="1085">
          <cell r="A1085">
            <v>521260</v>
          </cell>
          <cell r="B1085" t="str">
            <v>C.B.C.BANK DEPENSES</v>
          </cell>
          <cell r="C1085" t="str">
            <v>T012</v>
          </cell>
          <cell r="D1085" t="str">
            <v>Y011</v>
          </cell>
          <cell r="E1085" t="str">
            <v>Banques / Découverts</v>
          </cell>
        </row>
        <row r="1086">
          <cell r="A1086">
            <v>521270</v>
          </cell>
          <cell r="B1086" t="str">
            <v>CCP DOUALA</v>
          </cell>
          <cell r="C1086" t="str">
            <v>T012</v>
          </cell>
          <cell r="D1086" t="str">
            <v>Y011</v>
          </cell>
          <cell r="E1086" t="str">
            <v>Banques / Découverts</v>
          </cell>
        </row>
        <row r="1087">
          <cell r="A1087">
            <v>521280</v>
          </cell>
          <cell r="B1087" t="str">
            <v>CITIBANK DEPENSES SIEGE</v>
          </cell>
          <cell r="C1087" t="str">
            <v>T012</v>
          </cell>
          <cell r="D1087" t="str">
            <v>Y011</v>
          </cell>
          <cell r="E1087" t="str">
            <v>Banques / Découverts</v>
          </cell>
        </row>
        <row r="1088">
          <cell r="A1088">
            <v>521300</v>
          </cell>
          <cell r="B1088" t="str">
            <v>BICEC RISTOURNES</v>
          </cell>
          <cell r="C1088" t="str">
            <v>T012</v>
          </cell>
          <cell r="D1088" t="str">
            <v>Y011</v>
          </cell>
          <cell r="E1088" t="str">
            <v>Banques / Découverts</v>
          </cell>
        </row>
        <row r="1089">
          <cell r="A1089">
            <v>521910</v>
          </cell>
          <cell r="B1089" t="str">
            <v>BICEC DIVID.A PAYER DIV.CAMEROUN</v>
          </cell>
          <cell r="C1089" t="str">
            <v>T012</v>
          </cell>
          <cell r="D1089" t="str">
            <v>X075</v>
          </cell>
          <cell r="E1089" t="str">
            <v>Banques / Dividendes à payer</v>
          </cell>
        </row>
        <row r="1090">
          <cell r="A1090">
            <v>521920</v>
          </cell>
          <cell r="B1090" t="str">
            <v>SCB-CL DIVID.A PAYER DIV.CAMER.</v>
          </cell>
          <cell r="C1090" t="str">
            <v>T012</v>
          </cell>
          <cell r="D1090" t="str">
            <v>X075</v>
          </cell>
          <cell r="E1090" t="str">
            <v>Banques / Dividendes à payer</v>
          </cell>
        </row>
        <row r="1091">
          <cell r="A1091">
            <v>521990</v>
          </cell>
          <cell r="B1091" t="str">
            <v>AXA BANK DIVID.A PAYER</v>
          </cell>
          <cell r="C1091" t="str">
            <v>T012</v>
          </cell>
          <cell r="D1091" t="str">
            <v>X075</v>
          </cell>
          <cell r="E1091" t="str">
            <v>Banques / Dividendes à payer</v>
          </cell>
        </row>
        <row r="1092">
          <cell r="A1092">
            <v>521999</v>
          </cell>
          <cell r="B1092" t="str">
            <v>COMPTE BANQUE T</v>
          </cell>
          <cell r="C1092" t="str">
            <v>T012</v>
          </cell>
          <cell r="D1092" t="str">
            <v>Y011</v>
          </cell>
          <cell r="E1092" t="str">
            <v>Banques / Découverts</v>
          </cell>
        </row>
        <row r="1093">
          <cell r="A1093">
            <v>524601</v>
          </cell>
          <cell r="B1093" t="str">
            <v>SOCIETE GENERALE PARIS HAUSSMANN</v>
          </cell>
          <cell r="C1093" t="str">
            <v>T012</v>
          </cell>
          <cell r="D1093" t="str">
            <v>Y011</v>
          </cell>
          <cell r="E1093" t="str">
            <v>Banques / Découverts</v>
          </cell>
        </row>
        <row r="1094">
          <cell r="A1094">
            <v>524610</v>
          </cell>
          <cell r="B1094" t="str">
            <v>NATEXIS BANQUE FRANCE</v>
          </cell>
          <cell r="C1094" t="str">
            <v>T012</v>
          </cell>
          <cell r="D1094" t="str">
            <v>Y011</v>
          </cell>
          <cell r="E1094" t="str">
            <v>Banques / Découverts</v>
          </cell>
        </row>
        <row r="1095">
          <cell r="A1095">
            <v>524630</v>
          </cell>
          <cell r="B1095" t="str">
            <v>BANQUE WORMS</v>
          </cell>
          <cell r="C1095" t="str">
            <v>T012</v>
          </cell>
          <cell r="D1095" t="str">
            <v>Y011</v>
          </cell>
          <cell r="E1095" t="str">
            <v>Banques / Découverts</v>
          </cell>
        </row>
        <row r="1096">
          <cell r="A1096">
            <v>524640</v>
          </cell>
          <cell r="B1096" t="str">
            <v>FAUCHER MAGNAN</v>
          </cell>
          <cell r="C1096" t="str">
            <v>T012</v>
          </cell>
          <cell r="D1096" t="str">
            <v>Y011</v>
          </cell>
          <cell r="E1096" t="str">
            <v>Banques / Découverts</v>
          </cell>
        </row>
        <row r="1097">
          <cell r="A1097">
            <v>524650</v>
          </cell>
          <cell r="B1097" t="str">
            <v>AXA BANQUE</v>
          </cell>
          <cell r="C1097" t="str">
            <v>T012</v>
          </cell>
          <cell r="D1097" t="str">
            <v>Y011</v>
          </cell>
          <cell r="E1097" t="str">
            <v>Banques / Découverts</v>
          </cell>
        </row>
        <row r="1098">
          <cell r="A1098">
            <v>524670</v>
          </cell>
          <cell r="B1098" t="str">
            <v>FORTIS</v>
          </cell>
          <cell r="C1098" t="str">
            <v>T012</v>
          </cell>
          <cell r="D1098" t="str">
            <v>Y011</v>
          </cell>
          <cell r="E1098" t="str">
            <v>Banques / Découverts</v>
          </cell>
        </row>
        <row r="1099">
          <cell r="A1099">
            <v>526000</v>
          </cell>
          <cell r="B1099" t="str">
            <v>INTERETS COURUS S/COMPTES BANQUE</v>
          </cell>
          <cell r="C1099" t="str">
            <v>T012</v>
          </cell>
          <cell r="D1099" t="str">
            <v>Y011</v>
          </cell>
          <cell r="E1099" t="str">
            <v>Banques / Découverts</v>
          </cell>
        </row>
        <row r="1100">
          <cell r="A1100">
            <v>541010</v>
          </cell>
          <cell r="B1100" t="str">
            <v>DEPOTS A C.T. B.I.C.E.C.</v>
          </cell>
          <cell r="C1100" t="str">
            <v>T011</v>
          </cell>
          <cell r="D1100">
            <v>0</v>
          </cell>
          <cell r="E1100" t="str">
            <v>Valeurs Mobilières de Placement</v>
          </cell>
        </row>
        <row r="1101">
          <cell r="A1101">
            <v>541020</v>
          </cell>
          <cell r="B1101" t="str">
            <v>DEPOTS A C.T. CL</v>
          </cell>
          <cell r="C1101" t="str">
            <v>T011</v>
          </cell>
          <cell r="D1101">
            <v>0</v>
          </cell>
          <cell r="E1101" t="str">
            <v>Valeurs Mobilières de Placement</v>
          </cell>
        </row>
        <row r="1102">
          <cell r="A1102">
            <v>541040</v>
          </cell>
          <cell r="B1102" t="str">
            <v>DEPOTS A C.T SGBC</v>
          </cell>
          <cell r="C1102" t="str">
            <v>T011</v>
          </cell>
          <cell r="D1102">
            <v>0</v>
          </cell>
          <cell r="E1102" t="str">
            <v>Valeurs Mobilières de Placement</v>
          </cell>
        </row>
        <row r="1103">
          <cell r="A1103">
            <v>561000</v>
          </cell>
          <cell r="B1103" t="str">
            <v>CREDITS COURT TERME</v>
          </cell>
          <cell r="C1103">
            <v>0</v>
          </cell>
          <cell r="D1103" t="str">
            <v>Y012</v>
          </cell>
          <cell r="E1103" t="str">
            <v>Billets court terme revolving ou non</v>
          </cell>
        </row>
        <row r="1104">
          <cell r="A1104">
            <v>571100</v>
          </cell>
          <cell r="B1104" t="str">
            <v>CAISSE DEPENSE</v>
          </cell>
          <cell r="C1104" t="str">
            <v>T013</v>
          </cell>
          <cell r="D1104">
            <v>0</v>
          </cell>
          <cell r="E1104" t="str">
            <v>Caisses</v>
          </cell>
        </row>
        <row r="1105">
          <cell r="A1105">
            <v>571200</v>
          </cell>
          <cell r="B1105" t="str">
            <v>CAISSE DEVISE SIEGE</v>
          </cell>
          <cell r="C1105" t="str">
            <v>T013</v>
          </cell>
          <cell r="D1105">
            <v>0</v>
          </cell>
          <cell r="E1105" t="str">
            <v>Caisses</v>
          </cell>
        </row>
        <row r="1106">
          <cell r="A1106">
            <v>572999</v>
          </cell>
          <cell r="B1106" t="str">
            <v>CAISSE EN ATTENTE IMPUTATION-Ne pas supp</v>
          </cell>
          <cell r="C1106" t="str">
            <v>T013</v>
          </cell>
          <cell r="D1106">
            <v>0</v>
          </cell>
          <cell r="E1106" t="str">
            <v>Caisses</v>
          </cell>
        </row>
        <row r="1107">
          <cell r="A1107">
            <v>579020</v>
          </cell>
          <cell r="B1107" t="str">
            <v>ENCAISSEMENTS ESPECES EN COURS</v>
          </cell>
          <cell r="C1107" t="str">
            <v>T015</v>
          </cell>
          <cell r="D1107">
            <v>0</v>
          </cell>
          <cell r="E1107" t="str">
            <v>Chèques à encaisser</v>
          </cell>
        </row>
        <row r="1108">
          <cell r="A1108">
            <v>585000</v>
          </cell>
          <cell r="B1108" t="str">
            <v>VIREMENT DE FONDS INTRA AGENCE</v>
          </cell>
          <cell r="C1108" t="str">
            <v>T015</v>
          </cell>
          <cell r="D1108">
            <v>0</v>
          </cell>
          <cell r="E1108" t="str">
            <v>Chèques à encaisser</v>
          </cell>
        </row>
        <row r="1109">
          <cell r="A1109">
            <v>588000</v>
          </cell>
          <cell r="B1109" t="str">
            <v>TRANSFERT DE FONDS INTER AGENCE</v>
          </cell>
          <cell r="C1109" t="str">
            <v>T015</v>
          </cell>
          <cell r="D1109">
            <v>0</v>
          </cell>
          <cell r="E1109" t="str">
            <v>Chèques à encaisser</v>
          </cell>
        </row>
        <row r="1110">
          <cell r="A1110">
            <v>588700</v>
          </cell>
          <cell r="B1110" t="str">
            <v>MOUVEMENT TRESORERIE PERSONNEL</v>
          </cell>
          <cell r="C1110" t="str">
            <v>T015</v>
          </cell>
          <cell r="D1110">
            <v>0</v>
          </cell>
          <cell r="E1110" t="str">
            <v>Chèques à encaisser</v>
          </cell>
        </row>
        <row r="1111">
          <cell r="A1111">
            <v>588701</v>
          </cell>
          <cell r="B1111" t="str">
            <v>MOUVEMENT TRESORERIE SIEGE/LITTORAL</v>
          </cell>
          <cell r="C1111" t="str">
            <v>T015</v>
          </cell>
          <cell r="D1111">
            <v>0</v>
          </cell>
          <cell r="E1111" t="str">
            <v>Chèques à encaisser</v>
          </cell>
        </row>
        <row r="1112">
          <cell r="A1112">
            <v>588702</v>
          </cell>
          <cell r="B1112" t="str">
            <v>MOUVEMENTS TRESORERIES SIEGE/CENTRE</v>
          </cell>
          <cell r="C1112" t="str">
            <v>T015</v>
          </cell>
          <cell r="D1112">
            <v>0</v>
          </cell>
          <cell r="E1112" t="str">
            <v>Chèques à encaisser</v>
          </cell>
        </row>
        <row r="1113">
          <cell r="A1113">
            <v>588703</v>
          </cell>
          <cell r="B1113" t="str">
            <v>MOUVEMENTS TRESORERIES SIGE/OUEST</v>
          </cell>
          <cell r="C1113" t="str">
            <v>T015</v>
          </cell>
          <cell r="D1113">
            <v>0</v>
          </cell>
          <cell r="E1113" t="str">
            <v>Chèques à encaisser</v>
          </cell>
        </row>
        <row r="1114">
          <cell r="A1114">
            <v>588704</v>
          </cell>
          <cell r="B1114" t="str">
            <v>MOUVEMENTS TRESORERIES SIEGE/NORD</v>
          </cell>
          <cell r="C1114" t="str">
            <v>T015</v>
          </cell>
          <cell r="D1114">
            <v>0</v>
          </cell>
          <cell r="E1114" t="str">
            <v>Chèques à encaisser</v>
          </cell>
        </row>
        <row r="1115">
          <cell r="A1115">
            <v>588707</v>
          </cell>
          <cell r="B1115" t="str">
            <v>MOUVEMENTS TRESORERIES SIEGE/SUD OUEST</v>
          </cell>
          <cell r="C1115" t="str">
            <v>T015</v>
          </cell>
          <cell r="D1115">
            <v>0</v>
          </cell>
          <cell r="E1115" t="str">
            <v>Chèques à encaisser</v>
          </cell>
        </row>
        <row r="1116">
          <cell r="A1116">
            <v>593000</v>
          </cell>
          <cell r="B1116" t="str">
            <v>PROV.DEP. CPTES ETS FINANCIERS</v>
          </cell>
          <cell r="C1116" t="str">
            <v>T012</v>
          </cell>
          <cell r="D1116" t="str">
            <v>Y011</v>
          </cell>
          <cell r="E1116" t="str">
            <v>Banques / Découverts</v>
          </cell>
        </row>
        <row r="1117">
          <cell r="A1117">
            <v>381000</v>
          </cell>
          <cell r="B1117" t="str">
            <v>ENCOURS MARCHANDISES NEGOCE</v>
          </cell>
          <cell r="C1117" t="str">
            <v>R02</v>
          </cell>
          <cell r="E1117" t="str">
            <v>Marchandises</v>
          </cell>
        </row>
        <row r="1118">
          <cell r="A1118">
            <v>383400</v>
          </cell>
          <cell r="B1118" t="str">
            <v>EN COURS DE ROUTE ACHAT ART PUB IMP</v>
          </cell>
          <cell r="C1118" t="str">
            <v>R04</v>
          </cell>
          <cell r="E1118" t="str">
            <v>Pièces de rechange et Fournitures diverses</v>
          </cell>
        </row>
        <row r="1119">
          <cell r="A1119">
            <v>416190</v>
          </cell>
          <cell r="B1119" t="str">
            <v>CLIENTS SOLDE A JUSTIFIER</v>
          </cell>
          <cell r="C1119" t="str">
            <v>S03</v>
          </cell>
          <cell r="D1119" t="str">
            <v>X03</v>
          </cell>
          <cell r="E1119" t="str">
            <v>Créances clients / Clients créditeurs</v>
          </cell>
        </row>
        <row r="1120">
          <cell r="A1120">
            <v>466200</v>
          </cell>
          <cell r="B1120" t="str">
            <v>RECLASSEMENT C/C INTERCO CREDITEURS</v>
          </cell>
          <cell r="C1120" t="str">
            <v>S06</v>
          </cell>
          <cell r="D1120" t="str">
            <v>X06</v>
          </cell>
          <cell r="E1120" t="str">
            <v>Créances CT Sociétés apparentées / Compte Courant CT Sociétés apparentées</v>
          </cell>
        </row>
        <row r="1121">
          <cell r="A1121">
            <v>466300</v>
          </cell>
          <cell r="B1121" t="str">
            <v>RECLASSEMENT C/C INTERCO DEBITEURS</v>
          </cell>
          <cell r="C1121" t="str">
            <v>S06</v>
          </cell>
          <cell r="D1121" t="str">
            <v>X06</v>
          </cell>
          <cell r="E1121" t="str">
            <v>Créances CT Sociétés apparentées / Compte Courant CT Sociétés apparentées</v>
          </cell>
        </row>
        <row r="1122">
          <cell r="A1122">
            <v>474661</v>
          </cell>
          <cell r="B1122" t="str">
            <v>PROVISION REDEVANCE ISENBECK</v>
          </cell>
          <cell r="D1122" t="str">
            <v>X02</v>
          </cell>
          <cell r="E1122" t="str">
            <v>DGE courante</v>
          </cell>
        </row>
        <row r="1124">
          <cell r="E1124">
            <v>0</v>
          </cell>
        </row>
        <row r="1125">
          <cell r="A1125">
            <v>421322</v>
          </cell>
          <cell r="B1125" t="str">
            <v>PERS EOM COURAN</v>
          </cell>
        </row>
        <row r="1126">
          <cell r="A1126">
            <v>421333</v>
          </cell>
          <cell r="B1126" t="str">
            <v>CPTE COUR CAD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/>
      <sheetData sheetId="1"/>
      <sheetData sheetId="2"/>
      <sheetData sheetId="3">
        <row r="2">
          <cell r="A2">
            <v>601100</v>
          </cell>
          <cell r="B2" t="str">
            <v>ACHATS MARCHANDISES</v>
          </cell>
          <cell r="C2" t="str">
            <v>G01</v>
          </cell>
          <cell r="D2" t="str">
            <v>Autres Produits d' Exploitation</v>
          </cell>
        </row>
        <row r="3">
          <cell r="A3">
            <v>601110</v>
          </cell>
          <cell r="B3" t="str">
            <v>DROIT DE DOUANE SUR ACHAT MARCHANDISES</v>
          </cell>
          <cell r="C3" t="str">
            <v>G01</v>
          </cell>
          <cell r="D3" t="str">
            <v>Autres Produits d' Exploitation</v>
          </cell>
        </row>
        <row r="4">
          <cell r="A4">
            <v>601120</v>
          </cell>
          <cell r="B4" t="str">
            <v>FRAIS DI SGS SUR ACHAT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601180</v>
          </cell>
          <cell r="B5" t="str">
            <v>TRANSPORT/ ACHAT CONSO LABORATOIRE</v>
          </cell>
          <cell r="C5" t="str">
            <v>D05</v>
          </cell>
          <cell r="D5" t="str">
            <v>Transports /transferts</v>
          </cell>
        </row>
        <row r="6">
          <cell r="A6">
            <v>601900</v>
          </cell>
          <cell r="B6" t="str">
            <v>RAB &amp; REM.OBTENUS-ACHATS MSES</v>
          </cell>
          <cell r="C6" t="str">
            <v>G01</v>
          </cell>
          <cell r="D6" t="str">
            <v>Autres Produits d' Exploitation</v>
          </cell>
        </row>
        <row r="7">
          <cell r="A7">
            <v>602100</v>
          </cell>
          <cell r="B7" t="str">
            <v>ACHATS MATIERES PREMIERES</v>
          </cell>
          <cell r="C7" t="str">
            <v>D01</v>
          </cell>
          <cell r="D7" t="str">
            <v>Matières et consommables de production</v>
          </cell>
        </row>
        <row r="8">
          <cell r="A8">
            <v>602200</v>
          </cell>
          <cell r="B8" t="str">
            <v>ACHATS MATIERES PREMIERES HORS REGION</v>
          </cell>
          <cell r="C8" t="str">
            <v>D01</v>
          </cell>
          <cell r="D8" t="str">
            <v>Matières et consommables de production</v>
          </cell>
        </row>
        <row r="9">
          <cell r="A9">
            <v>602210</v>
          </cell>
          <cell r="B9" t="str">
            <v>DROIT DE DOUANE SUR ACHAT DE MP</v>
          </cell>
          <cell r="C9" t="str">
            <v>D01</v>
          </cell>
          <cell r="D9" t="str">
            <v>Matières et consommables de production</v>
          </cell>
        </row>
        <row r="10">
          <cell r="A10">
            <v>602220</v>
          </cell>
          <cell r="B10" t="str">
            <v>FRAIS DI SGS SUR ACHAT DE MP</v>
          </cell>
          <cell r="C10" t="str">
            <v>D01</v>
          </cell>
          <cell r="D10" t="str">
            <v>Matières et consommables de production</v>
          </cell>
        </row>
        <row r="11">
          <cell r="A11">
            <v>602230</v>
          </cell>
          <cell r="B11" t="str">
            <v>FRAIS ADMINISTRATIFS SUR ACHATS</v>
          </cell>
          <cell r="C11" t="str">
            <v>G01</v>
          </cell>
          <cell r="D11" t="str">
            <v>Autres Produits d' Exploitation</v>
          </cell>
        </row>
        <row r="12">
          <cell r="A12">
            <v>603110</v>
          </cell>
          <cell r="B12" t="str">
            <v>VARIATION STOCK MARCHANDISES</v>
          </cell>
          <cell r="C12" t="str">
            <v>G01</v>
          </cell>
          <cell r="D12" t="str">
            <v>Autres Produits d' Exploitation</v>
          </cell>
        </row>
        <row r="13">
          <cell r="A13">
            <v>603115</v>
          </cell>
          <cell r="B13" t="str">
            <v>VARIAT° DES STKS.P/VTES BIERES IMPORTEES</v>
          </cell>
          <cell r="C13" t="str">
            <v>G01</v>
          </cell>
          <cell r="D13" t="str">
            <v>Autres Produits d' Exploitation</v>
          </cell>
        </row>
        <row r="14">
          <cell r="A14">
            <v>603120</v>
          </cell>
          <cell r="B14" t="str">
            <v>VARIATION DE STOCK ISENBECK</v>
          </cell>
          <cell r="C14" t="str">
            <v>G01</v>
          </cell>
          <cell r="D14" t="str">
            <v>Autres Produits d' Exploitation</v>
          </cell>
        </row>
        <row r="15">
          <cell r="A15">
            <v>603125</v>
          </cell>
          <cell r="B15" t="str">
            <v>VARIATION DE STOCK VIMTO</v>
          </cell>
          <cell r="C15" t="str">
            <v>C01</v>
          </cell>
          <cell r="D15" t="str">
            <v>Production stockée</v>
          </cell>
        </row>
        <row r="16">
          <cell r="A16">
            <v>603130</v>
          </cell>
          <cell r="B16" t="str">
            <v>VARIAT° DES STKS.P/VENTES EAU</v>
          </cell>
          <cell r="C16" t="str">
            <v>G01</v>
          </cell>
          <cell r="D16" t="str">
            <v>Autres Produits d' Exploitation</v>
          </cell>
        </row>
        <row r="17">
          <cell r="A17">
            <v>603135</v>
          </cell>
          <cell r="B17" t="str">
            <v>VARIATION DE STOCK TANGUI</v>
          </cell>
          <cell r="C17" t="str">
            <v>G01</v>
          </cell>
          <cell r="D17" t="str">
            <v>Autres Produits d' Exploitation</v>
          </cell>
        </row>
        <row r="18">
          <cell r="A18">
            <v>603145</v>
          </cell>
          <cell r="B18" t="str">
            <v>CONSOMMAT° POUR VTE BIERE SIAC</v>
          </cell>
          <cell r="C18" t="str">
            <v>G01</v>
          </cell>
          <cell r="D18" t="str">
            <v>Autres Produits d' Exploitation</v>
          </cell>
        </row>
        <row r="19">
          <cell r="A19">
            <v>603150</v>
          </cell>
          <cell r="B19" t="str">
            <v>CONSOMM.P/VENTES AOC</v>
          </cell>
          <cell r="C19" t="str">
            <v>G01</v>
          </cell>
          <cell r="D19" t="str">
            <v>Autres Produits d' Exploitation</v>
          </cell>
        </row>
        <row r="20">
          <cell r="A20">
            <v>603155</v>
          </cell>
          <cell r="B20" t="str">
            <v>CONSOMMAT° POUR VTE BG SIAC</v>
          </cell>
          <cell r="C20" t="str">
            <v>G01</v>
          </cell>
          <cell r="D20" t="str">
            <v>Autres Produits d' Exploitation</v>
          </cell>
        </row>
        <row r="21">
          <cell r="A21">
            <v>603162</v>
          </cell>
          <cell r="B21" t="str">
            <v>CONSOM POUR CASSES/CESSIONS BIERES SIAC</v>
          </cell>
          <cell r="C21" t="str">
            <v>G01</v>
          </cell>
          <cell r="D21" t="str">
            <v>Autres Produits d' Exploitation</v>
          </cell>
        </row>
        <row r="22">
          <cell r="A22">
            <v>603163</v>
          </cell>
          <cell r="B22" t="str">
            <v>CONSOM POUR CASSES/CESSIONS BG SIAC</v>
          </cell>
          <cell r="C22" t="str">
            <v>G01</v>
          </cell>
          <cell r="D22" t="str">
            <v>Autres Produits d' Exploitation</v>
          </cell>
        </row>
        <row r="23">
          <cell r="A23">
            <v>603192</v>
          </cell>
          <cell r="B23" t="str">
            <v>VARIAT°.STOCKS.P/CASSES/CESSIONS EAU</v>
          </cell>
          <cell r="C23" t="str">
            <v>G01</v>
          </cell>
          <cell r="D23" t="str">
            <v>Autres Produits d' Exploitation</v>
          </cell>
        </row>
        <row r="24">
          <cell r="A24">
            <v>603194</v>
          </cell>
          <cell r="B24" t="str">
            <v>CONSOMM.P/CASSES/CESSIONS AOC</v>
          </cell>
          <cell r="C24" t="str">
            <v>G01</v>
          </cell>
          <cell r="D24" t="str">
            <v>Autres Produits d' Exploitation</v>
          </cell>
        </row>
        <row r="25">
          <cell r="A25">
            <v>603195</v>
          </cell>
          <cell r="B25" t="str">
            <v>VARIAT°. STKS.P/CAS/CESS.BIERES IMPORT.</v>
          </cell>
          <cell r="C25" t="str">
            <v>G01</v>
          </cell>
          <cell r="D25" t="str">
            <v>Autres Produits d' Exploitation</v>
          </cell>
        </row>
        <row r="26">
          <cell r="A26">
            <v>603199</v>
          </cell>
          <cell r="B26" t="str">
            <v>VARIAT°. STKS.REVALORISATION DES STKS</v>
          </cell>
          <cell r="C26" t="str">
            <v>C01</v>
          </cell>
          <cell r="D26" t="str">
            <v>Production stockée</v>
          </cell>
        </row>
        <row r="27">
          <cell r="A27">
            <v>603210</v>
          </cell>
          <cell r="B27" t="str">
            <v>VARIAT°. STKS. MAT. PREMIERES &amp; FOURN.</v>
          </cell>
          <cell r="C27" t="str">
            <v>D01</v>
          </cell>
          <cell r="D27" t="str">
            <v>Matières et consommables de production</v>
          </cell>
        </row>
        <row r="28">
          <cell r="A28">
            <v>603215</v>
          </cell>
          <cell r="B28" t="str">
            <v>VARIAT. STKS MAT. CONS. CONDITIONNEMENT</v>
          </cell>
          <cell r="C28" t="str">
            <v>D02</v>
          </cell>
          <cell r="D28" t="str">
            <v>Fournitures de conditionnement</v>
          </cell>
        </row>
        <row r="29">
          <cell r="A29">
            <v>603219</v>
          </cell>
          <cell r="B29" t="str">
            <v>VARIAT°. STKS. CARBURANT GROUPE ELECTRO</v>
          </cell>
          <cell r="C29" t="str">
            <v>D03</v>
          </cell>
          <cell r="D29" t="str">
            <v>Fluides de production</v>
          </cell>
        </row>
        <row r="30">
          <cell r="A30">
            <v>603220</v>
          </cell>
          <cell r="B30" t="str">
            <v>VARIAT°. STKS.MATIERES CONSOMMABLES</v>
          </cell>
          <cell r="C30" t="str">
            <v>D02</v>
          </cell>
          <cell r="D30" t="str">
            <v>Fournitures de conditionnement</v>
          </cell>
        </row>
        <row r="31">
          <cell r="A31">
            <v>603221</v>
          </cell>
          <cell r="B31" t="str">
            <v>VARIAT°. STKS. COMBUSTIBLES</v>
          </cell>
          <cell r="C31" t="str">
            <v>D03</v>
          </cell>
          <cell r="D31" t="str">
            <v>Fluides de production</v>
          </cell>
        </row>
        <row r="32">
          <cell r="A32">
            <v>603222</v>
          </cell>
          <cell r="B32" t="str">
            <v>VARIAT°. STKS.CARBURANT/LUBRIF.VEHICULE</v>
          </cell>
          <cell r="C32" t="str">
            <v>F01</v>
          </cell>
          <cell r="D32" t="str">
            <v>Consommations fixes</v>
          </cell>
        </row>
        <row r="33">
          <cell r="A33">
            <v>603223</v>
          </cell>
          <cell r="B33" t="str">
            <v>VARIAT°. STKS. LUBRIFIANTS PRODUCTION</v>
          </cell>
          <cell r="C33" t="str">
            <v>D03</v>
          </cell>
          <cell r="D33" t="str">
            <v>Fluides de production</v>
          </cell>
        </row>
        <row r="34">
          <cell r="A34">
            <v>603224</v>
          </cell>
          <cell r="B34" t="str">
            <v>VARIAT°. STKS.POUR VENTE MPC</v>
          </cell>
          <cell r="C34" t="str">
            <v>G01</v>
          </cell>
          <cell r="D34" t="str">
            <v>Autres Produits d' Exploitation</v>
          </cell>
        </row>
        <row r="35">
          <cell r="A35">
            <v>603225</v>
          </cell>
          <cell r="B35" t="str">
            <v>VARIAT°. STKS.AVARIES MATIERES</v>
          </cell>
          <cell r="C35" t="str">
            <v>D01</v>
          </cell>
          <cell r="D35" t="str">
            <v>Matières et consommables de production</v>
          </cell>
        </row>
        <row r="36">
          <cell r="A36">
            <v>603226</v>
          </cell>
          <cell r="B36" t="str">
            <v>VARIAT°. STKS.DIFF./VALORISAT° STKS MPC</v>
          </cell>
          <cell r="C36" t="str">
            <v>D01</v>
          </cell>
          <cell r="D36" t="str">
            <v>Matières et consommables de production</v>
          </cell>
        </row>
        <row r="37">
          <cell r="A37">
            <v>603227</v>
          </cell>
          <cell r="B37" t="str">
            <v>VARIAT°. STKS.DIFF/VALORISAT° DES ACHATS</v>
          </cell>
          <cell r="C37" t="str">
            <v>D01</v>
          </cell>
          <cell r="D37" t="str">
            <v>Matières et consommables de production</v>
          </cell>
        </row>
        <row r="38">
          <cell r="A38">
            <v>603228</v>
          </cell>
          <cell r="B38" t="str">
            <v>VARIAT°. STKS. MPC (DESTRUCTION)</v>
          </cell>
          <cell r="C38" t="str">
            <v>D01</v>
          </cell>
          <cell r="D38" t="str">
            <v>Matières et consommables de production</v>
          </cell>
        </row>
        <row r="39">
          <cell r="A39">
            <v>603229</v>
          </cell>
          <cell r="B39" t="str">
            <v>VARIAT°. STKS.ECART REGUL STKS APRES CLO</v>
          </cell>
          <cell r="C39" t="str">
            <v>D01</v>
          </cell>
          <cell r="D39" t="str">
            <v>Matières et consommables de production</v>
          </cell>
        </row>
        <row r="40">
          <cell r="A40">
            <v>603290</v>
          </cell>
          <cell r="B40" t="str">
            <v>VARIAT°. STKS.FOURN INDUSTRIELLES</v>
          </cell>
          <cell r="C40" t="str">
            <v>F01</v>
          </cell>
          <cell r="D40" t="str">
            <v>Consommations fixes</v>
          </cell>
        </row>
        <row r="41">
          <cell r="A41">
            <v>603291</v>
          </cell>
          <cell r="B41" t="str">
            <v>VARIAT°. STKS.REVALORISATION STKS P.R.</v>
          </cell>
          <cell r="C41" t="str">
            <v>E03</v>
          </cell>
          <cell r="D41" t="str">
            <v>Maintenance (PdeR et entretien usine)</v>
          </cell>
        </row>
        <row r="42">
          <cell r="A42">
            <v>603292</v>
          </cell>
          <cell r="B42" t="str">
            <v>VARIAT°. STKS.PIECES RECHANGE STOCKEES</v>
          </cell>
          <cell r="C42" t="str">
            <v>E03</v>
          </cell>
          <cell r="D42" t="str">
            <v>Maintenance (PdeR et entretien usine)</v>
          </cell>
        </row>
        <row r="43">
          <cell r="A43">
            <v>603293</v>
          </cell>
          <cell r="B43" t="str">
            <v>VARIAT°. STKS.FOURNITURES DE BUREAU</v>
          </cell>
          <cell r="C43" t="str">
            <v>F01</v>
          </cell>
          <cell r="D43" t="str">
            <v>Consommations fixes</v>
          </cell>
        </row>
        <row r="44">
          <cell r="A44">
            <v>603301</v>
          </cell>
          <cell r="B44" t="str">
            <v>VARIAT°. STKS.P/CASS/ECART CAS.C. GM 300</v>
          </cell>
          <cell r="C44" t="str">
            <v>D06</v>
          </cell>
          <cell r="D44" t="str">
            <v>Consommations d'emballages</v>
          </cell>
        </row>
        <row r="45">
          <cell r="A45">
            <v>603302</v>
          </cell>
          <cell r="B45" t="str">
            <v>VARIAT°. STKS.P/CASS/ECART CAS.C. PM 300</v>
          </cell>
          <cell r="C45" t="str">
            <v>D06</v>
          </cell>
          <cell r="D45" t="str">
            <v>Consommations d'emballages</v>
          </cell>
        </row>
        <row r="46">
          <cell r="A46">
            <v>603303</v>
          </cell>
          <cell r="B46" t="str">
            <v>VARIAT°. STKS.P/CASS/ECART CAS.V.GM 1200</v>
          </cell>
          <cell r="C46" t="str">
            <v>D06</v>
          </cell>
          <cell r="D46" t="str">
            <v>Consommations d'emballages</v>
          </cell>
        </row>
        <row r="47">
          <cell r="A47">
            <v>603304</v>
          </cell>
          <cell r="B47" t="str">
            <v>VARIAT°. STKS.P/CASS/ECART CAS.V.PM 1200</v>
          </cell>
          <cell r="C47" t="str">
            <v>D06</v>
          </cell>
          <cell r="D47" t="str">
            <v>Consommations d'emballages</v>
          </cell>
        </row>
        <row r="48">
          <cell r="A48">
            <v>603305</v>
          </cell>
          <cell r="B48" t="str">
            <v>VARIAT°. STKS.P/CASS/ECART BTL GM A 150</v>
          </cell>
          <cell r="C48" t="str">
            <v>D06</v>
          </cell>
          <cell r="D48" t="str">
            <v>Consommations d'emballages</v>
          </cell>
        </row>
        <row r="49">
          <cell r="A49">
            <v>603306</v>
          </cell>
          <cell r="B49" t="str">
            <v>VARIAT°. STKS.P/CASS/ECART BTL PM A 75</v>
          </cell>
          <cell r="C49" t="str">
            <v>D06</v>
          </cell>
          <cell r="D49" t="str">
            <v>Consommations d'emballages</v>
          </cell>
        </row>
        <row r="50">
          <cell r="A50">
            <v>603312</v>
          </cell>
          <cell r="B50" t="str">
            <v>VARIAT°. STKS.P/DESTRUC.CAS.V.GM A 1200</v>
          </cell>
          <cell r="C50" t="str">
            <v>D06</v>
          </cell>
          <cell r="D50" t="str">
            <v>Consommations d'emballages</v>
          </cell>
        </row>
        <row r="51">
          <cell r="A51">
            <v>603313</v>
          </cell>
          <cell r="B51" t="str">
            <v>VARIAT°. STKS.P/DESTRUC.CAS.V.PM A 1200</v>
          </cell>
          <cell r="C51" t="str">
            <v>D06</v>
          </cell>
          <cell r="D51" t="str">
            <v>Consommations d'emballages</v>
          </cell>
        </row>
        <row r="52">
          <cell r="A52">
            <v>603314</v>
          </cell>
          <cell r="B52" t="str">
            <v>VARIAT°. STKS.P/DESTRUC.BTLLES GM A 150</v>
          </cell>
          <cell r="C52" t="str">
            <v>D06</v>
          </cell>
          <cell r="D52" t="str">
            <v>Consommations d'emballages</v>
          </cell>
        </row>
        <row r="53">
          <cell r="A53">
            <v>603315</v>
          </cell>
          <cell r="B53" t="str">
            <v>VARIAT°. STKS.P/DESTRUC.BTLLES PM A 75</v>
          </cell>
          <cell r="C53" t="str">
            <v>D06</v>
          </cell>
          <cell r="D53" t="str">
            <v>Consommations d'emballages</v>
          </cell>
        </row>
        <row r="54">
          <cell r="A54">
            <v>603318</v>
          </cell>
          <cell r="B54" t="str">
            <v>VARIAT°. STKS.ECART S/ ACHATS CAS. NEUFS</v>
          </cell>
          <cell r="C54" t="str">
            <v>E02</v>
          </cell>
          <cell r="D54" t="str">
            <v>Ecart Prix d'achat - Prix de consigne</v>
          </cell>
        </row>
        <row r="55">
          <cell r="A55">
            <v>603319</v>
          </cell>
          <cell r="B55" t="str">
            <v>VARIAT°. STKS.ECARTS S/ACHATS BTLLES NEU</v>
          </cell>
          <cell r="C55" t="str">
            <v>E02</v>
          </cell>
          <cell r="D55" t="str">
            <v>Ecart Prix d'achat - Prix de consigne</v>
          </cell>
        </row>
        <row r="56">
          <cell r="A56">
            <v>603321</v>
          </cell>
          <cell r="B56" t="str">
            <v>VARIATION STOCK VETEMENT TRAVAIL &amp; AUTRE</v>
          </cell>
          <cell r="C56" t="str">
            <v>F06</v>
          </cell>
          <cell r="D56" t="str">
            <v>Frais de Personnel</v>
          </cell>
        </row>
        <row r="57">
          <cell r="A57">
            <v>603326</v>
          </cell>
          <cell r="B57" t="str">
            <v>VARIAT°. STKS.P/CESS/PROMO FUTS A 8000</v>
          </cell>
          <cell r="C57" t="str">
            <v>D06</v>
          </cell>
          <cell r="D57" t="str">
            <v>Consommations d'emballages</v>
          </cell>
        </row>
        <row r="58">
          <cell r="A58">
            <v>603331</v>
          </cell>
          <cell r="B58" t="str">
            <v>VARIATION STOCK ARTICLE PUB</v>
          </cell>
          <cell r="C58" t="str">
            <v>E04</v>
          </cell>
          <cell r="D58" t="str">
            <v>Publicité et Marketing local</v>
          </cell>
        </row>
        <row r="59">
          <cell r="A59">
            <v>603332</v>
          </cell>
          <cell r="B59" t="str">
            <v>VAR STK MAT&amp;FRNI IND PROD</v>
          </cell>
          <cell r="C59" t="str">
            <v>E03</v>
          </cell>
          <cell r="D59" t="str">
            <v>Maintenance (PdeR et entretien usine)</v>
          </cell>
        </row>
        <row r="60">
          <cell r="A60">
            <v>603334</v>
          </cell>
          <cell r="B60" t="e">
            <v>#N/A</v>
          </cell>
          <cell r="C60" t="str">
            <v>D06</v>
          </cell>
          <cell r="D60" t="str">
            <v>Consommations d'emballages</v>
          </cell>
        </row>
        <row r="61">
          <cell r="A61">
            <v>603335</v>
          </cell>
          <cell r="B61" t="e">
            <v>#N/A</v>
          </cell>
          <cell r="C61" t="str">
            <v>D06</v>
          </cell>
          <cell r="D61" t="str">
            <v>Consommations d'emballages</v>
          </cell>
        </row>
        <row r="62">
          <cell r="A62">
            <v>603336</v>
          </cell>
          <cell r="B62" t="str">
            <v>VARIAT°. STKS.P/CASS/ECART FUTS A 8000</v>
          </cell>
          <cell r="C62" t="str">
            <v>D06</v>
          </cell>
          <cell r="D62" t="str">
            <v>Consommations d'emballages</v>
          </cell>
        </row>
        <row r="63">
          <cell r="A63">
            <v>603337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603338</v>
          </cell>
          <cell r="B64" t="e">
            <v>#N/A</v>
          </cell>
          <cell r="C64" t="str">
            <v>D06</v>
          </cell>
          <cell r="D64" t="str">
            <v>Consommations d'emballages</v>
          </cell>
        </row>
        <row r="65">
          <cell r="A65">
            <v>603339</v>
          </cell>
          <cell r="B65" t="str">
            <v>VARIAT°. STKS.P/CASS/ECART BTL LIT. A 15</v>
          </cell>
          <cell r="C65" t="str">
            <v>D06</v>
          </cell>
          <cell r="D65" t="str">
            <v>Consommations d'emballages</v>
          </cell>
        </row>
        <row r="66">
          <cell r="A66">
            <v>603340</v>
          </cell>
          <cell r="B66" t="str">
            <v>CONS.P/CASS/ECART EMBALLAGES</v>
          </cell>
          <cell r="C66" t="str">
            <v>D06</v>
          </cell>
          <cell r="D66" t="str">
            <v>Consommations d'emballages</v>
          </cell>
        </row>
        <row r="67">
          <cell r="A67">
            <v>603341</v>
          </cell>
          <cell r="B67" t="str">
            <v>VAR STK LISTING-IMPR-FRNI BUR STK</v>
          </cell>
          <cell r="C67" t="str">
            <v>F01</v>
          </cell>
          <cell r="D67" t="str">
            <v>Consommations fixes</v>
          </cell>
        </row>
        <row r="68">
          <cell r="A68">
            <v>603350</v>
          </cell>
          <cell r="B68" t="str">
            <v>VARIATIONS STOCKS D'EMBALLAGES</v>
          </cell>
          <cell r="C68" t="str">
            <v>G01</v>
          </cell>
          <cell r="D68" t="str">
            <v>Autres Produits d' Exploitation</v>
          </cell>
        </row>
        <row r="69">
          <cell r="A69">
            <v>603358</v>
          </cell>
          <cell r="B69" t="str">
            <v>VARIAT°. STKS PALETTES</v>
          </cell>
          <cell r="C69" t="str">
            <v>F01</v>
          </cell>
          <cell r="D69" t="str">
            <v>Consommations fixes</v>
          </cell>
        </row>
        <row r="70">
          <cell r="A70">
            <v>603381</v>
          </cell>
          <cell r="B70" t="str">
            <v>VARIAT°. STKS.P/CESS/PROMO CAS.C. GM 300</v>
          </cell>
          <cell r="C70" t="str">
            <v>D06</v>
          </cell>
          <cell r="D70" t="str">
            <v>Consommations d'emballages</v>
          </cell>
        </row>
        <row r="71">
          <cell r="A71">
            <v>603382</v>
          </cell>
          <cell r="B71" t="str">
            <v>VARIAT°. STKS.P/CESS/PROMO CAS.C. PM 300</v>
          </cell>
          <cell r="C71" t="str">
            <v>D06</v>
          </cell>
          <cell r="D71" t="str">
            <v>Consommations d'emballages</v>
          </cell>
        </row>
        <row r="72">
          <cell r="A72">
            <v>603383</v>
          </cell>
          <cell r="B72" t="str">
            <v>VARIAT°. STKS.P/CESS/PROMO CAS.V.GM 1200</v>
          </cell>
          <cell r="C72" t="str">
            <v>D06</v>
          </cell>
          <cell r="D72" t="str">
            <v>Consommations d'emballages</v>
          </cell>
        </row>
        <row r="73">
          <cell r="A73">
            <v>603384</v>
          </cell>
          <cell r="B73" t="str">
            <v>VARIAT°. STKS.P/CESS/PROMO CAS.V.PM 1200</v>
          </cell>
          <cell r="C73" t="str">
            <v>D06</v>
          </cell>
          <cell r="D73" t="str">
            <v>Consommations d'emballages</v>
          </cell>
        </row>
        <row r="74">
          <cell r="A74">
            <v>603390</v>
          </cell>
          <cell r="B74" t="str">
            <v>CONS.P/ECARTS VALO.CAS.C.GM 3000</v>
          </cell>
          <cell r="C74" t="str">
            <v>D06</v>
          </cell>
          <cell r="D74" t="str">
            <v>Consommations d'emballages</v>
          </cell>
        </row>
        <row r="75">
          <cell r="A75">
            <v>603394</v>
          </cell>
          <cell r="B75" t="str">
            <v>CONS.P/ECARTS VALO.BTLS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603398</v>
          </cell>
          <cell r="B76" t="str">
            <v>REVALORISATION DE STOCK EMBAL.</v>
          </cell>
          <cell r="C76" t="str">
            <v>D06</v>
          </cell>
          <cell r="D76" t="str">
            <v>Consommations d'emballages</v>
          </cell>
        </row>
        <row r="77">
          <cell r="A77">
            <v>603460</v>
          </cell>
          <cell r="B77" t="str">
            <v>SORTIE P/VENTES FUTS A 8000</v>
          </cell>
          <cell r="C77" t="str">
            <v>G01</v>
          </cell>
          <cell r="D77" t="str">
            <v>Autres Produits d' Exploitation</v>
          </cell>
        </row>
        <row r="78">
          <cell r="A78">
            <v>603490</v>
          </cell>
          <cell r="B78" t="str">
            <v>SORTIE P/VTES CAS COMPLET GM A 3000</v>
          </cell>
          <cell r="C78" t="str">
            <v>G01</v>
          </cell>
          <cell r="D78" t="str">
            <v>Autres Produits d' Exploitation</v>
          </cell>
        </row>
        <row r="79">
          <cell r="A79">
            <v>603491</v>
          </cell>
          <cell r="B79" t="str">
            <v>SORTIE P/VTES CAS COMPLET PM A 3000</v>
          </cell>
          <cell r="C79" t="str">
            <v>G01</v>
          </cell>
          <cell r="D79" t="str">
            <v>Autres Produits d' Exploitation</v>
          </cell>
        </row>
        <row r="80">
          <cell r="A80">
            <v>603492</v>
          </cell>
          <cell r="B80" t="str">
            <v>SORTIE P/VTES CAS VIDES GM A 1200</v>
          </cell>
          <cell r="C80" t="str">
            <v>G01</v>
          </cell>
          <cell r="D80" t="str">
            <v>Autres Produits d' Exploitation</v>
          </cell>
        </row>
        <row r="81">
          <cell r="A81">
            <v>603493</v>
          </cell>
          <cell r="B81" t="str">
            <v>SORTIE P/VTES CAS VIDES PM A 1200</v>
          </cell>
          <cell r="C81" t="str">
            <v>G01</v>
          </cell>
          <cell r="D81" t="str">
            <v>Autres Produits d' Exploitation</v>
          </cell>
        </row>
        <row r="82">
          <cell r="A82">
            <v>603494</v>
          </cell>
          <cell r="B82" t="str">
            <v>SORTIE P/VTES BTL GM A 150</v>
          </cell>
          <cell r="C82" t="str">
            <v>G01</v>
          </cell>
          <cell r="D82" t="str">
            <v>Autres Produits d' Exploitation</v>
          </cell>
        </row>
        <row r="83">
          <cell r="A83">
            <v>603495</v>
          </cell>
          <cell r="B83" t="str">
            <v>SORTIE P/VTES BTL PM A 75</v>
          </cell>
          <cell r="C83" t="str">
            <v>G01</v>
          </cell>
          <cell r="D83" t="str">
            <v>Autres Produits d' Exploitation</v>
          </cell>
        </row>
        <row r="84">
          <cell r="A84">
            <v>603540</v>
          </cell>
          <cell r="B84" t="str">
            <v>SORTIE P/VTES EMB HC CAS. VID GM A 1200</v>
          </cell>
          <cell r="C84" t="str">
            <v>G01</v>
          </cell>
          <cell r="D84" t="str">
            <v>Autres Produits d' Exploitation</v>
          </cell>
        </row>
        <row r="85">
          <cell r="A85">
            <v>603550</v>
          </cell>
          <cell r="B85" t="str">
            <v>SORTIE P/VTES EMB HC CAS. VID PM A 1200</v>
          </cell>
          <cell r="C85" t="str">
            <v>G01</v>
          </cell>
          <cell r="D85" t="str">
            <v>Autres Produits d' Exploitation</v>
          </cell>
        </row>
        <row r="86">
          <cell r="A86">
            <v>603570</v>
          </cell>
          <cell r="B86" t="str">
            <v>SORTIE P/VTE EMB HC BLLE GM A 150</v>
          </cell>
          <cell r="C86" t="str">
            <v>G01</v>
          </cell>
          <cell r="D86" t="str">
            <v>Autres Produits d' Exploitation</v>
          </cell>
        </row>
        <row r="87">
          <cell r="A87">
            <v>603580</v>
          </cell>
          <cell r="B87" t="str">
            <v>SORTIE P/VTES EMB. HC BLLE PM A 75</v>
          </cell>
          <cell r="C87" t="str">
            <v>G01</v>
          </cell>
          <cell r="D87" t="str">
            <v>Autres Produits d' Exploitation</v>
          </cell>
        </row>
        <row r="88">
          <cell r="A88">
            <v>603810</v>
          </cell>
          <cell r="B88" t="str">
            <v>VARIATION STOCK CONSOM. DE LABORATOIRE</v>
          </cell>
          <cell r="C88" t="str">
            <v>F01</v>
          </cell>
          <cell r="D88" t="str">
            <v>Consommations fixes</v>
          </cell>
        </row>
        <row r="89">
          <cell r="A89">
            <v>603960</v>
          </cell>
          <cell r="B89" t="str">
            <v>RETOUR/VTES FUTS A 8000</v>
          </cell>
          <cell r="C89" t="str">
            <v>G01</v>
          </cell>
          <cell r="D89" t="str">
            <v>Autres Produits d' Exploitation</v>
          </cell>
        </row>
        <row r="90">
          <cell r="A90">
            <v>603990</v>
          </cell>
          <cell r="B90" t="str">
            <v>RETR/VTES CAS. COMP. GM A 3000</v>
          </cell>
          <cell r="C90" t="str">
            <v>G01</v>
          </cell>
          <cell r="D90" t="str">
            <v>Autres Produits d' Exploitation</v>
          </cell>
        </row>
        <row r="91">
          <cell r="A91">
            <v>603991</v>
          </cell>
          <cell r="B91" t="str">
            <v>RETR/VTES CAS. COMP. PM A 3000</v>
          </cell>
          <cell r="C91" t="str">
            <v>G01</v>
          </cell>
          <cell r="D91" t="str">
            <v>Autres Produits d' Exploitation</v>
          </cell>
        </row>
        <row r="92">
          <cell r="A92">
            <v>603992</v>
          </cell>
          <cell r="B92" t="str">
            <v>RETR/VTES CAS. VIDES GM  A 1200</v>
          </cell>
          <cell r="C92" t="str">
            <v>G01</v>
          </cell>
          <cell r="D92" t="str">
            <v>Autres Produits d' Exploitation</v>
          </cell>
        </row>
        <row r="93">
          <cell r="A93">
            <v>603993</v>
          </cell>
          <cell r="B93" t="str">
            <v>RETR/VTES CAS. VIDES PM A 1200</v>
          </cell>
          <cell r="C93" t="str">
            <v>G01</v>
          </cell>
          <cell r="D93" t="str">
            <v>Autres Produits d' Exploitation</v>
          </cell>
        </row>
        <row r="94">
          <cell r="A94">
            <v>603994</v>
          </cell>
          <cell r="B94" t="str">
            <v>RETR/VTES BLLES GM A 150</v>
          </cell>
          <cell r="C94" t="str">
            <v>G01</v>
          </cell>
          <cell r="D94" t="str">
            <v>Autres Produits d' Exploitation</v>
          </cell>
        </row>
        <row r="95">
          <cell r="A95">
            <v>603995</v>
          </cell>
          <cell r="B95" t="str">
            <v>RETR/VTES BLLES GM A 150</v>
          </cell>
          <cell r="C95" t="str">
            <v>G01</v>
          </cell>
          <cell r="D95" t="str">
            <v>Autres Produits d' Exploitation</v>
          </cell>
        </row>
        <row r="96">
          <cell r="A96">
            <v>604100</v>
          </cell>
          <cell r="B96" t="str">
            <v>ACHATS DE MATIERE CONSOMMABLE REGION</v>
          </cell>
          <cell r="C96" t="str">
            <v>D02</v>
          </cell>
          <cell r="D96" t="str">
            <v>Fournitures de conditionnement</v>
          </cell>
        </row>
        <row r="97">
          <cell r="A97">
            <v>604110</v>
          </cell>
          <cell r="B97" t="str">
            <v>ACHATS MATIERE CONSOMMABLE HORS REGION</v>
          </cell>
          <cell r="C97" t="str">
            <v>D02</v>
          </cell>
          <cell r="D97" t="str">
            <v>Fournitures de conditionnement</v>
          </cell>
        </row>
        <row r="98">
          <cell r="A98">
            <v>604111</v>
          </cell>
          <cell r="B98" t="str">
            <v>DROIT DE DOUANE SUR MAT CONSO</v>
          </cell>
          <cell r="C98" t="str">
            <v>D02</v>
          </cell>
          <cell r="D98" t="str">
            <v>Fournitures de conditionnement</v>
          </cell>
        </row>
        <row r="99">
          <cell r="A99">
            <v>604112</v>
          </cell>
          <cell r="B99" t="str">
            <v>FRAIS DI SGS SUR ACHAT MAT CONSO</v>
          </cell>
          <cell r="C99" t="str">
            <v>D02</v>
          </cell>
          <cell r="D99" t="str">
            <v>Fournitures de conditionnement</v>
          </cell>
        </row>
        <row r="100">
          <cell r="A100">
            <v>604122</v>
          </cell>
          <cell r="B100" t="str">
            <v>DROIT DOUANE/FMAT&amp;FRNI IND PROD</v>
          </cell>
          <cell r="C100" t="str">
            <v>E03</v>
          </cell>
          <cell r="D100" t="str">
            <v>Maintenance (PdeR et entretien usine)</v>
          </cell>
        </row>
        <row r="101">
          <cell r="A101">
            <v>604123</v>
          </cell>
          <cell r="B101" t="str">
            <v>FRAIS SGS/ACHAT AUTRES MAT&amp;FOURNI IND PR</v>
          </cell>
          <cell r="C101" t="str">
            <v>F01</v>
          </cell>
          <cell r="D101" t="str">
            <v>Consommations fixes</v>
          </cell>
        </row>
        <row r="102">
          <cell r="A102">
            <v>604150</v>
          </cell>
          <cell r="B102" t="str">
            <v>ACHATS MAT. CONS. DE CONDITIONNEMENT</v>
          </cell>
          <cell r="C102" t="str">
            <v>D02</v>
          </cell>
          <cell r="D102" t="str">
            <v>Fournitures de conditionnement</v>
          </cell>
        </row>
        <row r="103">
          <cell r="A103">
            <v>604151</v>
          </cell>
          <cell r="B103" t="str">
            <v>DOUANE MAT. CONS. DE CONDITIONNEMENT</v>
          </cell>
          <cell r="C103" t="str">
            <v>D02</v>
          </cell>
          <cell r="D103" t="str">
            <v>Fournitures de conditionnement</v>
          </cell>
        </row>
        <row r="104">
          <cell r="A104">
            <v>604152</v>
          </cell>
          <cell r="B104" t="str">
            <v>SGS MAT. CONS. DE CONDITIONNEMENT</v>
          </cell>
          <cell r="C104" t="str">
            <v>D02</v>
          </cell>
          <cell r="D104" t="str">
            <v>Fournitures de conditionnement</v>
          </cell>
        </row>
        <row r="105">
          <cell r="A105">
            <v>604200</v>
          </cell>
          <cell r="B105" t="str">
            <v>ACHATS DE MATIERE COMBUSTIBLE</v>
          </cell>
          <cell r="C105" t="str">
            <v>D03</v>
          </cell>
          <cell r="D105" t="str">
            <v>Fluides de production</v>
          </cell>
        </row>
        <row r="106">
          <cell r="A106">
            <v>604210</v>
          </cell>
          <cell r="B106" t="str">
            <v>ACHATS DE CARBURANT STOCKES</v>
          </cell>
          <cell r="C106" t="str">
            <v>F01</v>
          </cell>
          <cell r="D106" t="str">
            <v>Consommations fixes</v>
          </cell>
        </row>
        <row r="107">
          <cell r="A107">
            <v>604220</v>
          </cell>
          <cell r="B107" t="str">
            <v>ACHATS DE LUBRIFIANT STOCKE</v>
          </cell>
          <cell r="C107" t="str">
            <v>D03</v>
          </cell>
          <cell r="D107" t="str">
            <v>Fluides de production</v>
          </cell>
        </row>
        <row r="108">
          <cell r="A108">
            <v>604221</v>
          </cell>
          <cell r="B108" t="str">
            <v>DROITS DOUANE ACHATS DE HUILES LUB</v>
          </cell>
          <cell r="C108" t="str">
            <v>D03</v>
          </cell>
          <cell r="D108" t="str">
            <v>Fluides de production</v>
          </cell>
        </row>
        <row r="109">
          <cell r="A109">
            <v>604300</v>
          </cell>
          <cell r="B109" t="str">
            <v>ACHATS PRODUITS D'ENTRETIEN</v>
          </cell>
          <cell r="C109" t="str">
            <v>F01</v>
          </cell>
          <cell r="D109" t="str">
            <v>Consommations fixes</v>
          </cell>
        </row>
        <row r="110">
          <cell r="A110">
            <v>604400</v>
          </cell>
          <cell r="B110" t="str">
            <v>ACHATS PIECES DE RECHANGE</v>
          </cell>
          <cell r="C110" t="str">
            <v>E03</v>
          </cell>
          <cell r="D110" t="str">
            <v>Maintenance (PdeR et entretien usine)</v>
          </cell>
        </row>
        <row r="111">
          <cell r="A111">
            <v>604410</v>
          </cell>
          <cell r="B111" t="str">
            <v>SGS/PR STK MAT USINE</v>
          </cell>
          <cell r="C111" t="str">
            <v>E03</v>
          </cell>
          <cell r="D111" t="str">
            <v>Maintenance (PdeR et entretien usine)</v>
          </cell>
        </row>
        <row r="112">
          <cell r="A112">
            <v>604411</v>
          </cell>
          <cell r="B112" t="str">
            <v>DRT DOUANE/PR STKES MAT USINE</v>
          </cell>
          <cell r="C112" t="str">
            <v>E03</v>
          </cell>
          <cell r="D112" t="str">
            <v>Maintenance (PdeR et entretien usine)</v>
          </cell>
        </row>
        <row r="113">
          <cell r="A113">
            <v>604412</v>
          </cell>
          <cell r="B113" t="str">
            <v>FRAIS ADM S/ACH PR STOCKES</v>
          </cell>
          <cell r="C113" t="str">
            <v>E03</v>
          </cell>
          <cell r="D113" t="str">
            <v>Maintenance (PdeR et entretien usine)</v>
          </cell>
        </row>
        <row r="114">
          <cell r="A114">
            <v>604500</v>
          </cell>
          <cell r="B114" t="str">
            <v>ACHATS CARBURANT DE PRODUCTION</v>
          </cell>
          <cell r="C114" t="str">
            <v>F01</v>
          </cell>
          <cell r="D114" t="str">
            <v>Consommations fixes</v>
          </cell>
        </row>
        <row r="115">
          <cell r="A115">
            <v>604600</v>
          </cell>
          <cell r="B115" t="str">
            <v>ACHAT MAT&amp;FRNI IND STK PDUTION</v>
          </cell>
          <cell r="C115" t="str">
            <v>F01</v>
          </cell>
          <cell r="D115" t="str">
            <v>Consommations fixes</v>
          </cell>
        </row>
        <row r="116">
          <cell r="A116">
            <v>604610</v>
          </cell>
          <cell r="B116" t="str">
            <v>ACHATS PALETTES</v>
          </cell>
          <cell r="C116" t="str">
            <v>F01</v>
          </cell>
          <cell r="D116" t="str">
            <v>Consommations fixes</v>
          </cell>
        </row>
        <row r="117">
          <cell r="A117">
            <v>604620</v>
          </cell>
          <cell r="B117" t="str">
            <v>ACHAT CONSO LABO ET AUTRES</v>
          </cell>
          <cell r="C117" t="str">
            <v>F01</v>
          </cell>
          <cell r="D117" t="str">
            <v>Consommations fixes</v>
          </cell>
        </row>
        <row r="118">
          <cell r="A118">
            <v>604621</v>
          </cell>
          <cell r="B118" t="str">
            <v>SGS/CONSOMMABLE LABORATOIRE</v>
          </cell>
          <cell r="C118" t="str">
            <v>F01</v>
          </cell>
          <cell r="D118" t="str">
            <v>Consommations fixes</v>
          </cell>
        </row>
        <row r="119">
          <cell r="A119">
            <v>604622</v>
          </cell>
          <cell r="B119" t="str">
            <v>DROIT DE DOUANE/CONSOMMABLE LABORATOIRE</v>
          </cell>
          <cell r="C119" t="str">
            <v>F01</v>
          </cell>
          <cell r="D119" t="str">
            <v>Consommations fixes</v>
          </cell>
        </row>
        <row r="120">
          <cell r="A120">
            <v>604650</v>
          </cell>
          <cell r="B120" t="str">
            <v>ACHAT VETEMENTS DE TRAVAIL &amp; AUTRES</v>
          </cell>
          <cell r="C120" t="str">
            <v>F06</v>
          </cell>
          <cell r="D120" t="str">
            <v>Frais de Personnel</v>
          </cell>
        </row>
        <row r="121">
          <cell r="A121">
            <v>604651</v>
          </cell>
          <cell r="B121" t="str">
            <v>SGS/ACHAT VETEMENT DE TRAVAIL&amp;AUTRE</v>
          </cell>
          <cell r="C121" t="str">
            <v>F06</v>
          </cell>
          <cell r="D121" t="str">
            <v>Frais de Personnel</v>
          </cell>
        </row>
        <row r="122">
          <cell r="A122">
            <v>604652</v>
          </cell>
          <cell r="B122" t="str">
            <v>DROIT DE DOUANE/ACHAT VET DE TRAVAIL&amp;AUT</v>
          </cell>
          <cell r="C122" t="str">
            <v>F01</v>
          </cell>
          <cell r="D122" t="str">
            <v>Consommations fixes</v>
          </cell>
        </row>
        <row r="123">
          <cell r="A123">
            <v>604660</v>
          </cell>
          <cell r="B123" t="str">
            <v>ACH ART PUB</v>
          </cell>
          <cell r="C123" t="str">
            <v>E04</v>
          </cell>
          <cell r="D123" t="str">
            <v>Publicité et Marketing local</v>
          </cell>
        </row>
        <row r="124">
          <cell r="A124">
            <v>604661</v>
          </cell>
          <cell r="B124" t="str">
            <v>SGS/ART PUB</v>
          </cell>
          <cell r="C124" t="str">
            <v>E04</v>
          </cell>
          <cell r="D124" t="str">
            <v>Publicité et Marketing local</v>
          </cell>
        </row>
        <row r="125">
          <cell r="A125">
            <v>604662</v>
          </cell>
          <cell r="B125" t="str">
            <v>DROIT DE DOUANE/ART PUB</v>
          </cell>
          <cell r="C125" t="str">
            <v>E04</v>
          </cell>
          <cell r="D125" t="str">
            <v>Publicité et Marketing local</v>
          </cell>
        </row>
        <row r="126">
          <cell r="A126">
            <v>604700</v>
          </cell>
          <cell r="B126" t="str">
            <v>ACHATS FOURNITURES DE BUREAU</v>
          </cell>
          <cell r="C126" t="str">
            <v>F01</v>
          </cell>
          <cell r="D126" t="str">
            <v>Consommations fixes</v>
          </cell>
        </row>
        <row r="127">
          <cell r="A127">
            <v>604710</v>
          </cell>
          <cell r="B127" t="str">
            <v>ACHATS IMPRIMES</v>
          </cell>
          <cell r="C127" t="str">
            <v>F01</v>
          </cell>
          <cell r="D127" t="str">
            <v>Consommations fixes</v>
          </cell>
        </row>
        <row r="128">
          <cell r="A128">
            <v>605000</v>
          </cell>
          <cell r="B128" t="str">
            <v>CONSOM.MPC.NON STOCKEES</v>
          </cell>
          <cell r="C128" t="str">
            <v>D01</v>
          </cell>
          <cell r="D128" t="str">
            <v>Matières et consommables de production</v>
          </cell>
        </row>
        <row r="129">
          <cell r="A129">
            <v>605110</v>
          </cell>
          <cell r="B129" t="str">
            <v>EAU USINES</v>
          </cell>
          <cell r="C129" t="str">
            <v>D03</v>
          </cell>
          <cell r="D129" t="str">
            <v>Fluides de production</v>
          </cell>
        </row>
        <row r="130">
          <cell r="A130">
            <v>605120</v>
          </cell>
          <cell r="B130" t="str">
            <v>AUTRE EAU</v>
          </cell>
          <cell r="C130" t="str">
            <v>F01</v>
          </cell>
          <cell r="D130" t="str">
            <v>Consommations fixes</v>
          </cell>
        </row>
        <row r="131">
          <cell r="A131">
            <v>605121</v>
          </cell>
          <cell r="B131" t="str">
            <v>CONSOM.EAU LOGT PERSONNEL CADRE</v>
          </cell>
          <cell r="C131" t="str">
            <v>F06</v>
          </cell>
          <cell r="D131" t="str">
            <v>Frais de Personnel</v>
          </cell>
        </row>
        <row r="132">
          <cell r="A132">
            <v>605122</v>
          </cell>
          <cell r="B132" t="str">
            <v>CONS.EAU LOGT PERSON. NON CADRE</v>
          </cell>
          <cell r="C132" t="str">
            <v>F06</v>
          </cell>
          <cell r="D132" t="str">
            <v>Frais de Personnel</v>
          </cell>
        </row>
        <row r="133">
          <cell r="A133">
            <v>605210</v>
          </cell>
          <cell r="B133" t="str">
            <v>ELECTRICITE USINES</v>
          </cell>
          <cell r="C133" t="str">
            <v>D03</v>
          </cell>
          <cell r="D133" t="str">
            <v>Fluides de production</v>
          </cell>
        </row>
        <row r="134">
          <cell r="A134">
            <v>605220</v>
          </cell>
          <cell r="B134" t="str">
            <v>AUTRE ELECTRICITE</v>
          </cell>
          <cell r="C134" t="str">
            <v>F01</v>
          </cell>
          <cell r="D134" t="str">
            <v>Consommations fixes</v>
          </cell>
        </row>
        <row r="135">
          <cell r="A135">
            <v>605221</v>
          </cell>
          <cell r="B135" t="str">
            <v>ELECTRICITE LOGTS CADRES</v>
          </cell>
          <cell r="C135" t="str">
            <v>F06</v>
          </cell>
          <cell r="D135" t="str">
            <v>Frais de Personnel</v>
          </cell>
        </row>
        <row r="136">
          <cell r="A136">
            <v>605222</v>
          </cell>
          <cell r="B136" t="str">
            <v>ELEC LOGTS PERSONNEL NON CADRE</v>
          </cell>
          <cell r="C136" t="str">
            <v>F06</v>
          </cell>
          <cell r="D136" t="str">
            <v>Frais de Personnel</v>
          </cell>
        </row>
        <row r="137">
          <cell r="A137">
            <v>605300</v>
          </cell>
          <cell r="B137" t="str">
            <v>COMBUSTIBLE CARBURANT NON STOCKE</v>
          </cell>
          <cell r="C137" t="str">
            <v>F01</v>
          </cell>
          <cell r="D137" t="str">
            <v>Consommations fixes</v>
          </cell>
        </row>
        <row r="138">
          <cell r="A138">
            <v>605305</v>
          </cell>
          <cell r="B138" t="str">
            <v>COMBUSTIBLE GAZ NON STOCKE</v>
          </cell>
          <cell r="C138" t="str">
            <v>D03</v>
          </cell>
          <cell r="D138" t="str">
            <v>Fluides de production</v>
          </cell>
        </row>
        <row r="139">
          <cell r="A139">
            <v>605310</v>
          </cell>
          <cell r="B139" t="str">
            <v>FOUR P/ENT.REP.LOGT.PERS.N.CADRES</v>
          </cell>
          <cell r="C139" t="str">
            <v>F06</v>
          </cell>
          <cell r="D139" t="str">
            <v>Frais de Personnel</v>
          </cell>
        </row>
        <row r="140">
          <cell r="A140">
            <v>605400</v>
          </cell>
          <cell r="B140" t="str">
            <v>PRODUITS ENTRET.N/STOCKE</v>
          </cell>
          <cell r="C140" t="str">
            <v>F01</v>
          </cell>
          <cell r="D140" t="str">
            <v>Consommations fixes</v>
          </cell>
        </row>
        <row r="141">
          <cell r="A141">
            <v>605410</v>
          </cell>
          <cell r="B141" t="str">
            <v>ACH PIECES RECHANGE NON STOCKES</v>
          </cell>
          <cell r="C141" t="str">
            <v>E03</v>
          </cell>
          <cell r="D141" t="str">
            <v>Maintenance (PdeR et entretien usine)</v>
          </cell>
        </row>
        <row r="142">
          <cell r="A142">
            <v>605411</v>
          </cell>
          <cell r="B142" t="str">
            <v>SGS/PR STK MAT USINE</v>
          </cell>
          <cell r="C142" t="str">
            <v>E03</v>
          </cell>
          <cell r="D142" t="str">
            <v>Maintenance (PdeR et entretien usine)</v>
          </cell>
        </row>
        <row r="143">
          <cell r="A143">
            <v>605412</v>
          </cell>
          <cell r="B143" t="str">
            <v>DRT DOUANE/PR STKES MAT USINE</v>
          </cell>
          <cell r="C143" t="str">
            <v>E03</v>
          </cell>
          <cell r="D143" t="str">
            <v>Maintenance (PdeR et entretien usine)</v>
          </cell>
        </row>
        <row r="144">
          <cell r="A144">
            <v>605420</v>
          </cell>
          <cell r="B144" t="str">
            <v>PIECES RECH.TRANSP/LIVR</v>
          </cell>
          <cell r="C144" t="str">
            <v>E03</v>
          </cell>
          <cell r="D144" t="str">
            <v>Maintenance (PdeR et entretien usine)</v>
          </cell>
        </row>
        <row r="145">
          <cell r="A145">
            <v>605440</v>
          </cell>
          <cell r="B145" t="str">
            <v>FOURNITURE MAG.ATEL.N/STOCKE</v>
          </cell>
          <cell r="C145" t="str">
            <v>F01</v>
          </cell>
          <cell r="D145" t="str">
            <v>Consommations fixes</v>
          </cell>
        </row>
        <row r="146">
          <cell r="A146">
            <v>605450</v>
          </cell>
          <cell r="B146" t="str">
            <v>FOURNITURE P/GROS ENTRETIEN BATIMENTS</v>
          </cell>
          <cell r="C146" t="str">
            <v>F03</v>
          </cell>
          <cell r="D146" t="str">
            <v>Autres Services</v>
          </cell>
        </row>
        <row r="147">
          <cell r="A147">
            <v>605460</v>
          </cell>
          <cell r="B147" t="str">
            <v>FOURNITURE P/GROS ENTRETIEN MATERIEL</v>
          </cell>
          <cell r="C147" t="str">
            <v>E03</v>
          </cell>
          <cell r="D147" t="str">
            <v>Maintenance (PdeR et entretien usine)</v>
          </cell>
        </row>
        <row r="148">
          <cell r="A148">
            <v>605510</v>
          </cell>
          <cell r="B148" t="str">
            <v>FOURNITURE BUREAU NON STOCKABLES</v>
          </cell>
          <cell r="C148" t="str">
            <v>F01</v>
          </cell>
          <cell r="D148" t="str">
            <v>Consommations fixes</v>
          </cell>
        </row>
        <row r="149">
          <cell r="A149">
            <v>605520</v>
          </cell>
          <cell r="B149" t="str">
            <v>IMPRIMES NON STOCKABLES</v>
          </cell>
          <cell r="C149" t="str">
            <v>F01</v>
          </cell>
          <cell r="D149" t="str">
            <v>Consommations fixes</v>
          </cell>
        </row>
        <row r="150">
          <cell r="A150">
            <v>605600</v>
          </cell>
          <cell r="B150" t="str">
            <v>PETIT OUTILLAGE NON IMMOBILISE</v>
          </cell>
          <cell r="C150" t="str">
            <v>F01</v>
          </cell>
          <cell r="D150" t="str">
            <v>Consommations fixes</v>
          </cell>
        </row>
        <row r="151">
          <cell r="A151">
            <v>605690</v>
          </cell>
          <cell r="B151" t="str">
            <v>PUBLICITE SUR LIEUX DE VENTES</v>
          </cell>
          <cell r="C151" t="str">
            <v>E04</v>
          </cell>
          <cell r="D151" t="str">
            <v>Publicité et Marketing local</v>
          </cell>
        </row>
        <row r="152">
          <cell r="A152">
            <v>605691</v>
          </cell>
          <cell r="B152" t="str">
            <v>ARTICLES PUBLICITAIRE DIVERS</v>
          </cell>
          <cell r="C152" t="str">
            <v>E04</v>
          </cell>
          <cell r="D152" t="str">
            <v>Publicité et Marketing local</v>
          </cell>
        </row>
        <row r="153">
          <cell r="A153">
            <v>605693</v>
          </cell>
          <cell r="B153" t="str">
            <v>PUBLICITE FOURNITURE POUR AFFICH/PANNEAU</v>
          </cell>
          <cell r="C153" t="str">
            <v>E04</v>
          </cell>
          <cell r="D153" t="str">
            <v>Publicité et Marketing local</v>
          </cell>
        </row>
        <row r="154">
          <cell r="A154">
            <v>605694</v>
          </cell>
          <cell r="B154" t="str">
            <v>PUBLICITE FOURNITURE DIVERS PUBLICITE</v>
          </cell>
          <cell r="C154" t="str">
            <v>E04</v>
          </cell>
          <cell r="D154" t="str">
            <v>Publicité et Marketing local</v>
          </cell>
        </row>
        <row r="155">
          <cell r="A155">
            <v>605695</v>
          </cell>
          <cell r="B155" t="str">
            <v>PUBLICITE FOURNITURE POUR DIVERS INSTITU</v>
          </cell>
          <cell r="C155" t="str">
            <v>E04</v>
          </cell>
          <cell r="D155" t="str">
            <v>Publicité et Marketing local</v>
          </cell>
        </row>
        <row r="156">
          <cell r="A156">
            <v>605801</v>
          </cell>
          <cell r="B156" t="str">
            <v>PREMIER EQUIPEMENT</v>
          </cell>
          <cell r="C156" t="str">
            <v>F06</v>
          </cell>
          <cell r="D156" t="str">
            <v>Frais de Personnel</v>
          </cell>
        </row>
        <row r="157">
          <cell r="A157">
            <v>605802</v>
          </cell>
          <cell r="B157" t="str">
            <v>VETEMENTS DE TRAVAIL</v>
          </cell>
          <cell r="C157" t="str">
            <v>F06</v>
          </cell>
          <cell r="D157" t="str">
            <v>Frais de Personnel</v>
          </cell>
        </row>
        <row r="158">
          <cell r="A158">
            <v>605803</v>
          </cell>
          <cell r="B158" t="str">
            <v>EQUIPEMENT DE PROTECTION INDIVIDUEL</v>
          </cell>
          <cell r="C158" t="str">
            <v>F06</v>
          </cell>
          <cell r="D158" t="str">
            <v>Frais de Personnel</v>
          </cell>
        </row>
        <row r="159">
          <cell r="A159">
            <v>605810</v>
          </cell>
          <cell r="B159" t="str">
            <v>MATERIEL ET MOBILIER DE BUREAU</v>
          </cell>
          <cell r="C159" t="str">
            <v>F01</v>
          </cell>
          <cell r="D159" t="str">
            <v>Consommations fixes</v>
          </cell>
        </row>
        <row r="160">
          <cell r="A160">
            <v>605820</v>
          </cell>
          <cell r="B160" t="str">
            <v>MATERIEL ET MOBILIER LOGEMENT</v>
          </cell>
          <cell r="C160" t="str">
            <v>F06</v>
          </cell>
          <cell r="D160" t="str">
            <v>Frais de Personnel</v>
          </cell>
        </row>
        <row r="161">
          <cell r="A161">
            <v>605830</v>
          </cell>
          <cell r="B161" t="str">
            <v>CONSOMMABLES DE LABORATOIRES NON STOCKES</v>
          </cell>
          <cell r="C161" t="str">
            <v>F01</v>
          </cell>
          <cell r="D161" t="str">
            <v>Consommations fixes</v>
          </cell>
        </row>
        <row r="162">
          <cell r="A162">
            <v>605840</v>
          </cell>
          <cell r="B162" t="str">
            <v>PETIT MATERIEL DE LABORATOIRE NON STOCKE</v>
          </cell>
          <cell r="C162" t="str">
            <v>F01</v>
          </cell>
          <cell r="D162" t="str">
            <v>Consommations fixes</v>
          </cell>
        </row>
        <row r="163">
          <cell r="A163">
            <v>605850</v>
          </cell>
          <cell r="B163" t="str">
            <v>CONSOMMABLES INFORMATIQUES NON STOCKES</v>
          </cell>
          <cell r="C163" t="str">
            <v>F01</v>
          </cell>
          <cell r="D163" t="str">
            <v>Consommations fixes</v>
          </cell>
        </row>
        <row r="164">
          <cell r="A164">
            <v>605860</v>
          </cell>
          <cell r="B164" t="str">
            <v>IMPRIMES-LISTING INFORMATIQUES NON STOCK</v>
          </cell>
          <cell r="C164" t="str">
            <v>F01</v>
          </cell>
          <cell r="D164" t="str">
            <v>Consommations fixes</v>
          </cell>
        </row>
        <row r="165">
          <cell r="A165">
            <v>605870</v>
          </cell>
          <cell r="B165" t="str">
            <v>FRAIS ACCESSOIRES SUR IMPORT ECHANTILLON</v>
          </cell>
          <cell r="C165" t="str">
            <v>F01</v>
          </cell>
          <cell r="D165" t="str">
            <v>Consommations fixes</v>
          </cell>
        </row>
        <row r="166">
          <cell r="A166">
            <v>608100</v>
          </cell>
          <cell r="B166" t="str">
            <v>ACHATS D'EMBALLAGES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608110</v>
          </cell>
          <cell r="B167" t="str">
            <v>ACHATS PALETTES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608210</v>
          </cell>
          <cell r="B168" t="str">
            <v>ACHATS D'EMBALLAGES REGION</v>
          </cell>
          <cell r="C168" t="str">
            <v>G01</v>
          </cell>
          <cell r="D168" t="str">
            <v>Autres Produits d' Exploitation</v>
          </cell>
        </row>
        <row r="169">
          <cell r="A169">
            <v>608215</v>
          </cell>
          <cell r="B169" t="str">
            <v>AUTRES ACHATS D'EMBALLAGES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608220</v>
          </cell>
          <cell r="B170" t="str">
            <v>SGS/ACH EMBALL RECUP</v>
          </cell>
          <cell r="C170" t="str">
            <v>D06</v>
          </cell>
          <cell r="D170" t="str">
            <v>Consommations d'emballages</v>
          </cell>
        </row>
        <row r="171">
          <cell r="A171">
            <v>608230</v>
          </cell>
          <cell r="B171" t="str">
            <v>DROIT DOUANE/ACHAT EMBAL RECUP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611110</v>
          </cell>
          <cell r="B172" t="str">
            <v>TRANSPORT SUR ACHAT DE MARCHANDISES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611121</v>
          </cell>
          <cell r="B173" t="str">
            <v>TRANSPORT/ACHAT MATIRES PREMIERES</v>
          </cell>
          <cell r="C173" t="str">
            <v>D01</v>
          </cell>
          <cell r="D173" t="str">
            <v>Matières et consommables de production</v>
          </cell>
        </row>
        <row r="174">
          <cell r="A174">
            <v>611130</v>
          </cell>
          <cell r="B174" t="str">
            <v>TRANSPORT/ACHAT MATIERES CONSOMM</v>
          </cell>
          <cell r="C174" t="str">
            <v>D02</v>
          </cell>
          <cell r="D174" t="str">
            <v>Fournitures de conditionnement</v>
          </cell>
        </row>
        <row r="175">
          <cell r="A175">
            <v>611140</v>
          </cell>
          <cell r="B175" t="str">
            <v>TRANSPORT/ACHAT PIECES DE RECHANGES</v>
          </cell>
          <cell r="C175" t="str">
            <v>E03</v>
          </cell>
          <cell r="D175" t="str">
            <v>Maintenance (PdeR et entretien usine)</v>
          </cell>
        </row>
        <row r="176">
          <cell r="A176">
            <v>611150</v>
          </cell>
          <cell r="B176" t="str">
            <v>TRANS/ACH EMBAL RECUP</v>
          </cell>
          <cell r="C176" t="str">
            <v>D05</v>
          </cell>
          <cell r="D176" t="str">
            <v>Transports /transferts</v>
          </cell>
        </row>
        <row r="177">
          <cell r="A177">
            <v>611160</v>
          </cell>
          <cell r="B177" t="str">
            <v>TRANSPORT/MAT&amp;FRNI IND PROD</v>
          </cell>
          <cell r="C177" t="str">
            <v>D05</v>
          </cell>
          <cell r="D177" t="str">
            <v>Transports /transferts</v>
          </cell>
        </row>
        <row r="178">
          <cell r="A178">
            <v>611180</v>
          </cell>
          <cell r="B178" t="str">
            <v>TRANSPORT/ACHAT CONSO LABOR</v>
          </cell>
          <cell r="C178" t="str">
            <v>D05</v>
          </cell>
          <cell r="D178" t="str">
            <v>Transports /transferts</v>
          </cell>
        </row>
        <row r="179">
          <cell r="A179">
            <v>611190</v>
          </cell>
          <cell r="B179" t="str">
            <v>TRANSPORT/ART PUB</v>
          </cell>
          <cell r="C179" t="str">
            <v>D05</v>
          </cell>
          <cell r="D179" t="str">
            <v>Transports /transferts</v>
          </cell>
        </row>
        <row r="180">
          <cell r="A180">
            <v>611191</v>
          </cell>
          <cell r="B180" t="str">
            <v>TRANSPORT/ACHAT VETEMENT TRAV&amp;AUTRE</v>
          </cell>
          <cell r="C180" t="str">
            <v>D05</v>
          </cell>
          <cell r="D180" t="str">
            <v>Transports /transferts</v>
          </cell>
        </row>
        <row r="181">
          <cell r="A181">
            <v>612110</v>
          </cell>
          <cell r="B181" t="str">
            <v>TRANSP.TERRES/VENTES LOCAUX</v>
          </cell>
          <cell r="C181" t="str">
            <v>D04</v>
          </cell>
          <cell r="D181" t="str">
            <v>Transports /ventes</v>
          </cell>
        </row>
        <row r="182">
          <cell r="A182">
            <v>612120</v>
          </cell>
          <cell r="B182" t="str">
            <v>TRANSP.TERRES/VENTES EXPORT</v>
          </cell>
          <cell r="C182" t="str">
            <v>D04</v>
          </cell>
          <cell r="D182" t="str">
            <v>Transports /ventes</v>
          </cell>
        </row>
        <row r="183">
          <cell r="A183">
            <v>612320</v>
          </cell>
          <cell r="B183" t="str">
            <v>TRANSP.EAU/VENTES CEMAC</v>
          </cell>
          <cell r="C183" t="str">
            <v>D04</v>
          </cell>
          <cell r="D183" t="str">
            <v>Transports /ventes</v>
          </cell>
        </row>
        <row r="184">
          <cell r="A184">
            <v>612325</v>
          </cell>
          <cell r="B184" t="str">
            <v>TRANSP.EAU/VENTES HORS CEMAC</v>
          </cell>
          <cell r="C184" t="str">
            <v>D04</v>
          </cell>
          <cell r="D184" t="str">
            <v>Transports /ventes</v>
          </cell>
        </row>
        <row r="185">
          <cell r="A185">
            <v>612400</v>
          </cell>
          <cell r="B185" t="str">
            <v>FRAIS LIVRAISONS A LA CLIENTELE</v>
          </cell>
          <cell r="C185" t="str">
            <v>D04</v>
          </cell>
          <cell r="D185" t="str">
            <v>Transports /ventes</v>
          </cell>
        </row>
        <row r="186">
          <cell r="A186">
            <v>612900</v>
          </cell>
          <cell r="B186" t="str">
            <v>PROVISION FRAIS PRESTATION TL</v>
          </cell>
          <cell r="C186" t="str">
            <v>D04</v>
          </cell>
          <cell r="D186" t="str">
            <v>Transports /ventes</v>
          </cell>
        </row>
        <row r="187">
          <cell r="A187">
            <v>614610</v>
          </cell>
          <cell r="B187" t="str">
            <v>FRAIS DE TAXIS ET DIVERS</v>
          </cell>
          <cell r="C187" t="str">
            <v>F02</v>
          </cell>
          <cell r="D187" t="str">
            <v>Transports Fixes</v>
          </cell>
        </row>
        <row r="188">
          <cell r="A188">
            <v>614630</v>
          </cell>
          <cell r="B188" t="str">
            <v>INDEMNITES FORFAIT.DEPLACEMENT</v>
          </cell>
          <cell r="C188" t="str">
            <v>F02</v>
          </cell>
          <cell r="D188" t="str">
            <v>Transports Fixes</v>
          </cell>
        </row>
        <row r="189">
          <cell r="A189">
            <v>614631</v>
          </cell>
          <cell r="B189" t="str">
            <v>INDEMN. FORFAIT.DEPLAC. ETRANGER</v>
          </cell>
          <cell r="C189" t="str">
            <v>F02</v>
          </cell>
          <cell r="D189" t="str">
            <v>Transports Fixes</v>
          </cell>
        </row>
        <row r="190">
          <cell r="A190">
            <v>614635</v>
          </cell>
          <cell r="B190" t="str">
            <v>FRAIS TRANSPORT STAGIAIRES</v>
          </cell>
          <cell r="C190" t="str">
            <v>F02</v>
          </cell>
          <cell r="D190" t="str">
            <v>Transports Fixes</v>
          </cell>
        </row>
        <row r="191">
          <cell r="A191">
            <v>614640</v>
          </cell>
          <cell r="B191" t="str">
            <v>INDEMN.KILOMETRIQ.DEPLACEMENT</v>
          </cell>
          <cell r="C191" t="str">
            <v>F02</v>
          </cell>
          <cell r="D191" t="str">
            <v>Transports Fixes</v>
          </cell>
        </row>
        <row r="192">
          <cell r="A192">
            <v>614711</v>
          </cell>
          <cell r="B192" t="str">
            <v>TRANSP. PERSONNEL (CONGES)</v>
          </cell>
          <cell r="C192" t="str">
            <v>F06</v>
          </cell>
          <cell r="D192" t="str">
            <v>Frais de Personnel</v>
          </cell>
        </row>
        <row r="193">
          <cell r="A193">
            <v>614721</v>
          </cell>
          <cell r="B193" t="str">
            <v>TRANSP.FER PERSONNEL (CONGES)</v>
          </cell>
          <cell r="C193" t="str">
            <v>F06</v>
          </cell>
          <cell r="D193" t="str">
            <v>Frais de Personnel</v>
          </cell>
        </row>
        <row r="194">
          <cell r="A194">
            <v>614741</v>
          </cell>
          <cell r="B194" t="str">
            <v>TRANSP.AIR PERSONNEL (CONGES)</v>
          </cell>
          <cell r="C194" t="str">
            <v>F06</v>
          </cell>
          <cell r="D194" t="str">
            <v>Frais de Personnel</v>
          </cell>
        </row>
        <row r="195">
          <cell r="A195">
            <v>614760</v>
          </cell>
          <cell r="B195" t="str">
            <v>TRANSP.DIVERS PERSONNEL (CONGES)</v>
          </cell>
          <cell r="C195" t="str">
            <v>F06</v>
          </cell>
          <cell r="D195" t="str">
            <v>Frais de Personnel</v>
          </cell>
        </row>
        <row r="196">
          <cell r="A196">
            <v>614770</v>
          </cell>
          <cell r="B196" t="str">
            <v>AUTRES TRANSP. A L'ETRANGER (CONGES)</v>
          </cell>
          <cell r="C196" t="str">
            <v>F06</v>
          </cell>
          <cell r="D196" t="str">
            <v>Frais de Personnel</v>
          </cell>
        </row>
        <row r="197">
          <cell r="A197">
            <v>616100</v>
          </cell>
          <cell r="B197" t="str">
            <v>TRANSP. DE PLIS ET AFFRANCHISSEMENTS</v>
          </cell>
          <cell r="C197" t="str">
            <v>F03</v>
          </cell>
          <cell r="D197" t="str">
            <v>Autres Services</v>
          </cell>
        </row>
        <row r="198">
          <cell r="A198">
            <v>618141</v>
          </cell>
          <cell r="B198" t="str">
            <v>TRANSP. AFFAIRE LOCAUX</v>
          </cell>
          <cell r="C198" t="str">
            <v>F02</v>
          </cell>
          <cell r="D198" t="str">
            <v>Transports Fixes</v>
          </cell>
        </row>
        <row r="199">
          <cell r="A199">
            <v>618148</v>
          </cell>
          <cell r="B199" t="str">
            <v>TRANSP.AIR PERSONNEL LOCAUX</v>
          </cell>
          <cell r="C199" t="str">
            <v>F02</v>
          </cell>
          <cell r="D199" t="str">
            <v>Transports Fixes</v>
          </cell>
        </row>
        <row r="200">
          <cell r="A200">
            <v>618150</v>
          </cell>
          <cell r="B200" t="str">
            <v>TRANSP.D'AFF.SUPPORT.ETRANGER</v>
          </cell>
          <cell r="C200" t="str">
            <v>F02</v>
          </cell>
          <cell r="D200" t="str">
            <v>Transports Fixes</v>
          </cell>
        </row>
        <row r="201">
          <cell r="A201">
            <v>618151</v>
          </cell>
          <cell r="B201" t="str">
            <v>TRANSP. ETRANGER PERSONNEL</v>
          </cell>
          <cell r="C201" t="str">
            <v>F02</v>
          </cell>
          <cell r="D201" t="str">
            <v>Transports Fixes</v>
          </cell>
        </row>
        <row r="202">
          <cell r="A202">
            <v>618152</v>
          </cell>
          <cell r="B202" t="str">
            <v>INDEMNITE TRANSPORT STAGIAIRES</v>
          </cell>
          <cell r="C202" t="str">
            <v>F02</v>
          </cell>
          <cell r="D202" t="str">
            <v>Transports Fixes</v>
          </cell>
        </row>
        <row r="203">
          <cell r="A203">
            <v>618205</v>
          </cell>
          <cell r="B203" t="str">
            <v>TRANSP.TRANSF.STOCK MPC</v>
          </cell>
          <cell r="C203" t="str">
            <v>D05</v>
          </cell>
          <cell r="D203" t="str">
            <v>Transports /transferts</v>
          </cell>
        </row>
        <row r="204">
          <cell r="A204">
            <v>618210</v>
          </cell>
          <cell r="B204" t="str">
            <v>TRANSPORT TRF EMBALLAGES</v>
          </cell>
          <cell r="C204" t="str">
            <v>D05</v>
          </cell>
          <cell r="D204" t="str">
            <v>Transports /transferts</v>
          </cell>
        </row>
        <row r="205">
          <cell r="A205">
            <v>618215</v>
          </cell>
          <cell r="B205" t="str">
            <v>TRANSP.PF &amp; EMB.RET.A VIDE</v>
          </cell>
          <cell r="C205" t="str">
            <v>D05</v>
          </cell>
          <cell r="D205" t="str">
            <v>Transports /transferts</v>
          </cell>
        </row>
        <row r="206">
          <cell r="A206">
            <v>618217</v>
          </cell>
          <cell r="B206" t="str">
            <v>TRANSP.TRANSF.EMBALLAGES NEUFS</v>
          </cell>
          <cell r="C206" t="str">
            <v>D05</v>
          </cell>
          <cell r="D206" t="str">
            <v>Transports /transferts</v>
          </cell>
        </row>
        <row r="207">
          <cell r="A207">
            <v>618218</v>
          </cell>
          <cell r="B207" t="str">
            <v>TRANSP.TRANSF.PROD.FINIS</v>
          </cell>
          <cell r="C207" t="str">
            <v>D05</v>
          </cell>
          <cell r="D207" t="str">
            <v>Transports /transferts</v>
          </cell>
        </row>
        <row r="208">
          <cell r="A208">
            <v>618219</v>
          </cell>
          <cell r="B208" t="str">
            <v>TRANSPORT MATIERE NON STK</v>
          </cell>
          <cell r="C208" t="str">
            <v>F02</v>
          </cell>
          <cell r="D208" t="str">
            <v>Transports Fixes</v>
          </cell>
        </row>
        <row r="209">
          <cell r="A209">
            <v>618400</v>
          </cell>
          <cell r="B209" t="str">
            <v>AUTRES FRAIS DE TRANSPORT</v>
          </cell>
          <cell r="C209" t="str">
            <v>F02</v>
          </cell>
          <cell r="D209" t="str">
            <v>Transports Fixes</v>
          </cell>
        </row>
        <row r="210">
          <cell r="A210">
            <v>618410</v>
          </cell>
          <cell r="B210" t="str">
            <v>PEAGE S/TRANSPORT TERRESTRE</v>
          </cell>
          <cell r="C210" t="str">
            <v>F02</v>
          </cell>
          <cell r="D210" t="str">
            <v>Transports Fixes</v>
          </cell>
        </row>
        <row r="211">
          <cell r="A211">
            <v>618411</v>
          </cell>
          <cell r="B211" t="str">
            <v>TRANSP. EFFETS PERSONNEL</v>
          </cell>
          <cell r="C211" t="str">
            <v>F06</v>
          </cell>
          <cell r="D211" t="str">
            <v>Frais de Personnel</v>
          </cell>
        </row>
        <row r="212">
          <cell r="A212">
            <v>618419</v>
          </cell>
          <cell r="B212" t="str">
            <v>AUTRES TRANSPORTS</v>
          </cell>
          <cell r="C212" t="str">
            <v>F02</v>
          </cell>
          <cell r="D212" t="str">
            <v>Transports Fixes</v>
          </cell>
        </row>
        <row r="213">
          <cell r="A213">
            <v>618420</v>
          </cell>
          <cell r="B213" t="str">
            <v>CAMION/MANUT.S/APPRO MAG.CENTRAL</v>
          </cell>
          <cell r="C213" t="str">
            <v>F02</v>
          </cell>
          <cell r="D213" t="str">
            <v>Transports Fixes</v>
          </cell>
        </row>
        <row r="214">
          <cell r="A214">
            <v>618421</v>
          </cell>
          <cell r="B214" t="str">
            <v>TRANSP.FER EFFETS PERSONNEL</v>
          </cell>
          <cell r="C214" t="str">
            <v>F06</v>
          </cell>
          <cell r="D214" t="str">
            <v>Frais de Personnel</v>
          </cell>
        </row>
        <row r="215">
          <cell r="A215">
            <v>618422</v>
          </cell>
          <cell r="B215" t="str">
            <v>AUTRES TRANSPORTS PAR FER</v>
          </cell>
          <cell r="C215" t="str">
            <v>F02</v>
          </cell>
          <cell r="D215" t="str">
            <v>Transports Fixes</v>
          </cell>
        </row>
        <row r="216">
          <cell r="A216">
            <v>618431</v>
          </cell>
          <cell r="B216" t="str">
            <v>TRANSP.EAU EFFETS PERSONNEL</v>
          </cell>
          <cell r="C216" t="str">
            <v>F06</v>
          </cell>
          <cell r="D216" t="str">
            <v>Frais de Personnel</v>
          </cell>
        </row>
        <row r="217">
          <cell r="A217">
            <v>618439</v>
          </cell>
          <cell r="B217" t="str">
            <v>AUTRES TRANSPORTS PAR EAU</v>
          </cell>
          <cell r="C217" t="str">
            <v>F02</v>
          </cell>
          <cell r="D217" t="str">
            <v>Transports Fixes</v>
          </cell>
        </row>
        <row r="218">
          <cell r="A218">
            <v>618441</v>
          </cell>
          <cell r="B218" t="str">
            <v>TRANSPORTS PAR AIR</v>
          </cell>
          <cell r="C218" t="str">
            <v>F06</v>
          </cell>
          <cell r="D218" t="str">
            <v>Frais de Personnel</v>
          </cell>
        </row>
        <row r="219">
          <cell r="A219">
            <v>618449</v>
          </cell>
          <cell r="B219" t="str">
            <v>AUTRES TRANSPORTS PAR AIR</v>
          </cell>
          <cell r="C219" t="str">
            <v>F02</v>
          </cell>
          <cell r="D219" t="str">
            <v>Transports Fixes</v>
          </cell>
        </row>
        <row r="220">
          <cell r="A220">
            <v>621000</v>
          </cell>
          <cell r="B220" t="str">
            <v>AUTRES SERVICES</v>
          </cell>
          <cell r="C220" t="str">
            <v>F03</v>
          </cell>
          <cell r="D220" t="str">
            <v>Autres Services</v>
          </cell>
        </row>
        <row r="221">
          <cell r="A221">
            <v>622100</v>
          </cell>
          <cell r="B221" t="str">
            <v>LOYERS TERRAIN</v>
          </cell>
          <cell r="C221" t="str">
            <v>F03</v>
          </cell>
          <cell r="D221" t="str">
            <v>Autres Services</v>
          </cell>
        </row>
        <row r="222">
          <cell r="A222">
            <v>622210</v>
          </cell>
          <cell r="B222" t="str">
            <v>LOYERS CONSTRUCTIONS INDUSTRIEL.</v>
          </cell>
          <cell r="C222" t="str">
            <v>F03</v>
          </cell>
          <cell r="D222" t="str">
            <v>Autres Services</v>
          </cell>
        </row>
        <row r="223">
          <cell r="A223">
            <v>622220</v>
          </cell>
          <cell r="B223" t="str">
            <v>LOYERS ENTREPOT MAGASINAGE</v>
          </cell>
          <cell r="C223" t="str">
            <v>F03</v>
          </cell>
          <cell r="D223" t="str">
            <v>Autres Services</v>
          </cell>
        </row>
        <row r="224">
          <cell r="A224">
            <v>622230</v>
          </cell>
          <cell r="B224" t="str">
            <v>LOYERS CENTRES DISTRIBUTION</v>
          </cell>
          <cell r="C224" t="str">
            <v>F03</v>
          </cell>
          <cell r="D224" t="str">
            <v>Autres Services</v>
          </cell>
        </row>
        <row r="225">
          <cell r="A225">
            <v>622240</v>
          </cell>
          <cell r="B225" t="str">
            <v>LOYERS BATIMENTS SOCIAUX</v>
          </cell>
          <cell r="C225" t="str">
            <v>F03</v>
          </cell>
          <cell r="D225" t="str">
            <v>Autres Services</v>
          </cell>
        </row>
        <row r="226">
          <cell r="A226">
            <v>622260</v>
          </cell>
          <cell r="B226" t="str">
            <v>LOYERS LOGEMENTS PERS.CADRE</v>
          </cell>
          <cell r="C226" t="str">
            <v>F06</v>
          </cell>
          <cell r="D226" t="str">
            <v>Frais de Personnel</v>
          </cell>
        </row>
        <row r="227">
          <cell r="A227">
            <v>622330</v>
          </cell>
          <cell r="B227" t="str">
            <v>LOCATIONS VEHICULES TOURISME</v>
          </cell>
          <cell r="C227" t="str">
            <v>F03</v>
          </cell>
          <cell r="D227" t="str">
            <v>Autres Services</v>
          </cell>
        </row>
        <row r="228">
          <cell r="A228">
            <v>622331</v>
          </cell>
          <cell r="B228" t="str">
            <v>LOCATIONS VEHIC.UTIL. ET ENGINS</v>
          </cell>
          <cell r="C228" t="str">
            <v>F03</v>
          </cell>
          <cell r="D228" t="str">
            <v>Autres Services</v>
          </cell>
        </row>
        <row r="229">
          <cell r="A229">
            <v>622333</v>
          </cell>
          <cell r="B229" t="str">
            <v>LOCATIONS MATERIELS</v>
          </cell>
          <cell r="C229" t="str">
            <v>F03</v>
          </cell>
          <cell r="D229" t="str">
            <v>Autres Services</v>
          </cell>
        </row>
        <row r="230">
          <cell r="A230">
            <v>622335</v>
          </cell>
          <cell r="B230" t="str">
            <v>LOCATIONS LONGUE DUREE PICK UP</v>
          </cell>
          <cell r="C230" t="str">
            <v>F03</v>
          </cell>
          <cell r="D230" t="str">
            <v>Autres Services</v>
          </cell>
        </row>
        <row r="231">
          <cell r="A231">
            <v>623200</v>
          </cell>
          <cell r="B231" t="str">
            <v>REDEVANCE CREDIT BAIL IMMOBILIER</v>
          </cell>
          <cell r="C231" t="str">
            <v>G01</v>
          </cell>
          <cell r="D231" t="str">
            <v>Autres Produits d' Exploitation</v>
          </cell>
        </row>
        <row r="232">
          <cell r="A232">
            <v>624110</v>
          </cell>
          <cell r="B232" t="str">
            <v>PREST.ENTRET.REPAR.TERRAINS</v>
          </cell>
          <cell r="C232" t="str">
            <v>F03</v>
          </cell>
          <cell r="D232" t="str">
            <v>Autres Services</v>
          </cell>
        </row>
        <row r="233">
          <cell r="A233">
            <v>624111</v>
          </cell>
          <cell r="B233" t="str">
            <v>PREST.ENTRET.REPAR.CONSTRUCTIONS</v>
          </cell>
          <cell r="C233" t="str">
            <v>F03</v>
          </cell>
          <cell r="D233" t="str">
            <v>Autres Services</v>
          </cell>
        </row>
        <row r="234">
          <cell r="A234">
            <v>624112</v>
          </cell>
          <cell r="B234" t="str">
            <v>PREST.GROS ENTRET. CONSTRUCTIONS</v>
          </cell>
          <cell r="C234" t="str">
            <v>F03</v>
          </cell>
          <cell r="D234" t="str">
            <v>Autres Services</v>
          </cell>
        </row>
        <row r="235">
          <cell r="A235">
            <v>624120</v>
          </cell>
          <cell r="B235" t="str">
            <v>PREST.ENT.REP.LOGT.PERS.N.CADRES</v>
          </cell>
          <cell r="C235" t="str">
            <v>F03</v>
          </cell>
          <cell r="D235" t="str">
            <v>Autres Services</v>
          </cell>
        </row>
        <row r="236">
          <cell r="A236">
            <v>624130</v>
          </cell>
          <cell r="B236" t="str">
            <v>PREST.ENT.REPAR.LOGT.PNEL CADRES</v>
          </cell>
          <cell r="C236" t="str">
            <v>F03</v>
          </cell>
          <cell r="D236" t="str">
            <v>Autres Services</v>
          </cell>
        </row>
        <row r="237">
          <cell r="A237">
            <v>624220</v>
          </cell>
          <cell r="B237" t="str">
            <v>PREST.GARAGE POUR TRANSPT/LIVR.</v>
          </cell>
          <cell r="C237" t="str">
            <v>F03</v>
          </cell>
          <cell r="D237" t="str">
            <v>Autres Services</v>
          </cell>
        </row>
        <row r="238">
          <cell r="A238">
            <v>624221</v>
          </cell>
          <cell r="B238" t="str">
            <v>PREST.ENTRET.REPAR.MAT.TRANSPOR</v>
          </cell>
          <cell r="C238" t="str">
            <v>F03</v>
          </cell>
          <cell r="D238" t="str">
            <v>Autres Services</v>
          </cell>
        </row>
        <row r="239">
          <cell r="A239">
            <v>624230</v>
          </cell>
          <cell r="B239" t="str">
            <v>PREST.GROS ENTRET. MATERIEL</v>
          </cell>
          <cell r="C239" t="str">
            <v>E03</v>
          </cell>
          <cell r="D239" t="str">
            <v>Maintenance (PdeR et entretien usine)</v>
          </cell>
        </row>
        <row r="240">
          <cell r="A240">
            <v>624231</v>
          </cell>
          <cell r="B240" t="str">
            <v>PREST.ENT.REPARATION MATERIEL</v>
          </cell>
          <cell r="C240" t="str">
            <v>E03</v>
          </cell>
          <cell r="D240" t="str">
            <v>Maintenance (PdeR et entretien usine)</v>
          </cell>
        </row>
        <row r="241">
          <cell r="A241">
            <v>624232</v>
          </cell>
          <cell r="B241" t="str">
            <v>PREST.ENT.REPAR.MAT.MOB. BUREAU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624233</v>
          </cell>
          <cell r="B242" t="str">
            <v>PREST.ENT.REPAR.MAT.INFORMATIQUE</v>
          </cell>
          <cell r="C242" t="str">
            <v>F03</v>
          </cell>
          <cell r="D242" t="str">
            <v>Autres Services</v>
          </cell>
        </row>
        <row r="243">
          <cell r="A243">
            <v>624234</v>
          </cell>
          <cell r="B243" t="str">
            <v>PREST.ENT.REPAR.MAT.PUBLICITAIRE</v>
          </cell>
          <cell r="C243" t="str">
            <v>F03</v>
          </cell>
          <cell r="D243" t="str">
            <v>Autres Services</v>
          </cell>
        </row>
        <row r="244">
          <cell r="A244">
            <v>624241</v>
          </cell>
          <cell r="B244" t="str">
            <v>PREST.ENT.REPAR.EMBAL.IMMOBILISE</v>
          </cell>
          <cell r="C244" t="str">
            <v>F03</v>
          </cell>
          <cell r="D244" t="str">
            <v>Autres Services</v>
          </cell>
        </row>
        <row r="245">
          <cell r="A245">
            <v>624299</v>
          </cell>
          <cell r="B245" t="str">
            <v>PRESTATION ENTRETIENS DIVERS</v>
          </cell>
          <cell r="C245" t="str">
            <v>F03</v>
          </cell>
          <cell r="D245" t="str">
            <v>Autres Services</v>
          </cell>
        </row>
        <row r="246">
          <cell r="A246">
            <v>624425</v>
          </cell>
          <cell r="B246" t="str">
            <v>PRESTATION DE GROS ENTRETIEN S/MAT ROULA</v>
          </cell>
          <cell r="C246" t="str">
            <v>E03</v>
          </cell>
          <cell r="D246" t="str">
            <v>Maintenance (PdeR et entretien usine)</v>
          </cell>
        </row>
        <row r="247">
          <cell r="A247">
            <v>624620</v>
          </cell>
          <cell r="B247" t="str">
            <v>CADEAUX ENTREPRISE NON DEDUCT.</v>
          </cell>
          <cell r="C247" t="str">
            <v>F05</v>
          </cell>
          <cell r="D247" t="str">
            <v>Autres Charges</v>
          </cell>
        </row>
        <row r="248">
          <cell r="A248">
            <v>625110</v>
          </cell>
          <cell r="B248" t="str">
            <v>ASSURANCES EFFETS DU PERS ET VOLS COFFRE</v>
          </cell>
          <cell r="C248" t="str">
            <v>F04</v>
          </cell>
          <cell r="D248" t="str">
            <v>Assurances</v>
          </cell>
        </row>
        <row r="249">
          <cell r="A249">
            <v>625120</v>
          </cell>
          <cell r="B249" t="str">
            <v>ASSURANCE GLOBALE DOMMAGES</v>
          </cell>
          <cell r="C249" t="str">
            <v>F04</v>
          </cell>
          <cell r="D249" t="str">
            <v>Assurances</v>
          </cell>
        </row>
        <row r="250">
          <cell r="A250">
            <v>625130</v>
          </cell>
          <cell r="B250" t="str">
            <v>ASSURANCE MULTIRISQUE LOGEMENT</v>
          </cell>
          <cell r="C250" t="str">
            <v>F04</v>
          </cell>
          <cell r="D250" t="str">
            <v>Assurances</v>
          </cell>
        </row>
        <row r="251">
          <cell r="A251">
            <v>625260</v>
          </cell>
          <cell r="B251" t="str">
            <v>ASSUR. AUTO ET PERS.TRANSPORTEES</v>
          </cell>
          <cell r="C251" t="str">
            <v>F04</v>
          </cell>
          <cell r="D251" t="str">
            <v>Assurances</v>
          </cell>
        </row>
        <row r="252">
          <cell r="A252">
            <v>625261</v>
          </cell>
          <cell r="B252" t="str">
            <v>ASSURANCE TRANSPORT MARCHANDI/VOLS FONDS</v>
          </cell>
          <cell r="C252" t="str">
            <v>G01</v>
          </cell>
          <cell r="D252" t="str">
            <v>Autres Produits d' Exploitation</v>
          </cell>
        </row>
        <row r="253">
          <cell r="A253">
            <v>625600</v>
          </cell>
          <cell r="B253" t="str">
            <v>ASUR. TRANSPORT SUR ACHAT MAT  PREM</v>
          </cell>
          <cell r="C253" t="str">
            <v>D01</v>
          </cell>
          <cell r="D253" t="str">
            <v>Matières et consommables de production</v>
          </cell>
        </row>
        <row r="254">
          <cell r="A254">
            <v>625601</v>
          </cell>
          <cell r="B254" t="str">
            <v>ASUR. TRANSPORT SUR ACHAT NEGOCE</v>
          </cell>
          <cell r="C254" t="str">
            <v>G01</v>
          </cell>
          <cell r="D254" t="str">
            <v>Autres Produits d' Exploitation</v>
          </cell>
        </row>
        <row r="255">
          <cell r="A255">
            <v>625603</v>
          </cell>
          <cell r="B255" t="str">
            <v>ASUR. TRANSPORT SUR ACHAT MAT CONSOMMABL</v>
          </cell>
          <cell r="C255" t="str">
            <v>D02</v>
          </cell>
          <cell r="D255" t="str">
            <v>Fournitures de conditionnement</v>
          </cell>
        </row>
        <row r="256">
          <cell r="A256">
            <v>625604</v>
          </cell>
          <cell r="B256" t="str">
            <v>ASUR. TRANSPORT SUR ACHAT HUILES LUBRIFI</v>
          </cell>
          <cell r="C256" t="str">
            <v>D03</v>
          </cell>
          <cell r="D256" t="str">
            <v>Fluides de production</v>
          </cell>
        </row>
        <row r="257">
          <cell r="A257">
            <v>625605</v>
          </cell>
          <cell r="B257" t="str">
            <v>ASUR. TRANSPORT SUR ACHAT PIECES DE RECH</v>
          </cell>
          <cell r="C257" t="str">
            <v>E03</v>
          </cell>
          <cell r="D257" t="str">
            <v>Maintenance (PdeR et entretien usine)</v>
          </cell>
        </row>
        <row r="258">
          <cell r="A258">
            <v>625606</v>
          </cell>
          <cell r="B258" t="str">
            <v>ASUR. TRANSPORT SUR ACHAT ARTICLES PUB</v>
          </cell>
          <cell r="C258" t="str">
            <v>E04</v>
          </cell>
          <cell r="D258" t="str">
            <v>Publicité et Marketing local</v>
          </cell>
        </row>
        <row r="259">
          <cell r="A259">
            <v>625608</v>
          </cell>
          <cell r="B259" t="str">
            <v>ASSUR TRANSP / ACHAT MAT CONS CONDITIONN</v>
          </cell>
          <cell r="C259" t="str">
            <v>D02</v>
          </cell>
          <cell r="D259" t="str">
            <v>Fournitures de conditionnement</v>
          </cell>
        </row>
        <row r="260">
          <cell r="A260">
            <v>625609</v>
          </cell>
          <cell r="B260" t="str">
            <v>ASSURANCE - MAT CONS LABO IMPORTES</v>
          </cell>
          <cell r="C260" t="str">
            <v>F01</v>
          </cell>
          <cell r="D260" t="str">
            <v>Consommations fixes</v>
          </cell>
        </row>
        <row r="261">
          <cell r="A261">
            <v>625670</v>
          </cell>
          <cell r="B261" t="str">
            <v>ASSURANCE STOCK ET TRANSIT</v>
          </cell>
          <cell r="C261" t="str">
            <v>F04</v>
          </cell>
          <cell r="D261" t="str">
            <v>Assurances</v>
          </cell>
        </row>
        <row r="262">
          <cell r="A262">
            <v>625850</v>
          </cell>
          <cell r="B262" t="str">
            <v>ASSUR. R.C. CHEF D'ENTREPRISE</v>
          </cell>
          <cell r="C262" t="str">
            <v>F04</v>
          </cell>
          <cell r="D262" t="str">
            <v>Assurances</v>
          </cell>
        </row>
        <row r="263">
          <cell r="A263">
            <v>625880</v>
          </cell>
          <cell r="B263" t="str">
            <v>ASSURANCE RESPONS.CIVILE SPORT</v>
          </cell>
          <cell r="C263" t="str">
            <v>F04</v>
          </cell>
          <cell r="D263" t="str">
            <v>Assurances</v>
          </cell>
        </row>
        <row r="264">
          <cell r="A264">
            <v>625890</v>
          </cell>
          <cell r="B264" t="str">
            <v>HONORAIRES DE COURTIERS</v>
          </cell>
          <cell r="C264" t="str">
            <v>F04</v>
          </cell>
          <cell r="D264" t="str">
            <v>Assurances</v>
          </cell>
        </row>
        <row r="265">
          <cell r="A265">
            <v>626500</v>
          </cell>
          <cell r="B265" t="str">
            <v>DOCUMENTATION GENERALE</v>
          </cell>
          <cell r="C265" t="str">
            <v>F01</v>
          </cell>
          <cell r="D265" t="str">
            <v>Consommations fixes</v>
          </cell>
        </row>
        <row r="266">
          <cell r="A266">
            <v>626510</v>
          </cell>
          <cell r="B266" t="str">
            <v>ABONNEMENTS JOURNAL,REVUE</v>
          </cell>
          <cell r="C266" t="str">
            <v>F01</v>
          </cell>
          <cell r="D266" t="str">
            <v>Consommations fixes</v>
          </cell>
        </row>
        <row r="267">
          <cell r="A267">
            <v>627107</v>
          </cell>
          <cell r="B267" t="str">
            <v>PUBLICITE RADIO FOURNISSEUR LOCAUX</v>
          </cell>
          <cell r="C267" t="str">
            <v>E04</v>
          </cell>
          <cell r="D267" t="str">
            <v>Publicité et Marketing local</v>
          </cell>
        </row>
        <row r="268">
          <cell r="A268">
            <v>627108</v>
          </cell>
          <cell r="B268" t="str">
            <v>PUBLICITE RADIO FOURNISSEUR ETRANGER</v>
          </cell>
          <cell r="C268" t="str">
            <v>E05</v>
          </cell>
          <cell r="D268" t="str">
            <v>Publicité et Marketing panafricain</v>
          </cell>
        </row>
        <row r="269">
          <cell r="A269">
            <v>627109</v>
          </cell>
          <cell r="B269" t="str">
            <v>PUBLICITE RADIO TIERS</v>
          </cell>
          <cell r="C269" t="str">
            <v>E04</v>
          </cell>
          <cell r="D269" t="str">
            <v>Publicité et Marketing local</v>
          </cell>
        </row>
        <row r="270">
          <cell r="A270">
            <v>627150</v>
          </cell>
          <cell r="B270" t="str">
            <v>PUB.DIVERS &amp; IMPREVUS-FOURN.</v>
          </cell>
          <cell r="C270" t="str">
            <v>E04</v>
          </cell>
          <cell r="D270" t="str">
            <v>Publicité et Marketing local</v>
          </cell>
        </row>
        <row r="271">
          <cell r="A271">
            <v>627170</v>
          </cell>
          <cell r="B271" t="str">
            <v>PUBLICITE ETUDE PREST SERV FOUR LOCAUX</v>
          </cell>
          <cell r="C271" t="str">
            <v>E04</v>
          </cell>
          <cell r="D271" t="str">
            <v>Publicité et Marketing local</v>
          </cell>
        </row>
        <row r="272">
          <cell r="A272">
            <v>627180</v>
          </cell>
          <cell r="B272" t="str">
            <v>PUBLICITE ETUDE PRET SERV FOURN ETRANGER</v>
          </cell>
          <cell r="C272" t="str">
            <v>E05</v>
          </cell>
          <cell r="D272" t="str">
            <v>Publicité et Marketing panafricain</v>
          </cell>
        </row>
        <row r="273">
          <cell r="A273">
            <v>627189</v>
          </cell>
          <cell r="B273" t="str">
            <v>PUBLICITE PROVIION</v>
          </cell>
          <cell r="C273" t="str">
            <v>E04</v>
          </cell>
          <cell r="D273" t="str">
            <v>Publicité et Marketing local</v>
          </cell>
        </row>
        <row r="274">
          <cell r="A274">
            <v>627190</v>
          </cell>
          <cell r="B274" t="str">
            <v>PUBLICITE ETUDES PRESTATION SERVICE TIER</v>
          </cell>
          <cell r="C274" t="str">
            <v>E04</v>
          </cell>
          <cell r="D274" t="str">
            <v>Publicité et Marketing local</v>
          </cell>
        </row>
        <row r="275">
          <cell r="A275">
            <v>627191</v>
          </cell>
          <cell r="B275" t="str">
            <v>PUBLICITE PRETATION PUB PROVISIONNE</v>
          </cell>
          <cell r="C275" t="str">
            <v>E04</v>
          </cell>
          <cell r="D275" t="str">
            <v>Publicité et Marketing local</v>
          </cell>
        </row>
        <row r="276">
          <cell r="A276">
            <v>627207</v>
          </cell>
          <cell r="B276" t="str">
            <v>PUBLICITE CINEMA FOURNISSEUR LOCAUX</v>
          </cell>
          <cell r="C276" t="str">
            <v>E04</v>
          </cell>
          <cell r="D276" t="str">
            <v>Publicité et Marketing local</v>
          </cell>
        </row>
        <row r="277">
          <cell r="A277">
            <v>627208</v>
          </cell>
          <cell r="B277" t="str">
            <v>PUBLICITE CINEMA FOURNISSEUR ETRANGER</v>
          </cell>
          <cell r="C277" t="str">
            <v>E05</v>
          </cell>
          <cell r="D277" t="str">
            <v>Publicité et Marketing panafricain</v>
          </cell>
        </row>
        <row r="278">
          <cell r="A278">
            <v>627209</v>
          </cell>
          <cell r="B278" t="str">
            <v>PUBLICITE CINEMA TIERS</v>
          </cell>
          <cell r="C278" t="str">
            <v>E04</v>
          </cell>
          <cell r="D278" t="str">
            <v>Publicité et Marketing local</v>
          </cell>
        </row>
        <row r="279">
          <cell r="A279">
            <v>627307</v>
          </cell>
          <cell r="B279" t="str">
            <v>PUBLICITE PRESSE FOURNISSEUR LOCAUX</v>
          </cell>
          <cell r="C279" t="str">
            <v>E04</v>
          </cell>
          <cell r="D279" t="str">
            <v>Publicité et Marketing local</v>
          </cell>
        </row>
        <row r="280">
          <cell r="A280">
            <v>627308</v>
          </cell>
          <cell r="B280" t="str">
            <v>PUBLICITE PRESSE FOURNISSEUR ETRANGER</v>
          </cell>
          <cell r="C280" t="str">
            <v>E05</v>
          </cell>
          <cell r="D280" t="str">
            <v>Publicité et Marketing panafricain</v>
          </cell>
        </row>
        <row r="281">
          <cell r="A281">
            <v>627309</v>
          </cell>
          <cell r="B281" t="str">
            <v>PUBLICITE PRESSE TIERS</v>
          </cell>
          <cell r="C281" t="str">
            <v>E04</v>
          </cell>
          <cell r="D281" t="str">
            <v>Publicité et Marketing local</v>
          </cell>
        </row>
        <row r="282">
          <cell r="A282">
            <v>627407</v>
          </cell>
          <cell r="B282" t="str">
            <v>PUBLICITE TV FOURNISSEUR LOCAUX</v>
          </cell>
          <cell r="C282" t="str">
            <v>E04</v>
          </cell>
          <cell r="D282" t="str">
            <v>Publicité et Marketing local</v>
          </cell>
        </row>
        <row r="283">
          <cell r="A283">
            <v>627408</v>
          </cell>
          <cell r="B283" t="str">
            <v>PUBLICITE TV FOURNISSEUR ETRANGER</v>
          </cell>
          <cell r="C283" t="str">
            <v>E05</v>
          </cell>
          <cell r="D283" t="str">
            <v>Publicité et Marketing panafricain</v>
          </cell>
        </row>
        <row r="284">
          <cell r="A284">
            <v>627409</v>
          </cell>
          <cell r="B284" t="str">
            <v>PUBLICITE TV TIERS</v>
          </cell>
          <cell r="C284" t="str">
            <v>E04</v>
          </cell>
          <cell r="D284" t="str">
            <v>Publicité et Marketing local</v>
          </cell>
        </row>
        <row r="285">
          <cell r="A285">
            <v>627500</v>
          </cell>
          <cell r="B285" t="str">
            <v>PUBLICATIONS "33" DEGRE A L'OMBRE</v>
          </cell>
          <cell r="C285" t="str">
            <v>E04</v>
          </cell>
          <cell r="D285" t="str">
            <v>Publicité et Marketing local</v>
          </cell>
        </row>
        <row r="286">
          <cell r="A286">
            <v>627507</v>
          </cell>
          <cell r="B286" t="str">
            <v>PUBLICITE DROIT D'AFFICHE FOURN LOCAUX</v>
          </cell>
          <cell r="C286" t="str">
            <v>E04</v>
          </cell>
          <cell r="D286" t="str">
            <v>Publicité et Marketing local</v>
          </cell>
        </row>
        <row r="287">
          <cell r="A287">
            <v>627607</v>
          </cell>
          <cell r="B287" t="str">
            <v>PUBLICITE SUR LIEUX DE VENTE PRESTAT</v>
          </cell>
          <cell r="C287" t="str">
            <v>E04</v>
          </cell>
          <cell r="D287" t="str">
            <v>Publicité et Marketing local</v>
          </cell>
        </row>
        <row r="288">
          <cell r="A288">
            <v>627608</v>
          </cell>
          <cell r="B288" t="str">
            <v>PUBLICITE PREST POUR AFFICHAGE/PANNEAU</v>
          </cell>
          <cell r="C288" t="str">
            <v>E04</v>
          </cell>
          <cell r="D288" t="str">
            <v>Publicité et Marketing local</v>
          </cell>
        </row>
        <row r="289">
          <cell r="A289">
            <v>627609</v>
          </cell>
          <cell r="B289" t="str">
            <v>PUBLICITE PREST POUR DIVERS INSTITUTIONE</v>
          </cell>
          <cell r="C289" t="str">
            <v>E04</v>
          </cell>
          <cell r="D289" t="str">
            <v>Publicité et Marketing local</v>
          </cell>
        </row>
        <row r="290">
          <cell r="A290">
            <v>627610</v>
          </cell>
          <cell r="B290" t="str">
            <v>PUBLICITE HABILLAGE VEHICULES</v>
          </cell>
          <cell r="C290" t="str">
            <v>E04</v>
          </cell>
          <cell r="D290" t="str">
            <v>Publicité et Marketing local</v>
          </cell>
        </row>
        <row r="291">
          <cell r="A291">
            <v>627611</v>
          </cell>
          <cell r="B291" t="str">
            <v>PUBLICITE PRESTATION COMMERCIALE</v>
          </cell>
          <cell r="C291" t="str">
            <v>E04</v>
          </cell>
          <cell r="D291" t="str">
            <v>Publicité et Marketing local</v>
          </cell>
        </row>
        <row r="292">
          <cell r="A292">
            <v>627612</v>
          </cell>
          <cell r="B292" t="str">
            <v>PUBLICITE TRANSPORT PRESTATION CCIALE</v>
          </cell>
          <cell r="C292" t="str">
            <v>E04</v>
          </cell>
          <cell r="D292" t="str">
            <v>Publicité et Marketing local</v>
          </cell>
        </row>
        <row r="293">
          <cell r="A293">
            <v>627613</v>
          </cell>
          <cell r="B293" t="str">
            <v>PUBLICITE ACTION DIRECTE SUR COCA COLA</v>
          </cell>
          <cell r="C293" t="str">
            <v>E04</v>
          </cell>
          <cell r="D293" t="str">
            <v>Publicité et Marketing local</v>
          </cell>
        </row>
        <row r="294">
          <cell r="A294">
            <v>627620</v>
          </cell>
          <cell r="B294" t="str">
            <v>RP CADEAUX ENTREPRISE NON DEDUCT.</v>
          </cell>
          <cell r="C294" t="str">
            <v>F05</v>
          </cell>
          <cell r="D294" t="str">
            <v>Autres Charges</v>
          </cell>
        </row>
        <row r="295">
          <cell r="A295">
            <v>627630</v>
          </cell>
          <cell r="B295" t="str">
            <v>RP CADEAUX FIN ANNEE DEDUCTIBLE</v>
          </cell>
          <cell r="C295" t="str">
            <v>E04</v>
          </cell>
          <cell r="D295" t="str">
            <v>Publicité et Marketing local</v>
          </cell>
        </row>
        <row r="296">
          <cell r="A296">
            <v>627700</v>
          </cell>
          <cell r="B296" t="str">
            <v>RP FRAIS COLLOQ.SEMINAIRE,CONFER.</v>
          </cell>
          <cell r="C296" t="str">
            <v>E04</v>
          </cell>
          <cell r="D296" t="str">
            <v>Publicité et Marketing local</v>
          </cell>
        </row>
        <row r="297">
          <cell r="A297">
            <v>627800</v>
          </cell>
          <cell r="B297" t="str">
            <v>AUTRES CHAR.PUB. REL.PUBLIQUES</v>
          </cell>
          <cell r="C297" t="str">
            <v>E04</v>
          </cell>
          <cell r="D297" t="str">
            <v>Publicité et Marketing local</v>
          </cell>
        </row>
        <row r="298">
          <cell r="A298">
            <v>628100</v>
          </cell>
          <cell r="B298" t="str">
            <v>FRAIS TELEGRAMMES ET TELEPHONES</v>
          </cell>
          <cell r="C298" t="str">
            <v>F03</v>
          </cell>
          <cell r="D298" t="str">
            <v>Autres Services</v>
          </cell>
        </row>
        <row r="299">
          <cell r="A299">
            <v>628110</v>
          </cell>
          <cell r="B299" t="str">
            <v>FRAIS FAX-TELEPH.MOBILES-LIGN.STANDARD</v>
          </cell>
          <cell r="C299" t="str">
            <v>F03</v>
          </cell>
          <cell r="D299" t="str">
            <v>Autres Services</v>
          </cell>
        </row>
        <row r="300">
          <cell r="A300">
            <v>628120</v>
          </cell>
          <cell r="B300" t="str">
            <v>FRAIS FAX-TELEPH.MOBILES-LIGN.DIRECTES</v>
          </cell>
          <cell r="C300" t="str">
            <v>F03</v>
          </cell>
          <cell r="D300" t="str">
            <v>Autres Services</v>
          </cell>
        </row>
        <row r="301">
          <cell r="A301">
            <v>628130</v>
          </cell>
          <cell r="B301" t="str">
            <v>TELECOMMUNICATION - INTERNET</v>
          </cell>
          <cell r="C301" t="str">
            <v>F03</v>
          </cell>
          <cell r="D301" t="str">
            <v>Autres Services</v>
          </cell>
        </row>
        <row r="302">
          <cell r="A302">
            <v>628140</v>
          </cell>
          <cell r="B302" t="str">
            <v>FRAIS TELECOMMUNICATIONS - INTERNET</v>
          </cell>
          <cell r="C302" t="str">
            <v>F03</v>
          </cell>
          <cell r="D302" t="str">
            <v>Autres Services</v>
          </cell>
        </row>
        <row r="303">
          <cell r="A303">
            <v>628200</v>
          </cell>
          <cell r="B303" t="str">
            <v>TELEX/TELECOPIE TELEGRAMME</v>
          </cell>
          <cell r="C303" t="str">
            <v>F03</v>
          </cell>
          <cell r="D303" t="str">
            <v>Autres Services</v>
          </cell>
        </row>
        <row r="304">
          <cell r="A304">
            <v>628300</v>
          </cell>
          <cell r="B304" t="str">
            <v>TELEPHONES LIGNES FIXES</v>
          </cell>
          <cell r="C304" t="str">
            <v>F03</v>
          </cell>
          <cell r="D304" t="str">
            <v>Autres Services</v>
          </cell>
        </row>
        <row r="305">
          <cell r="A305">
            <v>628400</v>
          </cell>
          <cell r="B305" t="str">
            <v>TELEPHONES LIGNES PERSONNELLES</v>
          </cell>
          <cell r="C305" t="str">
            <v>F03</v>
          </cell>
          <cell r="D305" t="str">
            <v>Autres Services</v>
          </cell>
        </row>
        <row r="306">
          <cell r="A306">
            <v>628800</v>
          </cell>
          <cell r="B306" t="str">
            <v>AUTRES FRAIS DE TELECOMMUNICAT.</v>
          </cell>
          <cell r="C306" t="str">
            <v>F03</v>
          </cell>
          <cell r="D306" t="str">
            <v>Autres Services</v>
          </cell>
        </row>
        <row r="307">
          <cell r="A307">
            <v>631810</v>
          </cell>
          <cell r="B307" t="str">
            <v>COMMISSIONS S/CAUTIONS CAMEROUN</v>
          </cell>
          <cell r="C307" t="str">
            <v>F03</v>
          </cell>
          <cell r="D307" t="str">
            <v>Autres Services</v>
          </cell>
        </row>
        <row r="308">
          <cell r="A308">
            <v>631811</v>
          </cell>
          <cell r="B308" t="str">
            <v>FRAIS DE RAMASSAGE DE FONDS</v>
          </cell>
          <cell r="C308" t="str">
            <v>F03</v>
          </cell>
          <cell r="D308" t="str">
            <v>Autres Services</v>
          </cell>
        </row>
        <row r="309">
          <cell r="A309">
            <v>631813</v>
          </cell>
          <cell r="B309" t="str">
            <v>FRAIS /VIREMENTS ETRANG.CAMEROUN</v>
          </cell>
          <cell r="C309" t="str">
            <v>F03</v>
          </cell>
          <cell r="D309" t="str">
            <v>Autres Services</v>
          </cell>
        </row>
        <row r="310">
          <cell r="A310">
            <v>631814</v>
          </cell>
          <cell r="B310" t="str">
            <v>COMMIS.BANCAIRES DIV.LOCAUX</v>
          </cell>
          <cell r="C310" t="str">
            <v>F03</v>
          </cell>
          <cell r="D310" t="str">
            <v>Autres Services</v>
          </cell>
        </row>
        <row r="311">
          <cell r="A311">
            <v>631816</v>
          </cell>
          <cell r="B311" t="str">
            <v>COMMISSIONS DE COMPTE CAMEROUN</v>
          </cell>
          <cell r="C311" t="str">
            <v>F03</v>
          </cell>
          <cell r="D311" t="str">
            <v>Autres Services</v>
          </cell>
        </row>
        <row r="312">
          <cell r="A312">
            <v>631817</v>
          </cell>
          <cell r="B312" t="str">
            <v>COMMISSIONS DE DECOUVERT CAMER.</v>
          </cell>
          <cell r="C312" t="str">
            <v>F03</v>
          </cell>
          <cell r="D312" t="str">
            <v>Autres Services</v>
          </cell>
        </row>
        <row r="313">
          <cell r="A313">
            <v>631818</v>
          </cell>
          <cell r="B313" t="str">
            <v>FRAIS S/VIREMENTS LOCAUX</v>
          </cell>
          <cell r="C313" t="str">
            <v>F03</v>
          </cell>
          <cell r="D313" t="str">
            <v>Autres Services</v>
          </cell>
        </row>
        <row r="314">
          <cell r="A314">
            <v>631819</v>
          </cell>
          <cell r="B314" t="str">
            <v>PROV.COMMISSIONS COMPTE CAMEROUN</v>
          </cell>
          <cell r="C314" t="str">
            <v>F03</v>
          </cell>
          <cell r="D314" t="str">
            <v>Autres Services</v>
          </cell>
        </row>
        <row r="315">
          <cell r="A315">
            <v>631850</v>
          </cell>
          <cell r="B315" t="str">
            <v>AUTRES SERVICES BANQUES CAMEROUN</v>
          </cell>
          <cell r="C315" t="str">
            <v>F03</v>
          </cell>
          <cell r="D315" t="str">
            <v>Autres Services</v>
          </cell>
        </row>
        <row r="316">
          <cell r="A316">
            <v>631860</v>
          </cell>
          <cell r="B316" t="str">
            <v>AUTRES SERVICES BANQUES A L'ETR.</v>
          </cell>
          <cell r="C316" t="str">
            <v>F03</v>
          </cell>
          <cell r="D316" t="str">
            <v>Autres Services</v>
          </cell>
        </row>
        <row r="317">
          <cell r="A317">
            <v>632100</v>
          </cell>
          <cell r="B317" t="str">
            <v>COMMISSIONS ET COURTAGES/ ACHATS</v>
          </cell>
          <cell r="C317" t="str">
            <v>F03</v>
          </cell>
          <cell r="D317" t="str">
            <v>Autres Services</v>
          </cell>
        </row>
        <row r="318">
          <cell r="A318">
            <v>632200</v>
          </cell>
          <cell r="B318" t="str">
            <v>COMMISSIONS ET COURTAGES/VENTES</v>
          </cell>
          <cell r="C318" t="str">
            <v>F03</v>
          </cell>
          <cell r="D318" t="str">
            <v>Autres Services</v>
          </cell>
        </row>
        <row r="319">
          <cell r="A319">
            <v>632205</v>
          </cell>
          <cell r="B319" t="str">
            <v>PRESTATIONS/VTES BIERE PRESSION</v>
          </cell>
          <cell r="C319" t="str">
            <v>F06</v>
          </cell>
          <cell r="D319" t="str">
            <v>Frais de Personnel</v>
          </cell>
        </row>
        <row r="320">
          <cell r="A320">
            <v>632310</v>
          </cell>
          <cell r="B320" t="str">
            <v>FRAIS DES TRANSITAIRES</v>
          </cell>
          <cell r="C320" t="str">
            <v>D02</v>
          </cell>
          <cell r="D320" t="str">
            <v>Fournitures de conditionnement</v>
          </cell>
        </row>
        <row r="321">
          <cell r="A321">
            <v>632311</v>
          </cell>
          <cell r="B321" t="str">
            <v>FRAIS DE TRANSIT NEGOCE</v>
          </cell>
          <cell r="C321" t="str">
            <v>G01</v>
          </cell>
          <cell r="D321" t="str">
            <v>Autres Produits d' Exploitation</v>
          </cell>
        </row>
        <row r="322">
          <cell r="A322">
            <v>632312</v>
          </cell>
          <cell r="B322" t="str">
            <v>FRAIS DEBOURS S/ACHAT EMBALLAGES</v>
          </cell>
          <cell r="C322" t="str">
            <v>G01</v>
          </cell>
          <cell r="D322" t="str">
            <v>Autres Produits d' Exploitation</v>
          </cell>
        </row>
        <row r="323">
          <cell r="A323">
            <v>632313</v>
          </cell>
          <cell r="B323" t="str">
            <v>FRAIS DEBOURS S/ACHAT MAT CONSOMMABLES</v>
          </cell>
          <cell r="C323" t="str">
            <v>D02</v>
          </cell>
          <cell r="D323" t="str">
            <v>Fournitures de conditionnement</v>
          </cell>
        </row>
        <row r="324">
          <cell r="A324">
            <v>632314</v>
          </cell>
          <cell r="B324" t="str">
            <v>FRAIS DEBOURS S/ACHAT HUILES LUBRIFIANTS</v>
          </cell>
          <cell r="C324" t="str">
            <v>D03</v>
          </cell>
          <cell r="D324" t="str">
            <v>Fluides de production</v>
          </cell>
        </row>
        <row r="325">
          <cell r="A325">
            <v>632315</v>
          </cell>
          <cell r="B325" t="str">
            <v>FRAIS DEBOURS S/ACHAT PIECES DE RECHANGE</v>
          </cell>
          <cell r="C325" t="str">
            <v>E03</v>
          </cell>
          <cell r="D325" t="str">
            <v>Maintenance (PdeR et entretien usine)</v>
          </cell>
        </row>
        <row r="326">
          <cell r="A326">
            <v>632316</v>
          </cell>
          <cell r="B326" t="str">
            <v>FRAIS DEBOURS S/ACHAT ARTICLES PUBLICITE</v>
          </cell>
          <cell r="C326" t="str">
            <v>E04</v>
          </cell>
          <cell r="D326" t="str">
            <v>Publicité et Marketing local</v>
          </cell>
        </row>
        <row r="327">
          <cell r="A327">
            <v>632318</v>
          </cell>
          <cell r="B327" t="str">
            <v>DEBOURS MAT. CONS. DE CONDITIONNEMENT</v>
          </cell>
          <cell r="C327" t="str">
            <v>D02</v>
          </cell>
          <cell r="D327" t="str">
            <v>Fournitures de conditionnement</v>
          </cell>
        </row>
        <row r="328">
          <cell r="A328">
            <v>632319</v>
          </cell>
          <cell r="B328" t="str">
            <v>DEBOURS CONSOMMABLES DE LABORATOIRE</v>
          </cell>
          <cell r="C328" t="str">
            <v>F01</v>
          </cell>
          <cell r="D328" t="str">
            <v>Consommations fixes</v>
          </cell>
        </row>
        <row r="329">
          <cell r="A329">
            <v>632320</v>
          </cell>
          <cell r="B329" t="str">
            <v>FRAIS DES TRANSITAIRES MAT PREMIERES</v>
          </cell>
          <cell r="C329" t="str">
            <v>D01</v>
          </cell>
          <cell r="D329" t="str">
            <v>Matières et consommables de production</v>
          </cell>
        </row>
        <row r="330">
          <cell r="A330">
            <v>632321</v>
          </cell>
          <cell r="B330" t="str">
            <v>FRAIS DES TRANSITAIRES PDS NEGOCE</v>
          </cell>
          <cell r="C330" t="str">
            <v>G01</v>
          </cell>
          <cell r="D330" t="str">
            <v>Autres Produits d' Exploitation</v>
          </cell>
        </row>
        <row r="331">
          <cell r="A331">
            <v>632323</v>
          </cell>
          <cell r="B331" t="str">
            <v>FRAIS DES TRANSITAIRES MAT CONSOMMABLES</v>
          </cell>
          <cell r="C331" t="str">
            <v>D02</v>
          </cell>
          <cell r="D331" t="str">
            <v>Fournitures de conditionnement</v>
          </cell>
        </row>
        <row r="332">
          <cell r="A332">
            <v>632324</v>
          </cell>
          <cell r="B332" t="str">
            <v>FRAIS DES TRANSITAIRES S/ACHAT HUILES LU</v>
          </cell>
          <cell r="C332" t="str">
            <v>D03</v>
          </cell>
          <cell r="D332" t="str">
            <v>Fluides de production</v>
          </cell>
        </row>
        <row r="333">
          <cell r="A333">
            <v>632325</v>
          </cell>
          <cell r="B333" t="str">
            <v>FRAIS DES TRANSITAIRES S/ACHAT PIECES RE</v>
          </cell>
          <cell r="C333" t="str">
            <v>E03</v>
          </cell>
          <cell r="D333" t="str">
            <v>Maintenance (PdeR et entretien usine)</v>
          </cell>
        </row>
        <row r="334">
          <cell r="A334">
            <v>632326</v>
          </cell>
          <cell r="B334" t="str">
            <v>FRAIS DES TRANSITAIRES S/ACHAT ART PUB</v>
          </cell>
          <cell r="C334" t="str">
            <v>E04</v>
          </cell>
          <cell r="D334" t="str">
            <v>Publicité et Marketing local</v>
          </cell>
        </row>
        <row r="335">
          <cell r="A335">
            <v>632328</v>
          </cell>
          <cell r="B335" t="str">
            <v>TRANSIT MAT. CONS. DE CONDITIONNEMENT</v>
          </cell>
          <cell r="C335" t="str">
            <v>D02</v>
          </cell>
          <cell r="D335" t="str">
            <v>Fournitures de conditionnement</v>
          </cell>
        </row>
        <row r="336">
          <cell r="A336">
            <v>632329</v>
          </cell>
          <cell r="B336" t="str">
            <v>FRAIS TRANSITAIRES CONSOMM. LABORATOIRE</v>
          </cell>
          <cell r="C336" t="str">
            <v>F01</v>
          </cell>
          <cell r="D336" t="str">
            <v>Consommations fixes</v>
          </cell>
        </row>
        <row r="337">
          <cell r="A337">
            <v>632330</v>
          </cell>
          <cell r="B337" t="str">
            <v>FRAIS CERTIFICATION MATIERES PREMIERES</v>
          </cell>
          <cell r="C337" t="str">
            <v>D01</v>
          </cell>
          <cell r="D337" t="str">
            <v>Matières et consommables de production</v>
          </cell>
        </row>
        <row r="338">
          <cell r="A338">
            <v>632331</v>
          </cell>
          <cell r="B338" t="str">
            <v>FRAIS CERTIFICATION PRODUITS NEGOCE</v>
          </cell>
          <cell r="C338" t="str">
            <v>G01</v>
          </cell>
          <cell r="D338" t="str">
            <v>Autres Produits d' Exploitation</v>
          </cell>
        </row>
        <row r="339">
          <cell r="A339">
            <v>632333</v>
          </cell>
          <cell r="B339" t="str">
            <v>FRAIS CERTIFICATION MATIERES CONSOMMABLE</v>
          </cell>
          <cell r="C339" t="str">
            <v>D02</v>
          </cell>
          <cell r="D339" t="str">
            <v>Fournitures de conditionnement</v>
          </cell>
        </row>
        <row r="340">
          <cell r="A340">
            <v>632335</v>
          </cell>
          <cell r="B340" t="str">
            <v>FRAIS CERTIFICATION PIECES DE RECHANGE</v>
          </cell>
          <cell r="C340" t="str">
            <v>E03</v>
          </cell>
          <cell r="D340" t="str">
            <v>Maintenance (PdeR et entretien usine)</v>
          </cell>
        </row>
        <row r="341">
          <cell r="A341">
            <v>632370</v>
          </cell>
          <cell r="B341" t="str">
            <v>FRAIS TRANSIT/EXPORT.FOURN.</v>
          </cell>
          <cell r="C341" t="str">
            <v>F03</v>
          </cell>
          <cell r="D341" t="str">
            <v>Autres Services</v>
          </cell>
        </row>
        <row r="342">
          <cell r="A342">
            <v>632380</v>
          </cell>
          <cell r="B342" t="str">
            <v>FRAIS TRANSIT/ COLIS</v>
          </cell>
          <cell r="C342" t="str">
            <v>F03</v>
          </cell>
          <cell r="D342" t="str">
            <v>Autres Services</v>
          </cell>
        </row>
        <row r="343">
          <cell r="A343">
            <v>632399</v>
          </cell>
          <cell r="B343" t="str">
            <v>EXTERNALISATION CAISSES CC/CD</v>
          </cell>
          <cell r="C343" t="str">
            <v>F03</v>
          </cell>
          <cell r="D343" t="str">
            <v>Autres Services</v>
          </cell>
        </row>
        <row r="344">
          <cell r="A344">
            <v>632400</v>
          </cell>
          <cell r="B344" t="str">
            <v>HONO. S/ PRESTAT° ADMINISTRATIVES</v>
          </cell>
          <cell r="C344" t="str">
            <v>F03</v>
          </cell>
          <cell r="D344" t="str">
            <v>Autres Services</v>
          </cell>
        </row>
        <row r="345">
          <cell r="A345">
            <v>632401</v>
          </cell>
          <cell r="B345" t="str">
            <v>HONO. JURI/FISC TIERS</v>
          </cell>
          <cell r="C345" t="str">
            <v>F03</v>
          </cell>
          <cell r="D345" t="str">
            <v>Autres Services</v>
          </cell>
        </row>
        <row r="346">
          <cell r="A346">
            <v>632402</v>
          </cell>
          <cell r="B346" t="str">
            <v>HONORAIRES AVOCATS HUIS. FOURN NON AGREE</v>
          </cell>
          <cell r="C346" t="str">
            <v>F03</v>
          </cell>
          <cell r="D346" t="str">
            <v>Autres Services</v>
          </cell>
        </row>
        <row r="347">
          <cell r="A347">
            <v>632403</v>
          </cell>
          <cell r="B347" t="str">
            <v>HONORAIRES JURIDIQUES/FIS FOURS</v>
          </cell>
          <cell r="C347" t="str">
            <v>F03</v>
          </cell>
          <cell r="D347" t="str">
            <v>Autres Services</v>
          </cell>
        </row>
        <row r="348">
          <cell r="A348">
            <v>632404</v>
          </cell>
          <cell r="B348" t="str">
            <v>HONORAIRES AVOC.HUIS.FOURNS</v>
          </cell>
          <cell r="C348" t="str">
            <v>F03</v>
          </cell>
          <cell r="D348" t="str">
            <v>Autres Services</v>
          </cell>
        </row>
        <row r="349">
          <cell r="A349">
            <v>632405</v>
          </cell>
          <cell r="B349" t="str">
            <v>HONORAIRES COMPTABLES FOURN. LCX</v>
          </cell>
          <cell r="C349" t="str">
            <v>F03</v>
          </cell>
          <cell r="D349" t="str">
            <v>Autres Services</v>
          </cell>
        </row>
        <row r="350">
          <cell r="A350">
            <v>632406</v>
          </cell>
          <cell r="B350" t="str">
            <v>REDEVANCES MUTZIG</v>
          </cell>
          <cell r="C350" t="str">
            <v>F06</v>
          </cell>
          <cell r="D350" t="str">
            <v>Frais de Personnel</v>
          </cell>
        </row>
        <row r="351">
          <cell r="A351">
            <v>632407</v>
          </cell>
          <cell r="B351" t="str">
            <v>HONO.HOPITAUX,CLINIQUES-FOURN NON AGREES</v>
          </cell>
          <cell r="C351" t="str">
            <v>F06</v>
          </cell>
          <cell r="D351" t="str">
            <v>Frais de Personnel</v>
          </cell>
        </row>
        <row r="352">
          <cell r="A352">
            <v>632408</v>
          </cell>
          <cell r="B352" t="str">
            <v>HONORAIRES ANALYSES LABO.-FOURN NON AGRE</v>
          </cell>
          <cell r="C352" t="str">
            <v>F06</v>
          </cell>
          <cell r="D352" t="str">
            <v>Frais de Personnel</v>
          </cell>
        </row>
        <row r="353">
          <cell r="A353">
            <v>632409</v>
          </cell>
          <cell r="B353" t="str">
            <v>HONORAIRES MEDICAUX-FOURN.</v>
          </cell>
          <cell r="C353" t="str">
            <v>F06</v>
          </cell>
          <cell r="D353" t="str">
            <v>Frais de Personnel</v>
          </cell>
        </row>
        <row r="354">
          <cell r="A354">
            <v>632410</v>
          </cell>
          <cell r="B354" t="str">
            <v>HONORAIRES HOPIT.CLINIQ._FOURN.</v>
          </cell>
          <cell r="C354" t="str">
            <v>F06</v>
          </cell>
          <cell r="D354" t="str">
            <v>Frais de Personnel</v>
          </cell>
        </row>
        <row r="355">
          <cell r="A355">
            <v>632411</v>
          </cell>
          <cell r="B355" t="str">
            <v>HONORAIRES ANALYSES LABO.-FOURN</v>
          </cell>
          <cell r="C355" t="str">
            <v>F06</v>
          </cell>
          <cell r="D355" t="str">
            <v>Frais de Personnel</v>
          </cell>
        </row>
        <row r="356">
          <cell r="A356">
            <v>632412</v>
          </cell>
          <cell r="B356" t="str">
            <v>TRAVAUX A FACON INFO TIERS</v>
          </cell>
          <cell r="C356" t="str">
            <v>F03</v>
          </cell>
          <cell r="D356" t="str">
            <v>Autres Services</v>
          </cell>
        </row>
        <row r="357">
          <cell r="A357">
            <v>632413</v>
          </cell>
          <cell r="B357" t="str">
            <v>TRAVAUX A FACON INFO FOURN</v>
          </cell>
          <cell r="C357" t="str">
            <v>F03</v>
          </cell>
          <cell r="D357" t="str">
            <v>Autres Services</v>
          </cell>
        </row>
        <row r="358">
          <cell r="A358">
            <v>632414</v>
          </cell>
          <cell r="B358" t="str">
            <v>SGS INSPECTION M'SES IMPORT</v>
          </cell>
          <cell r="C358" t="str">
            <v>F03</v>
          </cell>
          <cell r="D358" t="str">
            <v>Autres Services</v>
          </cell>
        </row>
        <row r="359">
          <cell r="A359">
            <v>632415</v>
          </cell>
          <cell r="B359" t="str">
            <v>PRESTATIONS SERVICES NON AGRES</v>
          </cell>
          <cell r="C359" t="str">
            <v>F03</v>
          </cell>
          <cell r="D359" t="str">
            <v>Autres Services</v>
          </cell>
        </row>
        <row r="360">
          <cell r="A360">
            <v>632416</v>
          </cell>
          <cell r="B360" t="str">
            <v>HONOR. AUTRES PREST.SERVICES LOCAUX</v>
          </cell>
          <cell r="C360" t="str">
            <v>F03</v>
          </cell>
          <cell r="D360" t="str">
            <v>Autres Services</v>
          </cell>
        </row>
        <row r="361">
          <cell r="A361">
            <v>632417</v>
          </cell>
          <cell r="B361" t="str">
            <v>HONOR. S/PREST. SERVICES CAM.-FOURN.</v>
          </cell>
          <cell r="C361" t="str">
            <v>F03</v>
          </cell>
          <cell r="D361" t="str">
            <v>Autres Services</v>
          </cell>
        </row>
        <row r="362">
          <cell r="A362">
            <v>632418</v>
          </cell>
          <cell r="B362" t="str">
            <v>HONOR. S/PREST. SOUS/TRAITANCE LOCALE</v>
          </cell>
          <cell r="C362" t="str">
            <v>F06</v>
          </cell>
          <cell r="D362" t="str">
            <v>Frais de Personnel</v>
          </cell>
        </row>
        <row r="363">
          <cell r="A363">
            <v>632419</v>
          </cell>
          <cell r="B363" t="str">
            <v>HONORAIRES S/PREST. GARDIENNAGE</v>
          </cell>
          <cell r="C363" t="str">
            <v>F03</v>
          </cell>
          <cell r="D363" t="str">
            <v>Autres Services</v>
          </cell>
        </row>
        <row r="364">
          <cell r="A364">
            <v>632420</v>
          </cell>
          <cell r="B364" t="str">
            <v>HONOR. S/PREST. SOUS/TRAITANCE LOCALE</v>
          </cell>
          <cell r="C364" t="str">
            <v>F03</v>
          </cell>
          <cell r="D364" t="str">
            <v>Autres Services</v>
          </cell>
        </row>
        <row r="365">
          <cell r="A365">
            <v>632421</v>
          </cell>
          <cell r="B365" t="str">
            <v>VISITE TECHNIQUE VEHICULES</v>
          </cell>
          <cell r="C365" t="str">
            <v>F03</v>
          </cell>
          <cell r="D365" t="str">
            <v>Autres Services</v>
          </cell>
        </row>
        <row r="366">
          <cell r="A366">
            <v>632423</v>
          </cell>
          <cell r="B366" t="str">
            <v>FRAIS DE SIEGE</v>
          </cell>
          <cell r="C366" t="str">
            <v>F03</v>
          </cell>
          <cell r="D366" t="str">
            <v>Autres Services</v>
          </cell>
        </row>
        <row r="367">
          <cell r="A367">
            <v>632424</v>
          </cell>
          <cell r="B367" t="str">
            <v>FRAIS S/PREST.ETRANGER</v>
          </cell>
          <cell r="C367" t="str">
            <v>F03</v>
          </cell>
          <cell r="D367" t="str">
            <v>Autres Services</v>
          </cell>
        </row>
        <row r="368">
          <cell r="A368">
            <v>632425</v>
          </cell>
          <cell r="B368" t="str">
            <v>HONOR. S/PREST.SERVICES ETRANGER-FOURN.</v>
          </cell>
          <cell r="C368" t="str">
            <v>F03</v>
          </cell>
          <cell r="D368" t="str">
            <v>Autres Services</v>
          </cell>
        </row>
        <row r="369">
          <cell r="A369">
            <v>632426</v>
          </cell>
          <cell r="B369" t="str">
            <v>AUTRES PREST.SERV.ETRANGER-FOURN</v>
          </cell>
          <cell r="C369" t="str">
            <v>F03</v>
          </cell>
          <cell r="D369" t="str">
            <v>Autres Services</v>
          </cell>
        </row>
        <row r="370">
          <cell r="A370">
            <v>632427</v>
          </cell>
          <cell r="B370" t="str">
            <v>HONORAIRES AVOCATS ETRANGERS</v>
          </cell>
          <cell r="C370" t="str">
            <v>F03</v>
          </cell>
          <cell r="D370" t="str">
            <v>Autres Services</v>
          </cell>
        </row>
        <row r="371">
          <cell r="A371">
            <v>632428</v>
          </cell>
          <cell r="B371" t="str">
            <v>ASSISTANCE TECHNIQUE LOCALE</v>
          </cell>
          <cell r="C371" t="str">
            <v>F03</v>
          </cell>
          <cell r="D371" t="str">
            <v>Autres Services</v>
          </cell>
        </row>
        <row r="372">
          <cell r="A372">
            <v>632429</v>
          </cell>
          <cell r="B372" t="str">
            <v>ASSISTANCE TECHNIQUE ETRANGERE</v>
          </cell>
          <cell r="C372" t="str">
            <v>E06</v>
          </cell>
          <cell r="D372" t="str">
            <v>Assistances Techniques</v>
          </cell>
        </row>
        <row r="373">
          <cell r="A373">
            <v>632431</v>
          </cell>
          <cell r="B373" t="str">
            <v>REDEVANCES VICHY</v>
          </cell>
          <cell r="C373" t="str">
            <v>E06</v>
          </cell>
          <cell r="D373" t="str">
            <v>Assistances Techniques</v>
          </cell>
        </row>
        <row r="374">
          <cell r="A374">
            <v>632490</v>
          </cell>
          <cell r="B374" t="str">
            <v>PRESTATIONS SERVICES PROVISION.</v>
          </cell>
          <cell r="C374" t="str">
            <v>F03</v>
          </cell>
          <cell r="D374" t="str">
            <v>Autres Services</v>
          </cell>
        </row>
        <row r="375">
          <cell r="A375">
            <v>632491</v>
          </cell>
          <cell r="B375" t="str">
            <v>HONORAIRES PROVISIONNES</v>
          </cell>
          <cell r="C375" t="str">
            <v>F03</v>
          </cell>
          <cell r="D375" t="str">
            <v>Autres Services</v>
          </cell>
        </row>
        <row r="376">
          <cell r="A376">
            <v>632492</v>
          </cell>
          <cell r="B376" t="str">
            <v>PROVISION ASSISTANCE TECHNIQUE</v>
          </cell>
          <cell r="C376" t="str">
            <v>E06</v>
          </cell>
          <cell r="D376" t="str">
            <v>Assistances Techniques</v>
          </cell>
        </row>
        <row r="377">
          <cell r="A377">
            <v>632510</v>
          </cell>
          <cell r="B377" t="str">
            <v>FRAIS D'ACTES ET CONTENTIEUX</v>
          </cell>
          <cell r="C377" t="str">
            <v>F03</v>
          </cell>
          <cell r="D377" t="str">
            <v>Autres Services</v>
          </cell>
        </row>
        <row r="378">
          <cell r="A378">
            <v>632520</v>
          </cell>
          <cell r="B378" t="str">
            <v>FRAIS DE CONSEILS ASSEMBLEE</v>
          </cell>
          <cell r="C378" t="str">
            <v>F03</v>
          </cell>
          <cell r="D378" t="str">
            <v>Autres Services</v>
          </cell>
        </row>
        <row r="379">
          <cell r="A379">
            <v>632801</v>
          </cell>
          <cell r="B379" t="str">
            <v>PRESTAT° ESTAMPILLAGE ALCOOL IMPORTE</v>
          </cell>
          <cell r="C379" t="str">
            <v>G01</v>
          </cell>
          <cell r="D379" t="str">
            <v>Autres Produits d' Exploitation</v>
          </cell>
        </row>
        <row r="380">
          <cell r="A380">
            <v>632810</v>
          </cell>
          <cell r="B380" t="str">
            <v>DIVERS FRAIS ACHATS HORS REGION/DEBOURS</v>
          </cell>
          <cell r="C380" t="str">
            <v>F03</v>
          </cell>
          <cell r="D380" t="str">
            <v>Autres Services</v>
          </cell>
        </row>
        <row r="381">
          <cell r="A381">
            <v>632890</v>
          </cell>
          <cell r="B381" t="str">
            <v>PRESTATIONS S/PRODUITS + EMBALL.</v>
          </cell>
          <cell r="C381" t="str">
            <v>F06</v>
          </cell>
          <cell r="D381" t="str">
            <v>Frais de Personnel</v>
          </cell>
        </row>
        <row r="382">
          <cell r="A382">
            <v>632895</v>
          </cell>
          <cell r="B382" t="str">
            <v>PRESTATIONS S/M.P.C.</v>
          </cell>
          <cell r="C382" t="str">
            <v>F06</v>
          </cell>
          <cell r="D382" t="str">
            <v>Frais de Personnel</v>
          </cell>
        </row>
        <row r="383">
          <cell r="A383">
            <v>633110</v>
          </cell>
          <cell r="B383" t="str">
            <v>FRAIS FORMAT°. STAGES LOCAUX FOURN.</v>
          </cell>
          <cell r="C383" t="str">
            <v>F06</v>
          </cell>
          <cell r="D383" t="str">
            <v>Frais de Personnel</v>
          </cell>
        </row>
        <row r="384">
          <cell r="A384">
            <v>634401</v>
          </cell>
          <cell r="B384" t="str">
            <v>REDEVANCES TUBORG</v>
          </cell>
          <cell r="C384" t="str">
            <v>D07</v>
          </cell>
          <cell r="D384" t="str">
            <v>Redevances de marques</v>
          </cell>
        </row>
        <row r="385">
          <cell r="A385">
            <v>634402</v>
          </cell>
          <cell r="B385" t="str">
            <v>REDEVANCES B.G.I. -33 EXPORT</v>
          </cell>
          <cell r="C385" t="str">
            <v>D07</v>
          </cell>
          <cell r="D385" t="str">
            <v>Redevances de marques</v>
          </cell>
        </row>
        <row r="386">
          <cell r="A386">
            <v>634403</v>
          </cell>
          <cell r="B386" t="str">
            <v>REDEVANCES CASTLE MILK STOUT</v>
          </cell>
          <cell r="C386" t="str">
            <v>D07</v>
          </cell>
          <cell r="D386" t="str">
            <v>Redevances de marques</v>
          </cell>
        </row>
        <row r="387">
          <cell r="A387">
            <v>634404</v>
          </cell>
          <cell r="B387" t="str">
            <v>REDEVANCES PELFORTH</v>
          </cell>
          <cell r="C387" t="str">
            <v>D07</v>
          </cell>
          <cell r="D387" t="str">
            <v>Redevances de marques</v>
          </cell>
        </row>
        <row r="388">
          <cell r="A388">
            <v>634405</v>
          </cell>
          <cell r="B388" t="str">
            <v>REDEVANCES BTM-CASTEL BEER</v>
          </cell>
          <cell r="C388" t="str">
            <v>D07</v>
          </cell>
          <cell r="D388" t="str">
            <v>Redevances de marques</v>
          </cell>
        </row>
        <row r="389">
          <cell r="A389">
            <v>634406</v>
          </cell>
          <cell r="B389" t="str">
            <v>REDEVANCES MUTZIG</v>
          </cell>
          <cell r="C389" t="str">
            <v>D07</v>
          </cell>
          <cell r="D389" t="str">
            <v>Redevances de marques</v>
          </cell>
        </row>
        <row r="390">
          <cell r="A390">
            <v>634407</v>
          </cell>
          <cell r="B390" t="str">
            <v>REDEVANCES AMSTEL</v>
          </cell>
          <cell r="C390" t="str">
            <v>D07</v>
          </cell>
          <cell r="D390" t="str">
            <v>Redevances de marques</v>
          </cell>
        </row>
        <row r="391">
          <cell r="A391">
            <v>634408</v>
          </cell>
          <cell r="B391" t="str">
            <v>REDEVANCES BTM-D'JINO</v>
          </cell>
          <cell r="C391" t="str">
            <v>D07</v>
          </cell>
          <cell r="D391" t="str">
            <v>Redevances de marques</v>
          </cell>
        </row>
        <row r="392">
          <cell r="A392">
            <v>634409</v>
          </cell>
          <cell r="B392" t="str">
            <v>REDEVANCES BOOSTER</v>
          </cell>
          <cell r="C392" t="str">
            <v>D07</v>
          </cell>
          <cell r="D392" t="str">
            <v>Redevances de marques</v>
          </cell>
        </row>
        <row r="393">
          <cell r="A393">
            <v>634410</v>
          </cell>
          <cell r="B393" t="str">
            <v>REDEVANCES ISENBECK</v>
          </cell>
          <cell r="C393" t="str">
            <v>D07</v>
          </cell>
          <cell r="D393" t="str">
            <v>Redevances de marques</v>
          </cell>
        </row>
        <row r="394">
          <cell r="A394">
            <v>634411</v>
          </cell>
          <cell r="B394" t="str">
            <v>REDEVANCES MALT UP</v>
          </cell>
          <cell r="C394" t="str">
            <v>D07</v>
          </cell>
          <cell r="D394" t="str">
            <v>Redevances de marques</v>
          </cell>
        </row>
        <row r="395">
          <cell r="A395">
            <v>634412</v>
          </cell>
          <cell r="B395" t="str">
            <v>REDEVANCES ORANGINA</v>
          </cell>
          <cell r="C395" t="str">
            <v>D07</v>
          </cell>
          <cell r="D395" t="str">
            <v>Redevances de marques</v>
          </cell>
        </row>
        <row r="396">
          <cell r="A396">
            <v>634413</v>
          </cell>
          <cell r="B396" t="str">
            <v>REDEVANCES XXL</v>
          </cell>
          <cell r="C396" t="str">
            <v>D07</v>
          </cell>
          <cell r="D396" t="str">
            <v>Redevances de marques</v>
          </cell>
        </row>
        <row r="397">
          <cell r="A397">
            <v>635110</v>
          </cell>
          <cell r="B397" t="str">
            <v>COTISATIONS SYNDICALES</v>
          </cell>
          <cell r="C397" t="str">
            <v>F05</v>
          </cell>
          <cell r="D397" t="str">
            <v>Autres Charges</v>
          </cell>
        </row>
        <row r="398">
          <cell r="A398">
            <v>635130</v>
          </cell>
          <cell r="B398" t="str">
            <v>COTIS.P/ASSOC.CULT.ET PROFES.</v>
          </cell>
          <cell r="C398" t="str">
            <v>F05</v>
          </cell>
          <cell r="D398" t="str">
            <v>Autres Charges</v>
          </cell>
        </row>
        <row r="399">
          <cell r="A399">
            <v>635820</v>
          </cell>
          <cell r="B399" t="str">
            <v>SUBVENT.ACCORD.S/TAXE APPRENTIS.</v>
          </cell>
          <cell r="C399" t="str">
            <v>F05</v>
          </cell>
          <cell r="D399" t="str">
            <v>Autres Charges</v>
          </cell>
        </row>
        <row r="400">
          <cell r="A400">
            <v>637130</v>
          </cell>
          <cell r="B400" t="str">
            <v>E.O.M -PERSONNEL INTERIMAIRE</v>
          </cell>
          <cell r="C400" t="str">
            <v>F06</v>
          </cell>
          <cell r="D400" t="str">
            <v>Frais de Personnel</v>
          </cell>
        </row>
        <row r="401">
          <cell r="A401">
            <v>637140</v>
          </cell>
          <cell r="B401" t="str">
            <v>CADRES NATIONAUX-PERS.INTERIMAIR</v>
          </cell>
          <cell r="C401" t="str">
            <v>F06</v>
          </cell>
          <cell r="D401" t="str">
            <v>Frais de Personnel</v>
          </cell>
        </row>
        <row r="402">
          <cell r="A402">
            <v>637150</v>
          </cell>
          <cell r="B402" t="str">
            <v>CADRES NON NAT.-PERS INTERIMAIRE</v>
          </cell>
          <cell r="C402" t="str">
            <v>F06</v>
          </cell>
          <cell r="D402" t="str">
            <v>Frais de Personnel</v>
          </cell>
        </row>
        <row r="403">
          <cell r="A403">
            <v>637230</v>
          </cell>
          <cell r="B403" t="str">
            <v>EOM-PERS DETACHE/PRETE A L'ESES</v>
          </cell>
          <cell r="C403" t="str">
            <v>F06</v>
          </cell>
          <cell r="D403" t="str">
            <v>Frais de Personnel</v>
          </cell>
        </row>
        <row r="404">
          <cell r="A404">
            <v>637240</v>
          </cell>
          <cell r="B404" t="str">
            <v>CADRES NATIONAUX-PERS DETACHE</v>
          </cell>
          <cell r="C404" t="str">
            <v>F06</v>
          </cell>
          <cell r="D404" t="str">
            <v>Frais de Personnel</v>
          </cell>
        </row>
        <row r="405">
          <cell r="A405">
            <v>637250</v>
          </cell>
          <cell r="B405" t="str">
            <v>CADRES NON NATIONAUX-PERS DETACHE</v>
          </cell>
          <cell r="C405" t="str">
            <v>F06</v>
          </cell>
          <cell r="D405" t="str">
            <v>Frais de Personnel</v>
          </cell>
        </row>
        <row r="406">
          <cell r="A406">
            <v>638120</v>
          </cell>
          <cell r="B406" t="str">
            <v>ANNONCES RECH.CANDIDAT LOCAUX</v>
          </cell>
          <cell r="C406" t="str">
            <v>F03</v>
          </cell>
          <cell r="D406" t="str">
            <v>Autres Services</v>
          </cell>
        </row>
        <row r="407">
          <cell r="A407">
            <v>638121</v>
          </cell>
          <cell r="B407" t="str">
            <v>FORMATION STAGES ETRANG.-FOURN.</v>
          </cell>
          <cell r="C407" t="str">
            <v>F06</v>
          </cell>
          <cell r="D407" t="str">
            <v>Frais de Personnel</v>
          </cell>
        </row>
        <row r="408">
          <cell r="A408">
            <v>638122</v>
          </cell>
          <cell r="B408" t="str">
            <v>ANNONCES RECH.CANDIDAT ETRANGER</v>
          </cell>
          <cell r="C408" t="str">
            <v>F03</v>
          </cell>
          <cell r="D408" t="str">
            <v>Autres Services</v>
          </cell>
        </row>
        <row r="409">
          <cell r="A409">
            <v>638130</v>
          </cell>
          <cell r="B409" t="str">
            <v>FORMATION STAGES LOCAUX-TIERS</v>
          </cell>
          <cell r="C409" t="str">
            <v>F06</v>
          </cell>
          <cell r="D409" t="str">
            <v>Frais de Personnel</v>
          </cell>
        </row>
        <row r="410">
          <cell r="A410">
            <v>638140</v>
          </cell>
          <cell r="B410" t="str">
            <v>PREST.FORMAT.STAGE ETRANG.-FOURN NON AGR</v>
          </cell>
          <cell r="C410" t="str">
            <v>F06</v>
          </cell>
          <cell r="D410" t="str">
            <v>Frais de Personnel</v>
          </cell>
        </row>
        <row r="411">
          <cell r="A411">
            <v>638310</v>
          </cell>
          <cell r="B411" t="str">
            <v>FRAIS DE RECEPTION LOCAUX</v>
          </cell>
          <cell r="C411" t="str">
            <v>F03</v>
          </cell>
          <cell r="D411" t="str">
            <v>Autres Services</v>
          </cell>
        </row>
        <row r="412">
          <cell r="A412">
            <v>638320</v>
          </cell>
          <cell r="B412" t="str">
            <v>INDEMNITES FORFAIT REPRESENTAT.</v>
          </cell>
          <cell r="C412" t="str">
            <v>F03</v>
          </cell>
          <cell r="D412" t="str">
            <v>Autres Services</v>
          </cell>
        </row>
        <row r="413">
          <cell r="A413">
            <v>638401</v>
          </cell>
          <cell r="B413" t="str">
            <v>HOTEL-REST.CAM.P.MONTAGE</v>
          </cell>
          <cell r="C413" t="str">
            <v>F03</v>
          </cell>
          <cell r="D413" t="str">
            <v>Autres Services</v>
          </cell>
        </row>
        <row r="414">
          <cell r="A414">
            <v>638402</v>
          </cell>
          <cell r="B414" t="str">
            <v>INDEMNITES SEJOUR PREST.ETRANGER</v>
          </cell>
          <cell r="C414" t="str">
            <v>F03</v>
          </cell>
          <cell r="D414" t="str">
            <v>Autres Services</v>
          </cell>
        </row>
        <row r="415">
          <cell r="A415">
            <v>638410</v>
          </cell>
          <cell r="B415" t="str">
            <v>FRAIS DE MISSION A L'ETRANGER</v>
          </cell>
          <cell r="C415" t="str">
            <v>F03</v>
          </cell>
          <cell r="D415" t="str">
            <v>Autres Services</v>
          </cell>
        </row>
        <row r="416">
          <cell r="A416">
            <v>638411</v>
          </cell>
          <cell r="B416" t="str">
            <v>HOTEL-REST. PERSONNEL LOCAUX</v>
          </cell>
          <cell r="C416" t="str">
            <v>F03</v>
          </cell>
          <cell r="D416" t="str">
            <v>Autres Services</v>
          </cell>
        </row>
        <row r="417">
          <cell r="A417">
            <v>638412</v>
          </cell>
          <cell r="B417" t="str">
            <v>FRAIS DE RECEPTION A L'ETRANGER</v>
          </cell>
          <cell r="C417" t="str">
            <v>F03</v>
          </cell>
          <cell r="D417" t="str">
            <v>Autres Services</v>
          </cell>
        </row>
        <row r="418">
          <cell r="A418">
            <v>638413</v>
          </cell>
          <cell r="B418" t="str">
            <v>INDEM FORFAITAIRE DEPLACEMENT ETRANGER</v>
          </cell>
          <cell r="C418" t="str">
            <v>F03</v>
          </cell>
          <cell r="D418" t="str">
            <v>Autres Services</v>
          </cell>
        </row>
        <row r="419">
          <cell r="A419">
            <v>641100</v>
          </cell>
          <cell r="B419" t="str">
            <v>TAXES FONCIERES ET ADDITIONNELLE</v>
          </cell>
          <cell r="C419" t="str">
            <v>F07</v>
          </cell>
          <cell r="D419" t="str">
            <v>Impôts &amp; Taxes</v>
          </cell>
        </row>
        <row r="420">
          <cell r="A420">
            <v>641210</v>
          </cell>
          <cell r="B420" t="str">
            <v>PATENTES ET LICENCES</v>
          </cell>
          <cell r="C420" t="str">
            <v>F07</v>
          </cell>
          <cell r="D420" t="str">
            <v>Impôts &amp; Taxes</v>
          </cell>
        </row>
        <row r="421">
          <cell r="A421">
            <v>641312</v>
          </cell>
          <cell r="B421" t="str">
            <v>CREDIT FONCIER EMPLOYES OUVRIERS</v>
          </cell>
          <cell r="C421" t="str">
            <v>F06</v>
          </cell>
          <cell r="D421" t="str">
            <v>Frais de Personnel</v>
          </cell>
        </row>
        <row r="422">
          <cell r="A422">
            <v>641313</v>
          </cell>
          <cell r="B422" t="str">
            <v>CREDIT FONCIER AGENTS MAITRISE</v>
          </cell>
          <cell r="C422" t="str">
            <v>F06</v>
          </cell>
          <cell r="D422" t="str">
            <v>Frais de Personnel</v>
          </cell>
        </row>
        <row r="423">
          <cell r="A423">
            <v>641314</v>
          </cell>
          <cell r="B423" t="str">
            <v>CREDIT FONCIER CADRES NATIONAUX</v>
          </cell>
          <cell r="C423" t="str">
            <v>F06</v>
          </cell>
          <cell r="D423" t="str">
            <v>Frais de Personnel</v>
          </cell>
        </row>
        <row r="424">
          <cell r="A424">
            <v>641315</v>
          </cell>
          <cell r="B424" t="str">
            <v>CREDIT FONC.CADRES NON NATIONAUX</v>
          </cell>
          <cell r="C424" t="str">
            <v>F06</v>
          </cell>
          <cell r="D424" t="str">
            <v>Frais de Personnel</v>
          </cell>
        </row>
        <row r="425">
          <cell r="A425">
            <v>641322</v>
          </cell>
          <cell r="B425" t="str">
            <v>FONDS NATION.P/L'EMPLOI E.O.</v>
          </cell>
          <cell r="C425" t="str">
            <v>F06</v>
          </cell>
          <cell r="D425" t="str">
            <v>Frais de Personnel</v>
          </cell>
        </row>
        <row r="426">
          <cell r="A426">
            <v>641323</v>
          </cell>
          <cell r="B426" t="str">
            <v>FONDS NATIONAL P/L'EMPLOI A.M.</v>
          </cell>
          <cell r="C426" t="str">
            <v>F06</v>
          </cell>
          <cell r="D426" t="str">
            <v>Frais de Personnel</v>
          </cell>
        </row>
        <row r="427">
          <cell r="A427">
            <v>641324</v>
          </cell>
          <cell r="B427" t="str">
            <v>FONDS NATION.P/EMPLOI CADRES NAT</v>
          </cell>
          <cell r="C427" t="str">
            <v>F06</v>
          </cell>
          <cell r="D427" t="str">
            <v>Frais de Personnel</v>
          </cell>
        </row>
        <row r="428">
          <cell r="A428">
            <v>641325</v>
          </cell>
          <cell r="B428" t="str">
            <v>FONDS NAT.P/EMPLOI CADRES NON NA</v>
          </cell>
          <cell r="C428" t="str">
            <v>F06</v>
          </cell>
          <cell r="D428" t="str">
            <v>Frais de Personnel</v>
          </cell>
        </row>
        <row r="429">
          <cell r="A429">
            <v>641800</v>
          </cell>
          <cell r="B429" t="str">
            <v>TAXES MUNICIPALES</v>
          </cell>
          <cell r="C429" t="str">
            <v>F07</v>
          </cell>
          <cell r="D429" t="str">
            <v>Impôts &amp; Taxes</v>
          </cell>
        </row>
        <row r="430">
          <cell r="A430">
            <v>646130</v>
          </cell>
          <cell r="B430" t="str">
            <v>CARTES GRISES</v>
          </cell>
          <cell r="C430" t="str">
            <v>F07</v>
          </cell>
          <cell r="D430" t="str">
            <v>Impôts &amp; Taxes</v>
          </cell>
        </row>
        <row r="431">
          <cell r="A431">
            <v>646210</v>
          </cell>
          <cell r="B431" t="str">
            <v>TIMBRES FISCAUX</v>
          </cell>
          <cell r="C431" t="str">
            <v>F07</v>
          </cell>
          <cell r="D431" t="str">
            <v>Impôts &amp; Taxes</v>
          </cell>
        </row>
        <row r="432">
          <cell r="A432">
            <v>646220</v>
          </cell>
          <cell r="B432" t="str">
            <v>DROITS DE TIMBRE</v>
          </cell>
          <cell r="C432" t="str">
            <v>F07</v>
          </cell>
          <cell r="D432" t="str">
            <v>Impôts &amp; Taxes</v>
          </cell>
        </row>
        <row r="433">
          <cell r="A433">
            <v>646300</v>
          </cell>
          <cell r="B433" t="str">
            <v>TAXE A L'ESSIEU</v>
          </cell>
          <cell r="C433" t="str">
            <v>F07</v>
          </cell>
          <cell r="D433" t="str">
            <v>Impôts &amp; Taxes</v>
          </cell>
        </row>
        <row r="434">
          <cell r="A434">
            <v>646400</v>
          </cell>
          <cell r="B434" t="str">
            <v>VIGNETTES</v>
          </cell>
          <cell r="C434" t="str">
            <v>F07</v>
          </cell>
          <cell r="D434" t="str">
            <v>Impôts &amp; Taxes</v>
          </cell>
        </row>
        <row r="435">
          <cell r="A435">
            <v>646410</v>
          </cell>
          <cell r="B435" t="str">
            <v>VIGNETTES SUR ALCOOL IMPORTEE</v>
          </cell>
          <cell r="C435" t="str">
            <v>G01</v>
          </cell>
          <cell r="D435" t="str">
            <v>Autres Produits d' Exploitation</v>
          </cell>
        </row>
        <row r="436">
          <cell r="A436">
            <v>646420</v>
          </cell>
          <cell r="B436" t="str">
            <v>ENREGISTREMENT</v>
          </cell>
          <cell r="C436" t="str">
            <v>F07</v>
          </cell>
          <cell r="D436" t="str">
            <v>Impôts &amp; Taxes</v>
          </cell>
        </row>
        <row r="437">
          <cell r="A437">
            <v>646820</v>
          </cell>
          <cell r="B437" t="str">
            <v>ENREGISTREMENT BAUX</v>
          </cell>
          <cell r="C437" t="str">
            <v>F07</v>
          </cell>
          <cell r="D437" t="str">
            <v>Impôts &amp; Taxes</v>
          </cell>
        </row>
        <row r="438">
          <cell r="A438">
            <v>646890</v>
          </cell>
          <cell r="B438" t="str">
            <v>ENREGISTREMENT AUTRES ACTES</v>
          </cell>
          <cell r="C438" t="str">
            <v>F07</v>
          </cell>
          <cell r="D438" t="str">
            <v>Impôts &amp; Taxes</v>
          </cell>
        </row>
        <row r="439">
          <cell r="A439">
            <v>646899</v>
          </cell>
          <cell r="B439" t="str">
            <v>AUTRES TAXES D'ENREGISTREMENT</v>
          </cell>
          <cell r="C439" t="str">
            <v>F07</v>
          </cell>
          <cell r="D439" t="str">
            <v>Impôts &amp; Taxes</v>
          </cell>
        </row>
        <row r="440">
          <cell r="A440">
            <v>647120</v>
          </cell>
          <cell r="B440" t="str">
            <v>PENAL.AMENDES FISC.NON DEDUCTIB.</v>
          </cell>
          <cell r="C440" t="str">
            <v>F07</v>
          </cell>
          <cell r="D440" t="str">
            <v>Impôts &amp; Taxes</v>
          </cell>
        </row>
        <row r="441">
          <cell r="A441">
            <v>647160</v>
          </cell>
          <cell r="B441" t="str">
            <v>PENAL.IMPOT NON DEDUCTIBLES</v>
          </cell>
          <cell r="C441" t="str">
            <v>F07</v>
          </cell>
          <cell r="D441" t="str">
            <v>Impôts &amp; Taxes</v>
          </cell>
        </row>
        <row r="442">
          <cell r="A442">
            <v>647310</v>
          </cell>
          <cell r="B442" t="str">
            <v>PENAL.AMENDES FISC. DEDUCTIB.</v>
          </cell>
          <cell r="C442" t="str">
            <v>F07</v>
          </cell>
          <cell r="D442" t="str">
            <v>Impôts &amp; Taxes</v>
          </cell>
        </row>
        <row r="443">
          <cell r="A443">
            <v>647810</v>
          </cell>
          <cell r="B443" t="str">
            <v>DOMMAGES, INTERETS/AFF.EN JUSTI.</v>
          </cell>
          <cell r="C443" t="str">
            <v>F05</v>
          </cell>
          <cell r="D443" t="str">
            <v>Autres Charges</v>
          </cell>
        </row>
        <row r="444">
          <cell r="A444">
            <v>647830</v>
          </cell>
          <cell r="B444" t="str">
            <v>AMENDES CIRCULATION ROUTIERE</v>
          </cell>
          <cell r="C444" t="str">
            <v>F05</v>
          </cell>
          <cell r="D444" t="str">
            <v>Autres Charges</v>
          </cell>
        </row>
        <row r="445">
          <cell r="A445">
            <v>648100</v>
          </cell>
          <cell r="B445" t="str">
            <v>TAXE D'EXTRACTION D'EAU</v>
          </cell>
          <cell r="C445" t="str">
            <v>F07</v>
          </cell>
          <cell r="D445" t="str">
            <v>Impôts &amp; Taxes</v>
          </cell>
        </row>
        <row r="446">
          <cell r="A446">
            <v>648103</v>
          </cell>
          <cell r="B446" t="str">
            <v>REDEVANCE SUPERFICIAIRE</v>
          </cell>
          <cell r="C446" t="str">
            <v>F07</v>
          </cell>
          <cell r="D446" t="str">
            <v>Impôts &amp; Taxes</v>
          </cell>
        </row>
        <row r="447">
          <cell r="A447">
            <v>648104</v>
          </cell>
          <cell r="B447" t="str">
            <v>TAXE ASSAINISSEMENT DES EAU</v>
          </cell>
          <cell r="C447" t="str">
            <v>F07</v>
          </cell>
          <cell r="D447" t="str">
            <v>Impôts &amp; Taxes</v>
          </cell>
        </row>
        <row r="448">
          <cell r="A448">
            <v>648105</v>
          </cell>
          <cell r="B448" t="str">
            <v>TAXE AUDIT ENVIRONNEMENT</v>
          </cell>
          <cell r="C448" t="str">
            <v>F07</v>
          </cell>
          <cell r="D448" t="str">
            <v>Impôts &amp; Taxes</v>
          </cell>
        </row>
        <row r="449">
          <cell r="A449">
            <v>648121</v>
          </cell>
          <cell r="B449" t="str">
            <v>TAXES DOUANE/IMPORTATIONS</v>
          </cell>
          <cell r="C449" t="str">
            <v>F07</v>
          </cell>
          <cell r="D449" t="str">
            <v>Impôts &amp; Taxes</v>
          </cell>
        </row>
        <row r="450">
          <cell r="A450">
            <v>648125</v>
          </cell>
          <cell r="B450" t="str">
            <v>TAXE INFORMATIQUE</v>
          </cell>
          <cell r="C450" t="str">
            <v>F07</v>
          </cell>
          <cell r="D450" t="str">
            <v>Impôts &amp; Taxes</v>
          </cell>
        </row>
        <row r="451">
          <cell r="A451">
            <v>648150</v>
          </cell>
          <cell r="B451" t="str">
            <v>DROITS D'AUTEUR</v>
          </cell>
          <cell r="C451" t="str">
            <v>F07</v>
          </cell>
          <cell r="D451" t="str">
            <v>Impôts &amp; Taxes</v>
          </cell>
        </row>
        <row r="452">
          <cell r="A452">
            <v>648290</v>
          </cell>
          <cell r="B452" t="str">
            <v>DIVERS IMPOTS ET TAX.NON VENTIL.</v>
          </cell>
          <cell r="C452" t="str">
            <v>F07</v>
          </cell>
          <cell r="D452" t="str">
            <v>Impôts &amp; Taxes</v>
          </cell>
        </row>
        <row r="453">
          <cell r="A453">
            <v>648310</v>
          </cell>
          <cell r="B453" t="str">
            <v>IMPOTS EXCEPTIONNELS NON DEDUCTIBLES</v>
          </cell>
          <cell r="C453" t="str">
            <v>F07</v>
          </cell>
          <cell r="D453" t="str">
            <v>Impôts &amp; Taxes</v>
          </cell>
        </row>
        <row r="454">
          <cell r="A454">
            <v>648320</v>
          </cell>
          <cell r="B454" t="str">
            <v>PENALITES DOUANE NON DEDUCT.</v>
          </cell>
          <cell r="C454" t="str">
            <v>F07</v>
          </cell>
          <cell r="D454" t="str">
            <v>Impôts &amp; Taxes</v>
          </cell>
        </row>
        <row r="455">
          <cell r="A455">
            <v>648330</v>
          </cell>
          <cell r="B455" t="str">
            <v>IMPOTS EXCEPTIONNELS DEDUCTIBLES</v>
          </cell>
          <cell r="C455" t="str">
            <v>F07</v>
          </cell>
          <cell r="D455" t="str">
            <v>Impôts &amp; Taxes</v>
          </cell>
        </row>
        <row r="456">
          <cell r="A456">
            <v>648340</v>
          </cell>
          <cell r="B456" t="str">
            <v>TVA S/PRODUCTION A NOUS-MEMES</v>
          </cell>
          <cell r="C456" t="str">
            <v>F07</v>
          </cell>
          <cell r="D456" t="str">
            <v>Impôts &amp; Taxes</v>
          </cell>
        </row>
        <row r="457">
          <cell r="A457">
            <v>648350</v>
          </cell>
          <cell r="B457" t="str">
            <v>TVA S/PRESTATIONS ETRANGERES</v>
          </cell>
          <cell r="C457" t="str">
            <v>F07</v>
          </cell>
          <cell r="D457" t="str">
            <v>Impôts &amp; Taxes</v>
          </cell>
        </row>
        <row r="458">
          <cell r="A458">
            <v>648360</v>
          </cell>
          <cell r="B458" t="str">
            <v>IMPOTS ET TAXEX EXERCICE ANTERIEUR</v>
          </cell>
          <cell r="C458" t="str">
            <v>F07</v>
          </cell>
          <cell r="D458" t="str">
            <v>Impôts &amp; Taxes</v>
          </cell>
        </row>
        <row r="459">
          <cell r="A459">
            <v>651100</v>
          </cell>
          <cell r="B459" t="str">
            <v>CREANCES IRRECOUVRABLES</v>
          </cell>
          <cell r="C459" t="str">
            <v>F05</v>
          </cell>
          <cell r="D459" t="str">
            <v>Autres Charges</v>
          </cell>
        </row>
        <row r="460">
          <cell r="A460">
            <v>651111</v>
          </cell>
          <cell r="B460" t="str">
            <v>CREANCES IRRECOUV.COUV.P/PROV</v>
          </cell>
          <cell r="C460" t="str">
            <v>F05</v>
          </cell>
          <cell r="D460" t="str">
            <v>Autres Charges</v>
          </cell>
        </row>
        <row r="461">
          <cell r="A461">
            <v>651112</v>
          </cell>
          <cell r="B461" t="str">
            <v>CREANCES IRRECOU.NON DEDUCTIBLES</v>
          </cell>
          <cell r="C461" t="str">
            <v>F05</v>
          </cell>
          <cell r="D461" t="str">
            <v>Autres Charges</v>
          </cell>
        </row>
        <row r="462">
          <cell r="A462">
            <v>651113</v>
          </cell>
          <cell r="B462" t="str">
            <v>CREANCES IRREC.COUV.P/PROV N/DED</v>
          </cell>
          <cell r="C462" t="str">
            <v>F05</v>
          </cell>
          <cell r="D462" t="str">
            <v>Autres Charges</v>
          </cell>
        </row>
        <row r="463">
          <cell r="A463">
            <v>651540</v>
          </cell>
          <cell r="B463" t="str">
            <v>ECARTS DE CAISSE</v>
          </cell>
          <cell r="C463" t="str">
            <v>F05</v>
          </cell>
          <cell r="D463" t="str">
            <v>Autres Charges</v>
          </cell>
        </row>
        <row r="464">
          <cell r="A464">
            <v>651545</v>
          </cell>
          <cell r="B464" t="str">
            <v>ECARTS S/PRELEV.1% S/ACHATS</v>
          </cell>
          <cell r="C464" t="str">
            <v>F05</v>
          </cell>
          <cell r="D464" t="str">
            <v>Autres Charges</v>
          </cell>
        </row>
        <row r="465">
          <cell r="A465">
            <v>651550</v>
          </cell>
          <cell r="B465" t="str">
            <v>ARRONDIS ET ECARTS/PAIE</v>
          </cell>
          <cell r="C465" t="str">
            <v>F05</v>
          </cell>
          <cell r="D465" t="str">
            <v>Autres Charges</v>
          </cell>
        </row>
        <row r="466">
          <cell r="A466">
            <v>651555</v>
          </cell>
          <cell r="B466" t="str">
            <v>ARRONDIS ET ECARTS/VTES</v>
          </cell>
          <cell r="C466" t="str">
            <v>F05</v>
          </cell>
          <cell r="D466" t="str">
            <v>Autres Charges</v>
          </cell>
        </row>
        <row r="467">
          <cell r="A467">
            <v>651560</v>
          </cell>
          <cell r="B467" t="str">
            <v>VOLS-DETOURNEMENTS NON ASSURES</v>
          </cell>
          <cell r="C467" t="str">
            <v>I05</v>
          </cell>
          <cell r="D467" t="str">
            <v>Charges except HE</v>
          </cell>
        </row>
        <row r="468">
          <cell r="A468">
            <v>651566</v>
          </cell>
          <cell r="B468" t="str">
            <v>CONDAMNATIONS AFF/TRIBUNAUX</v>
          </cell>
          <cell r="C468" t="str">
            <v>F05</v>
          </cell>
          <cell r="D468" t="str">
            <v>Autres Charges</v>
          </cell>
        </row>
        <row r="469">
          <cell r="A469">
            <v>651573</v>
          </cell>
          <cell r="B469" t="str">
            <v>PERTES SUR  CREANCES   AUTRES DEBIT</v>
          </cell>
          <cell r="C469" t="str">
            <v>I05</v>
          </cell>
          <cell r="D469" t="str">
            <v>Charges except HE</v>
          </cell>
        </row>
        <row r="470">
          <cell r="A470">
            <v>651580</v>
          </cell>
          <cell r="B470" t="str">
            <v>CREANCE IRRECOUV.S/PERSONNEL</v>
          </cell>
          <cell r="C470" t="str">
            <v>F06</v>
          </cell>
          <cell r="D470" t="str">
            <v>Frais de Personnel</v>
          </cell>
        </row>
        <row r="471">
          <cell r="A471">
            <v>651581</v>
          </cell>
          <cell r="B471" t="str">
            <v>CREANCE IRRECOUV.PERS PROVIS.</v>
          </cell>
          <cell r="C471" t="str">
            <v>F06</v>
          </cell>
          <cell r="D471" t="str">
            <v>Frais de Personnel</v>
          </cell>
        </row>
        <row r="472">
          <cell r="A472">
            <v>651590</v>
          </cell>
          <cell r="B472" t="str">
            <v>CHARGES PERTES/DOSS.AVARIES</v>
          </cell>
          <cell r="C472" t="str">
            <v>F05</v>
          </cell>
          <cell r="D472" t="str">
            <v>Autres Charges</v>
          </cell>
        </row>
        <row r="473">
          <cell r="A473">
            <v>651591</v>
          </cell>
          <cell r="B473" t="str">
            <v>DOSSIERS D'A.T.NON RECUPERES</v>
          </cell>
          <cell r="C473" t="str">
            <v>F05</v>
          </cell>
          <cell r="D473" t="str">
            <v>Autres Charges</v>
          </cell>
        </row>
        <row r="474">
          <cell r="A474">
            <v>654100</v>
          </cell>
          <cell r="B474" t="str">
            <v>SORTIES BRUTES IMMOBILISATIONS</v>
          </cell>
          <cell r="C474" t="str">
            <v>I03</v>
          </cell>
          <cell r="D474" t="str">
            <v xml:space="preserve"> +/- values de cessions</v>
          </cell>
        </row>
        <row r="475">
          <cell r="A475">
            <v>658110</v>
          </cell>
          <cell r="B475" t="str">
            <v>JETONS DE PRESENCE</v>
          </cell>
          <cell r="C475" t="str">
            <v>F05</v>
          </cell>
          <cell r="D475" t="str">
            <v>Autres Charges</v>
          </cell>
        </row>
        <row r="476">
          <cell r="A476">
            <v>658200</v>
          </cell>
          <cell r="B476" t="str">
            <v>DONS NON DEDUCTIBLES</v>
          </cell>
          <cell r="C476" t="str">
            <v>F05</v>
          </cell>
          <cell r="D476" t="str">
            <v>Autres Charges</v>
          </cell>
        </row>
        <row r="477">
          <cell r="A477">
            <v>658205</v>
          </cell>
          <cell r="B477" t="str">
            <v>DONS DEDUCTIBLES</v>
          </cell>
          <cell r="C477" t="str">
            <v>F05</v>
          </cell>
          <cell r="D477" t="str">
            <v>Autres Charges</v>
          </cell>
        </row>
        <row r="478">
          <cell r="A478">
            <v>658210</v>
          </cell>
          <cell r="B478" t="str">
            <v>POURBOIRES</v>
          </cell>
          <cell r="C478" t="str">
            <v>F05</v>
          </cell>
          <cell r="D478" t="str">
            <v>Autres Charges</v>
          </cell>
        </row>
        <row r="479">
          <cell r="A479">
            <v>658900</v>
          </cell>
          <cell r="B479" t="str">
            <v>ECARTS SUR REGLEMENTS CLIENTS</v>
          </cell>
          <cell r="C479" t="str">
            <v>F05</v>
          </cell>
          <cell r="D479" t="str">
            <v>Autres Charges</v>
          </cell>
        </row>
        <row r="480">
          <cell r="A480">
            <v>659300</v>
          </cell>
          <cell r="B480" t="str">
            <v>DOT.PROV.DEPREC.MAT.PREM.N/DEDUC</v>
          </cell>
          <cell r="C480" t="str">
            <v>G03</v>
          </cell>
          <cell r="D480" t="str">
            <v>Dotations Provisions Exploitation</v>
          </cell>
        </row>
        <row r="481">
          <cell r="A481">
            <v>659310</v>
          </cell>
          <cell r="B481" t="str">
            <v>DOT.PROV.DEPREC.MAT. PREM.DEDUCT</v>
          </cell>
          <cell r="C481" t="str">
            <v>G03</v>
          </cell>
          <cell r="D481" t="str">
            <v>Dotations Provisions Exploitation</v>
          </cell>
        </row>
        <row r="482">
          <cell r="A482">
            <v>659315</v>
          </cell>
          <cell r="B482" t="str">
            <v>DOT PROV DEPR S/STOCKS MSES</v>
          </cell>
          <cell r="C482" t="str">
            <v>G03</v>
          </cell>
          <cell r="D482" t="str">
            <v>Dotations Provisions Exploitation</v>
          </cell>
        </row>
        <row r="483">
          <cell r="A483">
            <v>659320</v>
          </cell>
          <cell r="B483" t="str">
            <v>DOT.PROV.DEPREC.STOCK P.F. DECOR</v>
          </cell>
          <cell r="C483" t="str">
            <v>G03</v>
          </cell>
          <cell r="D483" t="str">
            <v>Dotations Provisions Exploitation</v>
          </cell>
        </row>
        <row r="484">
          <cell r="A484">
            <v>659330</v>
          </cell>
          <cell r="B484" t="str">
            <v>DOT.PROV.DEPREC.STOCK P.F.N/DECO</v>
          </cell>
          <cell r="C484" t="str">
            <v>G03</v>
          </cell>
          <cell r="D484" t="str">
            <v>Dotations Provisions Exploitation</v>
          </cell>
        </row>
        <row r="485">
          <cell r="A485">
            <v>659340</v>
          </cell>
          <cell r="B485" t="str">
            <v>DOT.PROV.DEPREC.STOK P.S.FINIS</v>
          </cell>
          <cell r="C485" t="str">
            <v>G03</v>
          </cell>
          <cell r="D485" t="str">
            <v>Dotations Provisions Exploitation</v>
          </cell>
        </row>
        <row r="486">
          <cell r="A486">
            <v>659350</v>
          </cell>
          <cell r="B486" t="str">
            <v>DOT.PROV.DEPREC.STKS PIECES RECH</v>
          </cell>
          <cell r="C486" t="str">
            <v>G03</v>
          </cell>
          <cell r="D486" t="str">
            <v>Dotations Provisions Exploitation</v>
          </cell>
        </row>
        <row r="487">
          <cell r="A487">
            <v>659360</v>
          </cell>
          <cell r="B487" t="str">
            <v>DOT.PROV.DEP.EMBAL.HN N.DEDUC.</v>
          </cell>
          <cell r="C487" t="str">
            <v>G05</v>
          </cell>
          <cell r="D487" t="str">
            <v>Dotations Provisions Exploitation LT</v>
          </cell>
        </row>
        <row r="488">
          <cell r="A488">
            <v>659365</v>
          </cell>
          <cell r="B488" t="str">
            <v>DOT.PROV.DEP.EMBALLAGES NEUFS</v>
          </cell>
          <cell r="C488" t="str">
            <v>G05</v>
          </cell>
          <cell r="D488" t="str">
            <v>Dotations Provisions Exploitation LT</v>
          </cell>
        </row>
        <row r="489">
          <cell r="A489">
            <v>659370</v>
          </cell>
          <cell r="B489" t="str">
            <v>DOT.PROV.DEP.STK DORMANT EMBALL.</v>
          </cell>
          <cell r="C489" t="str">
            <v>G05</v>
          </cell>
          <cell r="D489" t="str">
            <v>Dotations Provisions Exploitation LT</v>
          </cell>
        </row>
        <row r="490">
          <cell r="A490">
            <v>659390</v>
          </cell>
          <cell r="B490" t="str">
            <v>DOT.PROV.DEP.STK AUTRES APPROVISIONNEME.</v>
          </cell>
          <cell r="C490" t="str">
            <v>G03</v>
          </cell>
          <cell r="D490" t="str">
            <v>Dotations Provisions Exploitation</v>
          </cell>
        </row>
        <row r="491">
          <cell r="A491">
            <v>659400</v>
          </cell>
          <cell r="B491" t="str">
            <v>DOT.PROV.FOURN.DEBITEURS DEDUCT.</v>
          </cell>
          <cell r="C491" t="str">
            <v>G03</v>
          </cell>
          <cell r="D491" t="str">
            <v>Dotations Provisions Exploitation</v>
          </cell>
        </row>
        <row r="492">
          <cell r="A492">
            <v>659405</v>
          </cell>
          <cell r="B492" t="str">
            <v>CHARGES PROVISIONNES FOURN DEB NON DEDUC</v>
          </cell>
          <cell r="C492" t="str">
            <v>G03</v>
          </cell>
          <cell r="D492" t="str">
            <v>Dotations Provisions Exploitation</v>
          </cell>
        </row>
        <row r="493">
          <cell r="A493">
            <v>659410</v>
          </cell>
          <cell r="B493" t="str">
            <v>DOT.PROV.DEPRECIAT.CLIENTS DEDUC</v>
          </cell>
          <cell r="C493" t="str">
            <v>G03</v>
          </cell>
          <cell r="D493" t="str">
            <v>Dotations Provisions Exploitation</v>
          </cell>
        </row>
        <row r="494">
          <cell r="A494">
            <v>659420</v>
          </cell>
          <cell r="B494" t="str">
            <v>DOT.PROV.RISQ. N/DEDUCT.CLIENTS</v>
          </cell>
          <cell r="C494" t="str">
            <v>G03</v>
          </cell>
          <cell r="D494" t="str">
            <v>Dotations Provisions Exploitation</v>
          </cell>
        </row>
        <row r="495">
          <cell r="A495">
            <v>659430</v>
          </cell>
          <cell r="B495" t="str">
            <v>DOT.PROV.DEPRECIAT.CLIENTS NON DEDUC</v>
          </cell>
          <cell r="C495" t="str">
            <v>G03</v>
          </cell>
          <cell r="D495" t="str">
            <v>Dotations Provisions Exploitation</v>
          </cell>
        </row>
        <row r="496">
          <cell r="A496">
            <v>659440</v>
          </cell>
          <cell r="B496" t="str">
            <v>DOT.PROV.DEPRECIAT.PERSONNEL</v>
          </cell>
          <cell r="C496" t="str">
            <v>G03</v>
          </cell>
          <cell r="D496" t="str">
            <v>Dotations Provisions Exploitation</v>
          </cell>
        </row>
        <row r="497">
          <cell r="A497">
            <v>659460</v>
          </cell>
          <cell r="B497" t="str">
            <v>DOT.PROV.DEPRECIAT.TIERS DIVERS</v>
          </cell>
          <cell r="C497" t="str">
            <v>G03</v>
          </cell>
          <cell r="D497" t="str">
            <v>Dotations Provisions Exploitation</v>
          </cell>
        </row>
        <row r="498">
          <cell r="A498">
            <v>659470</v>
          </cell>
          <cell r="B498" t="str">
            <v>DOTA.DEBIT.DIVERS NON DEDUCTIBLE</v>
          </cell>
          <cell r="C498" t="str">
            <v>G03</v>
          </cell>
          <cell r="D498" t="str">
            <v>Dotations Provisions Exploitation</v>
          </cell>
        </row>
        <row r="499">
          <cell r="A499">
            <v>659490</v>
          </cell>
          <cell r="B499" t="str">
            <v>DOT.PROV.DEPREC.STE GROUPE</v>
          </cell>
          <cell r="C499" t="str">
            <v>G03</v>
          </cell>
          <cell r="D499" t="str">
            <v>Dotations Provisions Exploitation</v>
          </cell>
        </row>
        <row r="500">
          <cell r="A500">
            <v>659800</v>
          </cell>
          <cell r="B500" t="str">
            <v>PROV.CHARGES DIVERSES A PAYER</v>
          </cell>
          <cell r="C500" t="str">
            <v>G03</v>
          </cell>
          <cell r="D500" t="str">
            <v>Dotations Provisions Exploitation</v>
          </cell>
        </row>
        <row r="501">
          <cell r="A501">
            <v>659810</v>
          </cell>
          <cell r="B501" t="str">
            <v>AUTRES CHARGES PROVISIONS TRESORERIE</v>
          </cell>
          <cell r="C501" t="str">
            <v>G03</v>
          </cell>
          <cell r="D501" t="str">
            <v>Dotations Provisions Exploitation</v>
          </cell>
        </row>
        <row r="502">
          <cell r="A502">
            <v>661110</v>
          </cell>
          <cell r="B502" t="str">
            <v>TEMP.STAG.APPOINT.BRUT PERS.NAT</v>
          </cell>
          <cell r="C502" t="str">
            <v>F06</v>
          </cell>
          <cell r="D502" t="str">
            <v>Frais de Personnel</v>
          </cell>
        </row>
        <row r="503">
          <cell r="A503">
            <v>661120</v>
          </cell>
          <cell r="B503" t="str">
            <v>EMPL.OUVR.APPOINT.BRUT PERS NAT.</v>
          </cell>
          <cell r="C503" t="str">
            <v>F06</v>
          </cell>
          <cell r="D503" t="str">
            <v>Frais de Personnel</v>
          </cell>
        </row>
        <row r="504">
          <cell r="A504">
            <v>661130</v>
          </cell>
          <cell r="B504" t="str">
            <v>AGENTS MAITR.APPOINT.BRUT P.NAT.</v>
          </cell>
          <cell r="C504" t="str">
            <v>F06</v>
          </cell>
          <cell r="D504" t="str">
            <v>Frais de Personnel</v>
          </cell>
        </row>
        <row r="505">
          <cell r="A505">
            <v>661140</v>
          </cell>
          <cell r="B505" t="str">
            <v>CADRES CAM.APPOINT.BRUTS PERS NA</v>
          </cell>
          <cell r="C505" t="str">
            <v>F06</v>
          </cell>
          <cell r="D505" t="str">
            <v>Frais de Personnel</v>
          </cell>
        </row>
        <row r="506">
          <cell r="A506">
            <v>661210</v>
          </cell>
          <cell r="B506" t="str">
            <v>TEMP.STAG.PRIMES ASSIMILEES P.N.</v>
          </cell>
          <cell r="C506" t="str">
            <v>F06</v>
          </cell>
          <cell r="D506" t="str">
            <v>Frais de Personnel</v>
          </cell>
        </row>
        <row r="507">
          <cell r="A507">
            <v>661212</v>
          </cell>
          <cell r="B507" t="str">
            <v>PRIMES SUR OBJECTIFS EO</v>
          </cell>
          <cell r="C507" t="str">
            <v>F06</v>
          </cell>
          <cell r="D507" t="str">
            <v>Frais de Personnel</v>
          </cell>
        </row>
        <row r="508">
          <cell r="A508">
            <v>661215</v>
          </cell>
          <cell r="B508" t="str">
            <v>PRIMES SUR OBJECTIFS AM</v>
          </cell>
          <cell r="C508" t="str">
            <v>F06</v>
          </cell>
          <cell r="D508" t="str">
            <v>Frais de Personnel</v>
          </cell>
        </row>
        <row r="509">
          <cell r="A509">
            <v>661220</v>
          </cell>
          <cell r="B509" t="str">
            <v>EMPL.OUVR.PRIMES ASSIMILEES P.N.</v>
          </cell>
          <cell r="C509" t="str">
            <v>F06</v>
          </cell>
          <cell r="D509" t="str">
            <v>Frais de Personnel</v>
          </cell>
        </row>
        <row r="510">
          <cell r="A510">
            <v>661230</v>
          </cell>
          <cell r="B510" t="str">
            <v>AGENTS MAITR.PRIMES ASSIM.PER.NA</v>
          </cell>
          <cell r="C510" t="str">
            <v>F06</v>
          </cell>
          <cell r="D510" t="str">
            <v>Frais de Personnel</v>
          </cell>
        </row>
        <row r="511">
          <cell r="A511">
            <v>661240</v>
          </cell>
          <cell r="B511" t="str">
            <v>PRIMES ET ASSIMILES CADRES NATIONAUX</v>
          </cell>
          <cell r="C511" t="str">
            <v>F06</v>
          </cell>
          <cell r="D511" t="str">
            <v>Frais de Personnel</v>
          </cell>
        </row>
        <row r="512">
          <cell r="A512">
            <v>661310</v>
          </cell>
          <cell r="B512" t="str">
            <v>TEMP.STAG.CONGES PAYES PERS NAT.</v>
          </cell>
          <cell r="C512" t="str">
            <v>F06</v>
          </cell>
          <cell r="D512" t="str">
            <v>Frais de Personnel</v>
          </cell>
        </row>
        <row r="513">
          <cell r="A513">
            <v>661320</v>
          </cell>
          <cell r="B513" t="str">
            <v>EMPL.OUVR.CONGES PAYES PERS NAT.</v>
          </cell>
          <cell r="C513" t="str">
            <v>F06</v>
          </cell>
          <cell r="D513" t="str">
            <v>Frais de Personnel</v>
          </cell>
        </row>
        <row r="514">
          <cell r="A514">
            <v>661330</v>
          </cell>
          <cell r="B514" t="str">
            <v>AGENTS MAITRISE CONGES PAYES P.N</v>
          </cell>
          <cell r="C514" t="str">
            <v>F06</v>
          </cell>
          <cell r="D514" t="str">
            <v>Frais de Personnel</v>
          </cell>
        </row>
        <row r="515">
          <cell r="A515">
            <v>661340</v>
          </cell>
          <cell r="B515" t="str">
            <v>CADRES NATIONAUX CONGES PAYES</v>
          </cell>
          <cell r="C515" t="str">
            <v>F06</v>
          </cell>
          <cell r="D515" t="str">
            <v>Frais de Personnel</v>
          </cell>
        </row>
        <row r="516">
          <cell r="A516">
            <v>661350</v>
          </cell>
          <cell r="B516" t="str">
            <v>CONGES PAYES CADRES NON  NATIONAUX.</v>
          </cell>
          <cell r="C516" t="str">
            <v>F06</v>
          </cell>
          <cell r="D516" t="str">
            <v>Frais de Personnel</v>
          </cell>
        </row>
        <row r="517">
          <cell r="A517">
            <v>661410</v>
          </cell>
          <cell r="B517" t="str">
            <v>INDEM SEPARATION TEMPO.STAG.P.NA</v>
          </cell>
          <cell r="C517" t="str">
            <v>F06</v>
          </cell>
          <cell r="D517" t="str">
            <v>Frais de Personnel</v>
          </cell>
        </row>
        <row r="518">
          <cell r="A518">
            <v>661420</v>
          </cell>
          <cell r="B518" t="str">
            <v>INDEMN.PREAVIS EMPL.OUV.PERS NAT</v>
          </cell>
          <cell r="C518" t="str">
            <v>F06</v>
          </cell>
          <cell r="D518" t="str">
            <v>Frais de Personnel</v>
          </cell>
        </row>
        <row r="519">
          <cell r="A519">
            <v>661430</v>
          </cell>
          <cell r="B519" t="str">
            <v>INDEMN.PREA.AGENTS MAITRISE P.NA</v>
          </cell>
          <cell r="C519" t="str">
            <v>F06</v>
          </cell>
          <cell r="D519" t="str">
            <v>Frais de Personnel</v>
          </cell>
        </row>
        <row r="520">
          <cell r="A520">
            <v>661440</v>
          </cell>
          <cell r="B520" t="str">
            <v>INDEMN.PREAVIS CADRES NATIONAUX</v>
          </cell>
          <cell r="C520" t="str">
            <v>F06</v>
          </cell>
          <cell r="D520" t="str">
            <v>Frais de Personnel</v>
          </cell>
        </row>
        <row r="521">
          <cell r="A521">
            <v>661450</v>
          </cell>
          <cell r="B521" t="str">
            <v>TEMPORAIRE STAGIAIRES CHARGES CONNEXES</v>
          </cell>
          <cell r="C521" t="str">
            <v>F06</v>
          </cell>
          <cell r="D521" t="str">
            <v>Frais de Personnel</v>
          </cell>
        </row>
        <row r="522">
          <cell r="A522">
            <v>661460</v>
          </cell>
          <cell r="B522" t="str">
            <v>EMPL.OUVR.CH.CONNEXES PERS NAT</v>
          </cell>
          <cell r="C522" t="str">
            <v>F06</v>
          </cell>
          <cell r="D522" t="str">
            <v>Frais de Personnel</v>
          </cell>
        </row>
        <row r="523">
          <cell r="A523">
            <v>661470</v>
          </cell>
          <cell r="B523" t="str">
            <v>AGENTS MAIT.CH.CONNEXES PERS NAT</v>
          </cell>
          <cell r="C523" t="str">
            <v>F06</v>
          </cell>
          <cell r="D523" t="str">
            <v>Frais de Personnel</v>
          </cell>
        </row>
        <row r="524">
          <cell r="A524">
            <v>661480</v>
          </cell>
          <cell r="B524" t="str">
            <v>CHARGES CONNEXES CADRES NATION.</v>
          </cell>
          <cell r="C524" t="str">
            <v>F06</v>
          </cell>
          <cell r="D524" t="str">
            <v>Frais de Personnel</v>
          </cell>
        </row>
        <row r="525">
          <cell r="A525">
            <v>661520</v>
          </cell>
          <cell r="B525" t="str">
            <v>CONGES MAL.ACC.EMPL.OUVR.PERS NA</v>
          </cell>
          <cell r="C525" t="str">
            <v>F06</v>
          </cell>
          <cell r="D525" t="str">
            <v>Frais de Personnel</v>
          </cell>
        </row>
        <row r="526">
          <cell r="A526">
            <v>661530</v>
          </cell>
          <cell r="B526" t="str">
            <v>CONGES MAL.ACC.AGENTS MAITR.P.N</v>
          </cell>
          <cell r="C526" t="str">
            <v>F06</v>
          </cell>
          <cell r="D526" t="str">
            <v>Frais de Personnel</v>
          </cell>
        </row>
        <row r="527">
          <cell r="A527">
            <v>661700</v>
          </cell>
          <cell r="B527" t="str">
            <v>AVANTAGES EN NATURE PERSONNEL NATIONAL</v>
          </cell>
          <cell r="C527" t="str">
            <v>F06</v>
          </cell>
          <cell r="D527" t="str">
            <v>Frais de Personnel</v>
          </cell>
        </row>
        <row r="528">
          <cell r="A528">
            <v>662150</v>
          </cell>
          <cell r="B528" t="str">
            <v>CADRES NON NA.APPOINTEMENTS BRUT</v>
          </cell>
          <cell r="C528" t="str">
            <v>F06</v>
          </cell>
          <cell r="D528" t="str">
            <v>Frais de Personnel</v>
          </cell>
        </row>
        <row r="529">
          <cell r="A529">
            <v>662250</v>
          </cell>
          <cell r="B529" t="str">
            <v>PRIMES ET ASSIMILES CADRES NATIONAUX</v>
          </cell>
          <cell r="C529" t="str">
            <v>F06</v>
          </cell>
          <cell r="D529" t="str">
            <v>Frais de Personnel</v>
          </cell>
        </row>
        <row r="530">
          <cell r="A530">
            <v>662350</v>
          </cell>
          <cell r="B530" t="str">
            <v>CADRES NON NAT.CONGES PAYES</v>
          </cell>
          <cell r="C530" t="str">
            <v>F06</v>
          </cell>
          <cell r="D530" t="str">
            <v>Frais de Personnel</v>
          </cell>
        </row>
        <row r="531">
          <cell r="A531">
            <v>662700</v>
          </cell>
          <cell r="B531" t="str">
            <v>AVANTAGE EN NATURE PERS NON NAT.</v>
          </cell>
          <cell r="C531" t="str">
            <v>F06</v>
          </cell>
          <cell r="D531" t="str">
            <v>Frais de Personnel</v>
          </cell>
        </row>
        <row r="532">
          <cell r="A532">
            <v>662850</v>
          </cell>
          <cell r="B532" t="str">
            <v>COMPL.REMUNER.CADRES PERS NON NA</v>
          </cell>
          <cell r="C532" t="str">
            <v>F06</v>
          </cell>
          <cell r="D532" t="str">
            <v>Frais de Personnel</v>
          </cell>
        </row>
        <row r="533">
          <cell r="A533">
            <v>663120</v>
          </cell>
          <cell r="B533" t="str">
            <v>INDEMN.LOGEMENT EMPLOYES OUVRIER</v>
          </cell>
          <cell r="C533" t="str">
            <v>F06</v>
          </cell>
          <cell r="D533" t="str">
            <v>Frais de Personnel</v>
          </cell>
        </row>
        <row r="534">
          <cell r="A534">
            <v>663130</v>
          </cell>
          <cell r="B534" t="str">
            <v>INDEMN.LOGEMENT AGENTS MAITRISE</v>
          </cell>
          <cell r="C534" t="str">
            <v>F06</v>
          </cell>
          <cell r="D534" t="str">
            <v>Frais de Personnel</v>
          </cell>
        </row>
        <row r="535">
          <cell r="A535">
            <v>663140</v>
          </cell>
          <cell r="B535" t="str">
            <v>INDEMN.LOGEMENT CADRES NATIONAUX</v>
          </cell>
          <cell r="C535" t="str">
            <v>F06</v>
          </cell>
          <cell r="D535" t="str">
            <v>Frais de Personnel</v>
          </cell>
        </row>
        <row r="536">
          <cell r="A536">
            <v>663150</v>
          </cell>
          <cell r="B536" t="str">
            <v>INDEMN.LOG.CADRES NON NATIONAUX</v>
          </cell>
          <cell r="C536" t="str">
            <v>F06</v>
          </cell>
          <cell r="D536" t="str">
            <v>Frais de Personnel</v>
          </cell>
        </row>
        <row r="537">
          <cell r="A537">
            <v>663200</v>
          </cell>
          <cell r="B537" t="str">
            <v>INDEMNITES DE REPRESENTATION EXPATRIES</v>
          </cell>
          <cell r="C537" t="str">
            <v>F06</v>
          </cell>
          <cell r="D537" t="str">
            <v>Frais de Personnel</v>
          </cell>
        </row>
        <row r="538">
          <cell r="A538">
            <v>663240</v>
          </cell>
          <cell r="B538" t="str">
            <v>INDEMNITE REPRESENTAT CADRES NON  NATIO</v>
          </cell>
          <cell r="C538" t="str">
            <v>F06</v>
          </cell>
          <cell r="D538" t="str">
            <v>Frais de Personnel</v>
          </cell>
        </row>
        <row r="539">
          <cell r="A539">
            <v>663250</v>
          </cell>
          <cell r="B539" t="str">
            <v>INDEMNITE REPRESENTAT CADRES  NATIONAUX</v>
          </cell>
          <cell r="C539" t="str">
            <v>F06</v>
          </cell>
          <cell r="D539" t="str">
            <v>Frais de Personnel</v>
          </cell>
        </row>
        <row r="540">
          <cell r="A540">
            <v>663330</v>
          </cell>
          <cell r="B540" t="str">
            <v>INDEMNITE EXPATRIATION EOM</v>
          </cell>
          <cell r="C540" t="str">
            <v>F06</v>
          </cell>
          <cell r="D540" t="str">
            <v>Frais de Personnel</v>
          </cell>
        </row>
        <row r="541">
          <cell r="A541">
            <v>663340</v>
          </cell>
          <cell r="B541" t="str">
            <v>INDEMNITE EXPATRIATION CADRES NATIONAUX</v>
          </cell>
          <cell r="C541" t="str">
            <v>F06</v>
          </cell>
          <cell r="D541" t="str">
            <v>Frais de Personnel</v>
          </cell>
        </row>
        <row r="542">
          <cell r="A542">
            <v>663812</v>
          </cell>
          <cell r="B542" t="str">
            <v>INDEMN.TRANSP.EMPLOYES OUVRIERS</v>
          </cell>
          <cell r="C542" t="str">
            <v>F06</v>
          </cell>
          <cell r="D542" t="str">
            <v>Frais de Personnel</v>
          </cell>
        </row>
        <row r="543">
          <cell r="A543">
            <v>663813</v>
          </cell>
          <cell r="B543" t="str">
            <v>INDEMN.TRANSP.AGENTS MAITRISE</v>
          </cell>
          <cell r="C543" t="str">
            <v>F06</v>
          </cell>
          <cell r="D543" t="str">
            <v>Frais de Personnel</v>
          </cell>
        </row>
        <row r="544">
          <cell r="A544">
            <v>663814</v>
          </cell>
          <cell r="B544" t="str">
            <v>INDEMN.TRANSP.CADRES NATIONAUX</v>
          </cell>
          <cell r="C544" t="str">
            <v>F06</v>
          </cell>
          <cell r="D544" t="str">
            <v>Frais de Personnel</v>
          </cell>
        </row>
        <row r="545">
          <cell r="A545">
            <v>663815</v>
          </cell>
          <cell r="B545" t="str">
            <v>INDEMN.TRANSP.CADRES NON NAT.</v>
          </cell>
          <cell r="C545" t="str">
            <v>F06</v>
          </cell>
          <cell r="D545" t="str">
            <v>Frais de Personnel</v>
          </cell>
        </row>
        <row r="546">
          <cell r="A546">
            <v>663822</v>
          </cell>
          <cell r="B546" t="str">
            <v>AUTRES INDEMN.EMPLOYES OUVRIERS</v>
          </cell>
          <cell r="C546" t="str">
            <v>F06</v>
          </cell>
          <cell r="D546" t="str">
            <v>Frais de Personnel</v>
          </cell>
        </row>
        <row r="547">
          <cell r="A547">
            <v>663823</v>
          </cell>
          <cell r="B547" t="str">
            <v>AUTRES INDEMN.AGENTS MAITRISE</v>
          </cell>
          <cell r="C547" t="str">
            <v>F06</v>
          </cell>
          <cell r="D547" t="str">
            <v>Frais de Personnel</v>
          </cell>
        </row>
        <row r="548">
          <cell r="A548">
            <v>663824</v>
          </cell>
          <cell r="B548" t="str">
            <v>AUTRES INDEMN.CADRES NATIONAUX</v>
          </cell>
          <cell r="C548" t="str">
            <v>F06</v>
          </cell>
          <cell r="D548" t="str">
            <v>Frais de Personnel</v>
          </cell>
        </row>
        <row r="549">
          <cell r="A549">
            <v>663825</v>
          </cell>
          <cell r="B549" t="str">
            <v>AUTRES INDEMN.CADRES NON NAT.</v>
          </cell>
          <cell r="C549" t="str">
            <v>F06</v>
          </cell>
          <cell r="D549" t="str">
            <v>Frais de Personnel</v>
          </cell>
        </row>
        <row r="550">
          <cell r="A550">
            <v>663842</v>
          </cell>
          <cell r="B550" t="str">
            <v>ALLOC.RETRAITE E.O.</v>
          </cell>
          <cell r="C550" t="str">
            <v>F06</v>
          </cell>
          <cell r="D550" t="str">
            <v>Frais de Personnel</v>
          </cell>
        </row>
        <row r="551">
          <cell r="A551">
            <v>663843</v>
          </cell>
          <cell r="B551" t="str">
            <v>ALLOC.RETRAITE AGENT MAITRISE</v>
          </cell>
          <cell r="C551" t="str">
            <v>F06</v>
          </cell>
          <cell r="D551" t="str">
            <v>Frais de Personnel</v>
          </cell>
        </row>
        <row r="552">
          <cell r="A552">
            <v>663844</v>
          </cell>
          <cell r="B552" t="str">
            <v>ALLOC.RETRAITE CADRES NATIONAUX</v>
          </cell>
          <cell r="C552" t="str">
            <v>F06</v>
          </cell>
          <cell r="D552" t="str">
            <v>Frais de Personnel</v>
          </cell>
        </row>
        <row r="553">
          <cell r="A553">
            <v>663845</v>
          </cell>
          <cell r="B553" t="str">
            <v>INDEMN.DEPART RETRAITE CADRES NATIONAUX</v>
          </cell>
          <cell r="C553" t="str">
            <v>F06</v>
          </cell>
          <cell r="D553" t="str">
            <v>Frais de Personnel</v>
          </cell>
        </row>
        <row r="554">
          <cell r="A554">
            <v>663862</v>
          </cell>
          <cell r="B554" t="str">
            <v>INDEM.DOMMAGES-INT.EMPL.OUVRI.</v>
          </cell>
          <cell r="C554" t="str">
            <v>F06</v>
          </cell>
          <cell r="D554" t="str">
            <v>Frais de Personnel</v>
          </cell>
        </row>
        <row r="555">
          <cell r="A555">
            <v>663863</v>
          </cell>
          <cell r="B555" t="str">
            <v>INDEM.DOMMAGES-INT.MAITRISE</v>
          </cell>
          <cell r="C555" t="str">
            <v>F06</v>
          </cell>
          <cell r="D555" t="str">
            <v>Frais de Personnel</v>
          </cell>
        </row>
        <row r="556">
          <cell r="A556">
            <v>663864</v>
          </cell>
          <cell r="B556" t="str">
            <v>INDEM.DOMMAGES INT.CAD.NATIONAUX</v>
          </cell>
          <cell r="C556" t="str">
            <v>F06</v>
          </cell>
          <cell r="D556" t="str">
            <v>Frais de Personnel</v>
          </cell>
        </row>
        <row r="557">
          <cell r="A557">
            <v>663874</v>
          </cell>
          <cell r="B557" t="str">
            <v>INDEMN.EAU/ELECTRICITE CADRES NATIONAUX</v>
          </cell>
          <cell r="C557" t="str">
            <v>F06</v>
          </cell>
          <cell r="D557" t="str">
            <v>Frais de Personnel</v>
          </cell>
        </row>
        <row r="558">
          <cell r="A558">
            <v>664112</v>
          </cell>
          <cell r="B558" t="str">
            <v>CNPS ACC.TRAV.EMPLOYES OUVRIERS</v>
          </cell>
          <cell r="C558" t="str">
            <v>F06</v>
          </cell>
          <cell r="D558" t="str">
            <v>Frais de Personnel</v>
          </cell>
        </row>
        <row r="559">
          <cell r="A559">
            <v>664113</v>
          </cell>
          <cell r="B559" t="str">
            <v>CNPS ACC.TRAV.AGENTS MAITRISE</v>
          </cell>
          <cell r="C559" t="str">
            <v>F06</v>
          </cell>
          <cell r="D559" t="str">
            <v>Frais de Personnel</v>
          </cell>
        </row>
        <row r="560">
          <cell r="A560">
            <v>664114</v>
          </cell>
          <cell r="B560" t="str">
            <v>CNPS ACC.TRAV.CADRES NATIONAUX</v>
          </cell>
          <cell r="C560" t="str">
            <v>F06</v>
          </cell>
          <cell r="D560" t="str">
            <v>Frais de Personnel</v>
          </cell>
        </row>
        <row r="561">
          <cell r="A561">
            <v>664122</v>
          </cell>
          <cell r="B561" t="str">
            <v>CNPS ALLOC.FAM.EMPLOYES OUVRIERS</v>
          </cell>
          <cell r="C561" t="str">
            <v>F06</v>
          </cell>
          <cell r="D561" t="str">
            <v>Frais de Personnel</v>
          </cell>
        </row>
        <row r="562">
          <cell r="A562">
            <v>664123</v>
          </cell>
          <cell r="B562" t="str">
            <v>CNPS ALLOC.FAM.AGENTS MAITRISE</v>
          </cell>
          <cell r="C562" t="str">
            <v>F06</v>
          </cell>
          <cell r="D562" t="str">
            <v>Frais de Personnel</v>
          </cell>
        </row>
        <row r="563">
          <cell r="A563">
            <v>664124</v>
          </cell>
          <cell r="B563" t="str">
            <v>CNPS ALLOC.FAM.CADRES NATIONAUX</v>
          </cell>
          <cell r="C563" t="str">
            <v>F06</v>
          </cell>
          <cell r="D563" t="str">
            <v>Frais de Personnel</v>
          </cell>
        </row>
        <row r="564">
          <cell r="A564">
            <v>664132</v>
          </cell>
          <cell r="B564" t="str">
            <v>CNPS RETRAITE EMPLOYES OUVRIERS</v>
          </cell>
          <cell r="C564" t="str">
            <v>F06</v>
          </cell>
          <cell r="D564" t="str">
            <v>Frais de Personnel</v>
          </cell>
        </row>
        <row r="565">
          <cell r="A565">
            <v>664133</v>
          </cell>
          <cell r="B565" t="str">
            <v>CNPS RETRAITE AGENTS MAITRISE</v>
          </cell>
          <cell r="C565" t="str">
            <v>F06</v>
          </cell>
          <cell r="D565" t="str">
            <v>Frais de Personnel</v>
          </cell>
        </row>
        <row r="566">
          <cell r="A566">
            <v>664134</v>
          </cell>
          <cell r="B566" t="str">
            <v>CNPS RETRAITE CADRES NATIONAUX</v>
          </cell>
          <cell r="C566" t="str">
            <v>F06</v>
          </cell>
          <cell r="D566" t="str">
            <v>Frais de Personnel</v>
          </cell>
        </row>
        <row r="567">
          <cell r="A567">
            <v>664215</v>
          </cell>
          <cell r="B567" t="str">
            <v>CNPS ACC.TRAV.CADRES NON NATION.</v>
          </cell>
          <cell r="C567" t="str">
            <v>F06</v>
          </cell>
          <cell r="D567" t="str">
            <v>Frais de Personnel</v>
          </cell>
        </row>
        <row r="568">
          <cell r="A568">
            <v>664235</v>
          </cell>
          <cell r="B568" t="str">
            <v>CNPS RETRAITE CADRES NON NAT.</v>
          </cell>
          <cell r="C568" t="str">
            <v>F06</v>
          </cell>
          <cell r="D568" t="str">
            <v>Frais de Personnel</v>
          </cell>
        </row>
        <row r="569">
          <cell r="A569">
            <v>664236</v>
          </cell>
          <cell r="B569" t="str">
            <v>CNPS A REGULARISER FIN EX.</v>
          </cell>
          <cell r="C569" t="str">
            <v>F06</v>
          </cell>
          <cell r="D569" t="str">
            <v>Frais de Personnel</v>
          </cell>
        </row>
        <row r="570">
          <cell r="A570">
            <v>668100</v>
          </cell>
          <cell r="B570" t="str">
            <v>VERS.SYNDIC &amp; COMITES ENTREP/ETS</v>
          </cell>
          <cell r="C570" t="str">
            <v>F06</v>
          </cell>
          <cell r="D570" t="str">
            <v>Frais de Personnel</v>
          </cell>
        </row>
        <row r="571">
          <cell r="A571">
            <v>668200</v>
          </cell>
          <cell r="B571" t="str">
            <v>VERS.COMITES HYGIENE ET SECURITE</v>
          </cell>
          <cell r="C571" t="str">
            <v>F06</v>
          </cell>
          <cell r="D571" t="str">
            <v>Frais de Personnel</v>
          </cell>
        </row>
        <row r="572">
          <cell r="A572">
            <v>668300</v>
          </cell>
          <cell r="B572" t="str">
            <v>SUBVENTIONS CLUBS</v>
          </cell>
          <cell r="C572" t="str">
            <v>F06</v>
          </cell>
          <cell r="D572" t="str">
            <v>Frais de Personnel</v>
          </cell>
        </row>
        <row r="573">
          <cell r="A573">
            <v>668320</v>
          </cell>
          <cell r="B573" t="str">
            <v>AUTRES OEUVRES SOCIALES E.O.</v>
          </cell>
          <cell r="C573" t="str">
            <v>F06</v>
          </cell>
          <cell r="D573" t="str">
            <v>Frais de Personnel</v>
          </cell>
        </row>
        <row r="574">
          <cell r="A574">
            <v>668330</v>
          </cell>
          <cell r="B574" t="str">
            <v>AUTRES OEUVRES SOCIALES A.M.</v>
          </cell>
          <cell r="C574" t="str">
            <v>F06</v>
          </cell>
          <cell r="D574" t="str">
            <v>Frais de Personnel</v>
          </cell>
        </row>
        <row r="575">
          <cell r="A575">
            <v>668340</v>
          </cell>
          <cell r="B575" t="str">
            <v>AUTRES OEUVRES SOCIALES A.M.</v>
          </cell>
          <cell r="C575" t="str">
            <v>F06</v>
          </cell>
          <cell r="D575" t="str">
            <v>Frais de Personnel</v>
          </cell>
        </row>
        <row r="576">
          <cell r="A576">
            <v>668350</v>
          </cell>
          <cell r="B576" t="str">
            <v>AUTRES OEUVRES SOC.CAD.NON NAT.</v>
          </cell>
          <cell r="C576" t="str">
            <v>F06</v>
          </cell>
          <cell r="D576" t="str">
            <v>Frais de Personnel</v>
          </cell>
        </row>
        <row r="577">
          <cell r="A577">
            <v>668400</v>
          </cell>
          <cell r="B577" t="str">
            <v>CONSOMM.MEDICAMENTS PHARMACIE</v>
          </cell>
          <cell r="C577" t="str">
            <v>F06</v>
          </cell>
          <cell r="D577" t="str">
            <v>Frais de Personnel</v>
          </cell>
        </row>
        <row r="578">
          <cell r="A578">
            <v>668534</v>
          </cell>
          <cell r="B578" t="str">
            <v>COTIS.MALADIE CADRES NATIONAUX</v>
          </cell>
          <cell r="C578" t="str">
            <v>F06</v>
          </cell>
          <cell r="D578" t="str">
            <v>Frais de Personnel</v>
          </cell>
        </row>
        <row r="579">
          <cell r="A579">
            <v>668535</v>
          </cell>
          <cell r="B579" t="str">
            <v>COTIS.MALADIE CADRES NON NAT.</v>
          </cell>
          <cell r="C579" t="str">
            <v>F06</v>
          </cell>
          <cell r="D579" t="str">
            <v>Frais de Personnel</v>
          </cell>
        </row>
        <row r="580">
          <cell r="A580">
            <v>668540</v>
          </cell>
          <cell r="B580" t="str">
            <v>COTIS.INVALID.CADRES NATIONAUX.</v>
          </cell>
          <cell r="C580" t="str">
            <v>F06</v>
          </cell>
          <cell r="D580" t="str">
            <v>Frais de Personnel</v>
          </cell>
        </row>
        <row r="581">
          <cell r="A581">
            <v>668541</v>
          </cell>
          <cell r="B581" t="str">
            <v>COT.RETRAITE CAD.N.NAT.REG.OBLIG</v>
          </cell>
          <cell r="C581" t="str">
            <v>F06</v>
          </cell>
          <cell r="D581" t="str">
            <v>Frais de Personnel</v>
          </cell>
        </row>
        <row r="582">
          <cell r="A582">
            <v>668542</v>
          </cell>
          <cell r="B582" t="str">
            <v>G.A.R.P. - ASSUR.CHOMAGE NON NAT</v>
          </cell>
          <cell r="C582" t="str">
            <v>F06</v>
          </cell>
          <cell r="D582" t="str">
            <v>Frais de Personnel</v>
          </cell>
        </row>
        <row r="583">
          <cell r="A583">
            <v>668543</v>
          </cell>
          <cell r="B583" t="str">
            <v>PREV.INDIV.ACCIDENT CAD.NON NAT.</v>
          </cell>
          <cell r="C583" t="str">
            <v>F06</v>
          </cell>
          <cell r="D583" t="str">
            <v>Frais de Personnel</v>
          </cell>
        </row>
        <row r="584">
          <cell r="A584">
            <v>668545</v>
          </cell>
          <cell r="B584" t="str">
            <v>COT.RETRAITE CAD.N.NAT.REG.FACUL</v>
          </cell>
          <cell r="C584" t="str">
            <v>F06</v>
          </cell>
          <cell r="D584" t="str">
            <v>Frais de Personnel</v>
          </cell>
        </row>
        <row r="585">
          <cell r="A585">
            <v>668552</v>
          </cell>
          <cell r="B585" t="str">
            <v>COTISATIONS MUTUELLE EMPL.OUVRI.</v>
          </cell>
          <cell r="C585" t="str">
            <v>F06</v>
          </cell>
          <cell r="D585" t="str">
            <v>Frais de Personnel</v>
          </cell>
        </row>
        <row r="586">
          <cell r="A586">
            <v>668553</v>
          </cell>
          <cell r="B586" t="str">
            <v>COTIS.MUT.AGENTS MAITRISE PER NA</v>
          </cell>
          <cell r="C586" t="str">
            <v>F06</v>
          </cell>
          <cell r="D586" t="str">
            <v>Frais de Personnel</v>
          </cell>
        </row>
        <row r="587">
          <cell r="A587">
            <v>668554</v>
          </cell>
          <cell r="B587" t="str">
            <v>COTIS.ASSUR.VIE CADRES LOCAUX</v>
          </cell>
          <cell r="C587" t="str">
            <v>F06</v>
          </cell>
          <cell r="D587" t="str">
            <v>Frais de Personnel</v>
          </cell>
        </row>
        <row r="588">
          <cell r="A588">
            <v>668555</v>
          </cell>
          <cell r="B588" t="str">
            <v>COTIS.MUT.AGENTS MAITRISE PER NA</v>
          </cell>
          <cell r="C588" t="str">
            <v>F06</v>
          </cell>
          <cell r="D588" t="str">
            <v>Frais de Personnel</v>
          </cell>
        </row>
        <row r="589">
          <cell r="A589">
            <v>668556</v>
          </cell>
          <cell r="B589" t="str">
            <v>PART PATR RETRAITE COMPLT AM</v>
          </cell>
          <cell r="C589" t="str">
            <v>F06</v>
          </cell>
          <cell r="D589" t="str">
            <v>Frais de Personnel</v>
          </cell>
        </row>
        <row r="590">
          <cell r="A590">
            <v>668557</v>
          </cell>
          <cell r="B590" t="str">
            <v>COTIS.RETRAITE CADRES LOCAUX</v>
          </cell>
          <cell r="C590" t="str">
            <v>F06</v>
          </cell>
          <cell r="D590" t="str">
            <v>Frais de Personnel</v>
          </cell>
        </row>
        <row r="591">
          <cell r="A591">
            <v>668630</v>
          </cell>
          <cell r="B591" t="str">
            <v>CONSOMMATION BOISSONS PERSONNEL</v>
          </cell>
          <cell r="C591" t="str">
            <v>F06</v>
          </cell>
          <cell r="D591" t="str">
            <v>Frais de Personnel</v>
          </cell>
        </row>
        <row r="592">
          <cell r="A592">
            <v>668690</v>
          </cell>
          <cell r="B592" t="str">
            <v>AUTRES CONSOMMATIONS DIVERSES</v>
          </cell>
          <cell r="C592" t="str">
            <v>F06</v>
          </cell>
          <cell r="D592" t="str">
            <v>Frais de Personnel</v>
          </cell>
        </row>
        <row r="593">
          <cell r="A593">
            <v>668910</v>
          </cell>
          <cell r="B593" t="str">
            <v>PROV.ANCIEN.-MEDAIL E.O.</v>
          </cell>
          <cell r="C593" t="str">
            <v>F06</v>
          </cell>
          <cell r="D593" t="str">
            <v>Frais de Personnel</v>
          </cell>
        </row>
        <row r="594">
          <cell r="A594">
            <v>668911</v>
          </cell>
          <cell r="B594" t="str">
            <v>PROV.ANCIEN.-MEDAIL. A.M.</v>
          </cell>
          <cell r="C594" t="str">
            <v>F06</v>
          </cell>
          <cell r="D594" t="str">
            <v>Frais de Personnel</v>
          </cell>
        </row>
        <row r="595">
          <cell r="A595">
            <v>668912</v>
          </cell>
          <cell r="B595" t="str">
            <v>PROV.ANCIEN.-MEDAIL.CADRES NAT.</v>
          </cell>
          <cell r="C595" t="str">
            <v>F06</v>
          </cell>
          <cell r="D595" t="str">
            <v>Frais de Personnel</v>
          </cell>
        </row>
        <row r="596">
          <cell r="A596">
            <v>668913</v>
          </cell>
          <cell r="B596" t="str">
            <v>PROV.ANCIEN.-MEDAIL.CADRES N.NAT</v>
          </cell>
          <cell r="C596" t="str">
            <v>F06</v>
          </cell>
          <cell r="D596" t="str">
            <v>Frais de Personnel</v>
          </cell>
        </row>
        <row r="597">
          <cell r="A597">
            <v>668920</v>
          </cell>
          <cell r="B597" t="str">
            <v>PROV.GRATIFI.EMPL.OUVRIERS NAT.</v>
          </cell>
          <cell r="C597" t="str">
            <v>F06</v>
          </cell>
          <cell r="D597" t="str">
            <v>Frais de Personnel</v>
          </cell>
        </row>
        <row r="598">
          <cell r="A598">
            <v>668921</v>
          </cell>
          <cell r="B598" t="str">
            <v>PROV.GRATIFI.AGENTS MAITR.NAT.</v>
          </cell>
          <cell r="C598" t="str">
            <v>F06</v>
          </cell>
          <cell r="D598" t="str">
            <v>Frais de Personnel</v>
          </cell>
        </row>
        <row r="599">
          <cell r="A599">
            <v>668922</v>
          </cell>
          <cell r="B599" t="str">
            <v>PROV.GRATIFICATION CADRES LOCAUX</v>
          </cell>
          <cell r="C599" t="str">
            <v>F06</v>
          </cell>
          <cell r="D599" t="str">
            <v>Frais de Personnel</v>
          </cell>
        </row>
        <row r="600">
          <cell r="A600">
            <v>668923</v>
          </cell>
          <cell r="B600" t="str">
            <v>PROV.CHARG.LEGALE GRAT.AM NAT.</v>
          </cell>
          <cell r="C600" t="str">
            <v>F06</v>
          </cell>
          <cell r="D600" t="str">
            <v>Frais de Personnel</v>
          </cell>
        </row>
        <row r="601">
          <cell r="A601">
            <v>668924</v>
          </cell>
          <cell r="B601" t="str">
            <v>PR.CH.CONV/CONG.$ GRAT.A.M.P.NAT</v>
          </cell>
          <cell r="C601" t="str">
            <v>F06</v>
          </cell>
          <cell r="D601" t="str">
            <v>Frais de Personnel</v>
          </cell>
        </row>
        <row r="602">
          <cell r="A602">
            <v>668925</v>
          </cell>
          <cell r="B602" t="str">
            <v>PR.CH.CONV/CONG.$ GRAT.E.O.P.NAT</v>
          </cell>
          <cell r="C602" t="str">
            <v>F06</v>
          </cell>
          <cell r="D602" t="str">
            <v>Frais de Personnel</v>
          </cell>
        </row>
        <row r="603">
          <cell r="A603">
            <v>668927</v>
          </cell>
          <cell r="B603" t="str">
            <v>PROV.GRATIFICATION CADRES N.NAT.</v>
          </cell>
          <cell r="C603" t="str">
            <v>F06</v>
          </cell>
          <cell r="D603" t="str">
            <v>Frais de Personnel</v>
          </cell>
        </row>
        <row r="604">
          <cell r="A604">
            <v>668930</v>
          </cell>
          <cell r="B604" t="str">
            <v>PROV.CONGES EMPLOYES OUVRIERS NA</v>
          </cell>
          <cell r="C604" t="str">
            <v>F06</v>
          </cell>
          <cell r="D604" t="str">
            <v>Frais de Personnel</v>
          </cell>
        </row>
        <row r="605">
          <cell r="A605">
            <v>668931</v>
          </cell>
          <cell r="B605" t="str">
            <v>PROV.CONGES AGENTS MAITRISE NAT.</v>
          </cell>
          <cell r="C605" t="str">
            <v>F06</v>
          </cell>
          <cell r="D605" t="str">
            <v>Frais de Personnel</v>
          </cell>
        </row>
        <row r="606">
          <cell r="A606">
            <v>668932</v>
          </cell>
          <cell r="B606" t="str">
            <v>PROV.CONGES CADRES LOCAUX</v>
          </cell>
          <cell r="C606" t="str">
            <v>F06</v>
          </cell>
          <cell r="D606" t="str">
            <v>Frais de Personnel</v>
          </cell>
        </row>
        <row r="607">
          <cell r="A607">
            <v>668933</v>
          </cell>
          <cell r="B607" t="str">
            <v>PROV.CH.LEGALE/CONG.$ GRAT.EO NA</v>
          </cell>
          <cell r="C607" t="str">
            <v>F06</v>
          </cell>
          <cell r="D607" t="str">
            <v>Frais de Personnel</v>
          </cell>
        </row>
        <row r="608">
          <cell r="A608">
            <v>668934</v>
          </cell>
          <cell r="B608" t="str">
            <v>PROV.CH.LEGALE/CONGES CADRES LOC</v>
          </cell>
          <cell r="C608" t="str">
            <v>F06</v>
          </cell>
          <cell r="D608" t="str">
            <v>Frais de Personnel</v>
          </cell>
        </row>
        <row r="609">
          <cell r="A609">
            <v>668935</v>
          </cell>
          <cell r="B609" t="str">
            <v>PROV.CONGES CADRES NON NATIONAUX</v>
          </cell>
          <cell r="C609" t="str">
            <v>F06</v>
          </cell>
          <cell r="D609" t="str">
            <v>Frais de Personnel</v>
          </cell>
        </row>
        <row r="610">
          <cell r="A610">
            <v>668936</v>
          </cell>
          <cell r="B610" t="str">
            <v>PROV.CH.CONV/CONGES CADRES N.NAT</v>
          </cell>
          <cell r="C610" t="str">
            <v>F06</v>
          </cell>
          <cell r="D610" t="str">
            <v>Frais de Personnel</v>
          </cell>
        </row>
        <row r="611">
          <cell r="A611">
            <v>668937</v>
          </cell>
          <cell r="B611" t="str">
            <v>PROV.CH.LEG/CONGES CADRES N.NAT.</v>
          </cell>
          <cell r="C611" t="str">
            <v>F06</v>
          </cell>
          <cell r="D611" t="str">
            <v>Frais de Personnel</v>
          </cell>
        </row>
        <row r="612">
          <cell r="A612">
            <v>668938</v>
          </cell>
          <cell r="B612" t="str">
            <v>PROV.CH.CONV/CONGES CADRES LCX</v>
          </cell>
          <cell r="C612" t="str">
            <v>F06</v>
          </cell>
          <cell r="D612" t="str">
            <v>Frais de Personnel</v>
          </cell>
        </row>
        <row r="613">
          <cell r="A613">
            <v>668939</v>
          </cell>
          <cell r="B613" t="str">
            <v>PROV.REAJUSTEMENT SALAIRES EOM</v>
          </cell>
          <cell r="C613" t="str">
            <v>F06</v>
          </cell>
          <cell r="D613" t="str">
            <v>Frais de Personnel</v>
          </cell>
        </row>
        <row r="614">
          <cell r="A614">
            <v>668940</v>
          </cell>
          <cell r="B614" t="str">
            <v>PROV.SALAIRES DIFFERES E.O. NAT.</v>
          </cell>
          <cell r="C614" t="str">
            <v>F06</v>
          </cell>
          <cell r="D614" t="str">
            <v>Frais de Personnel</v>
          </cell>
        </row>
        <row r="615">
          <cell r="A615">
            <v>668941</v>
          </cell>
          <cell r="B615" t="str">
            <v>PROV.SAL.DIFFERES AGENTS M.P.NAT</v>
          </cell>
          <cell r="C615" t="str">
            <v>F06</v>
          </cell>
          <cell r="D615" t="str">
            <v>Frais de Personnel</v>
          </cell>
        </row>
        <row r="616">
          <cell r="A616">
            <v>668942</v>
          </cell>
          <cell r="B616" t="str">
            <v>PROV.CHARG.LEG.S/SAL.DIFF.A.M.NA</v>
          </cell>
          <cell r="C616" t="str">
            <v>F06</v>
          </cell>
          <cell r="D616" t="str">
            <v>Frais de Personnel</v>
          </cell>
        </row>
        <row r="617">
          <cell r="A617">
            <v>668943</v>
          </cell>
          <cell r="B617" t="str">
            <v>PROV.CHARG.LEG.S/SAL.DIFF.EO NAT</v>
          </cell>
          <cell r="C617" t="str">
            <v>F06</v>
          </cell>
          <cell r="D617" t="str">
            <v>Frais de Personnel</v>
          </cell>
        </row>
        <row r="618">
          <cell r="A618">
            <v>668944</v>
          </cell>
          <cell r="B618" t="str">
            <v>PROV.CHAR.CONV.S/SAL.DIFF.AM.NAT</v>
          </cell>
          <cell r="C618" t="str">
            <v>F06</v>
          </cell>
          <cell r="D618" t="str">
            <v>Frais de Personnel</v>
          </cell>
        </row>
        <row r="619">
          <cell r="A619">
            <v>668945</v>
          </cell>
          <cell r="B619" t="str">
            <v>PROV.CHARG.CONV.S/SAL.DIFF.EO NA</v>
          </cell>
          <cell r="C619" t="str">
            <v>F06</v>
          </cell>
          <cell r="D619" t="str">
            <v>Frais de Personnel</v>
          </cell>
        </row>
        <row r="620">
          <cell r="A620">
            <v>668960</v>
          </cell>
          <cell r="B620" t="str">
            <v>PROV.PRIME/OBJECTIFS E.O.</v>
          </cell>
          <cell r="C620" t="str">
            <v>F06</v>
          </cell>
          <cell r="D620" t="str">
            <v>Frais de Personnel</v>
          </cell>
        </row>
        <row r="621">
          <cell r="A621">
            <v>668961</v>
          </cell>
          <cell r="B621" t="str">
            <v>PROV.PRIME/OBJECTIFS MAITRISES</v>
          </cell>
          <cell r="C621" t="str">
            <v>F06</v>
          </cell>
          <cell r="D621" t="str">
            <v>Frais de Personnel</v>
          </cell>
        </row>
        <row r="622">
          <cell r="A622">
            <v>668962</v>
          </cell>
          <cell r="B622" t="str">
            <v>PROV.PRIME/OBJECTIFS CADRES NAT.</v>
          </cell>
          <cell r="C622" t="str">
            <v>F06</v>
          </cell>
          <cell r="D622" t="str">
            <v>Frais de Personnel</v>
          </cell>
        </row>
        <row r="623">
          <cell r="A623">
            <v>668964</v>
          </cell>
          <cell r="B623" t="str">
            <v>PROV.PRIME S/OBJECTIF CADRES  NON NATI</v>
          </cell>
          <cell r="C623" t="str">
            <v>F06</v>
          </cell>
          <cell r="D623" t="str">
            <v>Frais de Personnel</v>
          </cell>
        </row>
        <row r="624">
          <cell r="A624">
            <v>668965</v>
          </cell>
          <cell r="B624" t="str">
            <v>PROV.CHAR.LEGALE PRIME/OBJECT.EO</v>
          </cell>
          <cell r="C624" t="str">
            <v>F06</v>
          </cell>
          <cell r="D624" t="str">
            <v>Frais de Personnel</v>
          </cell>
        </row>
        <row r="625">
          <cell r="A625">
            <v>668966</v>
          </cell>
          <cell r="B625" t="str">
            <v>PROV.CHAR.LEGALE PRIME/OBJECT.AM</v>
          </cell>
          <cell r="C625" t="str">
            <v>F06</v>
          </cell>
          <cell r="D625" t="str">
            <v>Frais de Personnel</v>
          </cell>
        </row>
        <row r="626">
          <cell r="A626">
            <v>668967</v>
          </cell>
          <cell r="B626" t="str">
            <v>PROV.CHAR.LEGALE PRIME/OBJ.CAD.N</v>
          </cell>
          <cell r="C626" t="str">
            <v>F06</v>
          </cell>
          <cell r="D626" t="str">
            <v>Frais de Personnel</v>
          </cell>
        </row>
        <row r="627">
          <cell r="A627">
            <v>668968</v>
          </cell>
          <cell r="B627" t="str">
            <v>PROV.CHARG.CONV.PRIME/OBJECT.E.O</v>
          </cell>
          <cell r="C627" t="str">
            <v>F06</v>
          </cell>
          <cell r="D627" t="str">
            <v>Frais de Personnel</v>
          </cell>
        </row>
        <row r="628">
          <cell r="A628">
            <v>668969</v>
          </cell>
          <cell r="B628" t="str">
            <v>PROV.CHARG.CONV.PRIME/OBJECT.AM</v>
          </cell>
          <cell r="C628" t="str">
            <v>F06</v>
          </cell>
          <cell r="D628" t="str">
            <v>Frais de Personnel</v>
          </cell>
        </row>
        <row r="629">
          <cell r="A629">
            <v>668970</v>
          </cell>
          <cell r="B629" t="str">
            <v>PROV.CHAR.CONV.PRIME/OBJ.CAD.NAT</v>
          </cell>
          <cell r="C629" t="str">
            <v>F06</v>
          </cell>
          <cell r="D629" t="str">
            <v>Frais de Personnel</v>
          </cell>
        </row>
        <row r="630">
          <cell r="A630">
            <v>671310</v>
          </cell>
          <cell r="B630" t="str">
            <v>INTERETS/CREDITS MOYEN TERME</v>
          </cell>
          <cell r="C630" t="str">
            <v>H01</v>
          </cell>
          <cell r="D630" t="str">
            <v>Frais financiers</v>
          </cell>
        </row>
        <row r="631">
          <cell r="A631">
            <v>674210</v>
          </cell>
          <cell r="B631" t="str">
            <v>INTERETS,AGIOS/COMPTES LOCAUX</v>
          </cell>
          <cell r="C631" t="str">
            <v>H01</v>
          </cell>
          <cell r="D631" t="str">
            <v>Frais financiers</v>
          </cell>
        </row>
        <row r="632">
          <cell r="A632">
            <v>674290</v>
          </cell>
          <cell r="B632" t="str">
            <v>PROV.INTERETS/COMPTES COURANTS</v>
          </cell>
          <cell r="C632" t="str">
            <v>H01</v>
          </cell>
          <cell r="D632" t="str">
            <v>Frais financiers</v>
          </cell>
        </row>
        <row r="633">
          <cell r="A633">
            <v>674400</v>
          </cell>
          <cell r="B633" t="str">
            <v>INTERETS PAYES AUX FOURNISSEURS</v>
          </cell>
          <cell r="C633" t="str">
            <v>H01</v>
          </cell>
          <cell r="D633" t="str">
            <v>Frais financiers</v>
          </cell>
        </row>
        <row r="634">
          <cell r="A634">
            <v>676000</v>
          </cell>
          <cell r="B634" t="str">
            <v>PERTES DE CHANGES</v>
          </cell>
          <cell r="C634" t="str">
            <v>H03</v>
          </cell>
          <cell r="D634" t="str">
            <v>Gains/Pertes de change</v>
          </cell>
        </row>
        <row r="635">
          <cell r="A635">
            <v>679100</v>
          </cell>
          <cell r="B635" t="str">
            <v>DOT.PROV.RISQUES FINANCIERS.</v>
          </cell>
          <cell r="C635" t="str">
            <v>H01</v>
          </cell>
          <cell r="D635" t="str">
            <v>Frais financiers</v>
          </cell>
        </row>
        <row r="636">
          <cell r="A636">
            <v>681100</v>
          </cell>
          <cell r="B636" t="str">
            <v>DOT. AUX AMORTS. CHARG. IMMOBILISEES</v>
          </cell>
          <cell r="C636" t="str">
            <v>G02</v>
          </cell>
          <cell r="D636" t="str">
            <v>Dotations aux Amortissements</v>
          </cell>
        </row>
        <row r="637">
          <cell r="A637">
            <v>681200</v>
          </cell>
          <cell r="B637" t="str">
            <v>DOT. AUX AMORTS.  IMMOB. INCORPORELLES</v>
          </cell>
          <cell r="C637" t="str">
            <v>G02</v>
          </cell>
          <cell r="D637" t="str">
            <v>Dotations aux Amortissements</v>
          </cell>
        </row>
        <row r="638">
          <cell r="A638">
            <v>681300</v>
          </cell>
          <cell r="B638" t="str">
            <v>DOT.AUX AMORTS IMMO.NON REEVAL.</v>
          </cell>
          <cell r="C638" t="str">
            <v>G02</v>
          </cell>
          <cell r="D638" t="str">
            <v>Dotations aux Amortissements</v>
          </cell>
        </row>
        <row r="639">
          <cell r="A639">
            <v>681320</v>
          </cell>
          <cell r="B639" t="str">
            <v>DOTATIONS AMORTS REEMP/REEVAL.</v>
          </cell>
          <cell r="C639" t="str">
            <v>G02</v>
          </cell>
          <cell r="D639" t="str">
            <v>Dotations aux Amortissements</v>
          </cell>
        </row>
        <row r="640">
          <cell r="A640">
            <v>681360</v>
          </cell>
          <cell r="B640" t="str">
            <v>DOT.AUX AMORTS REEVALUEES</v>
          </cell>
          <cell r="C640" t="str">
            <v>G02</v>
          </cell>
          <cell r="D640" t="str">
            <v>Dotations aux Amortissements</v>
          </cell>
        </row>
        <row r="641">
          <cell r="A641">
            <v>681390</v>
          </cell>
          <cell r="B641" t="str">
            <v>DOT.AUX AMORTS IMMO.REEVALUEES</v>
          </cell>
          <cell r="C641" t="str">
            <v>G02</v>
          </cell>
          <cell r="D641" t="str">
            <v>Dotations aux Amortissements</v>
          </cell>
        </row>
        <row r="642">
          <cell r="A642">
            <v>691000</v>
          </cell>
          <cell r="B642" t="str">
            <v>DOT.AUX PROV. D'EXPLOITATION</v>
          </cell>
          <cell r="C642" t="str">
            <v>G05</v>
          </cell>
          <cell r="D642" t="str">
            <v>Dotations Provisions Exploitation LT</v>
          </cell>
        </row>
        <row r="643">
          <cell r="A643">
            <v>691110</v>
          </cell>
          <cell r="B643" t="str">
            <v>DOT EXC.PROV.P/LITIGES</v>
          </cell>
          <cell r="C643" t="str">
            <v>G05</v>
          </cell>
          <cell r="D643" t="str">
            <v>Dotations Provisions Exploitation LT</v>
          </cell>
        </row>
        <row r="644">
          <cell r="A644">
            <v>691115</v>
          </cell>
          <cell r="B644" t="str">
            <v>DOT.PROV.DEPR. LITIGES DEDUCT.</v>
          </cell>
          <cell r="C644" t="str">
            <v>G05</v>
          </cell>
          <cell r="D644" t="str">
            <v>Dotations Provisions Exploitation LT</v>
          </cell>
        </row>
        <row r="645">
          <cell r="A645">
            <v>691122</v>
          </cell>
          <cell r="B645" t="str">
            <v>DOT.PR/EVENTUALITES DIVERSES</v>
          </cell>
          <cell r="C645" t="str">
            <v>G05</v>
          </cell>
          <cell r="D645" t="str">
            <v>Dotations Provisions Exploitation LT</v>
          </cell>
        </row>
        <row r="646">
          <cell r="A646">
            <v>691123</v>
          </cell>
          <cell r="B646" t="str">
            <v>DOT.PROV.P/RIS.FISCAL &amp; DOUANIER</v>
          </cell>
          <cell r="C646" t="str">
            <v>I01</v>
          </cell>
          <cell r="D646" t="str">
            <v>Dotations provisions HE</v>
          </cell>
        </row>
        <row r="647">
          <cell r="A647">
            <v>691150</v>
          </cell>
          <cell r="B647" t="str">
            <v>DOT.AUX PROV.P/INDEMN.RETRAITE</v>
          </cell>
          <cell r="C647" t="str">
            <v>G05</v>
          </cell>
          <cell r="D647" t="str">
            <v>Dotations Provisions Exploitation LT</v>
          </cell>
        </row>
        <row r="648">
          <cell r="A648">
            <v>691151</v>
          </cell>
          <cell r="B648" t="str">
            <v>DOTATION PROVISION 50% IRPP/RETRAITE</v>
          </cell>
          <cell r="C648" t="str">
            <v>G05</v>
          </cell>
          <cell r="D648" t="str">
            <v>Dotations Provisions Exploitation LT</v>
          </cell>
        </row>
        <row r="649">
          <cell r="A649">
            <v>691155</v>
          </cell>
          <cell r="B649" t="str">
            <v>DOT.PROV.MEDAILLE TRAVAIL N/DED.</v>
          </cell>
          <cell r="C649" t="str">
            <v>G05</v>
          </cell>
          <cell r="D649" t="str">
            <v>Dotations Provisions Exploitation LT</v>
          </cell>
        </row>
        <row r="650">
          <cell r="A650">
            <v>691156</v>
          </cell>
          <cell r="B650" t="str">
            <v>DOT.PROV.PRIME ANCIENNETE N/DED.</v>
          </cell>
          <cell r="C650" t="str">
            <v>G05</v>
          </cell>
          <cell r="D650" t="str">
            <v>Dotations Provisions Exploitation LT</v>
          </cell>
        </row>
        <row r="651">
          <cell r="A651">
            <v>691157</v>
          </cell>
          <cell r="B651" t="str">
            <v>DOT.AUX PROV. PRIME ANCIEN 33 ANS</v>
          </cell>
          <cell r="C651" t="str">
            <v>G05</v>
          </cell>
          <cell r="D651" t="str">
            <v>Dotations Provisions Exploitation LT</v>
          </cell>
        </row>
        <row r="652">
          <cell r="A652">
            <v>691160</v>
          </cell>
          <cell r="B652" t="str">
            <v>DOT.AUX PROV.COMPLEMENT DECES</v>
          </cell>
          <cell r="C652" t="str">
            <v>G05</v>
          </cell>
          <cell r="D652" t="str">
            <v>Dotations Provisions Exploitation LT</v>
          </cell>
        </row>
        <row r="653">
          <cell r="A653">
            <v>691170</v>
          </cell>
          <cell r="B653" t="str">
            <v>DOT.AUX PROV.FRAIS OBSEQUES</v>
          </cell>
          <cell r="C653" t="str">
            <v>G05</v>
          </cell>
          <cell r="D653" t="str">
            <v>Dotations Provisions Exploitation LT</v>
          </cell>
        </row>
        <row r="654">
          <cell r="A654">
            <v>697100</v>
          </cell>
          <cell r="B654" t="str">
            <v>DOT.AUX PROV.FINANC. P/RISQ ET CHARG.</v>
          </cell>
          <cell r="C654" t="str">
            <v>G05</v>
          </cell>
          <cell r="D654" t="str">
            <v>Dotations Provisions Exploitation LT</v>
          </cell>
        </row>
        <row r="655">
          <cell r="A655">
            <v>697200</v>
          </cell>
          <cell r="B655" t="str">
            <v>DOT.PROV.DEPREC.TITRES NON DEDUC</v>
          </cell>
          <cell r="C655" t="str">
            <v>G05</v>
          </cell>
          <cell r="D655" t="str">
            <v>Dotations Provisions Exploitation LT</v>
          </cell>
        </row>
        <row r="656">
          <cell r="A656">
            <v>697210</v>
          </cell>
          <cell r="B656" t="str">
            <v>DOT.PROV.DEPREC.TITRES DEDUC</v>
          </cell>
          <cell r="C656" t="str">
            <v>G05</v>
          </cell>
          <cell r="D656" t="str">
            <v>Dotations Provisions Exploitation LT</v>
          </cell>
        </row>
        <row r="657">
          <cell r="A657">
            <v>701100</v>
          </cell>
          <cell r="B657" t="str">
            <v>VENTES MARCHANDISES</v>
          </cell>
          <cell r="C657" t="str">
            <v>G01</v>
          </cell>
          <cell r="D657" t="str">
            <v>Autres Produits d' Exploitation</v>
          </cell>
        </row>
        <row r="658">
          <cell r="A658">
            <v>701101</v>
          </cell>
          <cell r="B658" t="str">
            <v>VENTE PF SIAC BIERE GROS</v>
          </cell>
          <cell r="C658" t="str">
            <v>G01</v>
          </cell>
          <cell r="D658" t="str">
            <v>Autres Produits d' Exploitation</v>
          </cell>
        </row>
        <row r="659">
          <cell r="A659">
            <v>701102</v>
          </cell>
          <cell r="B659" t="str">
            <v>VENTE PF SIAC BG GROS</v>
          </cell>
          <cell r="C659" t="str">
            <v>G01</v>
          </cell>
          <cell r="D659" t="str">
            <v>Autres Produits d' Exploitation</v>
          </cell>
        </row>
        <row r="660">
          <cell r="A660">
            <v>701107</v>
          </cell>
          <cell r="B660" t="str">
            <v>VENTES PF SIAC BG DETAIL</v>
          </cell>
          <cell r="C660" t="str">
            <v>G01</v>
          </cell>
          <cell r="D660" t="str">
            <v>Autres Produits d' Exploitation</v>
          </cell>
        </row>
        <row r="661">
          <cell r="A661">
            <v>701108</v>
          </cell>
          <cell r="B661" t="str">
            <v>VENTE PF SIAC BIERE DETAIL</v>
          </cell>
          <cell r="C661" t="str">
            <v>G01</v>
          </cell>
          <cell r="D661" t="str">
            <v>Autres Produits d' Exploitation</v>
          </cell>
        </row>
        <row r="662">
          <cell r="A662">
            <v>701110</v>
          </cell>
          <cell r="B662" t="str">
            <v>VENTES BIERE SIAC SIGMA</v>
          </cell>
          <cell r="C662" t="str">
            <v>G01</v>
          </cell>
          <cell r="D662" t="str">
            <v>Autres Produits d' Exploitation</v>
          </cell>
        </row>
        <row r="663">
          <cell r="A663">
            <v>701111</v>
          </cell>
          <cell r="B663" t="str">
            <v>VENTES BG SIAC SIGMA</v>
          </cell>
          <cell r="C663" t="str">
            <v>G01</v>
          </cell>
          <cell r="D663" t="str">
            <v>Autres Produits d' Exploitation</v>
          </cell>
        </row>
        <row r="664">
          <cell r="A664">
            <v>701120</v>
          </cell>
          <cell r="B664" t="str">
            <v>PROV REMISE SUR VTE EAU TANGUI H.T. SIG</v>
          </cell>
          <cell r="C664" t="str">
            <v>G01</v>
          </cell>
          <cell r="D664" t="str">
            <v>Autres Produits d' Exploitation</v>
          </cell>
        </row>
        <row r="665">
          <cell r="A665">
            <v>701125</v>
          </cell>
          <cell r="B665" t="str">
            <v>PROV S/RIST NEGOCE(TANGUI)</v>
          </cell>
          <cell r="C665" t="str">
            <v>G01</v>
          </cell>
          <cell r="D665" t="str">
            <v>Autres Produits d' Exploitation</v>
          </cell>
        </row>
        <row r="666">
          <cell r="A666">
            <v>701176</v>
          </cell>
          <cell r="B666" t="str">
            <v>VENTES EAU TANGUI H.T. SIG</v>
          </cell>
          <cell r="C666" t="str">
            <v>G01</v>
          </cell>
          <cell r="D666" t="str">
            <v>Autres Produits d' Exploitation</v>
          </cell>
        </row>
        <row r="667">
          <cell r="A667">
            <v>701180</v>
          </cell>
          <cell r="B667" t="str">
            <v>AVARIES CASSES PF NEGOCE</v>
          </cell>
          <cell r="C667" t="str">
            <v>G01</v>
          </cell>
          <cell r="D667" t="str">
            <v>Autres Produits d' Exploitation</v>
          </cell>
        </row>
        <row r="668">
          <cell r="A668">
            <v>701183</v>
          </cell>
          <cell r="B668" t="str">
            <v>AVA-CAS.EMBAL.FAC.AUX ASSURANCES</v>
          </cell>
          <cell r="C668" t="str">
            <v>G01</v>
          </cell>
          <cell r="D668" t="str">
            <v>Autres Produits d' Exploitation</v>
          </cell>
        </row>
        <row r="669">
          <cell r="A669">
            <v>701188</v>
          </cell>
          <cell r="B669" t="str">
            <v>DIFF/BORDEREAUX ENCAISSEMENTS</v>
          </cell>
          <cell r="C669" t="str">
            <v>G01</v>
          </cell>
          <cell r="D669" t="str">
            <v>Autres Produits d' Exploitation</v>
          </cell>
        </row>
        <row r="670">
          <cell r="A670">
            <v>701189</v>
          </cell>
          <cell r="B670" t="str">
            <v>REMISES GROSSISTES SIAC</v>
          </cell>
          <cell r="C670" t="str">
            <v>G01</v>
          </cell>
          <cell r="D670" t="str">
            <v>Autres Produits d' Exploitation</v>
          </cell>
        </row>
        <row r="671">
          <cell r="A671">
            <v>701190</v>
          </cell>
          <cell r="B671" t="str">
            <v>REMISES &amp; RISTOUR EXCEPTIONNELLE</v>
          </cell>
          <cell r="C671" t="str">
            <v>B02</v>
          </cell>
          <cell r="D671" t="str">
            <v>Ristournes TTC</v>
          </cell>
        </row>
        <row r="672">
          <cell r="A672">
            <v>701195</v>
          </cell>
          <cell r="B672" t="str">
            <v>REMISES S/VTES EAU TANGUI DISTRI</v>
          </cell>
          <cell r="C672" t="str">
            <v>G01</v>
          </cell>
          <cell r="D672" t="str">
            <v>Autres Produits d' Exploitation</v>
          </cell>
        </row>
        <row r="673">
          <cell r="A673">
            <v>701197</v>
          </cell>
          <cell r="B673" t="str">
            <v>RISTOURNES DETAILLANTS SIAC</v>
          </cell>
          <cell r="C673" t="str">
            <v>G01</v>
          </cell>
          <cell r="D673" t="str">
            <v>Autres Produits d' Exploitation</v>
          </cell>
        </row>
        <row r="674">
          <cell r="A674">
            <v>702100</v>
          </cell>
          <cell r="B674" t="str">
            <v>VENTES DE PRODUITS  FINIS</v>
          </cell>
          <cell r="C674" t="str">
            <v>B01</v>
          </cell>
          <cell r="D674" t="str">
            <v>Chiffre d'Affaires brut TTC</v>
          </cell>
        </row>
        <row r="675">
          <cell r="A675">
            <v>702118</v>
          </cell>
          <cell r="B675" t="str">
            <v>DA COLL S/VENTES ALCM GROS</v>
          </cell>
          <cell r="C675" t="str">
            <v>B04</v>
          </cell>
          <cell r="D675" t="str">
            <v>Taxes spécifiques(prél.)</v>
          </cell>
        </row>
        <row r="676">
          <cell r="A676">
            <v>702119</v>
          </cell>
          <cell r="B676" t="str">
            <v>DA COLL S/VENTES ALCM DETAILLANT</v>
          </cell>
          <cell r="C676" t="str">
            <v>B04</v>
          </cell>
          <cell r="D676" t="str">
            <v>Taxes spécifiques(prél.)</v>
          </cell>
        </row>
        <row r="677">
          <cell r="A677">
            <v>702131</v>
          </cell>
          <cell r="B677" t="str">
            <v>VENTE BIERES CAMEROUN SIG</v>
          </cell>
          <cell r="C677" t="str">
            <v>B01</v>
          </cell>
          <cell r="D677" t="str">
            <v>Chiffre d'Affaires brut TTC</v>
          </cell>
        </row>
        <row r="678">
          <cell r="A678">
            <v>702150</v>
          </cell>
          <cell r="B678" t="str">
            <v>DA COLL S/VTE</v>
          </cell>
          <cell r="C678" t="str">
            <v>B04</v>
          </cell>
          <cell r="D678" t="str">
            <v>Taxes spécifiques(prél.)</v>
          </cell>
        </row>
        <row r="679">
          <cell r="A679">
            <v>702158</v>
          </cell>
          <cell r="B679" t="str">
            <v>DA COLL S/VTE</v>
          </cell>
          <cell r="C679" t="str">
            <v>B04</v>
          </cell>
          <cell r="D679" t="str">
            <v>Taxes spécifiques(prél.)</v>
          </cell>
        </row>
        <row r="680">
          <cell r="A680">
            <v>702159</v>
          </cell>
          <cell r="B680" t="str">
            <v>DA COLLECTES S/BIERES DETAIL.</v>
          </cell>
          <cell r="C680" t="str">
            <v>B04</v>
          </cell>
          <cell r="D680" t="str">
            <v>Taxes spécifiques(prél.)</v>
          </cell>
        </row>
        <row r="681">
          <cell r="A681">
            <v>702160</v>
          </cell>
          <cell r="B681" t="str">
            <v>VENTES SIROP HT SIGMA</v>
          </cell>
          <cell r="C681" t="str">
            <v>B01</v>
          </cell>
          <cell r="D681" t="str">
            <v>Chiffre d'Affaires brut TTC</v>
          </cell>
        </row>
        <row r="682">
          <cell r="A682">
            <v>702161</v>
          </cell>
          <cell r="B682" t="str">
            <v>VENTES B.R.S.A HT SIGMA</v>
          </cell>
          <cell r="C682" t="str">
            <v>B01</v>
          </cell>
          <cell r="D682" t="str">
            <v>Chiffre d'Affaires brut TTC</v>
          </cell>
        </row>
        <row r="683">
          <cell r="A683">
            <v>702170</v>
          </cell>
          <cell r="B683" t="str">
            <v>DA COLL S/RISTOURNES</v>
          </cell>
          <cell r="C683" t="str">
            <v>B04</v>
          </cell>
          <cell r="D683" t="str">
            <v>Taxes spécifiques(prél.)</v>
          </cell>
        </row>
        <row r="684">
          <cell r="A684">
            <v>702178</v>
          </cell>
          <cell r="B684" t="str">
            <v>DA COLLECTES S/VTE BRSA+SIR GROS</v>
          </cell>
          <cell r="C684" t="str">
            <v>B04</v>
          </cell>
          <cell r="D684" t="str">
            <v>Taxes spécifiques(prél.)</v>
          </cell>
        </row>
        <row r="685">
          <cell r="A685">
            <v>702179</v>
          </cell>
          <cell r="B685" t="str">
            <v>DA COLL.S/VTE BRSA+SIR DETAIL.</v>
          </cell>
          <cell r="C685" t="str">
            <v>B04</v>
          </cell>
          <cell r="D685" t="str">
            <v>Taxes spécifiques(prél.)</v>
          </cell>
        </row>
        <row r="686">
          <cell r="A686">
            <v>702180</v>
          </cell>
          <cell r="B686" t="str">
            <v>ANNUL.VENTES ANT.P/CREANCES IRR.</v>
          </cell>
          <cell r="C686" t="str">
            <v>I04</v>
          </cell>
          <cell r="D686" t="str">
            <v>Produits except HE</v>
          </cell>
        </row>
        <row r="687">
          <cell r="A687">
            <v>702181</v>
          </cell>
          <cell r="B687" t="str">
            <v>AVARIES-CASSES PF FACT.TRANSPORT</v>
          </cell>
          <cell r="C687" t="str">
            <v>G01</v>
          </cell>
          <cell r="D687" t="str">
            <v>Autres Produits d' Exploitation</v>
          </cell>
        </row>
        <row r="688">
          <cell r="A688">
            <v>702184</v>
          </cell>
          <cell r="B688" t="str">
            <v>AVARIES-CASSES PF FACT.TRSP TIER</v>
          </cell>
          <cell r="C688" t="str">
            <v>G01</v>
          </cell>
          <cell r="D688" t="str">
            <v>Autres Produits d' Exploitation</v>
          </cell>
        </row>
        <row r="689">
          <cell r="A689">
            <v>702185</v>
          </cell>
          <cell r="B689" t="str">
            <v>AVARIES-CASS. PF TRANSP.LIVREURS</v>
          </cell>
          <cell r="C689" t="str">
            <v>G01</v>
          </cell>
          <cell r="D689" t="str">
            <v>Autres Produits d' Exploitation</v>
          </cell>
        </row>
        <row r="690">
          <cell r="A690">
            <v>702188</v>
          </cell>
          <cell r="B690" t="str">
            <v>DIFFERENCES/JOURNAUX VENTES</v>
          </cell>
          <cell r="C690" t="str">
            <v>G01</v>
          </cell>
          <cell r="D690" t="str">
            <v>Autres Produits d' Exploitation</v>
          </cell>
        </row>
        <row r="691">
          <cell r="A691">
            <v>702189</v>
          </cell>
          <cell r="B691" t="str">
            <v>DIFF/BORDEREAUX ENCAISSEMENTS</v>
          </cell>
          <cell r="C691" t="str">
            <v>G01</v>
          </cell>
          <cell r="D691" t="str">
            <v>Autres Produits d' Exploitation</v>
          </cell>
        </row>
        <row r="692">
          <cell r="A692">
            <v>702190</v>
          </cell>
          <cell r="B692" t="str">
            <v>RIST.EXCEPTION./VTES EXPORT.</v>
          </cell>
          <cell r="C692" t="str">
            <v>B02</v>
          </cell>
          <cell r="D692" t="str">
            <v>Ristournes TTC</v>
          </cell>
        </row>
        <row r="693">
          <cell r="A693">
            <v>702191</v>
          </cell>
          <cell r="B693" t="str">
            <v>REMISE S/VTES BIERES DISTRIBUT.</v>
          </cell>
          <cell r="C693" t="str">
            <v>B02</v>
          </cell>
          <cell r="D693" t="str">
            <v>Ristournes TTC</v>
          </cell>
        </row>
        <row r="694">
          <cell r="A694">
            <v>702193</v>
          </cell>
          <cell r="B694" t="str">
            <v>REMISES S/VTES BG DISTRIBUTEURS</v>
          </cell>
          <cell r="C694" t="str">
            <v>B02</v>
          </cell>
          <cell r="D694" t="str">
            <v>Ristournes TTC</v>
          </cell>
        </row>
        <row r="695">
          <cell r="A695">
            <v>702194</v>
          </cell>
          <cell r="B695" t="str">
            <v>REMISES S/VTES BG CONCESSIONN.</v>
          </cell>
          <cell r="C695" t="str">
            <v>B02</v>
          </cell>
          <cell r="D695" t="str">
            <v>Ristournes TTC</v>
          </cell>
        </row>
        <row r="696">
          <cell r="A696">
            <v>702197</v>
          </cell>
          <cell r="B696" t="str">
            <v>REMISES S/PROMO BIERES CONC/GROS</v>
          </cell>
          <cell r="C696" t="str">
            <v>B02</v>
          </cell>
          <cell r="D696" t="str">
            <v>Ristournes TTC</v>
          </cell>
        </row>
        <row r="697">
          <cell r="A697">
            <v>702198</v>
          </cell>
          <cell r="B697" t="str">
            <v>REMISE S/VTES BIERES CONCESSION.</v>
          </cell>
          <cell r="C697" t="str">
            <v>B02</v>
          </cell>
          <cell r="D697" t="str">
            <v>Ristournes TTC</v>
          </cell>
        </row>
        <row r="698">
          <cell r="A698">
            <v>702200</v>
          </cell>
          <cell r="B698" t="str">
            <v>PROVISION REMISES SUR VENTES</v>
          </cell>
          <cell r="C698" t="str">
            <v>B02</v>
          </cell>
          <cell r="D698" t="str">
            <v>Ristournes TTC</v>
          </cell>
        </row>
        <row r="699">
          <cell r="A699">
            <v>702201</v>
          </cell>
          <cell r="B699" t="str">
            <v>PROVISIONS SUR REMISES GROSSISTES</v>
          </cell>
          <cell r="C699" t="str">
            <v>B02</v>
          </cell>
          <cell r="D699" t="str">
            <v>Ristournes TTC</v>
          </cell>
        </row>
        <row r="700">
          <cell r="A700">
            <v>702202</v>
          </cell>
          <cell r="B700" t="str">
            <v>PROVISIONS S/RISTOURNES PDTS FINIS SABC</v>
          </cell>
          <cell r="C700" t="str">
            <v>B02</v>
          </cell>
          <cell r="D700" t="str">
            <v>Ristournes TTC</v>
          </cell>
        </row>
        <row r="701">
          <cell r="A701">
            <v>702203</v>
          </cell>
          <cell r="B701" t="str">
            <v>REMISES SUR VENTES- PARTICIPATION RISTOU</v>
          </cell>
          <cell r="C701" t="str">
            <v>B02</v>
          </cell>
          <cell r="D701" t="str">
            <v>Ristournes TTC</v>
          </cell>
        </row>
        <row r="702">
          <cell r="A702">
            <v>702209</v>
          </cell>
          <cell r="B702" t="str">
            <v>DROIT D'ACISE SUR REMISE</v>
          </cell>
          <cell r="C702" t="str">
            <v>B04</v>
          </cell>
          <cell r="D702" t="str">
            <v>Taxes spécifiques(prél.)</v>
          </cell>
        </row>
        <row r="703">
          <cell r="A703">
            <v>702210</v>
          </cell>
          <cell r="B703" t="str">
            <v>REMISES EXCEPTIONNELLES</v>
          </cell>
          <cell r="C703" t="str">
            <v>B02</v>
          </cell>
          <cell r="D703" t="str">
            <v>Ristournes TTC</v>
          </cell>
        </row>
        <row r="704">
          <cell r="A704">
            <v>702220</v>
          </cell>
          <cell r="B704" t="str">
            <v>RISTOURNE SUR FACTURE</v>
          </cell>
          <cell r="C704" t="str">
            <v>B02</v>
          </cell>
          <cell r="D704" t="str">
            <v>Ristournes TTC</v>
          </cell>
        </row>
        <row r="705">
          <cell r="A705">
            <v>702230</v>
          </cell>
          <cell r="B705" t="str">
            <v>REMISES A PAYER (RFA)</v>
          </cell>
          <cell r="C705" t="str">
            <v>B02</v>
          </cell>
          <cell r="D705" t="str">
            <v>Ristournes TTC</v>
          </cell>
        </row>
        <row r="706">
          <cell r="A706">
            <v>702240</v>
          </cell>
          <cell r="B706" t="str">
            <v>RISTOURNES A PAYER (RFA)</v>
          </cell>
          <cell r="C706" t="str">
            <v>B02</v>
          </cell>
          <cell r="D706" t="str">
            <v>Ristournes TTC</v>
          </cell>
        </row>
        <row r="707">
          <cell r="A707">
            <v>702300</v>
          </cell>
          <cell r="B707" t="str">
            <v>RISTOURNES DETAILLANTS</v>
          </cell>
          <cell r="C707" t="str">
            <v>B02</v>
          </cell>
          <cell r="D707" t="str">
            <v>Ristournes TTC</v>
          </cell>
        </row>
        <row r="708">
          <cell r="A708">
            <v>702310</v>
          </cell>
          <cell r="B708" t="str">
            <v>VTES REGION GROUPE SEMS</v>
          </cell>
          <cell r="C708" t="str">
            <v>B01</v>
          </cell>
          <cell r="D708" t="str">
            <v>Chiffre d'Affaires brut TTC</v>
          </cell>
        </row>
        <row r="709">
          <cell r="A709">
            <v>702320</v>
          </cell>
          <cell r="B709" t="str">
            <v>VTES REGION GROUPE SOCAVER</v>
          </cell>
          <cell r="C709" t="str">
            <v>B01</v>
          </cell>
          <cell r="D709" t="str">
            <v>Chiffre d'Affaires brut TTC</v>
          </cell>
        </row>
        <row r="710">
          <cell r="A710">
            <v>702370</v>
          </cell>
          <cell r="B710" t="str">
            <v>VENTE BOUTEILLES LOCALES</v>
          </cell>
          <cell r="C710" t="str">
            <v>B01</v>
          </cell>
          <cell r="D710" t="str">
            <v>Chiffre d'Affaires brut TTC</v>
          </cell>
        </row>
        <row r="711">
          <cell r="A711">
            <v>702371</v>
          </cell>
          <cell r="B711" t="str">
            <v>VENTE BOUTEILLES EXPORT</v>
          </cell>
          <cell r="C711" t="str">
            <v>B01</v>
          </cell>
          <cell r="D711" t="str">
            <v>Chiffre d'Affaires brut TTC</v>
          </cell>
        </row>
        <row r="712">
          <cell r="A712">
            <v>702410</v>
          </cell>
          <cell r="B712" t="str">
            <v>VTES HORS REGION GROUPE SEMC</v>
          </cell>
          <cell r="C712" t="str">
            <v>B01</v>
          </cell>
          <cell r="D712" t="str">
            <v>Chiffre d'Affaires brut TTC</v>
          </cell>
        </row>
        <row r="713">
          <cell r="A713">
            <v>702420</v>
          </cell>
          <cell r="B713" t="str">
            <v>VTES HORS REGION GROUPE SOCAVER</v>
          </cell>
          <cell r="C713" t="str">
            <v>B01</v>
          </cell>
          <cell r="D713" t="str">
            <v>Chiffre d'Affaires brut TTC</v>
          </cell>
        </row>
        <row r="714">
          <cell r="A714">
            <v>702999</v>
          </cell>
          <cell r="B714" t="str">
            <v>CESSION GRATUITE</v>
          </cell>
          <cell r="C714" t="str">
            <v>C01</v>
          </cell>
          <cell r="D714" t="str">
            <v>Production stockée</v>
          </cell>
        </row>
        <row r="715">
          <cell r="A715">
            <v>703100</v>
          </cell>
          <cell r="B715" t="str">
            <v>VENTES INTERMEDIAIRES</v>
          </cell>
          <cell r="C715" t="str">
            <v>G01</v>
          </cell>
          <cell r="D715" t="str">
            <v>Autres Produits d' Exploitation</v>
          </cell>
        </row>
        <row r="716">
          <cell r="A716">
            <v>703140</v>
          </cell>
          <cell r="B716" t="str">
            <v>VENTES PREFORMES HT</v>
          </cell>
          <cell r="C716" t="str">
            <v>G01</v>
          </cell>
          <cell r="D716" t="str">
            <v>Autres Produits d' Exploitation</v>
          </cell>
        </row>
        <row r="717">
          <cell r="A717">
            <v>703150</v>
          </cell>
          <cell r="B717" t="str">
            <v>VENTES GLACE HT</v>
          </cell>
          <cell r="C717" t="str">
            <v>G01</v>
          </cell>
          <cell r="D717" t="str">
            <v>Autres Produits d' Exploitation</v>
          </cell>
        </row>
        <row r="718">
          <cell r="A718">
            <v>703210</v>
          </cell>
          <cell r="B718" t="str">
            <v>VENTES PREFORMES HT</v>
          </cell>
          <cell r="C718" t="str">
            <v>G01</v>
          </cell>
          <cell r="D718" t="str">
            <v>Autres Produits d' Exploitation</v>
          </cell>
        </row>
        <row r="719">
          <cell r="A719">
            <v>703305</v>
          </cell>
          <cell r="B719" t="str">
            <v>VTES CASIERS VID NEUFS EXPORT GM</v>
          </cell>
          <cell r="C719" t="str">
            <v>G01</v>
          </cell>
          <cell r="D719" t="str">
            <v>Autres Produits d' Exploitation</v>
          </cell>
        </row>
        <row r="720">
          <cell r="A720">
            <v>703306</v>
          </cell>
          <cell r="B720" t="str">
            <v>VTES CASIERS VID NEUFS EXPORT PM</v>
          </cell>
          <cell r="C720" t="str">
            <v>G01</v>
          </cell>
          <cell r="D720" t="str">
            <v>Autres Produits d' Exploitation</v>
          </cell>
        </row>
        <row r="721">
          <cell r="A721">
            <v>704100</v>
          </cell>
          <cell r="B721" t="str">
            <v>VENTES PRODUITS RESIDUELS</v>
          </cell>
          <cell r="C721" t="str">
            <v>G01</v>
          </cell>
          <cell r="D721" t="str">
            <v>Autres Produits d' Exploitation</v>
          </cell>
        </row>
        <row r="722">
          <cell r="A722">
            <v>704110</v>
          </cell>
          <cell r="B722" t="str">
            <v>VENTES DE GROISIL</v>
          </cell>
          <cell r="C722" t="str">
            <v>G01</v>
          </cell>
          <cell r="D722" t="str">
            <v>Autres Produits d' Exploitation</v>
          </cell>
        </row>
        <row r="723">
          <cell r="A723">
            <v>704111</v>
          </cell>
          <cell r="B723" t="str">
            <v>VENTES SABLE REJET</v>
          </cell>
          <cell r="C723" t="str">
            <v>G01</v>
          </cell>
          <cell r="D723" t="str">
            <v>Autres Produits d' Exploitation</v>
          </cell>
        </row>
        <row r="724">
          <cell r="A724">
            <v>704130</v>
          </cell>
          <cell r="B724" t="str">
            <v>VENTES DE CASIERS BROYES</v>
          </cell>
          <cell r="C724" t="str">
            <v>G01</v>
          </cell>
          <cell r="D724" t="str">
            <v>Autres Produits d' Exploitation</v>
          </cell>
        </row>
        <row r="725">
          <cell r="A725">
            <v>704140</v>
          </cell>
          <cell r="B725" t="str">
            <v>AUTRES VENTES DIVERSES</v>
          </cell>
          <cell r="C725" t="str">
            <v>G01</v>
          </cell>
          <cell r="D725" t="str">
            <v>Autres Produits d' Exploitation</v>
          </cell>
        </row>
        <row r="726">
          <cell r="A726">
            <v>707100</v>
          </cell>
          <cell r="B726" t="str">
            <v>VENTES MPC</v>
          </cell>
          <cell r="C726" t="str">
            <v>D01</v>
          </cell>
          <cell r="D726" t="str">
            <v>Matières et consommables de production</v>
          </cell>
        </row>
        <row r="727">
          <cell r="A727">
            <v>707101</v>
          </cell>
          <cell r="B727" t="str">
            <v>VENTES EQUIPEMENTS</v>
          </cell>
          <cell r="C727" t="str">
            <v>G01</v>
          </cell>
          <cell r="D727" t="str">
            <v>Autres Produits d' Exploitation</v>
          </cell>
        </row>
        <row r="728">
          <cell r="A728">
            <v>707102</v>
          </cell>
          <cell r="B728" t="str">
            <v>AUTRES PRODUITS ACCESOIRES</v>
          </cell>
          <cell r="C728" t="str">
            <v>G01</v>
          </cell>
          <cell r="D728" t="str">
            <v>Autres Produits d' Exploitation</v>
          </cell>
        </row>
        <row r="729">
          <cell r="A729">
            <v>707103</v>
          </cell>
          <cell r="B729" t="str">
            <v>AUTRES VENTES EXPORT</v>
          </cell>
          <cell r="C729" t="str">
            <v>G01</v>
          </cell>
          <cell r="D729" t="str">
            <v>Autres Produits d' Exploitation</v>
          </cell>
        </row>
        <row r="730">
          <cell r="A730">
            <v>707104</v>
          </cell>
          <cell r="B730" t="str">
            <v>RETOUR /VENTES D'EMBALLAGES</v>
          </cell>
          <cell r="C730" t="str">
            <v>G01</v>
          </cell>
          <cell r="D730" t="str">
            <v>Autres Produits d' Exploitation</v>
          </cell>
        </row>
        <row r="731">
          <cell r="A731">
            <v>707105</v>
          </cell>
          <cell r="B731" t="str">
            <v>VENTES PIECES DE RECHANGE</v>
          </cell>
          <cell r="C731" t="str">
            <v>E03</v>
          </cell>
          <cell r="D731" t="str">
            <v>Maintenance (PdeR et entretien usine)</v>
          </cell>
        </row>
        <row r="732">
          <cell r="A732">
            <v>707110</v>
          </cell>
          <cell r="B732" t="str">
            <v>FRAIS LIVRAISON/VTES BOISSONS</v>
          </cell>
          <cell r="C732" t="str">
            <v>D04</v>
          </cell>
          <cell r="D732" t="str">
            <v>Transports /ventes</v>
          </cell>
        </row>
        <row r="733">
          <cell r="A733">
            <v>707111</v>
          </cell>
          <cell r="B733" t="str">
            <v>DEBOURS FACT.S/VTES EXPORT</v>
          </cell>
          <cell r="C733" t="str">
            <v>G01</v>
          </cell>
          <cell r="D733" t="str">
            <v>Autres Produits d' Exploitation</v>
          </cell>
        </row>
        <row r="734">
          <cell r="A734">
            <v>707112</v>
          </cell>
          <cell r="B734" t="str">
            <v>FACT.PREST.GARAGE AUX T/L</v>
          </cell>
          <cell r="C734" t="str">
            <v>G01</v>
          </cell>
          <cell r="D734" t="str">
            <v>Autres Produits d' Exploitation</v>
          </cell>
        </row>
        <row r="735">
          <cell r="A735">
            <v>707113</v>
          </cell>
          <cell r="B735" t="str">
            <v>PRESTATIONS DE SERVICES DIVERSES</v>
          </cell>
          <cell r="C735" t="str">
            <v>G01</v>
          </cell>
          <cell r="D735" t="str">
            <v>Autres Produits d' Exploitation</v>
          </cell>
        </row>
        <row r="736">
          <cell r="A736">
            <v>707114</v>
          </cell>
          <cell r="B736" t="str">
            <v>PRESTATION EMBOUTEILLAGE CAVINEX</v>
          </cell>
          <cell r="C736" t="str">
            <v>G01</v>
          </cell>
          <cell r="D736" t="str">
            <v>Autres Produits d' Exploitation</v>
          </cell>
        </row>
        <row r="737">
          <cell r="A737">
            <v>707115</v>
          </cell>
          <cell r="B737" t="str">
            <v>PREST.D'ASSISTANCES AUX FILIALES</v>
          </cell>
          <cell r="C737" t="str">
            <v>G01</v>
          </cell>
          <cell r="D737" t="str">
            <v>Autres Produits d' Exploitation</v>
          </cell>
        </row>
        <row r="738">
          <cell r="A738">
            <v>707116</v>
          </cell>
          <cell r="B738" t="str">
            <v>PREST.BUREAU ACHAT STES HORS CAM</v>
          </cell>
          <cell r="C738" t="str">
            <v>G01</v>
          </cell>
          <cell r="D738" t="str">
            <v>Autres Produits d' Exploitation</v>
          </cell>
        </row>
        <row r="739">
          <cell r="A739">
            <v>707117</v>
          </cell>
          <cell r="B739" t="str">
            <v>PRESTATIONS SCE DIV.A L'ETRANGER</v>
          </cell>
          <cell r="C739" t="str">
            <v>E04</v>
          </cell>
          <cell r="D739" t="str">
            <v>Publicité et Marketing local</v>
          </cell>
        </row>
        <row r="740">
          <cell r="A740">
            <v>707120</v>
          </cell>
          <cell r="B740" t="str">
            <v>VENTES DIVERS SOUS PRODUITS</v>
          </cell>
          <cell r="C740" t="str">
            <v>G01</v>
          </cell>
          <cell r="D740" t="str">
            <v>Autres Produits d' Exploitation</v>
          </cell>
        </row>
        <row r="741">
          <cell r="A741">
            <v>707121</v>
          </cell>
          <cell r="B741" t="str">
            <v>VENTES PALETTES TAXABLES</v>
          </cell>
          <cell r="C741" t="str">
            <v>G01</v>
          </cell>
          <cell r="D741" t="str">
            <v>Autres Produits d' Exploitation</v>
          </cell>
        </row>
        <row r="742">
          <cell r="A742">
            <v>707131</v>
          </cell>
          <cell r="B742" t="str">
            <v>VENTES MPC/PR COMPLEMENT VALEUR</v>
          </cell>
          <cell r="C742" t="str">
            <v>G01</v>
          </cell>
          <cell r="D742" t="str">
            <v>Autres Produits d' Exploitation</v>
          </cell>
        </row>
        <row r="743">
          <cell r="A743">
            <v>707181</v>
          </cell>
          <cell r="B743" t="str">
            <v>AVARIES-CAS.EMBAL.FAC.TRANSP.</v>
          </cell>
          <cell r="C743" t="str">
            <v>G01</v>
          </cell>
          <cell r="D743" t="str">
            <v>Autres Produits d' Exploitation</v>
          </cell>
        </row>
        <row r="744">
          <cell r="A744">
            <v>707184</v>
          </cell>
          <cell r="B744" t="str">
            <v>AVARIES CASSES EMB TRANSPORTEURS TIERS</v>
          </cell>
          <cell r="C744" t="str">
            <v>G01</v>
          </cell>
          <cell r="D744" t="str">
            <v>Autres Produits d' Exploitation</v>
          </cell>
        </row>
        <row r="745">
          <cell r="A745">
            <v>707186</v>
          </cell>
          <cell r="B745" t="str">
            <v>AVARIES MPC FACT.AUX TRANSPORT.</v>
          </cell>
          <cell r="C745" t="str">
            <v>D01</v>
          </cell>
          <cell r="D745" t="str">
            <v>Matières et consommables de production</v>
          </cell>
        </row>
        <row r="746">
          <cell r="A746">
            <v>707200</v>
          </cell>
          <cell r="B746" t="str">
            <v>COMMISSIONS/COURTAGE FAC FILIALE</v>
          </cell>
          <cell r="C746" t="str">
            <v>H02</v>
          </cell>
          <cell r="D746" t="str">
            <v>Produits financiers</v>
          </cell>
        </row>
        <row r="747">
          <cell r="A747">
            <v>707300</v>
          </cell>
          <cell r="B747" t="str">
            <v>LOCATIONS DE CAMIONS</v>
          </cell>
          <cell r="C747" t="str">
            <v>G01</v>
          </cell>
          <cell r="D747" t="str">
            <v>Autres Produits d' Exploitation</v>
          </cell>
        </row>
        <row r="748">
          <cell r="A748">
            <v>707400</v>
          </cell>
          <cell r="B748" t="str">
            <v>CONSIGNATION EMBALLAGES</v>
          </cell>
          <cell r="C748" t="str">
            <v>G01</v>
          </cell>
          <cell r="D748" t="str">
            <v>Autres Produits d' Exploitation</v>
          </cell>
        </row>
        <row r="749">
          <cell r="A749">
            <v>707410</v>
          </cell>
          <cell r="B749" t="str">
            <v>DECONSIGNATION EMBALLAGES</v>
          </cell>
          <cell r="C749" t="str">
            <v>G01</v>
          </cell>
          <cell r="D749" t="str">
            <v>Autres Produits d' Exploitation</v>
          </cell>
        </row>
        <row r="750">
          <cell r="A750">
            <v>707415</v>
          </cell>
          <cell r="B750" t="str">
            <v>VTES EMB H CLT CAS VID GM A 1800</v>
          </cell>
          <cell r="C750" t="str">
            <v>G01</v>
          </cell>
          <cell r="D750" t="str">
            <v>Autres Produits d' Exploitation</v>
          </cell>
        </row>
        <row r="751">
          <cell r="A751">
            <v>707416</v>
          </cell>
          <cell r="B751" t="str">
            <v>VTES EMB H CLT CAS VID PM A 870</v>
          </cell>
          <cell r="C751" t="str">
            <v>G01</v>
          </cell>
          <cell r="D751" t="str">
            <v>Autres Produits d' Exploitation</v>
          </cell>
        </row>
        <row r="752">
          <cell r="A752">
            <v>707440</v>
          </cell>
          <cell r="B752" t="str">
            <v>VTES EMB CAS COM. GM A 3000</v>
          </cell>
          <cell r="C752" t="str">
            <v>G01</v>
          </cell>
          <cell r="D752" t="str">
            <v>Autres Produits d' Exploitation</v>
          </cell>
        </row>
        <row r="753">
          <cell r="A753">
            <v>707441</v>
          </cell>
          <cell r="B753" t="str">
            <v>VTES EMB CAS COM. PM A 3000</v>
          </cell>
          <cell r="C753" t="str">
            <v>G01</v>
          </cell>
          <cell r="D753" t="str">
            <v>Autres Produits d' Exploitation</v>
          </cell>
        </row>
        <row r="754">
          <cell r="A754">
            <v>707442</v>
          </cell>
          <cell r="B754" t="str">
            <v>VTES EMB CAS VIDES GM A 1200</v>
          </cell>
          <cell r="C754" t="str">
            <v>G01</v>
          </cell>
          <cell r="D754" t="str">
            <v>Autres Produits d' Exploitation</v>
          </cell>
        </row>
        <row r="755">
          <cell r="A755">
            <v>707443</v>
          </cell>
          <cell r="B755" t="str">
            <v>VTES EMB CAS VIDES PM A 1200</v>
          </cell>
          <cell r="C755" t="str">
            <v>G01</v>
          </cell>
          <cell r="D755" t="str">
            <v>Autres Produits d' Exploitation</v>
          </cell>
        </row>
        <row r="756">
          <cell r="A756">
            <v>707444</v>
          </cell>
          <cell r="B756" t="str">
            <v>VTES EMB BLLES GM A 150</v>
          </cell>
          <cell r="C756" t="str">
            <v>G01</v>
          </cell>
          <cell r="D756" t="str">
            <v>Autres Produits d' Exploitation</v>
          </cell>
        </row>
        <row r="757">
          <cell r="A757">
            <v>707445</v>
          </cell>
          <cell r="B757" t="str">
            <v>VTES EMB BLLES PM A 75</v>
          </cell>
          <cell r="C757" t="str">
            <v>G01</v>
          </cell>
          <cell r="D757" t="str">
            <v>Autres Produits d' Exploitation</v>
          </cell>
        </row>
        <row r="758">
          <cell r="A758">
            <v>707457</v>
          </cell>
          <cell r="B758" t="str">
            <v>VENTE FUT A 8000</v>
          </cell>
          <cell r="C758" t="str">
            <v>G01</v>
          </cell>
          <cell r="D758" t="str">
            <v>Autres Produits d' Exploitation</v>
          </cell>
        </row>
        <row r="759">
          <cell r="A759">
            <v>707467</v>
          </cell>
          <cell r="B759" t="str">
            <v>RETR/VTES FUTS A 8000</v>
          </cell>
          <cell r="C759" t="str">
            <v>G01</v>
          </cell>
          <cell r="D759" t="str">
            <v>Autres Produits d' Exploitation</v>
          </cell>
        </row>
        <row r="760">
          <cell r="A760">
            <v>707471</v>
          </cell>
          <cell r="B760" t="str">
            <v>RETR /VTES CAS. COMPL GM A 3000</v>
          </cell>
          <cell r="C760" t="str">
            <v>G01</v>
          </cell>
          <cell r="D760" t="str">
            <v>Autres Produits d' Exploitation</v>
          </cell>
        </row>
        <row r="761">
          <cell r="A761">
            <v>707472</v>
          </cell>
          <cell r="B761" t="str">
            <v>RETR/ VTES CAS COMPL PM A 3000</v>
          </cell>
          <cell r="C761" t="str">
            <v>G01</v>
          </cell>
          <cell r="D761" t="str">
            <v>Autres Produits d' Exploitation</v>
          </cell>
        </row>
        <row r="762">
          <cell r="A762">
            <v>707473</v>
          </cell>
          <cell r="B762" t="str">
            <v>RETR/ VTES CAS VIDES GM  A 1200</v>
          </cell>
          <cell r="C762" t="str">
            <v>G01</v>
          </cell>
          <cell r="D762" t="str">
            <v>Autres Produits d' Exploitation</v>
          </cell>
        </row>
        <row r="763">
          <cell r="A763">
            <v>707474</v>
          </cell>
          <cell r="B763" t="str">
            <v>RETR/ VTES CAS VIDES PM A 1200</v>
          </cell>
          <cell r="C763" t="str">
            <v>G01</v>
          </cell>
          <cell r="D763" t="str">
            <v>Autres Produits d' Exploitation</v>
          </cell>
        </row>
        <row r="764">
          <cell r="A764">
            <v>707475</v>
          </cell>
          <cell r="B764" t="str">
            <v>RETR / VTES BTL GM A 150</v>
          </cell>
          <cell r="C764" t="str">
            <v>G01</v>
          </cell>
          <cell r="D764" t="str">
            <v>Autres Produits d' Exploitation</v>
          </cell>
        </row>
        <row r="765">
          <cell r="A765">
            <v>707476</v>
          </cell>
          <cell r="B765" t="str">
            <v>RETR / VTES BTL GM A 75</v>
          </cell>
          <cell r="C765" t="str">
            <v>G01</v>
          </cell>
          <cell r="D765" t="str">
            <v>Autres Produits d' Exploitation</v>
          </cell>
        </row>
        <row r="766">
          <cell r="A766">
            <v>707480</v>
          </cell>
          <cell r="B766" t="str">
            <v>ECART S/JOURNAUX  VTES ET RET S/VTES EMB</v>
          </cell>
          <cell r="C766" t="str">
            <v>G01</v>
          </cell>
          <cell r="D766" t="str">
            <v>Autres Produits d' Exploitation</v>
          </cell>
        </row>
        <row r="767">
          <cell r="A767">
            <v>707500</v>
          </cell>
          <cell r="B767" t="str">
            <v>CONSIGNATION PALETTES</v>
          </cell>
          <cell r="C767" t="str">
            <v>G01</v>
          </cell>
          <cell r="D767" t="str">
            <v>Autres Produits d' Exploitation</v>
          </cell>
        </row>
        <row r="768">
          <cell r="A768">
            <v>707510</v>
          </cell>
          <cell r="B768" t="str">
            <v>DECONSIGNATION PALETTES</v>
          </cell>
          <cell r="C768" t="str">
            <v>G01</v>
          </cell>
          <cell r="D768" t="str">
            <v>Autres Produits d' Exploitation</v>
          </cell>
        </row>
        <row r="769">
          <cell r="A769">
            <v>707801</v>
          </cell>
          <cell r="B769" t="str">
            <v>VENTES D'ARTICLES PUBLICITAIRES</v>
          </cell>
          <cell r="C769" t="str">
            <v>E04</v>
          </cell>
          <cell r="D769" t="str">
            <v>Publicité et Marketing local</v>
          </cell>
        </row>
        <row r="770">
          <cell r="A770">
            <v>707860</v>
          </cell>
          <cell r="B770" t="str">
            <v>PARTICIP ENTR FRIGOS</v>
          </cell>
          <cell r="C770" t="str">
            <v>G01</v>
          </cell>
          <cell r="D770" t="str">
            <v>Autres Produits d' Exploitation</v>
          </cell>
        </row>
        <row r="771">
          <cell r="A771">
            <v>734100</v>
          </cell>
          <cell r="B771" t="str">
            <v>VARIAT.STOCKS PROD.EN COURS</v>
          </cell>
          <cell r="C771" t="str">
            <v>C01</v>
          </cell>
          <cell r="D771" t="str">
            <v>Production stockée</v>
          </cell>
        </row>
        <row r="772">
          <cell r="A772">
            <v>734741</v>
          </cell>
          <cell r="B772" t="str">
            <v>REVALORISATION STOCKS PRODUIT SEMI-FINIS</v>
          </cell>
          <cell r="C772" t="str">
            <v>C01</v>
          </cell>
          <cell r="D772" t="str">
            <v>Production stockée</v>
          </cell>
        </row>
        <row r="773">
          <cell r="A773">
            <v>735000</v>
          </cell>
          <cell r="B773" t="str">
            <v>TRANSP.INCORP.STOCK PROD.FINIS</v>
          </cell>
          <cell r="C773" t="str">
            <v>C01</v>
          </cell>
          <cell r="D773" t="str">
            <v>Production stockée</v>
          </cell>
        </row>
        <row r="774">
          <cell r="A774">
            <v>735100</v>
          </cell>
          <cell r="B774" t="str">
            <v>TRANSP.INCORP.STOCKS M.P.C.</v>
          </cell>
          <cell r="C774" t="str">
            <v>D01</v>
          </cell>
          <cell r="D774" t="str">
            <v>Matières et consommables de production</v>
          </cell>
        </row>
        <row r="775">
          <cell r="A775">
            <v>736010</v>
          </cell>
          <cell r="B775" t="str">
            <v>VARIAT°. STKS.PRODUITS POUR VTES BIERE</v>
          </cell>
          <cell r="C775" t="str">
            <v>C01</v>
          </cell>
          <cell r="D775" t="str">
            <v>Production stockée</v>
          </cell>
        </row>
        <row r="776">
          <cell r="A776">
            <v>736015</v>
          </cell>
          <cell r="B776" t="str">
            <v>REVALORISATION STOCKS PF BIERES</v>
          </cell>
          <cell r="C776" t="str">
            <v>C01</v>
          </cell>
          <cell r="D776" t="str">
            <v>Production stockée</v>
          </cell>
        </row>
        <row r="777">
          <cell r="A777">
            <v>736020</v>
          </cell>
          <cell r="B777" t="str">
            <v>VARIAT° STKS EAU TANGUI</v>
          </cell>
          <cell r="C777" t="str">
            <v>C01</v>
          </cell>
          <cell r="D777" t="str">
            <v>Production stockée</v>
          </cell>
        </row>
        <row r="778">
          <cell r="A778">
            <v>736025</v>
          </cell>
          <cell r="B778" t="str">
            <v>VARIAT° STKS ALCOOL MIX</v>
          </cell>
          <cell r="C778" t="str">
            <v>C01</v>
          </cell>
          <cell r="D778" t="str">
            <v>Production stockée</v>
          </cell>
        </row>
        <row r="779">
          <cell r="A779">
            <v>736030</v>
          </cell>
          <cell r="B779" t="str">
            <v>VARIAT°. STOCKS.PRODUITS POUR VTES B.G.</v>
          </cell>
          <cell r="C779" t="str">
            <v>C01</v>
          </cell>
          <cell r="D779" t="str">
            <v>Production stockée</v>
          </cell>
        </row>
        <row r="780">
          <cell r="A780">
            <v>736035</v>
          </cell>
          <cell r="B780" t="str">
            <v>REVALORISATION STOCKS PF B.G.</v>
          </cell>
          <cell r="C780" t="str">
            <v>C01</v>
          </cell>
          <cell r="D780" t="str">
            <v>Production stockée</v>
          </cell>
        </row>
        <row r="781">
          <cell r="A781">
            <v>736040</v>
          </cell>
          <cell r="B781" t="str">
            <v>REVALORISATION STOCKS AQUABELLE</v>
          </cell>
          <cell r="C781" t="str">
            <v>C01</v>
          </cell>
          <cell r="D781" t="str">
            <v>Production stockée</v>
          </cell>
        </row>
        <row r="782">
          <cell r="A782">
            <v>736045</v>
          </cell>
          <cell r="B782" t="str">
            <v>REVALORISATION STOCKS ALCOOL MIXT</v>
          </cell>
          <cell r="C782" t="str">
            <v>C01</v>
          </cell>
          <cell r="D782" t="str">
            <v>Production stockée</v>
          </cell>
        </row>
        <row r="783">
          <cell r="A783">
            <v>736050</v>
          </cell>
          <cell r="B783" t="str">
            <v>CONS.PRODUITS P/VTES ALCOOL MIX</v>
          </cell>
          <cell r="C783" t="str">
            <v>C01</v>
          </cell>
          <cell r="D783" t="str">
            <v>Production stockée</v>
          </cell>
        </row>
        <row r="784">
          <cell r="A784">
            <v>736060</v>
          </cell>
          <cell r="B784" t="str">
            <v>VARIAT°. STKS.P/CASSES/CESSIONS BIERES</v>
          </cell>
          <cell r="C784" t="str">
            <v>C01</v>
          </cell>
          <cell r="D784" t="str">
            <v>Production stockée</v>
          </cell>
        </row>
        <row r="785">
          <cell r="A785">
            <v>736061</v>
          </cell>
          <cell r="B785" t="str">
            <v>VARIAT°. STKS.P/CASSES/CESSIONS B.G.</v>
          </cell>
          <cell r="C785" t="str">
            <v>C01</v>
          </cell>
          <cell r="D785" t="str">
            <v>Production stockée</v>
          </cell>
        </row>
        <row r="786">
          <cell r="A786">
            <v>736063</v>
          </cell>
          <cell r="B786" t="str">
            <v>CONSOMM.P/CASSES/CESSIONS AL.MIX</v>
          </cell>
          <cell r="C786" t="str">
            <v>C01</v>
          </cell>
          <cell r="D786" t="str">
            <v>Production stockée</v>
          </cell>
        </row>
        <row r="787">
          <cell r="A787">
            <v>736064</v>
          </cell>
          <cell r="B787" t="str">
            <v>CONSOMM.P/CASSES/CESSIONS TANGUI</v>
          </cell>
          <cell r="C787" t="str">
            <v>G01</v>
          </cell>
          <cell r="D787" t="str">
            <v>Autres Produits d' Exploitation</v>
          </cell>
        </row>
        <row r="788">
          <cell r="A788">
            <v>736100</v>
          </cell>
          <cell r="B788" t="str">
            <v>VARIATIONS STKS PF BIERES</v>
          </cell>
          <cell r="C788" t="str">
            <v>C01</v>
          </cell>
          <cell r="D788" t="str">
            <v>Production stockée</v>
          </cell>
        </row>
        <row r="789">
          <cell r="A789">
            <v>736200</v>
          </cell>
          <cell r="B789" t="str">
            <v>VARIATIONS STKS PF B.G.</v>
          </cell>
          <cell r="C789" t="str">
            <v>C01</v>
          </cell>
          <cell r="D789" t="str">
            <v>Production stockée</v>
          </cell>
        </row>
        <row r="790">
          <cell r="A790">
            <v>736300</v>
          </cell>
          <cell r="B790" t="str">
            <v>VARIATIONS STKS PF EAU MINERALE</v>
          </cell>
          <cell r="C790" t="str">
            <v>C01</v>
          </cell>
          <cell r="D790" t="str">
            <v>Production stockée</v>
          </cell>
        </row>
        <row r="791">
          <cell r="A791">
            <v>736500</v>
          </cell>
          <cell r="B791" t="str">
            <v>VARIATION STOCKS PREFORMES TANGUI</v>
          </cell>
          <cell r="C791" t="str">
            <v>C01</v>
          </cell>
          <cell r="D791" t="str">
            <v>Production stockée</v>
          </cell>
        </row>
        <row r="792">
          <cell r="A792">
            <v>736710</v>
          </cell>
          <cell r="B792" t="str">
            <v>VARIAT° STKS PRODUITS FINIS SOCAVER</v>
          </cell>
          <cell r="C792" t="str">
            <v>C01</v>
          </cell>
          <cell r="D792" t="str">
            <v>Production stockée</v>
          </cell>
        </row>
        <row r="793">
          <cell r="A793">
            <v>736720</v>
          </cell>
          <cell r="B793" t="str">
            <v>VARIAT°. STOCKS PRODUITS SEMI-FINIS</v>
          </cell>
          <cell r="C793" t="str">
            <v>C01</v>
          </cell>
          <cell r="D793" t="str">
            <v>Production stockée</v>
          </cell>
        </row>
        <row r="794">
          <cell r="A794">
            <v>736721</v>
          </cell>
          <cell r="B794" t="str">
            <v>VARIAT°. STKS CASSES &amp; MANQUANTS P. SEMI</v>
          </cell>
          <cell r="C794" t="str">
            <v>C01</v>
          </cell>
          <cell r="D794" t="str">
            <v>Production stockée</v>
          </cell>
        </row>
        <row r="795">
          <cell r="A795">
            <v>737100</v>
          </cell>
          <cell r="B795" t="str">
            <v>VARIAT° STOCK PRODUITS INTERMEDIARES</v>
          </cell>
          <cell r="C795" t="str">
            <v>C01</v>
          </cell>
          <cell r="D795" t="str">
            <v>Production stockée</v>
          </cell>
        </row>
        <row r="796">
          <cell r="A796">
            <v>737110</v>
          </cell>
          <cell r="B796" t="str">
            <v>PRODUCTION CO2 HT</v>
          </cell>
          <cell r="C796" t="str">
            <v>G01</v>
          </cell>
          <cell r="D796" t="str">
            <v>Autres Produits d' Exploitation</v>
          </cell>
        </row>
        <row r="797">
          <cell r="A797">
            <v>737130</v>
          </cell>
          <cell r="B797" t="str">
            <v>PRODUCTION DE CASIERS</v>
          </cell>
          <cell r="C797" t="str">
            <v>G01</v>
          </cell>
          <cell r="D797" t="str">
            <v>Autres Produits d' Exploitation</v>
          </cell>
        </row>
        <row r="798">
          <cell r="A798">
            <v>737140</v>
          </cell>
          <cell r="B798" t="str">
            <v>PRODUCTION PREFORME</v>
          </cell>
          <cell r="C798" t="str">
            <v>G01</v>
          </cell>
          <cell r="D798" t="str">
            <v>Autres Produits d' Exploitation</v>
          </cell>
        </row>
        <row r="799">
          <cell r="A799">
            <v>737200</v>
          </cell>
          <cell r="B799" t="str">
            <v>VARIAT° STKS PRODUITS RESIDUELS</v>
          </cell>
          <cell r="C799" t="str">
            <v>G01</v>
          </cell>
          <cell r="D799" t="str">
            <v>Autres Produits d' Exploitation</v>
          </cell>
        </row>
        <row r="800">
          <cell r="A800">
            <v>737230</v>
          </cell>
          <cell r="B800" t="str">
            <v>PRODUCTION BROYAT</v>
          </cell>
          <cell r="C800" t="str">
            <v>G01</v>
          </cell>
          <cell r="D800" t="str">
            <v>Autres Produits d' Exploitation</v>
          </cell>
        </row>
        <row r="801">
          <cell r="A801">
            <v>754100</v>
          </cell>
          <cell r="B801" t="str">
            <v>PRIX DE CESSION IMMOB.CEDEES</v>
          </cell>
          <cell r="C801" t="str">
            <v>I03</v>
          </cell>
          <cell r="D801" t="str">
            <v xml:space="preserve"> +/- values de cessions</v>
          </cell>
        </row>
        <row r="802">
          <cell r="A802">
            <v>758200</v>
          </cell>
          <cell r="B802" t="str">
            <v>INDEMN.PERCUES S/ACCI.TRAVAIL</v>
          </cell>
          <cell r="C802" t="str">
            <v>G01</v>
          </cell>
          <cell r="D802" t="str">
            <v>Autres Produits d' Exploitation</v>
          </cell>
        </row>
        <row r="803">
          <cell r="A803">
            <v>758210</v>
          </cell>
          <cell r="B803" t="str">
            <v>PROD.PROFITS/DOSSIERS ASSURANCES</v>
          </cell>
          <cell r="C803" t="str">
            <v>G01</v>
          </cell>
          <cell r="D803" t="str">
            <v>Autres Produits d' Exploitation</v>
          </cell>
        </row>
        <row r="804">
          <cell r="A804">
            <v>758220</v>
          </cell>
          <cell r="B804" t="str">
            <v>PRODUITS, PROFITS/DOSS.AVARIES</v>
          </cell>
          <cell r="C804" t="str">
            <v>G01</v>
          </cell>
          <cell r="D804" t="str">
            <v>Autres Produits d' Exploitation</v>
          </cell>
        </row>
        <row r="805">
          <cell r="A805">
            <v>758300</v>
          </cell>
          <cell r="B805" t="str">
            <v>AUTRES PRODUITS DIVERS</v>
          </cell>
          <cell r="C805" t="str">
            <v>G01</v>
          </cell>
          <cell r="D805" t="str">
            <v>Autres Produits d' Exploitation</v>
          </cell>
        </row>
        <row r="806">
          <cell r="A806">
            <v>758310</v>
          </cell>
          <cell r="B806" t="str">
            <v>AUTRES PRODUITS-LOYERS PERCUS</v>
          </cell>
          <cell r="C806" t="str">
            <v>G01</v>
          </cell>
          <cell r="D806" t="str">
            <v>Autres Produits d' Exploitation</v>
          </cell>
        </row>
        <row r="807">
          <cell r="A807">
            <v>758320</v>
          </cell>
          <cell r="B807" t="str">
            <v>AUTRES PROD.-CLIENTS CREDITEURS</v>
          </cell>
          <cell r="C807" t="str">
            <v>G01</v>
          </cell>
          <cell r="D807" t="str">
            <v>Autres Produits d' Exploitation</v>
          </cell>
        </row>
        <row r="808">
          <cell r="A808">
            <v>758390</v>
          </cell>
          <cell r="B808" t="str">
            <v>TAXES S/LOYES PERCUS</v>
          </cell>
          <cell r="C808" t="str">
            <v>G01</v>
          </cell>
          <cell r="D808" t="str">
            <v>Autres Produits d' Exploitation</v>
          </cell>
        </row>
        <row r="809">
          <cell r="A809">
            <v>758900</v>
          </cell>
          <cell r="B809" t="str">
            <v>ECARTS SUR REGLEMENTS CLIENTS</v>
          </cell>
          <cell r="C809" t="str">
            <v>G01</v>
          </cell>
          <cell r="D809" t="str">
            <v>Autres Produits d' Exploitation</v>
          </cell>
        </row>
        <row r="810">
          <cell r="A810">
            <v>759305</v>
          </cell>
          <cell r="B810" t="str">
            <v>REPRISES PROVISIONS S/STOCKS MSES</v>
          </cell>
          <cell r="C810" t="str">
            <v>G04</v>
          </cell>
          <cell r="D810" t="str">
            <v>Reprises Provisions Exploitation</v>
          </cell>
        </row>
        <row r="811">
          <cell r="A811">
            <v>759310</v>
          </cell>
          <cell r="B811" t="str">
            <v>REPRISE PROV.S/STOCKS PSF</v>
          </cell>
          <cell r="C811" t="str">
            <v>G04</v>
          </cell>
          <cell r="D811" t="str">
            <v>Reprises Provisions Exploitation</v>
          </cell>
        </row>
        <row r="812">
          <cell r="A812">
            <v>759320</v>
          </cell>
          <cell r="B812" t="str">
            <v>REPR.PROV.DEPREC.MAT.PREM.N/DED.</v>
          </cell>
          <cell r="C812" t="str">
            <v>G04</v>
          </cell>
          <cell r="D812" t="str">
            <v>Reprises Provisions Exploitation</v>
          </cell>
        </row>
        <row r="813">
          <cell r="A813">
            <v>759330</v>
          </cell>
          <cell r="B813" t="str">
            <v>REPR.DEPRECIAT.MAT.PREM.DEDUC.</v>
          </cell>
          <cell r="C813" t="str">
            <v>G04</v>
          </cell>
          <cell r="D813" t="str">
            <v>Reprises Provisions Exploitation</v>
          </cell>
        </row>
        <row r="814">
          <cell r="A814">
            <v>759340</v>
          </cell>
          <cell r="B814" t="str">
            <v>REPR.DEPREC.STKS PIECES RECHANGE</v>
          </cell>
          <cell r="C814" t="str">
            <v>G04</v>
          </cell>
          <cell r="D814" t="str">
            <v>Reprises Provisions Exploitation</v>
          </cell>
        </row>
        <row r="815">
          <cell r="A815">
            <v>759350</v>
          </cell>
          <cell r="B815" t="str">
            <v>REP.PROV.DEP.EMBAL.HN N.DEDUC.</v>
          </cell>
          <cell r="C815" t="str">
            <v>G06</v>
          </cell>
          <cell r="D815" t="str">
            <v>Reprises Provisions Exploitation LT</v>
          </cell>
        </row>
        <row r="816">
          <cell r="A816">
            <v>759360</v>
          </cell>
          <cell r="B816" t="str">
            <v>REP.PROV.DEP.STK EMBALL.DORMANTS</v>
          </cell>
          <cell r="C816" t="str">
            <v>G06</v>
          </cell>
          <cell r="D816" t="str">
            <v>Reprises Provisions Exploitation LT</v>
          </cell>
        </row>
        <row r="817">
          <cell r="A817">
            <v>759365</v>
          </cell>
          <cell r="B817" t="str">
            <v>REP.PROV.DEP.STK EMBALL. NEUFS</v>
          </cell>
          <cell r="C817" t="str">
            <v>G04</v>
          </cell>
          <cell r="D817" t="str">
            <v>Reprises Provisions Exploitation</v>
          </cell>
        </row>
        <row r="818">
          <cell r="A818">
            <v>759380</v>
          </cell>
          <cell r="B818" t="str">
            <v>REP.PROV.DEPR STK EMB NEUFS</v>
          </cell>
          <cell r="C818" t="str">
            <v>G06</v>
          </cell>
          <cell r="D818" t="str">
            <v>Reprises Provisions Exploitation LT</v>
          </cell>
        </row>
        <row r="819">
          <cell r="A819">
            <v>759390</v>
          </cell>
          <cell r="B819" t="str">
            <v>REP.PROV.DEP.STK AUTRES APPRO</v>
          </cell>
          <cell r="C819" t="str">
            <v>G04</v>
          </cell>
          <cell r="D819" t="str">
            <v>Reprises Provisions Exploitation</v>
          </cell>
        </row>
        <row r="820">
          <cell r="A820">
            <v>759400</v>
          </cell>
          <cell r="B820" t="str">
            <v>REP.PROV.P/DEP.FOURN.DEBIT.DEDUC</v>
          </cell>
          <cell r="C820" t="str">
            <v>G04</v>
          </cell>
          <cell r="D820" t="str">
            <v>Reprises Provisions Exploitation</v>
          </cell>
        </row>
        <row r="821">
          <cell r="A821">
            <v>759405</v>
          </cell>
          <cell r="B821" t="str">
            <v>REPRISE PROVISIONS FOURN DEB NON DEDUCT</v>
          </cell>
          <cell r="C821" t="str">
            <v>G04</v>
          </cell>
          <cell r="D821" t="str">
            <v>Reprises Provisions Exploitation</v>
          </cell>
        </row>
        <row r="822">
          <cell r="A822">
            <v>759410</v>
          </cell>
          <cell r="B822" t="str">
            <v>REP.PROV.DEPRECIAT.CLIENTS DEDUC</v>
          </cell>
          <cell r="C822" t="str">
            <v>G04</v>
          </cell>
          <cell r="D822" t="str">
            <v>Reprises Provisions Exploitation</v>
          </cell>
        </row>
        <row r="823">
          <cell r="A823">
            <v>759420</v>
          </cell>
          <cell r="B823" t="str">
            <v>REP.PROV.DEPREC.CLIENTS NON/DED.</v>
          </cell>
          <cell r="C823" t="str">
            <v>G04</v>
          </cell>
          <cell r="D823" t="str">
            <v>Reprises Provisions Exploitation</v>
          </cell>
        </row>
        <row r="824">
          <cell r="A824">
            <v>759430</v>
          </cell>
          <cell r="B824" t="str">
            <v>REP.PROV.P/RISQ.CLIENTS NON/DED.</v>
          </cell>
          <cell r="C824" t="str">
            <v>G04</v>
          </cell>
          <cell r="D824" t="str">
            <v>Reprises Provisions Exploitation</v>
          </cell>
        </row>
        <row r="825">
          <cell r="A825">
            <v>759440</v>
          </cell>
          <cell r="B825" t="str">
            <v>REP.PROV.DEPRECIAT.PERSONNEL</v>
          </cell>
          <cell r="C825" t="str">
            <v>G04</v>
          </cell>
          <cell r="D825" t="str">
            <v>Reprises Provisions Exploitation</v>
          </cell>
        </row>
        <row r="826">
          <cell r="A826">
            <v>759460</v>
          </cell>
          <cell r="B826" t="str">
            <v>REPR.PROV.DEPR.TIERS DIVERS DED.</v>
          </cell>
          <cell r="C826" t="str">
            <v>G04</v>
          </cell>
          <cell r="D826" t="str">
            <v>Reprises Provisions Exploitation</v>
          </cell>
        </row>
        <row r="827">
          <cell r="A827">
            <v>759470</v>
          </cell>
          <cell r="B827" t="str">
            <v>REPR.DEBIT.DIVERS NON DEDUCTIBLE</v>
          </cell>
          <cell r="C827" t="str">
            <v>G04</v>
          </cell>
          <cell r="D827" t="str">
            <v>Reprises Provisions Exploitation</v>
          </cell>
        </row>
        <row r="828">
          <cell r="A828">
            <v>772000</v>
          </cell>
          <cell r="B828" t="str">
            <v>REVENUS DES TITRES DE PARTICIPAT</v>
          </cell>
          <cell r="C828" t="str">
            <v>H02</v>
          </cell>
          <cell r="D828" t="str">
            <v>Produits financiers</v>
          </cell>
        </row>
        <row r="829">
          <cell r="A829">
            <v>776000</v>
          </cell>
          <cell r="B829" t="str">
            <v>GAIN DE CHANGE</v>
          </cell>
          <cell r="C829" t="str">
            <v>H02</v>
          </cell>
          <cell r="D829" t="str">
            <v>Produits financiers</v>
          </cell>
        </row>
        <row r="830">
          <cell r="A830">
            <v>778200</v>
          </cell>
          <cell r="B830" t="str">
            <v>PROD.FINANCIERS/DEPOTS A C.T.LOC</v>
          </cell>
          <cell r="C830" t="str">
            <v>H02</v>
          </cell>
          <cell r="D830" t="str">
            <v>Produits financiers</v>
          </cell>
        </row>
        <row r="831">
          <cell r="A831">
            <v>778205</v>
          </cell>
          <cell r="B831" t="str">
            <v>PROD.FINANC/CPTES COURANTS ETRA.</v>
          </cell>
          <cell r="C831" t="str">
            <v>H02</v>
          </cell>
          <cell r="D831" t="str">
            <v>Produits financiers</v>
          </cell>
        </row>
        <row r="832">
          <cell r="A832">
            <v>778206</v>
          </cell>
          <cell r="B832" t="str">
            <v>PROD.FIN/AVANCE FONDS STES H/CAM</v>
          </cell>
          <cell r="C832" t="str">
            <v>H02</v>
          </cell>
          <cell r="D832" t="str">
            <v>Produits financiers</v>
          </cell>
        </row>
        <row r="833">
          <cell r="A833">
            <v>778209</v>
          </cell>
          <cell r="B833" t="str">
            <v>PROV.PROD.FINANC/DEPOTS A CT.LOC</v>
          </cell>
          <cell r="C833" t="str">
            <v>H02</v>
          </cell>
          <cell r="D833" t="str">
            <v>Produits financiers</v>
          </cell>
        </row>
        <row r="834">
          <cell r="A834">
            <v>778210</v>
          </cell>
          <cell r="B834" t="str">
            <v>AUTRES PRODUITS FINANCIERS</v>
          </cell>
          <cell r="C834" t="str">
            <v>H02</v>
          </cell>
          <cell r="D834" t="str">
            <v>Produits financiers</v>
          </cell>
        </row>
        <row r="835">
          <cell r="A835">
            <v>779100</v>
          </cell>
          <cell r="B835" t="str">
            <v>REPRIS.S/PROV.RISQUES FINANCIERS</v>
          </cell>
          <cell r="C835" t="str">
            <v>G04</v>
          </cell>
          <cell r="D835" t="str">
            <v>Reprises Provisions Exploitation</v>
          </cell>
        </row>
        <row r="836">
          <cell r="A836">
            <v>781010</v>
          </cell>
          <cell r="B836" t="str">
            <v>M.P.C. - TRANSFERT A TIERS</v>
          </cell>
          <cell r="C836" t="str">
            <v>D01</v>
          </cell>
          <cell r="D836" t="str">
            <v>Matières et consommables de production</v>
          </cell>
        </row>
        <row r="837">
          <cell r="A837">
            <v>781020</v>
          </cell>
          <cell r="B837" t="str">
            <v>ENERGIE - TRANSFERT A TIERS</v>
          </cell>
          <cell r="C837" t="str">
            <v>F01</v>
          </cell>
          <cell r="D837" t="str">
            <v>Consommations fixes</v>
          </cell>
        </row>
        <row r="838">
          <cell r="A838">
            <v>781030</v>
          </cell>
          <cell r="B838" t="str">
            <v>PIECES RECHANGE-TRANSF.A TIERS</v>
          </cell>
          <cell r="C838" t="str">
            <v>E03</v>
          </cell>
          <cell r="D838" t="str">
            <v>Maintenance (PdeR et entretien usine)</v>
          </cell>
        </row>
        <row r="839">
          <cell r="A839">
            <v>781040</v>
          </cell>
          <cell r="B839" t="str">
            <v>AUTRES CONSOM.-TRANSFERT A TIERS</v>
          </cell>
          <cell r="C839" t="str">
            <v>E03</v>
          </cell>
          <cell r="D839" t="str">
            <v>Maintenance (PdeR et entretien usine)</v>
          </cell>
        </row>
        <row r="840">
          <cell r="A840">
            <v>781045</v>
          </cell>
          <cell r="B840" t="str">
            <v>TRANSPORT TRANSFERE A TIERS</v>
          </cell>
          <cell r="C840" t="str">
            <v>F02</v>
          </cell>
          <cell r="D840" t="str">
            <v>Transports Fixes</v>
          </cell>
        </row>
        <row r="841">
          <cell r="A841">
            <v>781050</v>
          </cell>
          <cell r="B841" t="str">
            <v>SERVICES - TRANSFERT A TIERS</v>
          </cell>
          <cell r="C841" t="str">
            <v>F03</v>
          </cell>
          <cell r="D841" t="str">
            <v>Autres Services</v>
          </cell>
        </row>
        <row r="842">
          <cell r="A842">
            <v>781055</v>
          </cell>
          <cell r="B842" t="str">
            <v>PUBLICITE - TRANSFERT A TIERS</v>
          </cell>
          <cell r="C842" t="str">
            <v>E04</v>
          </cell>
          <cell r="D842" t="str">
            <v>Publicité et Marketing local</v>
          </cell>
        </row>
        <row r="843">
          <cell r="A843">
            <v>781060</v>
          </cell>
          <cell r="B843" t="str">
            <v>FRAIS PERSONNEL TRNSFERT A TIERS</v>
          </cell>
          <cell r="C843" t="str">
            <v>F06</v>
          </cell>
          <cell r="D843" t="str">
            <v>Frais de Personnel</v>
          </cell>
        </row>
        <row r="844">
          <cell r="A844">
            <v>781100</v>
          </cell>
          <cell r="B844" t="str">
            <v>AVARIES TRANSFERT A TIERS</v>
          </cell>
          <cell r="C844" t="str">
            <v>G01</v>
          </cell>
          <cell r="D844" t="str">
            <v>Autres Produits d' Exploitation</v>
          </cell>
        </row>
        <row r="845">
          <cell r="A845">
            <v>781200</v>
          </cell>
          <cell r="B845" t="str">
            <v>CHARGES IMPUTABLES A TIERS</v>
          </cell>
          <cell r="C845" t="str">
            <v>F03</v>
          </cell>
          <cell r="D845" t="str">
            <v>Autres Services</v>
          </cell>
        </row>
        <row r="846">
          <cell r="A846">
            <v>781211</v>
          </cell>
          <cell r="B846" t="str">
            <v>TVA S/ASSISTANCE TECHN.ETRANGERE</v>
          </cell>
          <cell r="C846" t="str">
            <v>F07</v>
          </cell>
          <cell r="D846" t="str">
            <v>Impôts &amp; Taxes</v>
          </cell>
        </row>
        <row r="847">
          <cell r="A847">
            <v>781220</v>
          </cell>
          <cell r="B847" t="str">
            <v>CHARGES IMPUT.TRANSPT/LIVREURS</v>
          </cell>
          <cell r="C847" t="str">
            <v>F03</v>
          </cell>
          <cell r="D847" t="str">
            <v>Autres Services</v>
          </cell>
        </row>
        <row r="848">
          <cell r="A848">
            <v>781250</v>
          </cell>
          <cell r="B848" t="str">
            <v>FRAIS TRANSFERES A.T.</v>
          </cell>
          <cell r="C848" t="str">
            <v>F03</v>
          </cell>
          <cell r="D848" t="str">
            <v>Autres Services</v>
          </cell>
        </row>
        <row r="849">
          <cell r="A849">
            <v>781350</v>
          </cell>
          <cell r="B849" t="str">
            <v>CHARGES IMPUT.TIERS PUBLIC.</v>
          </cell>
          <cell r="C849" t="str">
            <v>E04</v>
          </cell>
          <cell r="D849" t="str">
            <v>Publicité et Marketing local</v>
          </cell>
        </row>
        <row r="850">
          <cell r="A850">
            <v>781410</v>
          </cell>
          <cell r="B850" t="str">
            <v>TVA TRSFT RECUP.S/PROD.A NS-MEME</v>
          </cell>
          <cell r="C850" t="str">
            <v>F07</v>
          </cell>
          <cell r="D850" t="str">
            <v>Impôts &amp; Taxes</v>
          </cell>
        </row>
        <row r="851">
          <cell r="A851">
            <v>791000</v>
          </cell>
          <cell r="B851" t="str">
            <v>REP. PROV. P/EXPLOITATION</v>
          </cell>
          <cell r="C851" t="str">
            <v>G06</v>
          </cell>
          <cell r="D851" t="str">
            <v>Reprises Provisions Exploitation LT</v>
          </cell>
        </row>
        <row r="852">
          <cell r="A852">
            <v>791110</v>
          </cell>
          <cell r="B852" t="str">
            <v>REPRIS.S/PROV. POUR LITIGES</v>
          </cell>
          <cell r="C852" t="str">
            <v>G06</v>
          </cell>
          <cell r="D852" t="str">
            <v>Reprises Provisions Exploitation LT</v>
          </cell>
        </row>
        <row r="853">
          <cell r="A853">
            <v>791115</v>
          </cell>
          <cell r="B853" t="str">
            <v>REP.PROV.DEPC.LITIGES DEDUCT.</v>
          </cell>
          <cell r="C853" t="str">
            <v>G06</v>
          </cell>
          <cell r="D853" t="str">
            <v>Reprises Provisions Exploitation LT</v>
          </cell>
        </row>
        <row r="854">
          <cell r="A854">
            <v>791122</v>
          </cell>
          <cell r="B854" t="str">
            <v>REPR.P/EVENTUALITES DIVERSES</v>
          </cell>
          <cell r="C854" t="str">
            <v>I02</v>
          </cell>
          <cell r="D854" t="str">
            <v>Reprises provisions HE</v>
          </cell>
        </row>
        <row r="855">
          <cell r="A855">
            <v>791123</v>
          </cell>
          <cell r="B855" t="str">
            <v>REPR.PROV.P/RIS.FISCAL &amp; DOUANIE</v>
          </cell>
          <cell r="C855" t="str">
            <v>I02</v>
          </cell>
          <cell r="D855" t="str">
            <v>Reprises provisions HE</v>
          </cell>
        </row>
        <row r="856">
          <cell r="A856">
            <v>791127</v>
          </cell>
          <cell r="B856" t="str">
            <v>REPR.PROV.P/RENOUVEL.DU MATERIEL</v>
          </cell>
          <cell r="C856" t="str">
            <v>I02</v>
          </cell>
          <cell r="D856" t="str">
            <v>Reprises provisions HE</v>
          </cell>
        </row>
        <row r="857">
          <cell r="A857">
            <v>791150</v>
          </cell>
          <cell r="B857" t="str">
            <v>REP.PR/INDEMN.DEPART RETRAITE</v>
          </cell>
          <cell r="C857" t="str">
            <v>G06</v>
          </cell>
          <cell r="D857" t="str">
            <v>Reprises Provisions Exploitation LT</v>
          </cell>
        </row>
        <row r="858">
          <cell r="A858">
            <v>791151</v>
          </cell>
          <cell r="B858" t="str">
            <v>REP.PROV.50% IRRP/RETRAITE</v>
          </cell>
          <cell r="C858" t="str">
            <v>G06</v>
          </cell>
          <cell r="D858" t="str">
            <v>Reprises Provisions Exploitation LT</v>
          </cell>
        </row>
        <row r="859">
          <cell r="A859">
            <v>791155</v>
          </cell>
          <cell r="B859" t="str">
            <v>REP.PROV.MEDAILLE TRAVAIL N/DED.</v>
          </cell>
          <cell r="C859" t="str">
            <v>G06</v>
          </cell>
          <cell r="D859" t="str">
            <v>Reprises Provisions Exploitation LT</v>
          </cell>
        </row>
        <row r="860">
          <cell r="A860">
            <v>791156</v>
          </cell>
          <cell r="B860" t="str">
            <v>REP.PROV.PRIME ANCIENNETE N/DED.</v>
          </cell>
          <cell r="C860" t="str">
            <v>G06</v>
          </cell>
          <cell r="D860" t="str">
            <v>Reprises Provisions Exploitation LT</v>
          </cell>
        </row>
        <row r="861">
          <cell r="A861">
            <v>791157</v>
          </cell>
          <cell r="B861" t="str">
            <v>REP. PROV. PRIME ANCIEN 33 ANS</v>
          </cell>
          <cell r="C861" t="str">
            <v>G06</v>
          </cell>
          <cell r="D861" t="str">
            <v>Reprises Provisions Exploitation LT</v>
          </cell>
        </row>
        <row r="862">
          <cell r="A862">
            <v>791160</v>
          </cell>
          <cell r="B862" t="str">
            <v>REP.PROVISION COMPLEMENT DECES</v>
          </cell>
          <cell r="C862" t="str">
            <v>G06</v>
          </cell>
          <cell r="D862" t="str">
            <v>Reprises Provisions Exploitation LT</v>
          </cell>
        </row>
        <row r="863">
          <cell r="A863">
            <v>791170</v>
          </cell>
          <cell r="B863" t="str">
            <v>REP. PROV. FRAIS OBSEQUES</v>
          </cell>
          <cell r="C863" t="str">
            <v>G06</v>
          </cell>
          <cell r="D863" t="str">
            <v>Reprises Provisions Exploitation LT</v>
          </cell>
        </row>
        <row r="864">
          <cell r="A864">
            <v>797100</v>
          </cell>
          <cell r="B864" t="str">
            <v>REP. PROV. FINANC.P/RISQ ET CHARG.</v>
          </cell>
          <cell r="C864" t="str">
            <v>G06</v>
          </cell>
          <cell r="D864" t="str">
            <v>Reprises Provisions Exploitation LT</v>
          </cell>
        </row>
        <row r="865">
          <cell r="A865">
            <v>797200</v>
          </cell>
          <cell r="B865" t="str">
            <v>REP. PROV. TITRE NON DEDUCTIBLE</v>
          </cell>
          <cell r="C865" t="str">
            <v>G06</v>
          </cell>
          <cell r="D865" t="str">
            <v>Reprises Provisions Exploitation LT</v>
          </cell>
        </row>
        <row r="866">
          <cell r="A866">
            <v>797210</v>
          </cell>
          <cell r="B866" t="str">
            <v>REP. PROV. TITRE DEDUCTIBLE</v>
          </cell>
          <cell r="C866" t="str">
            <v>G06</v>
          </cell>
          <cell r="D866" t="str">
            <v>Reprises Provisions Exploitation LT</v>
          </cell>
        </row>
        <row r="867">
          <cell r="A867">
            <v>797235</v>
          </cell>
          <cell r="B867" t="str">
            <v>REP.PROV.DIVERS PRETS NON DEDUCT</v>
          </cell>
          <cell r="C867" t="str">
            <v>G06</v>
          </cell>
          <cell r="D867" t="str">
            <v>Reprises Provisions Exploitation LT</v>
          </cell>
        </row>
        <row r="868">
          <cell r="A868">
            <v>812000</v>
          </cell>
          <cell r="B868" t="str">
            <v>VALEUR COMPTA .CESS.D'IMMOB. CORP.</v>
          </cell>
          <cell r="C868" t="str">
            <v>I03</v>
          </cell>
          <cell r="D868" t="str">
            <v xml:space="preserve"> +/- values de cessions</v>
          </cell>
        </row>
        <row r="869">
          <cell r="A869">
            <v>816200</v>
          </cell>
          <cell r="B869" t="str">
            <v>SORTIE BRUTE DE TITRES</v>
          </cell>
          <cell r="C869" t="str">
            <v>I03</v>
          </cell>
          <cell r="D869" t="str">
            <v xml:space="preserve"> +/- values de cessions</v>
          </cell>
        </row>
        <row r="870">
          <cell r="A870">
            <v>822000</v>
          </cell>
          <cell r="B870" t="str">
            <v>PRODUITS DES CESSIONS D'IMMOB. CORP.</v>
          </cell>
          <cell r="C870" t="str">
            <v>I03</v>
          </cell>
          <cell r="D870" t="str">
            <v xml:space="preserve"> +/- values de cessions</v>
          </cell>
        </row>
        <row r="871">
          <cell r="A871">
            <v>826300</v>
          </cell>
          <cell r="B871" t="str">
            <v>PRIX DE CESSION DE TITRES</v>
          </cell>
          <cell r="C871" t="str">
            <v>I03</v>
          </cell>
          <cell r="D871" t="str">
            <v xml:space="preserve"> +/- values de cessions</v>
          </cell>
        </row>
        <row r="872">
          <cell r="A872">
            <v>831000</v>
          </cell>
          <cell r="B872" t="str">
            <v>CHARGES HAO CONSTATES PILLAGES</v>
          </cell>
          <cell r="C872" t="str">
            <v>I05</v>
          </cell>
          <cell r="D872" t="str">
            <v>Charges except HE</v>
          </cell>
        </row>
        <row r="873">
          <cell r="A873">
            <v>836000</v>
          </cell>
          <cell r="B873" t="str">
            <v>ABANDON DE CREANCES S/STES DU GROUPE</v>
          </cell>
          <cell r="C873" t="str">
            <v>I05</v>
          </cell>
          <cell r="D873" t="str">
            <v>Charges except HE</v>
          </cell>
        </row>
        <row r="874">
          <cell r="A874">
            <v>841100</v>
          </cell>
          <cell r="B874" t="str">
            <v>AUTRES PRODUITS H.A.O</v>
          </cell>
          <cell r="C874" t="str">
            <v>I04</v>
          </cell>
          <cell r="D874" t="str">
            <v>Produits except HE</v>
          </cell>
        </row>
        <row r="875">
          <cell r="A875">
            <v>846000</v>
          </cell>
          <cell r="B875" t="str">
            <v>ABANDONS DE CREANCES OBTENUES</v>
          </cell>
          <cell r="C875" t="str">
            <v>I04</v>
          </cell>
          <cell r="D875" t="str">
            <v>Produits except HE</v>
          </cell>
        </row>
        <row r="876">
          <cell r="A876">
            <v>853000</v>
          </cell>
          <cell r="B876" t="str">
            <v>DOTAT° AUX PROV.P/RISQUES ET CHAR. H.A.O</v>
          </cell>
          <cell r="C876" t="str">
            <v>I01</v>
          </cell>
          <cell r="D876" t="str">
            <v>Dotations provisions HE</v>
          </cell>
        </row>
        <row r="877">
          <cell r="A877">
            <v>863000</v>
          </cell>
          <cell r="B877" t="str">
            <v>REP.PROV.P/DEPRECAITION. H.A.O</v>
          </cell>
          <cell r="C877" t="str">
            <v>I01</v>
          </cell>
          <cell r="D877" t="str">
            <v>Dotations provisions HE</v>
          </cell>
        </row>
        <row r="878">
          <cell r="A878">
            <v>891100</v>
          </cell>
          <cell r="B878" t="str">
            <v>IMPOT S/BENEFICE DE L'EXERCICE</v>
          </cell>
          <cell r="C878" t="str">
            <v>I06</v>
          </cell>
          <cell r="D878" t="str">
            <v>Impôt sur le résultat</v>
          </cell>
        </row>
        <row r="879">
          <cell r="A879">
            <v>891199</v>
          </cell>
          <cell r="B879" t="str">
            <v>PROVISION IMPOT S/BENEFICE</v>
          </cell>
          <cell r="C879" t="str">
            <v>I06</v>
          </cell>
          <cell r="D879" t="str">
            <v>Impôt sur le résultat</v>
          </cell>
        </row>
        <row r="880">
          <cell r="A880">
            <v>892100</v>
          </cell>
          <cell r="B880" t="str">
            <v>RAPPEL D'IMPOTS S/SOCIETES</v>
          </cell>
          <cell r="C880" t="str">
            <v>I05</v>
          </cell>
          <cell r="D880" t="str">
            <v>Charges except HE</v>
          </cell>
        </row>
        <row r="881">
          <cell r="A881">
            <v>895000</v>
          </cell>
          <cell r="B881" t="str">
            <v>IMPOT MINIMUM FORFAITAIRE (I.M.F)</v>
          </cell>
          <cell r="C881" t="str">
            <v>I06</v>
          </cell>
          <cell r="D881" t="str">
            <v>Impôt sur le résultat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3946.3319999999999</v>
          </cell>
          <cell r="E2">
            <v>5415.3059999999996</v>
          </cell>
          <cell r="F2">
            <v>4910.8019999999997</v>
          </cell>
          <cell r="G2">
            <v>4053.348</v>
          </cell>
          <cell r="H2">
            <v>4582.7340000000004</v>
          </cell>
          <cell r="I2">
            <v>3926.0520000000001</v>
          </cell>
          <cell r="J2">
            <v>4673.058</v>
          </cell>
          <cell r="K2">
            <v>3898.752</v>
          </cell>
          <cell r="L2">
            <v>3620.2919999999999</v>
          </cell>
          <cell r="M2">
            <v>3974.1779999999999</v>
          </cell>
          <cell r="N2">
            <v>3607.7339999999999</v>
          </cell>
          <cell r="O2">
            <v>5019.3779999999997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1007.838</v>
          </cell>
          <cell r="E3">
            <v>1152.3720000000001</v>
          </cell>
          <cell r="F3">
            <v>1222.962</v>
          </cell>
          <cell r="G3">
            <v>1061.8920000000001</v>
          </cell>
          <cell r="H3">
            <v>1221.7919999999999</v>
          </cell>
          <cell r="I3">
            <v>1136.7719999999999</v>
          </cell>
          <cell r="J3">
            <v>1162.278</v>
          </cell>
          <cell r="K3">
            <v>1068.5219999999999</v>
          </cell>
          <cell r="L3">
            <v>1145.586</v>
          </cell>
          <cell r="M3">
            <v>1163.76</v>
          </cell>
          <cell r="N3">
            <v>1030.3019999999999</v>
          </cell>
          <cell r="O3">
            <v>1468.116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1370.2392</v>
          </cell>
          <cell r="E4">
            <v>1470.5064</v>
          </cell>
          <cell r="F4">
            <v>1521.9072000000001</v>
          </cell>
          <cell r="G4">
            <v>1555.3296</v>
          </cell>
          <cell r="H4">
            <v>1714.9967999999999</v>
          </cell>
          <cell r="I4">
            <v>1610.6112000000001</v>
          </cell>
          <cell r="J4">
            <v>1639.0440000000001</v>
          </cell>
          <cell r="K4">
            <v>1514.4623999999999</v>
          </cell>
          <cell r="L4">
            <v>1559.6856</v>
          </cell>
          <cell r="M4">
            <v>1465.2</v>
          </cell>
          <cell r="N4">
            <v>1362.4775999999999</v>
          </cell>
          <cell r="O4">
            <v>2082.6432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24.7104</v>
          </cell>
          <cell r="E5">
            <v>27.72</v>
          </cell>
          <cell r="F5">
            <v>45.936</v>
          </cell>
          <cell r="G5">
            <v>39.204000000000001</v>
          </cell>
          <cell r="H5">
            <v>35.244</v>
          </cell>
          <cell r="I5">
            <v>17.82</v>
          </cell>
          <cell r="J5">
            <v>43.164000000000001</v>
          </cell>
          <cell r="K5">
            <v>30.0168</v>
          </cell>
          <cell r="L5">
            <v>19.166399999999999</v>
          </cell>
          <cell r="M5">
            <v>19.404</v>
          </cell>
          <cell r="N5">
            <v>20.591999999999999</v>
          </cell>
          <cell r="O5">
            <v>30.2544</v>
          </cell>
        </row>
        <row r="6">
          <cell r="A6" t="str">
            <v>EXP65</v>
          </cell>
          <cell r="B6" t="str">
            <v xml:space="preserve">33 EXPORT 65 CL                         </v>
          </cell>
          <cell r="C6">
            <v>2003</v>
          </cell>
          <cell r="D6">
            <v>411.29399999999998</v>
          </cell>
          <cell r="E6">
            <v>573.53399999999999</v>
          </cell>
          <cell r="F6">
            <v>488.04599999999999</v>
          </cell>
          <cell r="G6">
            <v>410.904</v>
          </cell>
          <cell r="H6">
            <v>500.52600000000001</v>
          </cell>
          <cell r="I6">
            <v>416.44200000000001</v>
          </cell>
          <cell r="J6">
            <v>497.71800000000002</v>
          </cell>
          <cell r="K6">
            <v>406.536</v>
          </cell>
          <cell r="L6">
            <v>405.13200000000001</v>
          </cell>
          <cell r="M6">
            <v>419.48399999999998</v>
          </cell>
          <cell r="N6">
            <v>400.99799999999999</v>
          </cell>
          <cell r="O6">
            <v>563.31600000000003</v>
          </cell>
        </row>
        <row r="7">
          <cell r="A7" t="str">
            <v>EXP33</v>
          </cell>
          <cell r="B7" t="str">
            <v xml:space="preserve">33 EXPORT 33 CL                         </v>
          </cell>
          <cell r="C7">
            <v>2003</v>
          </cell>
          <cell r="D7">
            <v>299.61360000000002</v>
          </cell>
          <cell r="E7">
            <v>345.07440000000003</v>
          </cell>
          <cell r="F7">
            <v>373.26960000000003</v>
          </cell>
          <cell r="G7">
            <v>294.38639999999998</v>
          </cell>
          <cell r="H7">
            <v>335.72879999999998</v>
          </cell>
          <cell r="I7">
            <v>366.8544</v>
          </cell>
          <cell r="J7">
            <v>332.00639999999999</v>
          </cell>
          <cell r="K7">
            <v>331.7688</v>
          </cell>
          <cell r="L7">
            <v>336.36239999999998</v>
          </cell>
          <cell r="M7">
            <v>293.99040000000002</v>
          </cell>
          <cell r="N7">
            <v>269.1216</v>
          </cell>
          <cell r="O7">
            <v>403.12799999999999</v>
          </cell>
        </row>
        <row r="8">
          <cell r="A8" t="str">
            <v>EXPBT</v>
          </cell>
          <cell r="B8" t="str">
            <v xml:space="preserve">33 EXPORT BOITES 33 CL                  </v>
          </cell>
          <cell r="C8">
            <v>2003</v>
          </cell>
          <cell r="D8">
            <v>15.602399999999999</v>
          </cell>
          <cell r="E8">
            <v>18.849599999999999</v>
          </cell>
          <cell r="F8">
            <v>25.344000000000001</v>
          </cell>
          <cell r="G8">
            <v>17.6616</v>
          </cell>
          <cell r="H8">
            <v>19.4832</v>
          </cell>
          <cell r="I8">
            <v>30.333600000000001</v>
          </cell>
          <cell r="J8">
            <v>32.234400000000001</v>
          </cell>
          <cell r="K8">
            <v>23.522400000000001</v>
          </cell>
          <cell r="L8">
            <v>24.8688</v>
          </cell>
          <cell r="M8">
            <v>6.7320000000000002</v>
          </cell>
          <cell r="N8">
            <v>18.295200000000001</v>
          </cell>
          <cell r="O8">
            <v>17.5032</v>
          </cell>
        </row>
        <row r="9">
          <cell r="A9" t="str">
            <v>BFO65</v>
          </cell>
          <cell r="B9" t="str">
            <v xml:space="preserve">BEAUFORT 65 CL                          </v>
          </cell>
          <cell r="C9">
            <v>2003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140.322</v>
          </cell>
        </row>
        <row r="10">
          <cell r="A10" t="str">
            <v>BFOBT</v>
          </cell>
          <cell r="B10" t="str">
            <v xml:space="preserve">BEAUFORT BOITES 33 CL                   </v>
          </cell>
          <cell r="C10">
            <v>2003</v>
          </cell>
          <cell r="D10">
            <v>348.00479999999999</v>
          </cell>
          <cell r="E10">
            <v>330.34320000000002</v>
          </cell>
          <cell r="F10">
            <v>0</v>
          </cell>
          <cell r="G10">
            <v>0</v>
          </cell>
          <cell r="H10">
            <v>-0.15840000000000001</v>
          </cell>
          <cell r="I10">
            <v>180.57599999999999</v>
          </cell>
          <cell r="J10">
            <v>410.17680000000001</v>
          </cell>
          <cell r="K10">
            <v>184.2192</v>
          </cell>
          <cell r="L10">
            <v>241.2432</v>
          </cell>
          <cell r="M10">
            <v>515.11680000000001</v>
          </cell>
          <cell r="N10">
            <v>68.428799999999995</v>
          </cell>
          <cell r="O10">
            <v>86.803200000000004</v>
          </cell>
        </row>
        <row r="11">
          <cell r="A11" t="str">
            <v>GUI33</v>
          </cell>
          <cell r="B11" t="str">
            <v xml:space="preserve">GUINNESS 33 CL                          </v>
          </cell>
          <cell r="C11">
            <v>2003</v>
          </cell>
          <cell r="D11">
            <v>274.82400000000001</v>
          </cell>
          <cell r="E11">
            <v>313.55279999999999</v>
          </cell>
          <cell r="F11">
            <v>271.49759999999998</v>
          </cell>
          <cell r="G11">
            <v>300.95999999999998</v>
          </cell>
          <cell r="H11">
            <v>307.85039999999998</v>
          </cell>
          <cell r="I11">
            <v>317.82960000000003</v>
          </cell>
          <cell r="J11">
            <v>354.26159999999999</v>
          </cell>
          <cell r="K11">
            <v>299.45519999999999</v>
          </cell>
          <cell r="L11">
            <v>308.16719999999998</v>
          </cell>
          <cell r="M11">
            <v>305.07839999999999</v>
          </cell>
          <cell r="N11">
            <v>227.1456</v>
          </cell>
          <cell r="O11">
            <v>340.08479999999997</v>
          </cell>
        </row>
        <row r="12">
          <cell r="A12" t="str">
            <v>GIN33</v>
          </cell>
          <cell r="B12" t="str">
            <v xml:space="preserve">GIN TONIC 33 CL                         </v>
          </cell>
          <cell r="C12">
            <v>2003</v>
          </cell>
          <cell r="D12">
            <v>97.970399999999998</v>
          </cell>
          <cell r="E12">
            <v>105.732</v>
          </cell>
          <cell r="F12">
            <v>142.00559999999999</v>
          </cell>
          <cell r="G12">
            <v>105.9696</v>
          </cell>
          <cell r="H12">
            <v>123.86879999999999</v>
          </cell>
          <cell r="I12">
            <v>116.18640000000001</v>
          </cell>
          <cell r="J12">
            <v>147.5496</v>
          </cell>
          <cell r="K12">
            <v>103.35599999999999</v>
          </cell>
          <cell r="L12">
            <v>144.85679999999999</v>
          </cell>
          <cell r="M12">
            <v>100.5048</v>
          </cell>
          <cell r="N12">
            <v>82.605599999999995</v>
          </cell>
          <cell r="O12">
            <v>152.30160000000001</v>
          </cell>
        </row>
        <row r="13">
          <cell r="A13" t="str">
            <v>WHI33</v>
          </cell>
          <cell r="B13" t="str">
            <v xml:space="preserve">WHISKY BLACK 33 CL                      </v>
          </cell>
          <cell r="C13">
            <v>2003</v>
          </cell>
          <cell r="D13">
            <v>87.674400000000006</v>
          </cell>
          <cell r="E13">
            <v>82.526399999999995</v>
          </cell>
          <cell r="F13">
            <v>74.843999999999994</v>
          </cell>
          <cell r="G13">
            <v>80.150400000000005</v>
          </cell>
          <cell r="H13">
            <v>72.784800000000004</v>
          </cell>
          <cell r="I13">
            <v>85.14</v>
          </cell>
          <cell r="J13">
            <v>100.8216</v>
          </cell>
          <cell r="K13">
            <v>72.309600000000003</v>
          </cell>
          <cell r="L13">
            <v>72.626400000000004</v>
          </cell>
          <cell r="M13">
            <v>90.050399999999996</v>
          </cell>
          <cell r="N13">
            <v>30.967199999999998</v>
          </cell>
          <cell r="O13">
            <v>100.584</v>
          </cell>
        </row>
        <row r="14">
          <cell r="A14" t="str">
            <v>DAN60</v>
          </cell>
          <cell r="B14" t="str">
            <v xml:space="preserve">DJINO ANANAS 60 CL                      </v>
          </cell>
          <cell r="C14">
            <v>2003</v>
          </cell>
          <cell r="D14">
            <v>55.295999999999999</v>
          </cell>
          <cell r="E14">
            <v>192.38399999999999</v>
          </cell>
          <cell r="F14">
            <v>41.543999999999997</v>
          </cell>
          <cell r="G14">
            <v>55.512</v>
          </cell>
          <cell r="H14">
            <v>55.512</v>
          </cell>
          <cell r="I14">
            <v>55.295999999999999</v>
          </cell>
          <cell r="J14">
            <v>23.184000000000001</v>
          </cell>
          <cell r="K14">
            <v>27.648</v>
          </cell>
          <cell r="L14">
            <v>23.04</v>
          </cell>
          <cell r="M14">
            <v>23.04</v>
          </cell>
          <cell r="N14">
            <v>18.431999999999999</v>
          </cell>
          <cell r="O14">
            <v>39.167999999999999</v>
          </cell>
        </row>
        <row r="15">
          <cell r="A15" t="str">
            <v>DAN30</v>
          </cell>
          <cell r="B15" t="str">
            <v xml:space="preserve">DJINO ANANAS 30 CL                      </v>
          </cell>
          <cell r="C15">
            <v>2003</v>
          </cell>
          <cell r="D15">
            <v>145.29599999999999</v>
          </cell>
          <cell r="E15">
            <v>32.832000000000001</v>
          </cell>
          <cell r="F15">
            <v>112.32</v>
          </cell>
          <cell r="G15">
            <v>79.703999999999994</v>
          </cell>
          <cell r="H15">
            <v>79.703999999999994</v>
          </cell>
          <cell r="I15">
            <v>79.632000000000005</v>
          </cell>
          <cell r="J15">
            <v>56.448</v>
          </cell>
          <cell r="K15">
            <v>56.16</v>
          </cell>
          <cell r="L15">
            <v>32.76</v>
          </cell>
          <cell r="M15">
            <v>56.16</v>
          </cell>
          <cell r="N15">
            <v>18.792000000000002</v>
          </cell>
          <cell r="O15">
            <v>70.2</v>
          </cell>
        </row>
        <row r="16">
          <cell r="A16" t="str">
            <v>DPA60</v>
          </cell>
          <cell r="B16" t="str">
            <v xml:space="preserve">DJINO PAMPLEMOUSSE 60 CL                </v>
          </cell>
          <cell r="C16">
            <v>2003</v>
          </cell>
          <cell r="D16">
            <v>216.864</v>
          </cell>
          <cell r="E16">
            <v>138.38399999999999</v>
          </cell>
          <cell r="F16">
            <v>590.25599999999997</v>
          </cell>
          <cell r="G16">
            <v>581.976</v>
          </cell>
          <cell r="H16">
            <v>480.024</v>
          </cell>
          <cell r="I16">
            <v>503.13600000000002</v>
          </cell>
          <cell r="J16">
            <v>576.93600000000004</v>
          </cell>
          <cell r="K16">
            <v>636.12</v>
          </cell>
          <cell r="L16">
            <v>696.31200000000001</v>
          </cell>
          <cell r="M16">
            <v>774.21600000000001</v>
          </cell>
          <cell r="N16">
            <v>687.096</v>
          </cell>
          <cell r="O16">
            <v>1131.192</v>
          </cell>
        </row>
        <row r="17">
          <cell r="A17" t="str">
            <v>DPA30</v>
          </cell>
          <cell r="B17" t="str">
            <v xml:space="preserve">DJINO PAMPLEMOUSSE 30 CL                </v>
          </cell>
          <cell r="C17">
            <v>2003</v>
          </cell>
          <cell r="D17">
            <v>215.78399999999999</v>
          </cell>
          <cell r="E17">
            <v>0</v>
          </cell>
          <cell r="F17">
            <v>201.6</v>
          </cell>
          <cell r="G17">
            <v>468.50400000000002</v>
          </cell>
          <cell r="H17">
            <v>239.61600000000001</v>
          </cell>
          <cell r="I17">
            <v>351.79199999999997</v>
          </cell>
          <cell r="J17">
            <v>286.12799999999999</v>
          </cell>
          <cell r="K17">
            <v>497.66399999999999</v>
          </cell>
          <cell r="L17">
            <v>623.44799999999998</v>
          </cell>
          <cell r="M17">
            <v>501.26400000000001</v>
          </cell>
          <cell r="N17">
            <v>441.36</v>
          </cell>
          <cell r="O17">
            <v>747.64800000000002</v>
          </cell>
        </row>
        <row r="18">
          <cell r="A18" t="str">
            <v>DPABT</v>
          </cell>
          <cell r="B18" t="str">
            <v xml:space="preserve">DJINO PAMPLEMOUSSE BOITES 33 CL         </v>
          </cell>
          <cell r="C18">
            <v>2003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44.351999999999997</v>
          </cell>
          <cell r="N18">
            <v>56.311199999999999</v>
          </cell>
          <cell r="O18">
            <v>82.605599999999995</v>
          </cell>
        </row>
        <row r="19">
          <cell r="A19" t="str">
            <v>TON60</v>
          </cell>
          <cell r="B19" t="str">
            <v xml:space="preserve">TONIC 60 CL                             </v>
          </cell>
          <cell r="C19">
            <v>2003</v>
          </cell>
          <cell r="D19">
            <v>116.42400000000001</v>
          </cell>
          <cell r="E19">
            <v>160.19999999999999</v>
          </cell>
          <cell r="F19">
            <v>80.712000000000003</v>
          </cell>
          <cell r="G19">
            <v>78.695999999999998</v>
          </cell>
          <cell r="H19">
            <v>106.128</v>
          </cell>
          <cell r="I19">
            <v>83.087999999999994</v>
          </cell>
          <cell r="J19">
            <v>87.623999999999995</v>
          </cell>
          <cell r="K19">
            <v>78.48</v>
          </cell>
          <cell r="L19">
            <v>69.191999999999993</v>
          </cell>
          <cell r="M19">
            <v>64.512</v>
          </cell>
          <cell r="N19">
            <v>64.512</v>
          </cell>
          <cell r="O19">
            <v>87.552000000000007</v>
          </cell>
        </row>
        <row r="20">
          <cell r="A20" t="str">
            <v>TON30</v>
          </cell>
          <cell r="B20" t="str">
            <v xml:space="preserve">TONIC 30 CL                             </v>
          </cell>
          <cell r="C20">
            <v>2003</v>
          </cell>
          <cell r="D20">
            <v>138.31200000000001</v>
          </cell>
          <cell r="E20">
            <v>159.91200000000001</v>
          </cell>
          <cell r="F20">
            <v>181.65600000000001</v>
          </cell>
          <cell r="G20">
            <v>154.87200000000001</v>
          </cell>
          <cell r="H20">
            <v>103.896</v>
          </cell>
          <cell r="I20">
            <v>123.048</v>
          </cell>
          <cell r="J20">
            <v>155.88</v>
          </cell>
          <cell r="K20">
            <v>117.648</v>
          </cell>
          <cell r="L20">
            <v>160.77600000000001</v>
          </cell>
          <cell r="M20">
            <v>132.19200000000001</v>
          </cell>
          <cell r="N20">
            <v>113.328</v>
          </cell>
          <cell r="O20">
            <v>166.03200000000001</v>
          </cell>
        </row>
        <row r="21">
          <cell r="A21" t="str">
            <v>TONBT</v>
          </cell>
          <cell r="B21" t="str">
            <v xml:space="preserve">TONIC BOITES 33 CL                      </v>
          </cell>
          <cell r="C21">
            <v>2003</v>
          </cell>
          <cell r="D21">
            <v>69.854399999999998</v>
          </cell>
          <cell r="E21">
            <v>72.468000000000004</v>
          </cell>
          <cell r="F21">
            <v>65.023200000000003</v>
          </cell>
          <cell r="G21">
            <v>64.072800000000001</v>
          </cell>
          <cell r="H21">
            <v>65.34</v>
          </cell>
          <cell r="I21">
            <v>40.154400000000003</v>
          </cell>
          <cell r="J21">
            <v>36.511200000000002</v>
          </cell>
          <cell r="K21">
            <v>53.46</v>
          </cell>
          <cell r="L21">
            <v>70.884</v>
          </cell>
          <cell r="M21">
            <v>51.321599999999997</v>
          </cell>
          <cell r="N21">
            <v>50.529600000000002</v>
          </cell>
          <cell r="O21">
            <v>63.280799999999999</v>
          </cell>
        </row>
        <row r="22">
          <cell r="A22" t="str">
            <v>COCA60</v>
          </cell>
          <cell r="B22" t="str">
            <v xml:space="preserve">COCA COLA 60 CL                         </v>
          </cell>
          <cell r="C22">
            <v>2003</v>
          </cell>
          <cell r="D22">
            <v>1282.4639999999999</v>
          </cell>
          <cell r="E22">
            <v>1310.184</v>
          </cell>
          <cell r="F22">
            <v>1043.2080000000001</v>
          </cell>
          <cell r="G22">
            <v>1015.704</v>
          </cell>
          <cell r="H22">
            <v>1006.2</v>
          </cell>
          <cell r="I22">
            <v>890.78399999999999</v>
          </cell>
          <cell r="J22">
            <v>895.32</v>
          </cell>
          <cell r="K22">
            <v>749.73599999999999</v>
          </cell>
          <cell r="L22">
            <v>772.56</v>
          </cell>
          <cell r="M22">
            <v>824.904</v>
          </cell>
          <cell r="N22">
            <v>698.54399999999998</v>
          </cell>
          <cell r="O22">
            <v>1122.6959999999999</v>
          </cell>
        </row>
        <row r="23">
          <cell r="A23" t="str">
            <v>COCA30</v>
          </cell>
          <cell r="B23" t="str">
            <v xml:space="preserve">COCA COLA 30 CL                         </v>
          </cell>
          <cell r="C23">
            <v>2003</v>
          </cell>
          <cell r="D23">
            <v>981.21600000000001</v>
          </cell>
          <cell r="E23">
            <v>795.38400000000001</v>
          </cell>
          <cell r="F23">
            <v>899.28</v>
          </cell>
          <cell r="G23">
            <v>786.24</v>
          </cell>
          <cell r="H23">
            <v>795.31200000000001</v>
          </cell>
          <cell r="I23">
            <v>725.54399999999998</v>
          </cell>
          <cell r="J23">
            <v>706.39200000000005</v>
          </cell>
          <cell r="K23">
            <v>717.33600000000001</v>
          </cell>
          <cell r="L23">
            <v>646.27200000000005</v>
          </cell>
          <cell r="M23">
            <v>704.88</v>
          </cell>
          <cell r="N23">
            <v>577.51199999999994</v>
          </cell>
          <cell r="O23">
            <v>817.63199999999995</v>
          </cell>
        </row>
        <row r="24">
          <cell r="A24" t="str">
            <v>COCABT</v>
          </cell>
          <cell r="B24" t="str">
            <v xml:space="preserve">COCA COLA BOITES 33 CL                  </v>
          </cell>
          <cell r="C24">
            <v>2003</v>
          </cell>
          <cell r="D24">
            <v>368.1216</v>
          </cell>
          <cell r="E24">
            <v>249.48</v>
          </cell>
          <cell r="F24">
            <v>281.55599999999998</v>
          </cell>
          <cell r="G24">
            <v>301.27679999999998</v>
          </cell>
          <cell r="H24">
            <v>298.34640000000002</v>
          </cell>
          <cell r="I24">
            <v>110.32559999999999</v>
          </cell>
          <cell r="J24">
            <v>301.19760000000002</v>
          </cell>
          <cell r="K24">
            <v>257.00400000000002</v>
          </cell>
          <cell r="L24">
            <v>199.02959999999999</v>
          </cell>
          <cell r="M24">
            <v>235.62</v>
          </cell>
          <cell r="N24">
            <v>232.05600000000001</v>
          </cell>
          <cell r="O24">
            <v>305.4744</v>
          </cell>
        </row>
        <row r="25">
          <cell r="A25" t="str">
            <v>FOR60</v>
          </cell>
          <cell r="B25" t="str">
            <v xml:space="preserve">FANTA ORANGE 60 CL                      </v>
          </cell>
          <cell r="C25">
            <v>2003</v>
          </cell>
          <cell r="D25">
            <v>359.42399999999998</v>
          </cell>
          <cell r="E25">
            <v>574.84799999999996</v>
          </cell>
          <cell r="F25">
            <v>479.59199999999998</v>
          </cell>
          <cell r="G25">
            <v>286.2</v>
          </cell>
          <cell r="H25">
            <v>415.29599999999999</v>
          </cell>
          <cell r="I25">
            <v>345.96</v>
          </cell>
          <cell r="J25">
            <v>360.21600000000001</v>
          </cell>
          <cell r="K25">
            <v>305.35199999999998</v>
          </cell>
          <cell r="L25">
            <v>299.80799999999999</v>
          </cell>
          <cell r="M25">
            <v>318.024</v>
          </cell>
          <cell r="N25">
            <v>236.952</v>
          </cell>
          <cell r="O25">
            <v>392.25599999999997</v>
          </cell>
        </row>
        <row r="26">
          <cell r="A26" t="str">
            <v>FOR30</v>
          </cell>
          <cell r="B26" t="str">
            <v xml:space="preserve">FANTA ORANGE 30 CL                      </v>
          </cell>
          <cell r="C26">
            <v>2003</v>
          </cell>
          <cell r="D26">
            <v>371.52</v>
          </cell>
          <cell r="E26">
            <v>431.28</v>
          </cell>
          <cell r="F26">
            <v>155.73599999999999</v>
          </cell>
          <cell r="G26">
            <v>375.91199999999998</v>
          </cell>
          <cell r="H26">
            <v>371.59199999999998</v>
          </cell>
          <cell r="I26">
            <v>310.96800000000002</v>
          </cell>
          <cell r="J26">
            <v>282.60000000000002</v>
          </cell>
          <cell r="K26">
            <v>249.33600000000001</v>
          </cell>
          <cell r="L26">
            <v>142.488</v>
          </cell>
          <cell r="M26">
            <v>267.33600000000001</v>
          </cell>
          <cell r="N26">
            <v>227.232</v>
          </cell>
          <cell r="O26">
            <v>410.904</v>
          </cell>
        </row>
        <row r="27">
          <cell r="A27" t="str">
            <v>FORBT</v>
          </cell>
          <cell r="B27" t="str">
            <v xml:space="preserve">FANTA ORANGE BOITES 33 CL               </v>
          </cell>
          <cell r="C27">
            <v>2003</v>
          </cell>
          <cell r="D27">
            <v>174.9528</v>
          </cell>
          <cell r="E27">
            <v>146.4408</v>
          </cell>
          <cell r="F27">
            <v>153.72720000000001</v>
          </cell>
          <cell r="G27">
            <v>138.36240000000001</v>
          </cell>
          <cell r="H27">
            <v>177.09119999999999</v>
          </cell>
          <cell r="I27">
            <v>115.4736</v>
          </cell>
          <cell r="J27">
            <v>176.61600000000001</v>
          </cell>
          <cell r="K27">
            <v>141.1344</v>
          </cell>
          <cell r="L27">
            <v>104.7024</v>
          </cell>
          <cell r="M27">
            <v>119.3544</v>
          </cell>
          <cell r="N27">
            <v>112.5432</v>
          </cell>
          <cell r="O27">
            <v>168.77520000000001</v>
          </cell>
        </row>
        <row r="28">
          <cell r="A28" t="str">
            <v>FCK60</v>
          </cell>
          <cell r="B28" t="str">
            <v xml:space="preserve">FANTA COCKTAIL 60 CL                    </v>
          </cell>
          <cell r="C28">
            <v>2003</v>
          </cell>
          <cell r="D28">
            <v>281.23200000000003</v>
          </cell>
          <cell r="E28">
            <v>237.31200000000001</v>
          </cell>
          <cell r="F28">
            <v>318.096</v>
          </cell>
          <cell r="G28">
            <v>221.83199999999999</v>
          </cell>
          <cell r="H28">
            <v>212.328</v>
          </cell>
          <cell r="I28">
            <v>193.75200000000001</v>
          </cell>
          <cell r="J28">
            <v>143.63999999999999</v>
          </cell>
          <cell r="K28">
            <v>138.24</v>
          </cell>
          <cell r="L28">
            <v>105.98399999999999</v>
          </cell>
          <cell r="M28">
            <v>105.98399999999999</v>
          </cell>
          <cell r="N28">
            <v>92.231999999999999</v>
          </cell>
          <cell r="O28">
            <v>126.792</v>
          </cell>
        </row>
        <row r="29">
          <cell r="A29" t="str">
            <v>FCK30</v>
          </cell>
          <cell r="B29" t="str">
            <v xml:space="preserve">FANTA COCKTAIL 30 CL                    </v>
          </cell>
          <cell r="C29">
            <v>2003</v>
          </cell>
          <cell r="D29">
            <v>229.392</v>
          </cell>
          <cell r="E29">
            <v>234</v>
          </cell>
          <cell r="F29">
            <v>224.928</v>
          </cell>
          <cell r="G29">
            <v>215.42400000000001</v>
          </cell>
          <cell r="H29">
            <v>196.77600000000001</v>
          </cell>
          <cell r="I29">
            <v>206.42400000000001</v>
          </cell>
          <cell r="J29">
            <v>169.05600000000001</v>
          </cell>
          <cell r="K29">
            <v>145.584</v>
          </cell>
          <cell r="L29">
            <v>75.311999999999998</v>
          </cell>
          <cell r="M29">
            <v>168.624</v>
          </cell>
          <cell r="N29">
            <v>79.703999999999994</v>
          </cell>
          <cell r="O29">
            <v>205.99199999999999</v>
          </cell>
        </row>
        <row r="30">
          <cell r="A30" t="str">
            <v>SPR30</v>
          </cell>
          <cell r="B30" t="str">
            <v xml:space="preserve">SPRITE 30 CL                            </v>
          </cell>
          <cell r="C30">
            <v>2003</v>
          </cell>
          <cell r="D30">
            <v>24.696000000000002</v>
          </cell>
          <cell r="E30">
            <v>32.76</v>
          </cell>
          <cell r="F30">
            <v>4.68</v>
          </cell>
          <cell r="G30">
            <v>4.68</v>
          </cell>
          <cell r="H30">
            <v>9.36</v>
          </cell>
          <cell r="I30">
            <v>0</v>
          </cell>
          <cell r="J30">
            <v>4.68</v>
          </cell>
          <cell r="K30">
            <v>0</v>
          </cell>
          <cell r="L30">
            <v>9.36</v>
          </cell>
          <cell r="M30">
            <v>0</v>
          </cell>
          <cell r="N30">
            <v>1.8720000000000001</v>
          </cell>
          <cell r="O30">
            <v>1.44</v>
          </cell>
        </row>
        <row r="31">
          <cell r="A31" t="str">
            <v>SPRBT</v>
          </cell>
          <cell r="B31" t="str">
            <v xml:space="preserve">SPRITE BOITES 33 CL                     </v>
          </cell>
          <cell r="C31">
            <v>2003</v>
          </cell>
          <cell r="D31">
            <v>94.723200000000006</v>
          </cell>
          <cell r="E31">
            <v>52.667999999999999</v>
          </cell>
          <cell r="F31">
            <v>66.528000000000006</v>
          </cell>
          <cell r="G31">
            <v>53.46</v>
          </cell>
          <cell r="H31">
            <v>53.2224</v>
          </cell>
          <cell r="I31">
            <v>48.470399999999998</v>
          </cell>
          <cell r="J31">
            <v>73.735200000000006</v>
          </cell>
          <cell r="K31">
            <v>69.854399999999998</v>
          </cell>
          <cell r="L31">
            <v>41.025599999999997</v>
          </cell>
          <cell r="M31">
            <v>43.401600000000002</v>
          </cell>
          <cell r="N31">
            <v>47.995199999999997</v>
          </cell>
          <cell r="O31">
            <v>54.648000000000003</v>
          </cell>
        </row>
        <row r="32">
          <cell r="A32" t="str">
            <v>KSO60</v>
          </cell>
          <cell r="B32" t="str">
            <v xml:space="preserve">KREST SODA WATER 60 CL                  </v>
          </cell>
          <cell r="C32">
            <v>2003</v>
          </cell>
          <cell r="D32">
            <v>10.368</v>
          </cell>
          <cell r="E32">
            <v>4.6079999999999997</v>
          </cell>
          <cell r="F32">
            <v>27.648</v>
          </cell>
          <cell r="G32">
            <v>0</v>
          </cell>
          <cell r="H32">
            <v>13.824</v>
          </cell>
          <cell r="I32">
            <v>18.431999999999999</v>
          </cell>
          <cell r="J32">
            <v>4.6079999999999997</v>
          </cell>
          <cell r="K32">
            <v>18.431999999999999</v>
          </cell>
          <cell r="L32">
            <v>4.6079999999999997</v>
          </cell>
          <cell r="M32">
            <v>23.04</v>
          </cell>
          <cell r="N32">
            <v>9.2159999999999993</v>
          </cell>
          <cell r="O32">
            <v>0</v>
          </cell>
        </row>
        <row r="33">
          <cell r="A33" t="str">
            <v>KSO30</v>
          </cell>
          <cell r="B33" t="str">
            <v xml:space="preserve">KREST SODA WATER 30 CL                  </v>
          </cell>
          <cell r="C33">
            <v>2003</v>
          </cell>
          <cell r="D33">
            <v>29.808</v>
          </cell>
          <cell r="E33">
            <v>15.84</v>
          </cell>
          <cell r="F33">
            <v>15.84</v>
          </cell>
          <cell r="G33">
            <v>20.736000000000001</v>
          </cell>
          <cell r="H33">
            <v>15.48</v>
          </cell>
          <cell r="I33">
            <v>30.24</v>
          </cell>
          <cell r="J33">
            <v>15.912000000000001</v>
          </cell>
          <cell r="K33">
            <v>24.48</v>
          </cell>
          <cell r="L33">
            <v>15.84</v>
          </cell>
          <cell r="M33">
            <v>20.52</v>
          </cell>
          <cell r="N33">
            <v>11.952</v>
          </cell>
          <cell r="O33">
            <v>29.376000000000001</v>
          </cell>
        </row>
        <row r="34">
          <cell r="A34" t="str">
            <v>KSOBT</v>
          </cell>
          <cell r="B34" t="str">
            <v xml:space="preserve">KREST SODA WATER BOITES 33 CL           </v>
          </cell>
          <cell r="C34">
            <v>2003</v>
          </cell>
          <cell r="D34">
            <v>24.552</v>
          </cell>
          <cell r="E34">
            <v>24.7896</v>
          </cell>
          <cell r="F34">
            <v>25.344000000000001</v>
          </cell>
          <cell r="G34">
            <v>35.3232</v>
          </cell>
          <cell r="H34">
            <v>18.216000000000001</v>
          </cell>
          <cell r="I34">
            <v>16.632000000000001</v>
          </cell>
          <cell r="J34">
            <v>20.196000000000002</v>
          </cell>
          <cell r="K34">
            <v>15.84</v>
          </cell>
          <cell r="L34">
            <v>18.216000000000001</v>
          </cell>
          <cell r="M34">
            <v>12.672000000000001</v>
          </cell>
          <cell r="N34">
            <v>24.155999999999999</v>
          </cell>
          <cell r="O34">
            <v>27.086400000000001</v>
          </cell>
        </row>
        <row r="35">
          <cell r="A35" t="str">
            <v>ORA75</v>
          </cell>
          <cell r="B35" t="str">
            <v xml:space="preserve">ORANGINA JAUNE 75 CL                    </v>
          </cell>
          <cell r="C35">
            <v>2003</v>
          </cell>
          <cell r="D35">
            <v>195.84</v>
          </cell>
          <cell r="E35">
            <v>187.2</v>
          </cell>
          <cell r="F35">
            <v>144.18</v>
          </cell>
          <cell r="G35">
            <v>104.22</v>
          </cell>
          <cell r="H35">
            <v>132.66</v>
          </cell>
          <cell r="I35">
            <v>75.06</v>
          </cell>
          <cell r="J35">
            <v>-0.72</v>
          </cell>
          <cell r="K35">
            <v>25.47</v>
          </cell>
          <cell r="L35">
            <v>65.52</v>
          </cell>
          <cell r="M35">
            <v>28.98</v>
          </cell>
          <cell r="N35">
            <v>34.74</v>
          </cell>
          <cell r="O35">
            <v>59.22</v>
          </cell>
        </row>
        <row r="36">
          <cell r="A36" t="str">
            <v>ORA30</v>
          </cell>
          <cell r="B36" t="str">
            <v xml:space="preserve">ORANGINA JAUNE 30 CL                    </v>
          </cell>
          <cell r="C36">
            <v>2003</v>
          </cell>
          <cell r="D36">
            <v>141.33600000000001</v>
          </cell>
          <cell r="E36">
            <v>212.47200000000001</v>
          </cell>
          <cell r="F36">
            <v>189.21600000000001</v>
          </cell>
          <cell r="G36">
            <v>165.38399999999999</v>
          </cell>
          <cell r="H36">
            <v>142.19999999999999</v>
          </cell>
          <cell r="I36">
            <v>127.872</v>
          </cell>
          <cell r="J36">
            <v>151.56</v>
          </cell>
          <cell r="K36">
            <v>101.52</v>
          </cell>
          <cell r="L36">
            <v>94.968000000000004</v>
          </cell>
          <cell r="M36">
            <v>74.16</v>
          </cell>
          <cell r="N36">
            <v>53.783999999999999</v>
          </cell>
          <cell r="O36">
            <v>96.983999999999995</v>
          </cell>
        </row>
        <row r="37">
          <cell r="A37" t="str">
            <v>ORABT</v>
          </cell>
          <cell r="B37" t="str">
            <v xml:space="preserve">ORANGINA JAUNE BOITES 33 CL             </v>
          </cell>
          <cell r="C37">
            <v>2003</v>
          </cell>
          <cell r="D37">
            <v>247.1832</v>
          </cell>
          <cell r="E37">
            <v>167.82480000000001</v>
          </cell>
          <cell r="F37">
            <v>214.1568</v>
          </cell>
          <cell r="G37">
            <v>164.73599999999999</v>
          </cell>
          <cell r="H37">
            <v>228.65039999999999</v>
          </cell>
          <cell r="I37">
            <v>154.2816</v>
          </cell>
          <cell r="J37">
            <v>182.23920000000001</v>
          </cell>
          <cell r="K37">
            <v>146.20320000000001</v>
          </cell>
          <cell r="L37">
            <v>154.04400000000001</v>
          </cell>
          <cell r="M37">
            <v>181.13040000000001</v>
          </cell>
          <cell r="N37">
            <v>168.8544</v>
          </cell>
          <cell r="O37">
            <v>205.76159999999999</v>
          </cell>
        </row>
        <row r="38">
          <cell r="A38" t="str">
            <v>ORAR75</v>
          </cell>
          <cell r="B38" t="str">
            <v xml:space="preserve">ORANGINA ROUGE 75 CL                    </v>
          </cell>
          <cell r="C38">
            <v>2003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35.909999999999997</v>
          </cell>
          <cell r="L38">
            <v>0</v>
          </cell>
          <cell r="M38">
            <v>-7.02</v>
          </cell>
          <cell r="N38">
            <v>6.21</v>
          </cell>
          <cell r="O38">
            <v>-1.89</v>
          </cell>
        </row>
        <row r="39">
          <cell r="A39" t="str">
            <v>ORAR30</v>
          </cell>
          <cell r="B39" t="str">
            <v xml:space="preserve">ORANGINA ROUGE 30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18.72</v>
          </cell>
          <cell r="L39">
            <v>5.4</v>
          </cell>
          <cell r="M39">
            <v>1.8720000000000001</v>
          </cell>
          <cell r="N39">
            <v>5.04</v>
          </cell>
          <cell r="O39">
            <v>0</v>
          </cell>
        </row>
        <row r="40">
          <cell r="D40">
            <v>13658.762400000001</v>
          </cell>
          <cell r="E40">
            <v>15268.788000000002</v>
          </cell>
          <cell r="F40">
            <v>14593.441199999999</v>
          </cell>
          <cell r="G40">
            <v>13292.632800000003</v>
          </cell>
          <cell r="H40">
            <v>14131.624800000005</v>
          </cell>
          <cell r="I40">
            <v>12810.9828</v>
          </cell>
          <cell r="J40">
            <v>14102.271599999996</v>
          </cell>
          <cell r="K40">
            <v>12560.252400000001</v>
          </cell>
          <cell r="L40">
            <v>12309.536400000003</v>
          </cell>
          <cell r="M40">
            <v>13124.0388</v>
          </cell>
          <cell r="N40">
            <v>11189.623199999998</v>
          </cell>
          <cell r="O40">
            <v>16815.260400000006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Semestre2011"/>
      <sheetName val="Année2011"/>
      <sheetName val="2emeSemestre2011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Cumul Ex Sadem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C4">
            <v>12917038181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26010148102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1327805327.4545455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-253137079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21911943</v>
          </cell>
          <cell r="D18">
            <v>0</v>
          </cell>
        </row>
        <row r="19">
          <cell r="C19">
            <v>3253477</v>
          </cell>
          <cell r="D19">
            <v>0</v>
          </cell>
        </row>
        <row r="20">
          <cell r="C20">
            <v>142056740</v>
          </cell>
          <cell r="D20">
            <v>0</v>
          </cell>
        </row>
        <row r="21">
          <cell r="C21">
            <v>2388245745</v>
          </cell>
          <cell r="D21">
            <v>0</v>
          </cell>
        </row>
        <row r="22">
          <cell r="C22">
            <v>284349243</v>
          </cell>
          <cell r="D22">
            <v>0</v>
          </cell>
        </row>
        <row r="23">
          <cell r="C23">
            <v>16219210</v>
          </cell>
          <cell r="D23">
            <v>0</v>
          </cell>
        </row>
        <row r="24">
          <cell r="C24">
            <v>17542645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9811357</v>
          </cell>
          <cell r="D27">
            <v>0</v>
          </cell>
        </row>
        <row r="28">
          <cell r="C28">
            <v>10000475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1762773109</v>
          </cell>
          <cell r="D30">
            <v>0</v>
          </cell>
        </row>
        <row r="31">
          <cell r="C31">
            <v>4163860</v>
          </cell>
          <cell r="D31">
            <v>0</v>
          </cell>
        </row>
        <row r="32">
          <cell r="C32">
            <v>3482579</v>
          </cell>
          <cell r="D32">
            <v>0</v>
          </cell>
        </row>
        <row r="33">
          <cell r="C33">
            <v>15003369</v>
          </cell>
          <cell r="D33">
            <v>0</v>
          </cell>
        </row>
        <row r="34">
          <cell r="C34">
            <v>40349406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90423384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-60000</v>
          </cell>
          <cell r="D38">
            <v>0</v>
          </cell>
        </row>
        <row r="39">
          <cell r="C39">
            <v>6653390</v>
          </cell>
          <cell r="D39">
            <v>0</v>
          </cell>
        </row>
        <row r="40">
          <cell r="C40">
            <v>30904325</v>
          </cell>
          <cell r="D40">
            <v>0</v>
          </cell>
        </row>
        <row r="41">
          <cell r="C41">
            <v>16391679</v>
          </cell>
          <cell r="D41">
            <v>0</v>
          </cell>
        </row>
        <row r="42">
          <cell r="C42">
            <v>10077452</v>
          </cell>
          <cell r="D42">
            <v>0</v>
          </cell>
        </row>
        <row r="43">
          <cell r="C43">
            <v>2641755</v>
          </cell>
          <cell r="D43">
            <v>0</v>
          </cell>
        </row>
        <row r="44">
          <cell r="C44">
            <v>7331761</v>
          </cell>
          <cell r="D44">
            <v>0</v>
          </cell>
        </row>
        <row r="45">
          <cell r="C45">
            <v>77250084</v>
          </cell>
          <cell r="D45">
            <v>0</v>
          </cell>
        </row>
        <row r="46">
          <cell r="C46">
            <v>4499520</v>
          </cell>
          <cell r="D46">
            <v>0</v>
          </cell>
        </row>
        <row r="47">
          <cell r="C47">
            <v>38599713</v>
          </cell>
          <cell r="D47">
            <v>0</v>
          </cell>
        </row>
        <row r="48">
          <cell r="C48">
            <v>41038698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80072861</v>
          </cell>
          <cell r="D52">
            <v>0</v>
          </cell>
        </row>
        <row r="53">
          <cell r="C53">
            <v>69004749</v>
          </cell>
          <cell r="D53">
            <v>0</v>
          </cell>
        </row>
        <row r="55">
          <cell r="C55">
            <v>842132561</v>
          </cell>
          <cell r="D55">
            <v>0</v>
          </cell>
        </row>
        <row r="56">
          <cell r="C56">
            <v>1478488</v>
          </cell>
          <cell r="D56">
            <v>0</v>
          </cell>
        </row>
        <row r="57">
          <cell r="C57">
            <v>4311167</v>
          </cell>
          <cell r="D57">
            <v>0</v>
          </cell>
        </row>
        <row r="58">
          <cell r="C58">
            <v>1422710168</v>
          </cell>
          <cell r="D58">
            <v>0</v>
          </cell>
        </row>
        <row r="59">
          <cell r="C59">
            <v>12283314</v>
          </cell>
          <cell r="D59">
            <v>0</v>
          </cell>
        </row>
        <row r="60">
          <cell r="C60">
            <v>22306256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40667310</v>
          </cell>
          <cell r="D62">
            <v>0</v>
          </cell>
        </row>
        <row r="63">
          <cell r="C63">
            <v>1132400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157414878</v>
          </cell>
          <cell r="D65">
            <v>0</v>
          </cell>
        </row>
        <row r="66">
          <cell r="C66">
            <v>14764195</v>
          </cell>
          <cell r="D66">
            <v>0</v>
          </cell>
        </row>
        <row r="67">
          <cell r="C67">
            <v>20375848</v>
          </cell>
          <cell r="D67">
            <v>0</v>
          </cell>
        </row>
        <row r="68">
          <cell r="C68">
            <v>109398040</v>
          </cell>
          <cell r="D68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308596295</v>
          </cell>
          <cell r="D72">
            <v>0</v>
          </cell>
        </row>
        <row r="73">
          <cell r="C73">
            <v>-444665256</v>
          </cell>
          <cell r="D73">
            <v>0</v>
          </cell>
        </row>
        <row r="74">
          <cell r="C74">
            <v>881507480</v>
          </cell>
          <cell r="D74">
            <v>0</v>
          </cell>
        </row>
        <row r="75">
          <cell r="C75">
            <v>380366557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35106800</v>
          </cell>
          <cell r="D78">
            <v>0</v>
          </cell>
        </row>
        <row r="79">
          <cell r="C79">
            <v>535464593</v>
          </cell>
          <cell r="D79">
            <v>0</v>
          </cell>
        </row>
        <row r="80">
          <cell r="C80">
            <v>80403942</v>
          </cell>
          <cell r="D80">
            <v>0</v>
          </cell>
        </row>
        <row r="81">
          <cell r="C81">
            <v>273192602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11974361</v>
          </cell>
          <cell r="D83">
            <v>0</v>
          </cell>
        </row>
        <row r="84">
          <cell r="C84">
            <v>265396160</v>
          </cell>
          <cell r="D84">
            <v>0</v>
          </cell>
        </row>
        <row r="85">
          <cell r="C85">
            <v>12265078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270050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195482386</v>
          </cell>
          <cell r="D95">
            <v>0</v>
          </cell>
        </row>
        <row r="96">
          <cell r="C96">
            <v>88466500</v>
          </cell>
          <cell r="D96">
            <v>0</v>
          </cell>
        </row>
        <row r="97">
          <cell r="C97">
            <v>183222576</v>
          </cell>
          <cell r="D97">
            <v>0</v>
          </cell>
        </row>
        <row r="98">
          <cell r="C98">
            <v>28071491</v>
          </cell>
          <cell r="D98">
            <v>0</v>
          </cell>
        </row>
        <row r="99">
          <cell r="C99">
            <v>108906914</v>
          </cell>
          <cell r="D99">
            <v>0</v>
          </cell>
        </row>
        <row r="100">
          <cell r="C100">
            <v>223356919</v>
          </cell>
          <cell r="D100">
            <v>0</v>
          </cell>
        </row>
        <row r="101">
          <cell r="C101">
            <v>83395000</v>
          </cell>
          <cell r="D101">
            <v>0</v>
          </cell>
        </row>
        <row r="102">
          <cell r="C102">
            <v>71419068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19731246</v>
          </cell>
          <cell r="D109">
            <v>0</v>
          </cell>
        </row>
        <row r="110">
          <cell r="C110">
            <v>1500000</v>
          </cell>
          <cell r="D110">
            <v>0</v>
          </cell>
        </row>
        <row r="111">
          <cell r="C111">
            <v>8850000</v>
          </cell>
          <cell r="D111">
            <v>0</v>
          </cell>
        </row>
        <row r="112">
          <cell r="C112">
            <v>17029836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113915101</v>
          </cell>
          <cell r="D114">
            <v>0</v>
          </cell>
        </row>
        <row r="115">
          <cell r="C115">
            <v>12537333</v>
          </cell>
          <cell r="D115">
            <v>0</v>
          </cell>
        </row>
        <row r="116">
          <cell r="C116">
            <v>78342210</v>
          </cell>
          <cell r="D116">
            <v>0</v>
          </cell>
        </row>
        <row r="117">
          <cell r="C117">
            <v>34638736</v>
          </cell>
          <cell r="D117">
            <v>0</v>
          </cell>
        </row>
        <row r="118">
          <cell r="C118">
            <v>431164511</v>
          </cell>
          <cell r="D118">
            <v>0</v>
          </cell>
        </row>
        <row r="119">
          <cell r="C119">
            <v>5433080</v>
          </cell>
          <cell r="D119">
            <v>0</v>
          </cell>
        </row>
        <row r="120">
          <cell r="C120">
            <v>161984410</v>
          </cell>
          <cell r="D120">
            <v>0</v>
          </cell>
        </row>
        <row r="121">
          <cell r="C121">
            <v>11846210</v>
          </cell>
          <cell r="D121">
            <v>0</v>
          </cell>
        </row>
        <row r="122">
          <cell r="C122">
            <v>21124742</v>
          </cell>
          <cell r="D122">
            <v>0</v>
          </cell>
        </row>
        <row r="123">
          <cell r="C123">
            <v>157709203</v>
          </cell>
          <cell r="D123">
            <v>0</v>
          </cell>
        </row>
        <row r="124">
          <cell r="C124">
            <v>75782445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91801587</v>
          </cell>
          <cell r="D129">
            <v>0</v>
          </cell>
        </row>
        <row r="130">
          <cell r="C130">
            <v>98389205</v>
          </cell>
          <cell r="D130">
            <v>0</v>
          </cell>
        </row>
        <row r="131">
          <cell r="C131">
            <v>344776077</v>
          </cell>
          <cell r="D131">
            <v>0</v>
          </cell>
        </row>
        <row r="132">
          <cell r="C132">
            <v>1565072</v>
          </cell>
          <cell r="D132">
            <v>0</v>
          </cell>
        </row>
        <row r="133">
          <cell r="C133">
            <v>-1</v>
          </cell>
          <cell r="D133">
            <v>0</v>
          </cell>
        </row>
        <row r="134">
          <cell r="C134">
            <v>153685880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20867958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133937330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96646773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51385965</v>
          </cell>
          <cell r="D145">
            <v>0</v>
          </cell>
        </row>
        <row r="146">
          <cell r="C146">
            <v>66474055</v>
          </cell>
          <cell r="D146">
            <v>0</v>
          </cell>
        </row>
        <row r="147">
          <cell r="C147">
            <v>254722455</v>
          </cell>
          <cell r="D147">
            <v>0</v>
          </cell>
        </row>
        <row r="148">
          <cell r="C148">
            <v>273406154</v>
          </cell>
          <cell r="D148">
            <v>0</v>
          </cell>
        </row>
        <row r="149">
          <cell r="C149">
            <v>245858101</v>
          </cell>
          <cell r="D149">
            <v>0</v>
          </cell>
        </row>
        <row r="150">
          <cell r="C150">
            <v>579787274</v>
          </cell>
          <cell r="D150">
            <v>0</v>
          </cell>
        </row>
        <row r="151">
          <cell r="C151">
            <v>226313643</v>
          </cell>
          <cell r="D151">
            <v>0</v>
          </cell>
        </row>
        <row r="152">
          <cell r="C152">
            <v>452949193</v>
          </cell>
          <cell r="D152">
            <v>0</v>
          </cell>
        </row>
        <row r="153">
          <cell r="C153">
            <v>11203180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550814400</v>
          </cell>
          <cell r="D155">
            <v>0</v>
          </cell>
        </row>
        <row r="156">
          <cell r="C156">
            <v>3719276</v>
          </cell>
          <cell r="D156">
            <v>0</v>
          </cell>
        </row>
        <row r="157">
          <cell r="C157">
            <v>346788771</v>
          </cell>
          <cell r="D157">
            <v>0</v>
          </cell>
        </row>
        <row r="158">
          <cell r="C158">
            <v>56650405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22402585</v>
          </cell>
          <cell r="D160">
            <v>0</v>
          </cell>
        </row>
        <row r="161">
          <cell r="C161">
            <v>-1859638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3086522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172873495</v>
          </cell>
          <cell r="D168">
            <v>0</v>
          </cell>
        </row>
        <row r="169">
          <cell r="C169">
            <v>1955427</v>
          </cell>
          <cell r="D169">
            <v>0</v>
          </cell>
        </row>
        <row r="170">
          <cell r="C170">
            <v>2495166</v>
          </cell>
          <cell r="D170">
            <v>0</v>
          </cell>
        </row>
        <row r="171">
          <cell r="C171">
            <v>3634524</v>
          </cell>
          <cell r="D171">
            <v>0</v>
          </cell>
        </row>
        <row r="172">
          <cell r="C172">
            <v>59061666</v>
          </cell>
          <cell r="D172">
            <v>0</v>
          </cell>
        </row>
        <row r="173">
          <cell r="C173">
            <v>24448027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927715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577409</v>
          </cell>
          <cell r="D183">
            <v>0</v>
          </cell>
        </row>
        <row r="184">
          <cell r="C184">
            <v>92419</v>
          </cell>
          <cell r="D184">
            <v>0</v>
          </cell>
        </row>
        <row r="185">
          <cell r="C185">
            <v>54240632</v>
          </cell>
          <cell r="D185">
            <v>0</v>
          </cell>
        </row>
        <row r="186">
          <cell r="C186">
            <v>566568563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2609338519.7118645</v>
          </cell>
          <cell r="D192">
            <v>0</v>
          </cell>
        </row>
        <row r="193">
          <cell r="C193">
            <v>1094320373.6158235</v>
          </cell>
          <cell r="D193">
            <v>0</v>
          </cell>
        </row>
        <row r="194">
          <cell r="C194">
            <v>28675485</v>
          </cell>
          <cell r="D194">
            <v>0</v>
          </cell>
        </row>
        <row r="195">
          <cell r="C195">
            <v>70974204</v>
          </cell>
          <cell r="D195">
            <v>0</v>
          </cell>
        </row>
        <row r="196">
          <cell r="C196">
            <v>40879231</v>
          </cell>
          <cell r="D196">
            <v>0</v>
          </cell>
        </row>
        <row r="197">
          <cell r="C197">
            <v>24511976</v>
          </cell>
          <cell r="D197">
            <v>0</v>
          </cell>
        </row>
        <row r="198">
          <cell r="C198">
            <v>46352057</v>
          </cell>
          <cell r="D198">
            <v>0</v>
          </cell>
        </row>
        <row r="199">
          <cell r="C199">
            <v>5524795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1332855296</v>
          </cell>
          <cell r="D203">
            <v>0</v>
          </cell>
        </row>
        <row r="204">
          <cell r="C204">
            <v>425677785</v>
          </cell>
          <cell r="D204">
            <v>0</v>
          </cell>
        </row>
        <row r="205">
          <cell r="C205">
            <v>208233550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6747600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14173496</v>
          </cell>
          <cell r="D213">
            <v>0</v>
          </cell>
        </row>
        <row r="214">
          <cell r="C214">
            <v>186178993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156974916</v>
          </cell>
          <cell r="D217">
            <v>0</v>
          </cell>
        </row>
        <row r="218">
          <cell r="C218">
            <v>720000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661494696</v>
          </cell>
          <cell r="D220">
            <v>0</v>
          </cell>
        </row>
        <row r="221">
          <cell r="C221">
            <v>99600288</v>
          </cell>
          <cell r="D221">
            <v>0</v>
          </cell>
        </row>
        <row r="222">
          <cell r="C222">
            <v>876819368</v>
          </cell>
          <cell r="D222">
            <v>0</v>
          </cell>
        </row>
        <row r="223">
          <cell r="C223">
            <v>75575668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8477242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151527256</v>
          </cell>
          <cell r="D229">
            <v>0</v>
          </cell>
        </row>
        <row r="230">
          <cell r="C230">
            <v>588014704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8088207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106156220</v>
          </cell>
          <cell r="D237">
            <v>0</v>
          </cell>
        </row>
        <row r="238">
          <cell r="C238">
            <v>19095518</v>
          </cell>
          <cell r="D238">
            <v>0</v>
          </cell>
        </row>
        <row r="239">
          <cell r="C239">
            <v>3472420</v>
          </cell>
          <cell r="D239">
            <v>0</v>
          </cell>
        </row>
        <row r="240">
          <cell r="C240">
            <v>95967103</v>
          </cell>
          <cell r="D240">
            <v>0</v>
          </cell>
        </row>
        <row r="241">
          <cell r="C241">
            <v>36486302</v>
          </cell>
          <cell r="D241">
            <v>0</v>
          </cell>
        </row>
        <row r="242">
          <cell r="C242">
            <v>23417</v>
          </cell>
          <cell r="D242">
            <v>0</v>
          </cell>
        </row>
        <row r="243">
          <cell r="C243">
            <v>432000</v>
          </cell>
          <cell r="D243">
            <v>0</v>
          </cell>
        </row>
        <row r="244">
          <cell r="C244">
            <v>125732149</v>
          </cell>
          <cell r="D244">
            <v>0</v>
          </cell>
        </row>
        <row r="245">
          <cell r="C245">
            <v>55807267</v>
          </cell>
          <cell r="D245">
            <v>0</v>
          </cell>
        </row>
        <row r="246">
          <cell r="C246">
            <v>13080500</v>
          </cell>
          <cell r="D246">
            <v>0</v>
          </cell>
        </row>
        <row r="247">
          <cell r="C247">
            <v>233202993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166147044</v>
          </cell>
          <cell r="D250">
            <v>0</v>
          </cell>
        </row>
        <row r="251">
          <cell r="C251">
            <v>155040893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190287745</v>
          </cell>
          <cell r="D253">
            <v>92988796</v>
          </cell>
        </row>
        <row r="254">
          <cell r="C254">
            <v>125394504</v>
          </cell>
          <cell r="D254">
            <v>0</v>
          </cell>
        </row>
        <row r="255">
          <cell r="C255">
            <v>24964530</v>
          </cell>
          <cell r="D255">
            <v>0</v>
          </cell>
        </row>
        <row r="256">
          <cell r="C256">
            <v>4477275</v>
          </cell>
          <cell r="D256">
            <v>0</v>
          </cell>
        </row>
        <row r="257">
          <cell r="C257">
            <v>37446804</v>
          </cell>
          <cell r="D257">
            <v>0</v>
          </cell>
        </row>
        <row r="258">
          <cell r="C258">
            <v>6715912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84177016</v>
          </cell>
          <cell r="D261">
            <v>0</v>
          </cell>
        </row>
        <row r="262">
          <cell r="C262">
            <v>96974962</v>
          </cell>
          <cell r="D262">
            <v>0</v>
          </cell>
        </row>
        <row r="263">
          <cell r="C263">
            <v>3339256494</v>
          </cell>
          <cell r="D263">
            <v>0</v>
          </cell>
        </row>
        <row r="264">
          <cell r="C264">
            <v>16100905618.220333</v>
          </cell>
          <cell r="D264">
            <v>0</v>
          </cell>
        </row>
        <row r="265">
          <cell r="C265">
            <v>4274229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5278870</v>
          </cell>
          <cell r="D267">
            <v>0</v>
          </cell>
        </row>
        <row r="268">
          <cell r="C268">
            <v>7194650</v>
          </cell>
          <cell r="D268">
            <v>0</v>
          </cell>
        </row>
        <row r="269">
          <cell r="C269">
            <v>8250500</v>
          </cell>
          <cell r="D269">
            <v>0</v>
          </cell>
        </row>
        <row r="270">
          <cell r="C270">
            <v>57853001</v>
          </cell>
          <cell r="D270">
            <v>0</v>
          </cell>
        </row>
        <row r="271">
          <cell r="C271">
            <v>42837251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119915728</v>
          </cell>
          <cell r="D273">
            <v>119915728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241575664</v>
          </cell>
          <cell r="D279">
            <v>119110862</v>
          </cell>
        </row>
        <row r="280">
          <cell r="C280">
            <v>84866400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71120167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34090911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84017281</v>
          </cell>
          <cell r="D290">
            <v>0</v>
          </cell>
        </row>
        <row r="291">
          <cell r="C291">
            <v>97052632</v>
          </cell>
          <cell r="D291">
            <v>97052632</v>
          </cell>
        </row>
        <row r="292">
          <cell r="C292">
            <v>0</v>
          </cell>
          <cell r="D292">
            <v>0</v>
          </cell>
        </row>
        <row r="293">
          <cell r="C293">
            <v>57373352</v>
          </cell>
          <cell r="D293">
            <v>0</v>
          </cell>
        </row>
        <row r="294">
          <cell r="C294">
            <v>213269900</v>
          </cell>
          <cell r="D294">
            <v>0</v>
          </cell>
        </row>
        <row r="295">
          <cell r="C295">
            <v>2113301511</v>
          </cell>
          <cell r="D295">
            <v>0</v>
          </cell>
        </row>
        <row r="296">
          <cell r="C296">
            <v>67019425</v>
          </cell>
          <cell r="D296">
            <v>0</v>
          </cell>
        </row>
        <row r="297">
          <cell r="C297">
            <v>-40360196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1094920422</v>
          </cell>
          <cell r="D304">
            <v>0</v>
          </cell>
        </row>
        <row r="305">
          <cell r="C305">
            <v>745469237</v>
          </cell>
          <cell r="D305">
            <v>0</v>
          </cell>
        </row>
        <row r="306">
          <cell r="C306">
            <v>1560076842</v>
          </cell>
          <cell r="D306">
            <v>0</v>
          </cell>
        </row>
        <row r="307">
          <cell r="C307">
            <v>951867</v>
          </cell>
          <cell r="D307">
            <v>0</v>
          </cell>
        </row>
        <row r="308">
          <cell r="C308">
            <v>59293749</v>
          </cell>
          <cell r="D308">
            <v>0</v>
          </cell>
        </row>
        <row r="309">
          <cell r="C309">
            <v>24136441</v>
          </cell>
          <cell r="D309">
            <v>0</v>
          </cell>
        </row>
        <row r="310">
          <cell r="C310">
            <v>41939450</v>
          </cell>
          <cell r="D310">
            <v>0</v>
          </cell>
        </row>
        <row r="311">
          <cell r="C311">
            <v>6655276</v>
          </cell>
          <cell r="D311">
            <v>0</v>
          </cell>
        </row>
        <row r="312">
          <cell r="C312">
            <v>99727199</v>
          </cell>
          <cell r="D312">
            <v>0</v>
          </cell>
        </row>
        <row r="313">
          <cell r="C313">
            <v>83939661</v>
          </cell>
          <cell r="D313">
            <v>0</v>
          </cell>
        </row>
        <row r="314">
          <cell r="C314">
            <v>126578578</v>
          </cell>
          <cell r="D314">
            <v>0</v>
          </cell>
        </row>
        <row r="315">
          <cell r="C315">
            <v>51209282</v>
          </cell>
          <cell r="D315">
            <v>0</v>
          </cell>
        </row>
        <row r="316">
          <cell r="C316">
            <v>176610579</v>
          </cell>
          <cell r="D316">
            <v>0</v>
          </cell>
        </row>
        <row r="317">
          <cell r="C317">
            <v>162855241</v>
          </cell>
          <cell r="D317">
            <v>0</v>
          </cell>
        </row>
        <row r="318">
          <cell r="C318">
            <v>351595111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53559288</v>
          </cell>
          <cell r="D320">
            <v>0</v>
          </cell>
        </row>
        <row r="321">
          <cell r="C321">
            <v>44686061</v>
          </cell>
          <cell r="D321">
            <v>0</v>
          </cell>
        </row>
        <row r="322">
          <cell r="C322">
            <v>69046280</v>
          </cell>
          <cell r="D322">
            <v>0</v>
          </cell>
        </row>
        <row r="323">
          <cell r="C323">
            <v>129265815</v>
          </cell>
          <cell r="D323">
            <v>0</v>
          </cell>
        </row>
        <row r="324">
          <cell r="C324">
            <v>284422121</v>
          </cell>
          <cell r="D324">
            <v>0</v>
          </cell>
        </row>
        <row r="325">
          <cell r="C325">
            <v>34656518</v>
          </cell>
          <cell r="D325">
            <v>0</v>
          </cell>
        </row>
        <row r="326">
          <cell r="C326">
            <v>84468205</v>
          </cell>
          <cell r="D326">
            <v>84468205</v>
          </cell>
        </row>
        <row r="327">
          <cell r="C327">
            <v>52785053</v>
          </cell>
          <cell r="D327">
            <v>52785053</v>
          </cell>
        </row>
        <row r="328">
          <cell r="C328">
            <v>236261979</v>
          </cell>
          <cell r="D328">
            <v>236261979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811527609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114896942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172794852</v>
          </cell>
          <cell r="D346">
            <v>172794852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100940240</v>
          </cell>
          <cell r="D353">
            <v>0</v>
          </cell>
        </row>
        <row r="354">
          <cell r="C354">
            <v>133839600</v>
          </cell>
          <cell r="D354">
            <v>0</v>
          </cell>
        </row>
        <row r="355">
          <cell r="C355">
            <v>203832400</v>
          </cell>
          <cell r="D355">
            <v>0</v>
          </cell>
        </row>
        <row r="356">
          <cell r="C356">
            <v>93174260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10630000</v>
          </cell>
          <cell r="D358">
            <v>0</v>
          </cell>
        </row>
        <row r="359">
          <cell r="C359">
            <v>129985577</v>
          </cell>
          <cell r="D359">
            <v>0</v>
          </cell>
        </row>
        <row r="360">
          <cell r="C360">
            <v>217469634</v>
          </cell>
          <cell r="D360">
            <v>0</v>
          </cell>
        </row>
        <row r="361">
          <cell r="C361">
            <v>2075818</v>
          </cell>
          <cell r="D361">
            <v>0</v>
          </cell>
        </row>
        <row r="362">
          <cell r="C362">
            <v>14784079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368885</v>
          </cell>
          <cell r="D364">
            <v>0</v>
          </cell>
        </row>
        <row r="365">
          <cell r="C365">
            <v>107919738</v>
          </cell>
          <cell r="D365">
            <v>0</v>
          </cell>
        </row>
        <row r="366">
          <cell r="C366">
            <v>65782671</v>
          </cell>
          <cell r="D366">
            <v>0</v>
          </cell>
        </row>
        <row r="367">
          <cell r="C367">
            <v>215255008</v>
          </cell>
          <cell r="D367">
            <v>0</v>
          </cell>
        </row>
        <row r="368">
          <cell r="C368">
            <v>3887000</v>
          </cell>
          <cell r="D368">
            <v>0</v>
          </cell>
        </row>
        <row r="369">
          <cell r="C369">
            <v>20441000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81808672</v>
          </cell>
          <cell r="D375">
            <v>0</v>
          </cell>
        </row>
        <row r="376">
          <cell r="C376">
            <v>73685468</v>
          </cell>
          <cell r="D376">
            <v>0</v>
          </cell>
        </row>
        <row r="377">
          <cell r="C377">
            <v>206297067</v>
          </cell>
          <cell r="D377">
            <v>0</v>
          </cell>
        </row>
        <row r="378">
          <cell r="C378">
            <v>9967944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20946100</v>
          </cell>
          <cell r="D380">
            <v>0</v>
          </cell>
        </row>
        <row r="381">
          <cell r="C381">
            <v>117209953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25653922</v>
          </cell>
          <cell r="D388">
            <v>0</v>
          </cell>
        </row>
        <row r="389">
          <cell r="C389">
            <v>153814850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383576389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386270028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2">
          <cell r="C402">
            <v>18648192</v>
          </cell>
        </row>
        <row r="403">
          <cell r="C403">
            <v>4855333567</v>
          </cell>
        </row>
        <row r="405">
          <cell r="C405">
            <v>260565696</v>
          </cell>
          <cell r="D405">
            <v>0</v>
          </cell>
        </row>
        <row r="406">
          <cell r="C406">
            <v>499922117</v>
          </cell>
          <cell r="D406">
            <v>0</v>
          </cell>
        </row>
        <row r="407">
          <cell r="C407">
            <v>2733426879</v>
          </cell>
          <cell r="D407">
            <v>0</v>
          </cell>
        </row>
        <row r="408">
          <cell r="C408">
            <v>4999999.6666666716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3">
          <cell r="C413">
            <v>0</v>
          </cell>
          <cell r="D413">
            <v>10398997426</v>
          </cell>
        </row>
        <row r="414">
          <cell r="C414">
            <v>0</v>
          </cell>
          <cell r="D414">
            <v>283119136</v>
          </cell>
        </row>
        <row r="415">
          <cell r="C415">
            <v>0</v>
          </cell>
          <cell r="D415">
            <v>2503596837</v>
          </cell>
        </row>
        <row r="416">
          <cell r="C416">
            <v>712987398</v>
          </cell>
          <cell r="D416">
            <v>712987398</v>
          </cell>
        </row>
        <row r="417">
          <cell r="C417">
            <v>197343763</v>
          </cell>
          <cell r="D417">
            <v>6328387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63966505</v>
          </cell>
        </row>
        <row r="420">
          <cell r="C420">
            <v>0</v>
          </cell>
          <cell r="D420">
            <v>38459300</v>
          </cell>
        </row>
        <row r="421">
          <cell r="C421">
            <v>329908535</v>
          </cell>
          <cell r="D421">
            <v>329908535</v>
          </cell>
        </row>
        <row r="422">
          <cell r="C422">
            <v>401759085</v>
          </cell>
          <cell r="D422">
            <v>427652080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1838504891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65540707941</v>
          </cell>
        </row>
        <row r="431">
          <cell r="C431">
            <v>2130002564</v>
          </cell>
          <cell r="D431">
            <v>0</v>
          </cell>
        </row>
        <row r="432">
          <cell r="C432">
            <v>0</v>
          </cell>
          <cell r="D432">
            <v>23621906419</v>
          </cell>
        </row>
        <row r="433">
          <cell r="C433">
            <v>1330859041</v>
          </cell>
          <cell r="D433">
            <v>0</v>
          </cell>
        </row>
        <row r="434">
          <cell r="C434">
            <v>0</v>
          </cell>
          <cell r="D434">
            <v>331055258</v>
          </cell>
        </row>
        <row r="435">
          <cell r="C435">
            <v>0</v>
          </cell>
          <cell r="D435">
            <v>16100905618.220335</v>
          </cell>
        </row>
        <row r="436">
          <cell r="C436">
            <v>0</v>
          </cell>
          <cell r="D436">
            <v>4274229</v>
          </cell>
        </row>
        <row r="437">
          <cell r="C437">
            <v>9357508</v>
          </cell>
          <cell r="D437">
            <v>0</v>
          </cell>
        </row>
        <row r="438">
          <cell r="C438">
            <v>0</v>
          </cell>
          <cell r="D438">
            <v>3703658893.3276877</v>
          </cell>
        </row>
        <row r="439">
          <cell r="C439">
            <v>0</v>
          </cell>
          <cell r="D439">
            <v>0</v>
          </cell>
        </row>
        <row r="441">
          <cell r="C441">
            <v>0</v>
          </cell>
          <cell r="D441">
            <v>57638105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7">
          <cell r="C447">
            <v>0</v>
          </cell>
          <cell r="D447">
            <v>46752000</v>
          </cell>
        </row>
        <row r="448">
          <cell r="C448">
            <v>0</v>
          </cell>
          <cell r="D448">
            <v>0</v>
          </cell>
        </row>
        <row r="449">
          <cell r="C449">
            <v>49004326</v>
          </cell>
          <cell r="D449">
            <v>343030289</v>
          </cell>
        </row>
        <row r="450">
          <cell r="C450">
            <v>0</v>
          </cell>
          <cell r="D450">
            <v>58391100</v>
          </cell>
        </row>
        <row r="451">
          <cell r="C451">
            <v>0</v>
          </cell>
          <cell r="D451">
            <v>54258563</v>
          </cell>
        </row>
        <row r="454">
          <cell r="C454">
            <v>460177385</v>
          </cell>
          <cell r="D454">
            <v>608332929</v>
          </cell>
        </row>
        <row r="455">
          <cell r="C455">
            <v>1266757126</v>
          </cell>
          <cell r="D455">
            <v>1354342489</v>
          </cell>
        </row>
        <row r="456">
          <cell r="C456">
            <v>445591675</v>
          </cell>
          <cell r="D456">
            <v>419335050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42740440</v>
          </cell>
        </row>
        <row r="462">
          <cell r="C462">
            <v>0</v>
          </cell>
          <cell r="D462">
            <v>52858132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1700882731</v>
          </cell>
        </row>
        <row r="468">
          <cell r="C468">
            <v>0</v>
          </cell>
          <cell r="D468">
            <v>358266025</v>
          </cell>
        </row>
        <row r="469">
          <cell r="C469">
            <v>0</v>
          </cell>
          <cell r="D469">
            <v>106358290</v>
          </cell>
        </row>
        <row r="470">
          <cell r="C470">
            <v>0</v>
          </cell>
          <cell r="D470">
            <v>136840831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221083561</v>
          </cell>
        </row>
        <row r="476">
          <cell r="C476">
            <v>0</v>
          </cell>
          <cell r="D476">
            <v>231250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104333784</v>
          </cell>
        </row>
        <row r="481">
          <cell r="C481">
            <v>0</v>
          </cell>
          <cell r="D481">
            <v>181654234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966508568</v>
          </cell>
          <cell r="D499">
            <v>5261514110</v>
          </cell>
        </row>
        <row r="500">
          <cell r="C500">
            <v>97052632</v>
          </cell>
          <cell r="D500">
            <v>172052632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7605179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98418200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5050250983.75</v>
          </cell>
          <cell r="D523">
            <v>0</v>
          </cell>
        </row>
        <row r="524">
          <cell r="C524">
            <v>88183093</v>
          </cell>
          <cell r="D524">
            <v>88183093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 Commentaires  cumul"/>
      <sheetName val="Commentaires mois"/>
      <sheetName val="Résumé"/>
      <sheetName val="XMQ_Cumul"/>
      <sheetName val="XMQ Vs R2"/>
      <sheetName val="XMQ_Vs R2"/>
      <sheetName val="XMQ_Mois"/>
      <sheetName val="Bilan"/>
      <sheetName val="TER"/>
      <sheetName val="Intra groupe"/>
      <sheetName val="Exploitation"/>
      <sheetName val="Prod"/>
      <sheetName val="Ventes"/>
      <sheetName val="XMQ_Mensuel"/>
      <sheetName val="Invest"/>
      <sheetName val="Cessions"/>
      <sheetName val="Reconc_Emb"/>
      <sheetName val="DETAIL INV"/>
      <sheetName val="Amorts"/>
      <sheetName val="DGE"/>
      <sheetName val="Emprunts"/>
      <sheetName val="Provi"/>
      <sheetName val="Achat_Emb"/>
      <sheetName val="DETAIL PROV"/>
      <sheetName val="Chiff_d'Aff"/>
      <sheetName val="ANALYSE CA"/>
      <sheetName val="Stocks"/>
      <sheetName val="Détail Stocks"/>
      <sheetName val="Suivi_MP"/>
      <sheetName val="Tresor"/>
      <sheetName val="ANALYSE CONSO MPC"/>
      <sheetName val="Détail stock MPC"/>
      <sheetName val="Détail conso PR"/>
      <sheetName val="ANALYSE CONSO MPC Vs R2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F23">
            <v>770682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ARDE"/>
      <sheetName val="RUBRIQUE ETAT"/>
      <sheetName val="BilanN"/>
      <sheetName val="Feuil1"/>
      <sheetName val="CORRESPONDANCE TBS-BCR"/>
      <sheetName val="LIAISON TABLEAUX-ETATS"/>
      <sheetName val="CR N"/>
      <sheetName val="A NOUVEAUX"/>
      <sheetName val="FACTURES CLIENT"/>
      <sheetName val="FACTURES FOURNISSEURS"/>
      <sheetName val="SOUS_TRAITANTS"/>
      <sheetName val="COMPTA-ACOMPTES_SOUS_TRAITANTS"/>
      <sheetName val="IMMOBILISATIONS  "/>
      <sheetName val="LP 6 P MOIS 2025"/>
      <sheetName val="PAIE DETAILLE"/>
      <sheetName val="IMPOTS ET TAXES"/>
      <sheetName val="Feuil3"/>
      <sheetName val="CAISSE"/>
      <sheetName val="BANQUE"/>
      <sheetName val="TB OPE BRE"/>
    </sheetNames>
    <sheetDataSet>
      <sheetData sheetId="0">
        <row r="22">
          <cell r="D22" t="str">
            <v>KENAM SERVICES</v>
          </cell>
        </row>
      </sheetData>
      <sheetData sheetId="1">
        <row r="2">
          <cell r="C2" t="str">
            <v>ACTIF</v>
          </cell>
        </row>
        <row r="3">
          <cell r="C3" t="str">
            <v>Immobilisations incorporelles</v>
          </cell>
        </row>
        <row r="4">
          <cell r="C4" t="str">
            <v>Frais de développement et de prospection</v>
          </cell>
        </row>
        <row r="5">
          <cell r="C5" t="str">
            <v>Brevets, licences, logiciels,et droits similaires</v>
          </cell>
        </row>
        <row r="6">
          <cell r="C6" t="str">
            <v>Fonds commercial et droit au bail</v>
          </cell>
        </row>
        <row r="7">
          <cell r="C7" t="str">
            <v>Autres immobilisations incorporelles</v>
          </cell>
        </row>
        <row r="8">
          <cell r="C8" t="str">
            <v>Immobilisations corporelles</v>
          </cell>
        </row>
        <row r="9">
          <cell r="C9" t="str">
            <v>Terrains (1)                                            (1)dont Placement en  Net   ............. / .....................</v>
          </cell>
        </row>
        <row r="10">
          <cell r="C10" t="str">
            <v>Bâtiments                                              (1)dont Placement en Net   ............. / ..................</v>
          </cell>
        </row>
        <row r="11">
          <cell r="C11" t="str">
            <v>Aménagements,agencements et installations</v>
          </cell>
        </row>
        <row r="12">
          <cell r="C12" t="str">
            <v>Matériel,mobilier et actifs biologiques</v>
          </cell>
        </row>
        <row r="13">
          <cell r="C13" t="str">
            <v>Matériel de transport</v>
          </cell>
        </row>
        <row r="14">
          <cell r="C14" t="str">
            <v>Avances et acomptes versés sur immobilisations</v>
          </cell>
        </row>
        <row r="15">
          <cell r="C15" t="str">
            <v>Immobilisations financières</v>
          </cell>
        </row>
        <row r="16">
          <cell r="C16" t="str">
            <v>Titres de participation</v>
          </cell>
        </row>
        <row r="17">
          <cell r="C17" t="str">
            <v>Autres immobilisations financières</v>
          </cell>
        </row>
        <row r="18">
          <cell r="C18" t="str">
            <v>TOTAL ACTIF IMMOBILISÉ (I)</v>
          </cell>
        </row>
        <row r="19">
          <cell r="C19" t="str">
            <v>Actif circulant H.A.O.</v>
          </cell>
        </row>
        <row r="20">
          <cell r="C20" t="str">
            <v xml:space="preserve">Stocks et Encours </v>
          </cell>
        </row>
        <row r="21">
          <cell r="C21" t="str">
            <v>Créances et emplois assimilés</v>
          </cell>
        </row>
        <row r="22">
          <cell r="C22" t="str">
            <v>Fournisseurs, avances versées</v>
          </cell>
        </row>
        <row r="23">
          <cell r="C23" t="str">
            <v>Clients</v>
          </cell>
        </row>
        <row r="24">
          <cell r="C24" t="str">
            <v>Autres créances</v>
          </cell>
        </row>
        <row r="25">
          <cell r="C25" t="str">
            <v>TOTAL ACTIF CIRCULANT (II)</v>
          </cell>
        </row>
        <row r="26">
          <cell r="C26" t="str">
            <v>Titres de placement</v>
          </cell>
        </row>
        <row r="27">
          <cell r="C27" t="str">
            <v>Valeurs à encaisser</v>
          </cell>
        </row>
        <row r="28">
          <cell r="C28" t="str">
            <v>Banques, chèques postaux, caisse et assimilés</v>
          </cell>
        </row>
        <row r="29">
          <cell r="C29" t="str">
            <v>TOTAL TRÉSORERIE-ACTIF (III)</v>
          </cell>
        </row>
        <row r="30">
          <cell r="C30" t="str">
            <v>Écarts de conversion-Actif (IV) (perte probable de change)</v>
          </cell>
        </row>
        <row r="31">
          <cell r="C31" t="str">
            <v>TOTAL GÉNÉRAL (I + II + III + IV)</v>
          </cell>
        </row>
        <row r="32">
          <cell r="C32" t="str">
            <v>PASSIF (avant répartition)</v>
          </cell>
        </row>
        <row r="33">
          <cell r="C33" t="str">
            <v>CAPITAUX PROPRES ET RESSOURCES ASSIMILÉES</v>
          </cell>
        </row>
        <row r="34">
          <cell r="C34" t="str">
            <v>Capital</v>
          </cell>
        </row>
        <row r="35">
          <cell r="C35" t="str">
            <v>Apporteurs capital non appelé</v>
          </cell>
        </row>
        <row r="36">
          <cell r="C36" t="str">
            <v xml:space="preserve">Primes liées au capital social </v>
          </cell>
        </row>
        <row r="37">
          <cell r="C37" t="str">
            <v>Écarts de réévaluation</v>
          </cell>
        </row>
        <row r="38">
          <cell r="C38" t="str">
            <v>Réserves indisponibles</v>
          </cell>
        </row>
        <row r="39">
          <cell r="C39" t="str">
            <v>Réserves libres</v>
          </cell>
        </row>
        <row r="40">
          <cell r="C40" t="str">
            <v>Report à nouveau               + ou –</v>
          </cell>
        </row>
        <row r="41">
          <cell r="C41" t="str">
            <v>Résultat net de l'exercice (bénéfice + ou perte –)</v>
          </cell>
        </row>
        <row r="42">
          <cell r="C42" t="str">
            <v>Subventions d'investissement</v>
          </cell>
        </row>
        <row r="43">
          <cell r="C43" t="str">
            <v xml:space="preserve">Provisions réglementées </v>
          </cell>
        </row>
        <row r="44">
          <cell r="C44" t="str">
            <v>TOTAL CAPITAUX PROPRES (I)</v>
          </cell>
        </row>
        <row r="45">
          <cell r="C45" t="str">
            <v>Emprunts et dettes financières diverses</v>
          </cell>
        </row>
        <row r="46">
          <cell r="C46" t="str">
            <v xml:space="preserve">Dettes de location acquisition </v>
          </cell>
        </row>
        <row r="47">
          <cell r="C47" t="str">
            <v xml:space="preserve">Provisions pour risques et charges </v>
          </cell>
        </row>
        <row r="48">
          <cell r="C48" t="str">
            <v>TOTAL DETTES FINANCIÈRES ET RESSOURCES ASSIMILEES (II)</v>
          </cell>
        </row>
        <row r="49">
          <cell r="C49" t="str">
            <v xml:space="preserve">TOTAL RESSOURCES STABLES (I + II)  </v>
          </cell>
        </row>
        <row r="50">
          <cell r="C50" t="str">
            <v xml:space="preserve">Dettes circulantes H.A.O.et ressources assimilées </v>
          </cell>
        </row>
        <row r="51">
          <cell r="C51" t="str">
            <v>Clients, avances reçues</v>
          </cell>
        </row>
        <row r="52">
          <cell r="C52" t="str">
            <v>Fournisseurs d'exploitation</v>
          </cell>
        </row>
        <row r="53">
          <cell r="C53" t="str">
            <v xml:space="preserve">Dettes fiscales et sociales </v>
          </cell>
        </row>
        <row r="54">
          <cell r="C54" t="str">
            <v>Autres dettes</v>
          </cell>
        </row>
        <row r="55">
          <cell r="C55" t="str">
            <v xml:space="preserve">Provisions pour risques à court terme </v>
          </cell>
        </row>
        <row r="56">
          <cell r="C56" t="str">
            <v>TOTAL PASSIF CIRCULANT (III)</v>
          </cell>
        </row>
        <row r="57">
          <cell r="C57" t="str">
            <v>Banques, crédits d'escompte</v>
          </cell>
        </row>
        <row r="58">
          <cell r="C58" t="str">
            <v>Banques, établissements financiers et crédits de trésorerie</v>
          </cell>
        </row>
        <row r="59">
          <cell r="C59" t="str">
            <v>TOTAL TRÉSORERIE-PASSIF (IV)</v>
          </cell>
        </row>
        <row r="60">
          <cell r="C60" t="str">
            <v>Écarts de conversion-Passif (V) (gain probable de change)</v>
          </cell>
        </row>
        <row r="61">
          <cell r="C61" t="str">
            <v>TOTAL GÉNÉRAL (I + II + III + IV + V)</v>
          </cell>
        </row>
        <row r="62">
          <cell r="C62" t="str">
            <v>Rubriques</v>
          </cell>
        </row>
        <row r="63">
          <cell r="C63" t="str">
            <v>Ventes de marchandises</v>
          </cell>
        </row>
        <row r="64">
          <cell r="C64" t="str">
            <v>Achats de marchandises</v>
          </cell>
        </row>
        <row r="65">
          <cell r="C65" t="str">
            <v>Variation de stocks de marchandises</v>
          </cell>
        </row>
        <row r="66">
          <cell r="C66" t="str">
            <v>MARGE COMMERCIALE (SOMME TA à RB</v>
          </cell>
        </row>
        <row r="67">
          <cell r="C67" t="str">
            <v>Vente de produits fabriqués</v>
          </cell>
        </row>
        <row r="68">
          <cell r="C68" t="str">
            <v>Travaux, services vendus</v>
          </cell>
        </row>
        <row r="69">
          <cell r="C69" t="str">
            <v>Produits accessoires</v>
          </cell>
        </row>
        <row r="70">
          <cell r="C70" t="str">
            <v>CHIFFRE D'AFFAIRES (A + B + C + D)</v>
          </cell>
        </row>
        <row r="71">
          <cell r="C71" t="str">
            <v xml:space="preserve">Production stockée (ou déstockage) </v>
          </cell>
        </row>
        <row r="72">
          <cell r="C72" t="str">
            <v>Production immobilisée</v>
          </cell>
        </row>
        <row r="73">
          <cell r="C73" t="str">
            <v>Subventions d'exploitation</v>
          </cell>
        </row>
        <row r="74">
          <cell r="C74" t="str">
            <v xml:space="preserve">Autres produits </v>
          </cell>
        </row>
        <row r="75">
          <cell r="C75" t="str">
            <v>Transfert de charges d'exploitation</v>
          </cell>
        </row>
        <row r="76">
          <cell r="C76" t="str">
            <v>Achats de matières premières et fournitures liées</v>
          </cell>
        </row>
        <row r="77">
          <cell r="C77" t="str">
            <v>Variation de stocks de matières premières et fournitures liées</v>
          </cell>
        </row>
        <row r="78">
          <cell r="C78" t="str">
            <v>Autres achats</v>
          </cell>
        </row>
        <row r="79">
          <cell r="C79" t="str">
            <v>Variation de stocks d'autres approvisionnements</v>
          </cell>
        </row>
        <row r="80">
          <cell r="C80" t="str">
            <v>Transports</v>
          </cell>
        </row>
        <row r="81">
          <cell r="C81" t="str">
            <v>Services extérieurs</v>
          </cell>
        </row>
        <row r="82">
          <cell r="C82" t="str">
            <v>Impôts et taxes</v>
          </cell>
        </row>
        <row r="83">
          <cell r="C83" t="str">
            <v>Autres charges</v>
          </cell>
        </row>
        <row r="84">
          <cell r="C84" t="str">
            <v>VALEUR AJOUTEE  (XB + RA + RB) + (somme TE à RJ)</v>
          </cell>
        </row>
        <row r="85">
          <cell r="C85" t="str">
            <v>Charges de personnel(1)</v>
          </cell>
        </row>
        <row r="86">
          <cell r="C86" t="str">
            <v>EXCÉDENT BRUT D'EXPLOITATION (XC + RK)</v>
          </cell>
        </row>
        <row r="87">
          <cell r="C87" t="str">
            <v>Reprise d'amortissements, provisions et dépréciations</v>
          </cell>
        </row>
        <row r="88">
          <cell r="C88" t="str">
            <v>Dotations aux amortissements et aux provisions</v>
          </cell>
        </row>
        <row r="89">
          <cell r="C89" t="str">
            <v>RÉSULTAT D'EXPLOITATION (XD+TJ+ RL)</v>
          </cell>
        </row>
        <row r="90">
          <cell r="C90" t="str">
            <v>Revenus financiers et assimilés</v>
          </cell>
        </row>
        <row r="91">
          <cell r="C91" t="str">
            <v>Reprises de provisions et dépréciations financières</v>
          </cell>
        </row>
        <row r="92">
          <cell r="C92" t="str">
            <v>Transferts de charges financières</v>
          </cell>
        </row>
        <row r="93">
          <cell r="C93" t="str">
            <v>Frais financiers et charges assimilées</v>
          </cell>
        </row>
        <row r="94">
          <cell r="C94" t="str">
            <v>Dotations aux provisions et dépréciations financières</v>
          </cell>
        </row>
        <row r="95">
          <cell r="C95" t="str">
            <v>RESULTAT FINANCIER (somme TK à RN)</v>
          </cell>
        </row>
        <row r="96">
          <cell r="C96" t="str">
            <v>RESULTAT DES ACTIVITES ORDINAIRES (XE+XF)</v>
          </cell>
        </row>
        <row r="97">
          <cell r="C97" t="str">
            <v>Produit des cessions d'immobilisations</v>
          </cell>
        </row>
        <row r="98">
          <cell r="C98" t="str">
            <v>Autres produits HAO</v>
          </cell>
        </row>
        <row r="99">
          <cell r="C99" t="str">
            <v xml:space="preserve">Valeurs comptables des cessions d'immobilisations </v>
          </cell>
        </row>
        <row r="100">
          <cell r="C100" t="str">
            <v>Autres Charges H.A.O.</v>
          </cell>
        </row>
        <row r="101">
          <cell r="C101" t="str">
            <v>RESULTAT HORS ACTIVITES ORDINAIRES (somme
TN à RP)</v>
          </cell>
        </row>
        <row r="102">
          <cell r="C102" t="str">
            <v>Participation des travailleurs</v>
          </cell>
        </row>
        <row r="103">
          <cell r="C103" t="str">
            <v>Impôts sur le résultat</v>
          </cell>
        </row>
        <row r="104">
          <cell r="C104" t="str">
            <v>RESULTAT NET (XG + XH + RQ + RS)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Feuil8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 "/>
      <sheetName val="Ventes"/>
      <sheetName val="XMQ_Mensuel"/>
      <sheetName val="Invest"/>
      <sheetName val="Cessions"/>
      <sheetName val="Reconc_Emb7 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68938241</v>
          </cell>
        </row>
        <row r="40">
          <cell r="C40">
            <v>0</v>
          </cell>
        </row>
        <row r="41">
          <cell r="C41">
            <v>241121767</v>
          </cell>
        </row>
        <row r="42">
          <cell r="C42">
            <v>0</v>
          </cell>
        </row>
        <row r="43">
          <cell r="C43">
            <v>6000000</v>
          </cell>
        </row>
        <row r="44">
          <cell r="C44">
            <v>2780400000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285297517</v>
          </cell>
        </row>
        <row r="49">
          <cell r="C49">
            <v>10000000</v>
          </cell>
        </row>
        <row r="50">
          <cell r="C50">
            <v>25000000</v>
          </cell>
        </row>
        <row r="51">
          <cell r="C51">
            <v>35000000</v>
          </cell>
        </row>
        <row r="52">
          <cell r="C52">
            <v>20000000</v>
          </cell>
        </row>
        <row r="53">
          <cell r="C53">
            <v>15000000</v>
          </cell>
        </row>
        <row r="54">
          <cell r="C54">
            <v>12000000</v>
          </cell>
        </row>
        <row r="55">
          <cell r="C55">
            <v>0</v>
          </cell>
        </row>
        <row r="56">
          <cell r="C56">
            <v>385374191</v>
          </cell>
        </row>
        <row r="57">
          <cell r="C57">
            <v>56000000</v>
          </cell>
        </row>
        <row r="58">
          <cell r="C58">
            <v>46104682</v>
          </cell>
        </row>
        <row r="59">
          <cell r="C59">
            <v>434598876</v>
          </cell>
        </row>
        <row r="60">
          <cell r="C60">
            <v>1894532488</v>
          </cell>
        </row>
        <row r="61">
          <cell r="C61">
            <v>49000000</v>
          </cell>
        </row>
        <row r="62">
          <cell r="C62">
            <v>2559085832</v>
          </cell>
        </row>
        <row r="63">
          <cell r="C63">
            <v>39774639</v>
          </cell>
        </row>
        <row r="64">
          <cell r="C64">
            <v>2504199891</v>
          </cell>
        </row>
        <row r="65">
          <cell r="C65">
            <v>652927704</v>
          </cell>
        </row>
        <row r="66">
          <cell r="C66">
            <v>107919168</v>
          </cell>
        </row>
        <row r="67">
          <cell r="C67">
            <v>59651385</v>
          </cell>
        </row>
        <row r="68">
          <cell r="C68">
            <v>300355961</v>
          </cell>
        </row>
        <row r="69">
          <cell r="C69">
            <v>3458635</v>
          </cell>
        </row>
        <row r="70">
          <cell r="C70">
            <v>50836294</v>
          </cell>
        </row>
        <row r="71">
          <cell r="C71">
            <v>93725727</v>
          </cell>
        </row>
        <row r="72">
          <cell r="C72">
            <v>229806489</v>
          </cell>
        </row>
        <row r="73">
          <cell r="C73">
            <v>39528698</v>
          </cell>
        </row>
        <row r="74">
          <cell r="C74">
            <v>245799993</v>
          </cell>
        </row>
        <row r="75">
          <cell r="C75">
            <v>25047337</v>
          </cell>
        </row>
        <row r="76">
          <cell r="C76">
            <v>30480189</v>
          </cell>
        </row>
        <row r="77">
          <cell r="C77">
            <v>57978917</v>
          </cell>
        </row>
        <row r="78">
          <cell r="C78">
            <v>105000000</v>
          </cell>
        </row>
        <row r="79">
          <cell r="C79">
            <v>84941079</v>
          </cell>
        </row>
        <row r="80">
          <cell r="C80">
            <v>102413304</v>
          </cell>
        </row>
        <row r="81">
          <cell r="C81">
            <v>4055177</v>
          </cell>
        </row>
        <row r="82">
          <cell r="C82">
            <v>325767395</v>
          </cell>
        </row>
        <row r="83">
          <cell r="C83">
            <v>0</v>
          </cell>
        </row>
        <row r="84">
          <cell r="C84">
            <v>1070890776</v>
          </cell>
        </row>
        <row r="85">
          <cell r="C85">
            <v>181152496</v>
          </cell>
        </row>
        <row r="86">
          <cell r="C86">
            <v>161950577</v>
          </cell>
        </row>
        <row r="87">
          <cell r="C87">
            <v>0</v>
          </cell>
        </row>
        <row r="88">
          <cell r="C88">
            <v>7621671804</v>
          </cell>
        </row>
        <row r="89">
          <cell r="C89">
            <v>17138171114</v>
          </cell>
        </row>
        <row r="90">
          <cell r="C90">
            <v>1673013222</v>
          </cell>
        </row>
        <row r="91">
          <cell r="C91">
            <v>685405978</v>
          </cell>
        </row>
        <row r="92">
          <cell r="C92">
            <v>719939210</v>
          </cell>
        </row>
        <row r="93">
          <cell r="C93">
            <v>225516460</v>
          </cell>
        </row>
        <row r="94">
          <cell r="C94">
            <v>367085181</v>
          </cell>
        </row>
        <row r="95">
          <cell r="C95">
            <v>429903445</v>
          </cell>
        </row>
        <row r="96">
          <cell r="C96">
            <v>66492929</v>
          </cell>
        </row>
        <row r="97">
          <cell r="C97">
            <v>27396154</v>
          </cell>
        </row>
        <row r="98">
          <cell r="C98">
            <v>27157237</v>
          </cell>
        </row>
        <row r="99">
          <cell r="C99">
            <v>8639849</v>
          </cell>
        </row>
        <row r="100">
          <cell r="C100">
            <v>941890404</v>
          </cell>
        </row>
        <row r="101">
          <cell r="C101">
            <v>23361444</v>
          </cell>
        </row>
        <row r="102">
          <cell r="C102">
            <v>3109890</v>
          </cell>
        </row>
        <row r="103">
          <cell r="C103">
            <v>424952438</v>
          </cell>
        </row>
        <row r="104">
          <cell r="C104">
            <v>2738287511</v>
          </cell>
        </row>
        <row r="105">
          <cell r="C105">
            <v>1027839600</v>
          </cell>
        </row>
        <row r="106">
          <cell r="C106">
            <v>10375471</v>
          </cell>
        </row>
        <row r="107">
          <cell r="C107">
            <v>222045175</v>
          </cell>
        </row>
        <row r="108">
          <cell r="C108">
            <v>254643103</v>
          </cell>
        </row>
        <row r="109">
          <cell r="C109">
            <v>51260077</v>
          </cell>
        </row>
        <row r="110">
          <cell r="C110">
            <v>68886881</v>
          </cell>
        </row>
        <row r="111">
          <cell r="C111">
            <v>87292743</v>
          </cell>
        </row>
        <row r="112">
          <cell r="C112">
            <v>20280540</v>
          </cell>
        </row>
        <row r="113">
          <cell r="C113">
            <v>4299485</v>
          </cell>
        </row>
        <row r="114">
          <cell r="C114">
            <v>6995800</v>
          </cell>
        </row>
        <row r="115">
          <cell r="C115">
            <v>1901049233</v>
          </cell>
        </row>
        <row r="116">
          <cell r="C116">
            <v>3417802718</v>
          </cell>
        </row>
        <row r="117">
          <cell r="C117">
            <v>2827202713</v>
          </cell>
        </row>
        <row r="118">
          <cell r="C118">
            <v>418511398</v>
          </cell>
        </row>
        <row r="119">
          <cell r="C119">
            <v>828042106</v>
          </cell>
        </row>
        <row r="120">
          <cell r="C120">
            <v>146581823</v>
          </cell>
        </row>
        <row r="121">
          <cell r="C121">
            <v>485036582</v>
          </cell>
        </row>
        <row r="122">
          <cell r="C122">
            <v>470233955</v>
          </cell>
        </row>
        <row r="123">
          <cell r="C123">
            <v>113791130</v>
          </cell>
        </row>
        <row r="124">
          <cell r="C124">
            <v>63299011</v>
          </cell>
        </row>
        <row r="125">
          <cell r="C125">
            <v>34990726</v>
          </cell>
        </row>
        <row r="126">
          <cell r="C126">
            <v>15235209</v>
          </cell>
        </row>
        <row r="127">
          <cell r="C127">
            <v>13535035</v>
          </cell>
        </row>
        <row r="128">
          <cell r="C128">
            <v>29299462</v>
          </cell>
        </row>
        <row r="129">
          <cell r="C129">
            <v>183629040</v>
          </cell>
        </row>
        <row r="130">
          <cell r="C130">
            <v>543484096</v>
          </cell>
        </row>
        <row r="131">
          <cell r="C131">
            <v>1244491741</v>
          </cell>
        </row>
        <row r="132">
          <cell r="C132">
            <v>0</v>
          </cell>
        </row>
        <row r="133">
          <cell r="C133">
            <v>2811610263</v>
          </cell>
        </row>
        <row r="134">
          <cell r="C134">
            <v>2473206864</v>
          </cell>
        </row>
        <row r="135">
          <cell r="C135">
            <v>0</v>
          </cell>
        </row>
        <row r="136">
          <cell r="C136">
            <v>315408591</v>
          </cell>
        </row>
        <row r="137">
          <cell r="C137">
            <v>51272912</v>
          </cell>
        </row>
        <row r="138">
          <cell r="C138">
            <v>47518047</v>
          </cell>
        </row>
        <row r="139">
          <cell r="C139">
            <v>940606708</v>
          </cell>
        </row>
        <row r="140">
          <cell r="C140">
            <v>241354168</v>
          </cell>
        </row>
        <row r="141">
          <cell r="C141">
            <v>39428891</v>
          </cell>
        </row>
        <row r="142">
          <cell r="C142">
            <v>29527271</v>
          </cell>
        </row>
        <row r="143">
          <cell r="C143">
            <v>246241079</v>
          </cell>
        </row>
        <row r="144">
          <cell r="C144">
            <v>24113322</v>
          </cell>
        </row>
        <row r="145">
          <cell r="C145">
            <v>0</v>
          </cell>
        </row>
        <row r="146">
          <cell r="C146">
            <v>2059529154</v>
          </cell>
        </row>
        <row r="147">
          <cell r="C147">
            <v>788799041</v>
          </cell>
        </row>
        <row r="148">
          <cell r="C148">
            <v>327919523</v>
          </cell>
        </row>
        <row r="149">
          <cell r="C149">
            <v>203694346</v>
          </cell>
        </row>
        <row r="150">
          <cell r="C150">
            <v>0</v>
          </cell>
        </row>
        <row r="151">
          <cell r="C151">
            <v>312755545</v>
          </cell>
        </row>
        <row r="152">
          <cell r="C152">
            <v>2089304102</v>
          </cell>
        </row>
        <row r="153">
          <cell r="C153">
            <v>63645488</v>
          </cell>
        </row>
        <row r="154">
          <cell r="C154">
            <v>0</v>
          </cell>
        </row>
        <row r="155">
          <cell r="C155">
            <v>3224026933</v>
          </cell>
        </row>
        <row r="156">
          <cell r="C156">
            <v>0</v>
          </cell>
        </row>
        <row r="157">
          <cell r="C157">
            <v>9550000</v>
          </cell>
        </row>
        <row r="158">
          <cell r="C158">
            <v>3792250</v>
          </cell>
        </row>
        <row r="159">
          <cell r="C159">
            <v>1763534</v>
          </cell>
        </row>
        <row r="160">
          <cell r="C160">
            <v>7785000</v>
          </cell>
        </row>
        <row r="161">
          <cell r="C161">
            <v>8850000</v>
          </cell>
        </row>
        <row r="162">
          <cell r="C162">
            <v>200000</v>
          </cell>
        </row>
        <row r="163">
          <cell r="C163">
            <v>0</v>
          </cell>
        </row>
        <row r="164">
          <cell r="C164">
            <v>750000</v>
          </cell>
        </row>
        <row r="165">
          <cell r="C165">
            <v>58400000</v>
          </cell>
        </row>
        <row r="166">
          <cell r="C166">
            <v>100000000</v>
          </cell>
        </row>
        <row r="167">
          <cell r="C167">
            <v>2000000000</v>
          </cell>
        </row>
        <row r="168">
          <cell r="C168">
            <v>0</v>
          </cell>
        </row>
        <row r="169">
          <cell r="C169">
            <v>59063437</v>
          </cell>
        </row>
        <row r="170">
          <cell r="C170">
            <v>13944014</v>
          </cell>
        </row>
        <row r="171">
          <cell r="C171">
            <v>1824867</v>
          </cell>
        </row>
        <row r="172">
          <cell r="C172">
            <v>5731000</v>
          </cell>
        </row>
        <row r="173">
          <cell r="C173">
            <v>29581829</v>
          </cell>
        </row>
        <row r="174">
          <cell r="C174">
            <v>10884690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13368107</v>
          </cell>
        </row>
        <row r="201">
          <cell r="C201">
            <v>364029333</v>
          </cell>
        </row>
        <row r="202">
          <cell r="C202">
            <v>58388398</v>
          </cell>
        </row>
        <row r="203">
          <cell r="C203">
            <v>0</v>
          </cell>
        </row>
        <row r="204">
          <cell r="C204">
            <v>2911192625</v>
          </cell>
        </row>
        <row r="205">
          <cell r="C205">
            <v>131827314</v>
          </cell>
        </row>
        <row r="206">
          <cell r="C206">
            <v>2512254955</v>
          </cell>
        </row>
        <row r="207">
          <cell r="C207">
            <v>101706031</v>
          </cell>
        </row>
        <row r="208">
          <cell r="C208">
            <v>144117310</v>
          </cell>
        </row>
        <row r="209">
          <cell r="C209">
            <v>136257577</v>
          </cell>
        </row>
        <row r="210">
          <cell r="C210">
            <v>2189270987</v>
          </cell>
        </row>
        <row r="211">
          <cell r="C211">
            <v>10965521300</v>
          </cell>
        </row>
        <row r="212">
          <cell r="C212">
            <v>0</v>
          </cell>
        </row>
        <row r="213">
          <cell r="C213">
            <v>1295434554</v>
          </cell>
        </row>
        <row r="214">
          <cell r="C214">
            <v>0</v>
          </cell>
        </row>
        <row r="215">
          <cell r="C215">
            <v>570007530</v>
          </cell>
        </row>
        <row r="216">
          <cell r="C216">
            <v>312632125</v>
          </cell>
        </row>
        <row r="217">
          <cell r="C217">
            <v>0</v>
          </cell>
        </row>
        <row r="218">
          <cell r="C218">
            <v>263877246</v>
          </cell>
        </row>
        <row r="219">
          <cell r="C219">
            <v>2318386598</v>
          </cell>
        </row>
        <row r="220">
          <cell r="C220">
            <v>262498119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1500000000</v>
          </cell>
        </row>
        <row r="246">
          <cell r="C246">
            <v>608552045</v>
          </cell>
        </row>
        <row r="247">
          <cell r="C247">
            <v>17304742</v>
          </cell>
        </row>
        <row r="248">
          <cell r="C248">
            <v>0</v>
          </cell>
        </row>
        <row r="249">
          <cell r="C249">
            <v>2465119667</v>
          </cell>
        </row>
        <row r="250">
          <cell r="C250">
            <v>805880230</v>
          </cell>
        </row>
        <row r="251">
          <cell r="C251">
            <v>1711161327</v>
          </cell>
        </row>
        <row r="252">
          <cell r="C252">
            <v>1154969711</v>
          </cell>
        </row>
        <row r="253">
          <cell r="C253">
            <v>0</v>
          </cell>
        </row>
        <row r="254">
          <cell r="C254">
            <v>1365362470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26358290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11841000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30571497</v>
          </cell>
        </row>
        <row r="275">
          <cell r="C275">
            <v>13096164</v>
          </cell>
        </row>
        <row r="276">
          <cell r="C276">
            <v>9128115</v>
          </cell>
        </row>
        <row r="277">
          <cell r="C277">
            <v>33990478</v>
          </cell>
        </row>
        <row r="278">
          <cell r="C278">
            <v>52569750</v>
          </cell>
        </row>
        <row r="279">
          <cell r="C279">
            <v>33846639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17341752</v>
          </cell>
        </row>
        <row r="283">
          <cell r="C283">
            <v>0</v>
          </cell>
        </row>
        <row r="284">
          <cell r="C284">
            <v>20151416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76951824</v>
          </cell>
        </row>
        <row r="288">
          <cell r="C288">
            <v>0</v>
          </cell>
        </row>
        <row r="289">
          <cell r="C289">
            <v>4641326</v>
          </cell>
        </row>
        <row r="290">
          <cell r="C290">
            <v>33620330</v>
          </cell>
        </row>
        <row r="291">
          <cell r="C291">
            <v>168696127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7039105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19000</v>
          </cell>
        </row>
        <row r="302">
          <cell r="C302">
            <v>337161</v>
          </cell>
        </row>
        <row r="303">
          <cell r="C303">
            <v>5039463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223500</v>
          </cell>
        </row>
        <row r="308">
          <cell r="C308">
            <v>1107047</v>
          </cell>
        </row>
        <row r="309">
          <cell r="C309">
            <v>5697804</v>
          </cell>
        </row>
        <row r="310">
          <cell r="C310">
            <v>35615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8321917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650760000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13730017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17340</v>
          </cell>
        </row>
        <row r="351">
          <cell r="C351">
            <v>77012</v>
          </cell>
        </row>
        <row r="352">
          <cell r="C352">
            <v>33164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6810470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31792563</v>
          </cell>
        </row>
        <row r="368">
          <cell r="C368">
            <v>22235363</v>
          </cell>
        </row>
        <row r="369">
          <cell r="C369">
            <v>0</v>
          </cell>
        </row>
        <row r="370">
          <cell r="C370">
            <v>37226669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70146921</v>
          </cell>
        </row>
        <row r="394">
          <cell r="C394">
            <v>21267567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76200</v>
          </cell>
        </row>
        <row r="410">
          <cell r="C410">
            <v>0</v>
          </cell>
        </row>
        <row r="411">
          <cell r="C411">
            <v>2532500</v>
          </cell>
        </row>
        <row r="412">
          <cell r="C412">
            <v>1185000</v>
          </cell>
        </row>
        <row r="413">
          <cell r="C413">
            <v>0</v>
          </cell>
        </row>
        <row r="414">
          <cell r="C414">
            <v>15984722</v>
          </cell>
        </row>
        <row r="415">
          <cell r="C415">
            <v>1374667</v>
          </cell>
        </row>
        <row r="416">
          <cell r="C416">
            <v>0</v>
          </cell>
        </row>
        <row r="417">
          <cell r="C417">
            <v>776170488</v>
          </cell>
        </row>
        <row r="418">
          <cell r="C418">
            <v>31051595</v>
          </cell>
        </row>
        <row r="419">
          <cell r="C419">
            <v>6978367</v>
          </cell>
        </row>
        <row r="420">
          <cell r="C420">
            <v>0</v>
          </cell>
        </row>
        <row r="421">
          <cell r="C421">
            <v>6878945</v>
          </cell>
        </row>
        <row r="422">
          <cell r="C422">
            <v>1137756</v>
          </cell>
        </row>
        <row r="423">
          <cell r="C423">
            <v>11504700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1075396</v>
          </cell>
        </row>
        <row r="428">
          <cell r="C428">
            <v>3000000</v>
          </cell>
        </row>
        <row r="429">
          <cell r="C429">
            <v>0</v>
          </cell>
        </row>
        <row r="430">
          <cell r="C430">
            <v>577500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28872569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55045907</v>
          </cell>
        </row>
        <row r="441">
          <cell r="C441">
            <v>347098158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1655521532</v>
          </cell>
        </row>
        <row r="447">
          <cell r="C447">
            <v>0</v>
          </cell>
        </row>
        <row r="448">
          <cell r="C448">
            <v>83004125</v>
          </cell>
        </row>
        <row r="449">
          <cell r="C449">
            <v>0</v>
          </cell>
        </row>
        <row r="450">
          <cell r="C450">
            <v>324320995</v>
          </cell>
        </row>
        <row r="451">
          <cell r="C451">
            <v>73728172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100000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13110914811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101251665</v>
          </cell>
        </row>
        <row r="481">
          <cell r="C481">
            <v>19690192</v>
          </cell>
        </row>
        <row r="482">
          <cell r="C482">
            <v>5042951</v>
          </cell>
        </row>
        <row r="483">
          <cell r="C483">
            <v>42301751</v>
          </cell>
        </row>
        <row r="484">
          <cell r="C484">
            <v>0</v>
          </cell>
        </row>
        <row r="485">
          <cell r="C485">
            <v>17158674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49410307</v>
          </cell>
        </row>
        <row r="489">
          <cell r="C489">
            <v>51212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9949968</v>
          </cell>
        </row>
        <row r="500">
          <cell r="C500">
            <v>5131751</v>
          </cell>
        </row>
        <row r="501">
          <cell r="C501">
            <v>4018951</v>
          </cell>
        </row>
        <row r="502">
          <cell r="C502">
            <v>19254514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134020566165</v>
          </cell>
        </row>
        <row r="512">
          <cell r="C512">
            <v>0</v>
          </cell>
        </row>
      </sheetData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vpro04"/>
      <sheetName val="SYNTBG"/>
      <sheetName val="W6BAL09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dM_I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eview 1"/>
      <sheetName val="Emplois - ressources"/>
      <sheetName val="Comp."/>
      <sheetName val="XMQ2"/>
      <sheetName val="XMQ détails"/>
      <sheetName val="XMQ1"/>
      <sheetName val="Overheads"/>
      <sheetName val="St George"/>
      <sheetName val="Budget_AA4_01 "/>
      <sheetName val="Budget pers"/>
      <sheetName val="Komb"/>
      <sheetName val="FichPR Draft (2)"/>
      <sheetName val="FichPR Draft"/>
      <sheetName val="FPR Bati (2)"/>
      <sheetName val="FPR Bati"/>
      <sheetName val="FPR Castel (2)"/>
      <sheetName val="FPR Castel"/>
      <sheetName val="FPR StG (2)"/>
      <sheetName val="FPR StG"/>
      <sheetName val="FPR Guinness"/>
      <sheetName val="FPR Guinness (2)"/>
      <sheetName val="Data 1"/>
      <sheetName val="Data 2"/>
      <sheetName val="Data 3"/>
      <sheetName val="Volume_Draft R"/>
      <sheetName val="Volume_Draft"/>
      <sheetName val="Statrep"/>
      <sheetName val="FP_XMQ"/>
      <sheetName val="Feuil3"/>
      <sheetName val="Exist_BGI"/>
      <sheetName val="New_List"/>
      <sheetName val="LIST EMPL"/>
      <sheetName val="S&amp;M"/>
      <sheetName val="ADDIS"/>
      <sheetName val="Review"/>
      <sheetName val="Budget"/>
      <sheetName val="IN"/>
      <sheetName val="OUT"/>
      <sheetName val="Feuil1"/>
      <sheetName val="Executives"/>
      <sheetName val="Table"/>
      <sheetName val="Allowance"/>
      <sheetName val="Synthèse"/>
      <sheetName val="Job"/>
      <sheetName val="Unif"/>
      <sheetName val="Unif_UP"/>
      <sheetName val="Table (2)"/>
      <sheetName val="Sever"/>
      <sheetName val="sheet1"/>
      <sheetName val="Annex C"/>
      <sheetName val="Signif"/>
      <sheetName val="Scale"/>
      <sheetName val="Temp&amp;Daily"/>
      <sheetName val="Feuil1 (2)"/>
      <sheetName val="Recruit"/>
      <sheetName val="Executives (2)"/>
      <sheetName val="Grille JE-95-model"/>
      <sheetName val="Tables"/>
      <sheetName val="Unifo"/>
      <sheetName val="Unifo_UP"/>
      <sheetName val="Promotions"/>
      <sheetName val="2003actual"/>
      <sheetName val="Summary"/>
      <sheetName val="Rec Jan-Feb"/>
      <sheetName val=" Rec March"/>
      <sheetName val="Rec.April"/>
      <sheetName val="Rec.May"/>
      <sheetName val="Rec.June"/>
      <sheetName val="Rec,July"/>
      <sheetName val="Cummulative Rec"/>
      <sheetName val="ENTETE"/>
      <sheetName val="RESUME RESULTATS DU MOIS"/>
      <sheetName val="INFO TECH &amp; BRASSICOLES"/>
      <sheetName val="PRESENTATION FABRICATION BIERE"/>
      <sheetName val="Table des matières"/>
      <sheetName val="Base théoriques bières"/>
      <sheetName val="cumul brassage"/>
      <sheetName val="FREINTES LIQUIDES MENSUELLE"/>
      <sheetName val="GALA"/>
      <sheetName val="CHARI "/>
      <sheetName val="MALTINA"/>
      <sheetName val="cumul global"/>
      <sheetName val="freintes extraits annuelle"/>
      <sheetName val="freintes extraits mens"/>
      <sheetName val="Evolution freinte Bière"/>
      <sheetName val="PRESENTATION EMBOUTEIL"/>
      <sheetName val="prod mens"/>
      <sheetName val="prod annuelle"/>
      <sheetName val="rendt"/>
      <sheetName val="Graph1"/>
      <sheetName val="H TRAVAIL PANNE"/>
      <sheetName val="suivi casse en bout"/>
      <sheetName val="suivi casse GM"/>
      <sheetName val="suivi casse PM "/>
      <sheetName val="PRESENTATION MPC"/>
      <sheetName val="mp principales"/>
      <sheetName val="brassage filtration"/>
      <sheetName val="embouteillage"/>
      <sheetName val="cumul embout"/>
      <sheetName val="PRESENTATION BG"/>
      <sheetName val="Standard BG"/>
      <sheetName val="Ratios"/>
      <sheetName val="Versem.BG"/>
      <sheetName val="Modèle BG"/>
      <sheetName val="BG-BGI (1)"/>
      <sheetName val="Evolution freinte BG"/>
      <sheetName val="ConsoBG"/>
      <sheetName val="PROD BG 2008"/>
      <sheetName val="PRESENTATION ENERGIES-"/>
      <sheetName val="Eneg2008 (2)"/>
      <sheetName val="ENERGIES (2)"/>
      <sheetName val="eau (2)"/>
      <sheetName val="Kwh-cons (2)"/>
      <sheetName val="Cout kwh (2)"/>
      <sheetName val="Gasoil  2008 (2)"/>
      <sheetName val="Invent aire 2008"/>
      <sheetName val="Graph electricite (2)"/>
      <sheetName val="GrapKWH"/>
      <sheetName val="Graph chaudiere"/>
      <sheetName val="Grap GRPES 08 (2)"/>
      <sheetName val="GrapCHD07 (2)"/>
      <sheetName val="GraphEAU"/>
      <sheetName val="Graph1 (2)"/>
      <sheetName val="Co2   08 (2)"/>
      <sheetName val="ENTR. PLANI. 2008"/>
      <sheetName val="GraphEP 2008"/>
      <sheetName val="GraphBdT 2008"/>
      <sheetName val="ClUb lgo (2)"/>
      <sheetName val="PRESENTATION SERV. GENERAUX"/>
      <sheetName val="PROD FAB GLACE"/>
      <sheetName val="Cons FAB GLACE"/>
      <sheetName val="Coû d'Achat PR"/>
      <sheetName val="Cumul Depens Véhic."/>
      <sheetName val="Depense mois (BT+ DAL)"/>
      <sheetName val="PR &amp; HYDROC FEV (2)"/>
      <sheetName val="CUMUL PR &amp; HYDROC 2008"/>
      <sheetName val="STOCK BROYAT CASIERS"/>
      <sheetName val="EVOLUTION BUDGET 2008"/>
      <sheetName val="GraInvest08 (2)"/>
      <sheetName val="SUIVI COMMANDE-STOCK"/>
      <sheetName val="ETAT STOCK SACO"/>
      <sheetName val="SUIVI STOCK MPC"/>
      <sheetName val="STOCK -COUVERTURE-SUIVI CDE "/>
      <sheetName val="CDES TEC RECUES-COUT"/>
      <sheetName val="PRESENTATION CONTROLE QUALITE"/>
      <sheetName val="IQ BIERE 2008"/>
      <sheetName val="Moy MoisCQ BG"/>
      <sheetName val="Gala 2008"/>
      <sheetName val="Chari 2008"/>
      <sheetName val="HEURES SUP."/>
      <sheetName val="HEURES SUP 2008"/>
      <sheetName val="GRAPHIQ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>
        <row r="3">
          <cell r="E3" t="str">
            <v>K82</v>
          </cell>
          <cell r="AA3">
            <v>0</v>
          </cell>
        </row>
        <row r="4">
          <cell r="AA4">
            <v>370</v>
          </cell>
        </row>
        <row r="5">
          <cell r="AA5">
            <v>370</v>
          </cell>
        </row>
        <row r="6">
          <cell r="AA6">
            <v>370</v>
          </cell>
        </row>
        <row r="7">
          <cell r="AA7">
            <v>320</v>
          </cell>
        </row>
        <row r="8">
          <cell r="AA8">
            <v>370</v>
          </cell>
        </row>
        <row r="9">
          <cell r="AA9">
            <v>370</v>
          </cell>
        </row>
        <row r="10">
          <cell r="AA10">
            <v>370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635</v>
          </cell>
        </row>
        <row r="17">
          <cell r="AA17">
            <v>1075</v>
          </cell>
        </row>
        <row r="18">
          <cell r="AA18">
            <v>635</v>
          </cell>
        </row>
        <row r="19">
          <cell r="AA19">
            <v>635</v>
          </cell>
        </row>
        <row r="20">
          <cell r="AA20">
            <v>1075</v>
          </cell>
        </row>
        <row r="21">
          <cell r="AA21">
            <v>1075</v>
          </cell>
        </row>
        <row r="22">
          <cell r="AA22">
            <v>1075</v>
          </cell>
        </row>
        <row r="23">
          <cell r="AA23">
            <v>1075</v>
          </cell>
        </row>
        <row r="24">
          <cell r="AA24">
            <v>1075</v>
          </cell>
        </row>
        <row r="25">
          <cell r="AA25">
            <v>1075</v>
          </cell>
        </row>
        <row r="26">
          <cell r="AA26">
            <v>1075</v>
          </cell>
        </row>
        <row r="27">
          <cell r="AA27">
            <v>1075</v>
          </cell>
        </row>
        <row r="28">
          <cell r="AA28">
            <v>1075</v>
          </cell>
        </row>
        <row r="29">
          <cell r="AA29">
            <v>1075</v>
          </cell>
        </row>
        <row r="30">
          <cell r="AA30">
            <v>1075</v>
          </cell>
        </row>
        <row r="31">
          <cell r="AA31">
            <v>1075</v>
          </cell>
        </row>
        <row r="32">
          <cell r="AA32">
            <v>1075</v>
          </cell>
        </row>
        <row r="33">
          <cell r="AA33">
            <v>1075</v>
          </cell>
        </row>
        <row r="34">
          <cell r="AA34">
            <v>485</v>
          </cell>
        </row>
        <row r="35">
          <cell r="AA35">
            <v>320</v>
          </cell>
        </row>
        <row r="36">
          <cell r="AA36">
            <v>330</v>
          </cell>
        </row>
        <row r="37">
          <cell r="AA37">
            <v>0</v>
          </cell>
        </row>
        <row r="38">
          <cell r="AA38">
            <v>1075</v>
          </cell>
        </row>
        <row r="39">
          <cell r="AA39">
            <v>320</v>
          </cell>
        </row>
        <row r="40">
          <cell r="AA40">
            <v>320</v>
          </cell>
        </row>
        <row r="41">
          <cell r="AA41">
            <v>485</v>
          </cell>
        </row>
        <row r="42">
          <cell r="AA42">
            <v>320</v>
          </cell>
        </row>
        <row r="43">
          <cell r="AA43">
            <v>0</v>
          </cell>
        </row>
        <row r="44">
          <cell r="AA44">
            <v>635</v>
          </cell>
        </row>
        <row r="45">
          <cell r="AA45">
            <v>750</v>
          </cell>
        </row>
        <row r="46">
          <cell r="AA46">
            <v>750</v>
          </cell>
        </row>
        <row r="47">
          <cell r="AA47">
            <v>650</v>
          </cell>
        </row>
        <row r="48">
          <cell r="AA48">
            <v>715</v>
          </cell>
        </row>
        <row r="49">
          <cell r="AA49">
            <v>715</v>
          </cell>
        </row>
        <row r="50">
          <cell r="AA50">
            <v>715</v>
          </cell>
        </row>
        <row r="51">
          <cell r="AA51">
            <v>715</v>
          </cell>
        </row>
        <row r="52">
          <cell r="AA52">
            <v>715</v>
          </cell>
        </row>
        <row r="53">
          <cell r="AA53">
            <v>180</v>
          </cell>
        </row>
        <row r="54">
          <cell r="AA54">
            <v>715</v>
          </cell>
        </row>
        <row r="55">
          <cell r="AA55">
            <v>500</v>
          </cell>
        </row>
        <row r="56">
          <cell r="AA56">
            <v>585</v>
          </cell>
        </row>
        <row r="57">
          <cell r="AA57">
            <v>585</v>
          </cell>
        </row>
        <row r="58">
          <cell r="AA58">
            <v>585</v>
          </cell>
        </row>
        <row r="59">
          <cell r="AA59">
            <v>585</v>
          </cell>
        </row>
        <row r="60">
          <cell r="AA60">
            <v>585</v>
          </cell>
        </row>
        <row r="61">
          <cell r="AA61">
            <v>750</v>
          </cell>
        </row>
        <row r="62">
          <cell r="AA62">
            <v>500</v>
          </cell>
        </row>
        <row r="63">
          <cell r="AA63">
            <v>500</v>
          </cell>
        </row>
        <row r="64">
          <cell r="AA64">
            <v>500</v>
          </cell>
        </row>
        <row r="65">
          <cell r="AA65">
            <v>500</v>
          </cell>
        </row>
        <row r="66">
          <cell r="AA66">
            <v>500</v>
          </cell>
        </row>
        <row r="67">
          <cell r="AA67">
            <v>500</v>
          </cell>
        </row>
        <row r="68">
          <cell r="AA68">
            <v>704</v>
          </cell>
        </row>
        <row r="69">
          <cell r="AA69">
            <v>704</v>
          </cell>
        </row>
        <row r="70">
          <cell r="AA70">
            <v>704</v>
          </cell>
        </row>
        <row r="71">
          <cell r="AA71">
            <v>704</v>
          </cell>
        </row>
        <row r="72">
          <cell r="AA72">
            <v>715</v>
          </cell>
        </row>
        <row r="73">
          <cell r="AA73">
            <v>715</v>
          </cell>
        </row>
        <row r="74">
          <cell r="AA74">
            <v>715</v>
          </cell>
        </row>
        <row r="75">
          <cell r="AA75">
            <v>180</v>
          </cell>
        </row>
        <row r="76">
          <cell r="AA76">
            <v>320</v>
          </cell>
        </row>
        <row r="77">
          <cell r="AA77">
            <v>585</v>
          </cell>
        </row>
        <row r="78">
          <cell r="AA78">
            <v>0</v>
          </cell>
        </row>
        <row r="79">
          <cell r="AA79">
            <v>995</v>
          </cell>
        </row>
        <row r="80">
          <cell r="AA80">
            <v>575</v>
          </cell>
        </row>
        <row r="81">
          <cell r="AA81">
            <v>590</v>
          </cell>
        </row>
        <row r="82">
          <cell r="AA82">
            <v>590</v>
          </cell>
        </row>
        <row r="83">
          <cell r="AA83">
            <v>655</v>
          </cell>
        </row>
        <row r="84">
          <cell r="AA84">
            <v>575</v>
          </cell>
        </row>
        <row r="85">
          <cell r="AA85">
            <v>495</v>
          </cell>
        </row>
        <row r="86">
          <cell r="AA86">
            <v>515</v>
          </cell>
        </row>
        <row r="87">
          <cell r="AA87">
            <v>715</v>
          </cell>
        </row>
        <row r="88">
          <cell r="AA88">
            <v>570</v>
          </cell>
        </row>
        <row r="89">
          <cell r="AA89">
            <v>785</v>
          </cell>
        </row>
        <row r="90">
          <cell r="AA90">
            <v>570</v>
          </cell>
        </row>
        <row r="91">
          <cell r="AA91">
            <v>995</v>
          </cell>
        </row>
        <row r="92">
          <cell r="AA92">
            <v>715</v>
          </cell>
        </row>
        <row r="93">
          <cell r="AA93">
            <v>995</v>
          </cell>
        </row>
        <row r="94">
          <cell r="AA94">
            <v>780</v>
          </cell>
        </row>
        <row r="95">
          <cell r="AA95">
            <v>485</v>
          </cell>
        </row>
        <row r="96">
          <cell r="AA96">
            <v>995</v>
          </cell>
        </row>
        <row r="97">
          <cell r="AA97">
            <v>995</v>
          </cell>
        </row>
        <row r="98">
          <cell r="AA98">
            <v>411</v>
          </cell>
        </row>
        <row r="99">
          <cell r="AA99">
            <v>555</v>
          </cell>
        </row>
        <row r="100">
          <cell r="AA100">
            <v>585</v>
          </cell>
        </row>
        <row r="101">
          <cell r="AA101">
            <v>585</v>
          </cell>
        </row>
        <row r="102">
          <cell r="AA102">
            <v>585</v>
          </cell>
        </row>
        <row r="103">
          <cell r="AA103">
            <v>515</v>
          </cell>
        </row>
        <row r="104">
          <cell r="AA104">
            <v>540</v>
          </cell>
        </row>
        <row r="105">
          <cell r="AA105">
            <v>515</v>
          </cell>
        </row>
        <row r="106">
          <cell r="AA106">
            <v>515</v>
          </cell>
        </row>
        <row r="107">
          <cell r="AA107">
            <v>330</v>
          </cell>
        </row>
        <row r="108">
          <cell r="AA108">
            <v>320</v>
          </cell>
        </row>
        <row r="109">
          <cell r="AA109">
            <v>320</v>
          </cell>
        </row>
        <row r="110">
          <cell r="AA110">
            <v>330</v>
          </cell>
        </row>
        <row r="111">
          <cell r="AA111">
            <v>540</v>
          </cell>
        </row>
        <row r="112">
          <cell r="AA112">
            <v>585</v>
          </cell>
        </row>
        <row r="113">
          <cell r="AA113">
            <v>585</v>
          </cell>
        </row>
        <row r="114">
          <cell r="AA114">
            <v>585</v>
          </cell>
        </row>
        <row r="115">
          <cell r="AA115">
            <v>585</v>
          </cell>
        </row>
        <row r="116">
          <cell r="AA116">
            <v>585</v>
          </cell>
        </row>
        <row r="117">
          <cell r="AA117">
            <v>585</v>
          </cell>
        </row>
        <row r="118">
          <cell r="AA118">
            <v>585</v>
          </cell>
        </row>
        <row r="119">
          <cell r="AA119">
            <v>585</v>
          </cell>
        </row>
        <row r="120">
          <cell r="AA120">
            <v>585</v>
          </cell>
        </row>
        <row r="121">
          <cell r="AA121">
            <v>585</v>
          </cell>
        </row>
        <row r="122">
          <cell r="AA122">
            <v>585</v>
          </cell>
        </row>
        <row r="123">
          <cell r="AA123">
            <v>585</v>
          </cell>
        </row>
        <row r="124">
          <cell r="AA124">
            <v>585</v>
          </cell>
        </row>
        <row r="125">
          <cell r="AA125">
            <v>515</v>
          </cell>
        </row>
        <row r="126">
          <cell r="AA126">
            <v>515</v>
          </cell>
        </row>
        <row r="127">
          <cell r="AA127">
            <v>515</v>
          </cell>
        </row>
        <row r="128">
          <cell r="AA128">
            <v>320</v>
          </cell>
        </row>
        <row r="129">
          <cell r="AA129">
            <v>320</v>
          </cell>
        </row>
        <row r="130">
          <cell r="AA130">
            <v>585</v>
          </cell>
        </row>
        <row r="134">
          <cell r="N134">
            <v>300</v>
          </cell>
        </row>
        <row r="135">
          <cell r="N135">
            <v>300</v>
          </cell>
        </row>
        <row r="136">
          <cell r="N136">
            <v>300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>
        <row r="3">
          <cell r="D3" t="str">
            <v>Admin AA</v>
          </cell>
          <cell r="H3">
            <v>1</v>
          </cell>
          <cell r="AY3">
            <v>0</v>
          </cell>
        </row>
        <row r="4">
          <cell r="D4" t="str">
            <v>Admin AA</v>
          </cell>
          <cell r="H4">
            <v>1</v>
          </cell>
          <cell r="AY4">
            <v>0</v>
          </cell>
        </row>
        <row r="5">
          <cell r="D5" t="str">
            <v>Admin AA</v>
          </cell>
          <cell r="H5">
            <v>1</v>
          </cell>
          <cell r="AY5">
            <v>208</v>
          </cell>
        </row>
        <row r="6">
          <cell r="D6" t="str">
            <v>Admin AA</v>
          </cell>
          <cell r="H6">
            <v>1</v>
          </cell>
          <cell r="AY6">
            <v>208</v>
          </cell>
        </row>
        <row r="7">
          <cell r="D7" t="str">
            <v>Admin AA</v>
          </cell>
          <cell r="H7">
            <v>1</v>
          </cell>
          <cell r="AY7">
            <v>0</v>
          </cell>
        </row>
        <row r="8">
          <cell r="D8" t="str">
            <v>Admin AA</v>
          </cell>
          <cell r="H8">
            <v>1</v>
          </cell>
          <cell r="AY8">
            <v>208</v>
          </cell>
        </row>
        <row r="9">
          <cell r="D9" t="str">
            <v>Admin AA</v>
          </cell>
          <cell r="H9">
            <v>1</v>
          </cell>
          <cell r="AY9">
            <v>208</v>
          </cell>
        </row>
        <row r="10">
          <cell r="D10" t="str">
            <v>Admin AA</v>
          </cell>
          <cell r="H10">
            <v>1</v>
          </cell>
          <cell r="AY10">
            <v>0</v>
          </cell>
        </row>
        <row r="11">
          <cell r="D11" t="str">
            <v>Admin AA</v>
          </cell>
          <cell r="H11">
            <v>1</v>
          </cell>
          <cell r="AY11">
            <v>238</v>
          </cell>
        </row>
        <row r="12">
          <cell r="D12" t="str">
            <v>Admin AA</v>
          </cell>
          <cell r="H12">
            <v>1</v>
          </cell>
          <cell r="AY12">
            <v>0</v>
          </cell>
        </row>
        <row r="13">
          <cell r="D13" t="str">
            <v>Admin AA</v>
          </cell>
          <cell r="H13">
            <v>1</v>
          </cell>
          <cell r="AY13">
            <v>0</v>
          </cell>
        </row>
        <row r="14">
          <cell r="D14" t="str">
            <v>Admin AA</v>
          </cell>
          <cell r="H14">
            <v>1</v>
          </cell>
          <cell r="AY14">
            <v>0</v>
          </cell>
        </row>
        <row r="15">
          <cell r="D15" t="str">
            <v>Admin AA</v>
          </cell>
          <cell r="H15">
            <v>1</v>
          </cell>
          <cell r="AY15">
            <v>238</v>
          </cell>
        </row>
        <row r="16">
          <cell r="D16" t="str">
            <v>Admin AA</v>
          </cell>
          <cell r="H16">
            <v>1</v>
          </cell>
          <cell r="AY16">
            <v>238</v>
          </cell>
        </row>
        <row r="17">
          <cell r="D17" t="str">
            <v>Admin AA</v>
          </cell>
          <cell r="H17">
            <v>1</v>
          </cell>
          <cell r="AY17">
            <v>455</v>
          </cell>
        </row>
        <row r="18">
          <cell r="D18" t="str">
            <v>Admin AA</v>
          </cell>
          <cell r="H18">
            <v>1</v>
          </cell>
          <cell r="AY18">
            <v>455</v>
          </cell>
        </row>
        <row r="19">
          <cell r="D19" t="str">
            <v>Admin AA</v>
          </cell>
          <cell r="H19">
            <v>1</v>
          </cell>
          <cell r="AY19">
            <v>208</v>
          </cell>
        </row>
        <row r="20">
          <cell r="D20" t="str">
            <v>Admin AA</v>
          </cell>
          <cell r="H20">
            <v>1</v>
          </cell>
          <cell r="AY20">
            <v>455</v>
          </cell>
        </row>
        <row r="21">
          <cell r="D21" t="str">
            <v>Admin AA</v>
          </cell>
          <cell r="H21">
            <v>1</v>
          </cell>
          <cell r="AY21">
            <v>455</v>
          </cell>
        </row>
        <row r="22">
          <cell r="D22" t="str">
            <v>Admin AA</v>
          </cell>
          <cell r="H22">
            <v>1</v>
          </cell>
          <cell r="AY22">
            <v>455</v>
          </cell>
        </row>
        <row r="23">
          <cell r="D23" t="str">
            <v>Admin AA</v>
          </cell>
          <cell r="H23">
            <v>1</v>
          </cell>
          <cell r="AY23">
            <v>455</v>
          </cell>
        </row>
        <row r="24">
          <cell r="D24" t="str">
            <v>Admin AA</v>
          </cell>
          <cell r="H24">
            <v>1</v>
          </cell>
          <cell r="AY24">
            <v>455</v>
          </cell>
        </row>
        <row r="25">
          <cell r="D25" t="str">
            <v>Admin AA</v>
          </cell>
          <cell r="H25">
            <v>1</v>
          </cell>
          <cell r="AY25">
            <v>455</v>
          </cell>
        </row>
        <row r="26">
          <cell r="D26" t="str">
            <v>Admin AA</v>
          </cell>
          <cell r="H26">
            <v>1</v>
          </cell>
          <cell r="AY26">
            <v>455</v>
          </cell>
        </row>
        <row r="27">
          <cell r="D27" t="str">
            <v>Admin AA</v>
          </cell>
          <cell r="H27">
            <v>1</v>
          </cell>
          <cell r="AY27">
            <v>455</v>
          </cell>
        </row>
        <row r="28">
          <cell r="D28" t="str">
            <v>Admin AA</v>
          </cell>
          <cell r="H28">
            <v>1</v>
          </cell>
          <cell r="AY28">
            <v>455</v>
          </cell>
        </row>
        <row r="29">
          <cell r="D29" t="str">
            <v>Admin AA</v>
          </cell>
          <cell r="H29">
            <v>1</v>
          </cell>
          <cell r="AY29">
            <v>455</v>
          </cell>
        </row>
        <row r="30">
          <cell r="D30" t="str">
            <v>Admin AA</v>
          </cell>
          <cell r="H30">
            <v>1</v>
          </cell>
          <cell r="AY30">
            <v>455</v>
          </cell>
        </row>
        <row r="31">
          <cell r="D31" t="str">
            <v>Admin AA</v>
          </cell>
          <cell r="H31">
            <v>1</v>
          </cell>
          <cell r="AY31">
            <v>455</v>
          </cell>
        </row>
        <row r="32">
          <cell r="D32" t="str">
            <v>Admin AA</v>
          </cell>
          <cell r="H32">
            <v>1</v>
          </cell>
          <cell r="AY32">
            <v>455</v>
          </cell>
        </row>
        <row r="33">
          <cell r="D33" t="str">
            <v>Admin AA</v>
          </cell>
          <cell r="H33">
            <v>1</v>
          </cell>
          <cell r="AY33">
            <v>455</v>
          </cell>
        </row>
        <row r="34">
          <cell r="D34" t="str">
            <v>Admin AA</v>
          </cell>
          <cell r="H34">
            <v>1</v>
          </cell>
          <cell r="AY34">
            <v>455</v>
          </cell>
        </row>
        <row r="35">
          <cell r="D35" t="str">
            <v>Admin AA</v>
          </cell>
          <cell r="H35">
            <v>1</v>
          </cell>
          <cell r="AY35">
            <v>455</v>
          </cell>
        </row>
        <row r="36">
          <cell r="D36" t="str">
            <v>Admin AA</v>
          </cell>
          <cell r="H36">
            <v>1</v>
          </cell>
          <cell r="AY36">
            <v>455</v>
          </cell>
        </row>
        <row r="37">
          <cell r="D37" t="str">
            <v>Admin AA</v>
          </cell>
          <cell r="H37">
            <v>1</v>
          </cell>
          <cell r="AY37">
            <v>455</v>
          </cell>
        </row>
        <row r="38">
          <cell r="D38" t="str">
            <v>Admin AA</v>
          </cell>
          <cell r="H38">
            <v>1</v>
          </cell>
          <cell r="AY38">
            <v>455</v>
          </cell>
        </row>
        <row r="39">
          <cell r="D39" t="str">
            <v>Admin AA</v>
          </cell>
          <cell r="H39">
            <v>1</v>
          </cell>
          <cell r="AY39">
            <v>455</v>
          </cell>
        </row>
        <row r="40">
          <cell r="D40" t="str">
            <v>Admin AA</v>
          </cell>
          <cell r="H40">
            <v>1</v>
          </cell>
          <cell r="AY40">
            <v>455</v>
          </cell>
        </row>
        <row r="41">
          <cell r="D41" t="str">
            <v>Admin AA</v>
          </cell>
          <cell r="H41">
            <v>1</v>
          </cell>
          <cell r="AY41">
            <v>455</v>
          </cell>
        </row>
        <row r="42">
          <cell r="D42" t="str">
            <v>Admin AA</v>
          </cell>
          <cell r="H42">
            <v>1</v>
          </cell>
          <cell r="AY42">
            <v>455</v>
          </cell>
        </row>
        <row r="43">
          <cell r="D43" t="str">
            <v>Admin AA</v>
          </cell>
          <cell r="H43">
            <v>1</v>
          </cell>
          <cell r="AY43">
            <v>455</v>
          </cell>
        </row>
        <row r="44">
          <cell r="D44" t="str">
            <v>Admin AA</v>
          </cell>
          <cell r="H44">
            <v>1</v>
          </cell>
          <cell r="AY44">
            <v>455</v>
          </cell>
        </row>
        <row r="45">
          <cell r="D45" t="str">
            <v>Admin AA</v>
          </cell>
          <cell r="H45">
            <v>1</v>
          </cell>
          <cell r="AY45">
            <v>455</v>
          </cell>
        </row>
        <row r="46">
          <cell r="D46" t="str">
            <v>Admin AA</v>
          </cell>
          <cell r="H46">
            <v>1</v>
          </cell>
          <cell r="AY46">
            <v>455</v>
          </cell>
        </row>
        <row r="47">
          <cell r="D47" t="str">
            <v>Admin AA</v>
          </cell>
          <cell r="H47">
            <v>1</v>
          </cell>
          <cell r="AY47">
            <v>455</v>
          </cell>
        </row>
        <row r="48">
          <cell r="D48" t="str">
            <v>Admin AA</v>
          </cell>
          <cell r="H48">
            <v>1</v>
          </cell>
          <cell r="AY48">
            <v>455</v>
          </cell>
        </row>
        <row r="49">
          <cell r="D49" t="str">
            <v>Admin AA</v>
          </cell>
          <cell r="H49">
            <v>1</v>
          </cell>
          <cell r="AY49">
            <v>455</v>
          </cell>
        </row>
        <row r="50">
          <cell r="D50" t="str">
            <v>Admin AA</v>
          </cell>
          <cell r="H50">
            <v>1</v>
          </cell>
          <cell r="AY50">
            <v>455</v>
          </cell>
        </row>
        <row r="51">
          <cell r="D51" t="str">
            <v>Admin AA</v>
          </cell>
          <cell r="H51">
            <v>1</v>
          </cell>
          <cell r="AY51">
            <v>455</v>
          </cell>
        </row>
        <row r="52">
          <cell r="D52" t="str">
            <v>Admin AA</v>
          </cell>
          <cell r="H52">
            <v>1</v>
          </cell>
          <cell r="AY52">
            <v>455</v>
          </cell>
        </row>
        <row r="53">
          <cell r="D53" t="str">
            <v>Admin AA</v>
          </cell>
          <cell r="H53">
            <v>1</v>
          </cell>
          <cell r="AY53">
            <v>455</v>
          </cell>
        </row>
        <row r="54">
          <cell r="D54" t="str">
            <v>Admin AA</v>
          </cell>
          <cell r="H54">
            <v>1</v>
          </cell>
          <cell r="AY54">
            <v>455</v>
          </cell>
        </row>
        <row r="55">
          <cell r="D55" t="str">
            <v>Admin AA</v>
          </cell>
          <cell r="H55">
            <v>1</v>
          </cell>
          <cell r="AY55">
            <v>455</v>
          </cell>
        </row>
        <row r="56">
          <cell r="D56" t="str">
            <v>Admin AA</v>
          </cell>
          <cell r="H56">
            <v>1</v>
          </cell>
          <cell r="AY56">
            <v>280</v>
          </cell>
        </row>
        <row r="57">
          <cell r="D57" t="str">
            <v>Admin AA</v>
          </cell>
          <cell r="H57">
            <v>1</v>
          </cell>
          <cell r="AY57">
            <v>280</v>
          </cell>
        </row>
        <row r="58">
          <cell r="D58" t="str">
            <v>Admin AA</v>
          </cell>
          <cell r="H58">
            <v>1</v>
          </cell>
          <cell r="AY58">
            <v>280</v>
          </cell>
        </row>
        <row r="59">
          <cell r="D59" t="str">
            <v>Admin AA</v>
          </cell>
          <cell r="H59">
            <v>1</v>
          </cell>
          <cell r="AY59">
            <v>280</v>
          </cell>
        </row>
        <row r="60">
          <cell r="D60" t="str">
            <v>Admin AA</v>
          </cell>
          <cell r="H60">
            <v>1</v>
          </cell>
          <cell r="AY60">
            <v>280</v>
          </cell>
        </row>
        <row r="61">
          <cell r="D61" t="str">
            <v>Admin AA</v>
          </cell>
          <cell r="H61">
            <v>1</v>
          </cell>
          <cell r="AY61">
            <v>280</v>
          </cell>
        </row>
        <row r="62">
          <cell r="D62" t="str">
            <v>Admin AA</v>
          </cell>
          <cell r="H62">
            <v>1</v>
          </cell>
          <cell r="AY62">
            <v>280</v>
          </cell>
        </row>
        <row r="63">
          <cell r="D63" t="str">
            <v>Admin AA</v>
          </cell>
          <cell r="H63">
            <v>1</v>
          </cell>
          <cell r="AY63">
            <v>280</v>
          </cell>
        </row>
        <row r="64">
          <cell r="D64" t="str">
            <v>Admin AA</v>
          </cell>
          <cell r="H64">
            <v>1</v>
          </cell>
          <cell r="AY64">
            <v>280</v>
          </cell>
        </row>
        <row r="65">
          <cell r="D65" t="str">
            <v>Admin AA</v>
          </cell>
          <cell r="H65">
            <v>1</v>
          </cell>
          <cell r="AY65">
            <v>212</v>
          </cell>
        </row>
        <row r="66">
          <cell r="D66" t="str">
            <v>Admin AA</v>
          </cell>
          <cell r="H66">
            <v>1</v>
          </cell>
          <cell r="AY66">
            <v>212</v>
          </cell>
        </row>
        <row r="67">
          <cell r="D67" t="str">
            <v>Fin AA</v>
          </cell>
          <cell r="H67">
            <v>1</v>
          </cell>
          <cell r="AY67">
            <v>0</v>
          </cell>
        </row>
        <row r="68">
          <cell r="D68" t="str">
            <v>Fin AA</v>
          </cell>
          <cell r="H68">
            <v>1</v>
          </cell>
          <cell r="AY68">
            <v>0</v>
          </cell>
        </row>
        <row r="69">
          <cell r="D69" t="str">
            <v>Fin AA</v>
          </cell>
          <cell r="H69">
            <v>1</v>
          </cell>
          <cell r="AY69">
            <v>0</v>
          </cell>
        </row>
        <row r="70">
          <cell r="D70" t="str">
            <v>Fin AA</v>
          </cell>
          <cell r="H70">
            <v>1</v>
          </cell>
          <cell r="AY70">
            <v>0</v>
          </cell>
        </row>
        <row r="71">
          <cell r="D71" t="str">
            <v>Fin AA</v>
          </cell>
          <cell r="H71">
            <v>1</v>
          </cell>
          <cell r="AY71">
            <v>0</v>
          </cell>
        </row>
        <row r="72">
          <cell r="D72" t="str">
            <v>Fin AA</v>
          </cell>
          <cell r="H72">
            <v>1</v>
          </cell>
          <cell r="AY72">
            <v>0</v>
          </cell>
        </row>
        <row r="73">
          <cell r="D73" t="str">
            <v>Fin AA</v>
          </cell>
          <cell r="H73">
            <v>1</v>
          </cell>
          <cell r="AY73">
            <v>0</v>
          </cell>
        </row>
        <row r="74">
          <cell r="D74" t="str">
            <v>Fin AA</v>
          </cell>
          <cell r="H74">
            <v>1</v>
          </cell>
          <cell r="AY74">
            <v>0</v>
          </cell>
        </row>
        <row r="75">
          <cell r="D75" t="str">
            <v>Fin AA</v>
          </cell>
          <cell r="H75">
            <v>1</v>
          </cell>
          <cell r="AY75">
            <v>0</v>
          </cell>
        </row>
        <row r="76">
          <cell r="D76" t="str">
            <v>Fin AA</v>
          </cell>
          <cell r="H76">
            <v>1</v>
          </cell>
          <cell r="AY76">
            <v>0</v>
          </cell>
        </row>
        <row r="77">
          <cell r="D77" t="str">
            <v>Fin AA</v>
          </cell>
          <cell r="H77">
            <v>1</v>
          </cell>
          <cell r="AY77">
            <v>0</v>
          </cell>
        </row>
        <row r="78">
          <cell r="D78" t="str">
            <v>Fin AA</v>
          </cell>
          <cell r="H78">
            <v>1</v>
          </cell>
          <cell r="AY78">
            <v>0</v>
          </cell>
        </row>
        <row r="79">
          <cell r="D79" t="str">
            <v>Fin AA</v>
          </cell>
          <cell r="H79">
            <v>1</v>
          </cell>
          <cell r="AY79">
            <v>0</v>
          </cell>
        </row>
        <row r="80">
          <cell r="D80" t="str">
            <v>Fin AA</v>
          </cell>
          <cell r="H80">
            <v>1</v>
          </cell>
          <cell r="AY80">
            <v>0</v>
          </cell>
        </row>
        <row r="81">
          <cell r="D81" t="str">
            <v>Fin AA</v>
          </cell>
          <cell r="H81">
            <v>1</v>
          </cell>
          <cell r="AY81">
            <v>0</v>
          </cell>
        </row>
        <row r="82">
          <cell r="D82" t="str">
            <v>Fin AA</v>
          </cell>
          <cell r="H82">
            <v>1</v>
          </cell>
          <cell r="AY82">
            <v>0</v>
          </cell>
        </row>
        <row r="83">
          <cell r="D83" t="str">
            <v>Fin AA</v>
          </cell>
          <cell r="H83">
            <v>1</v>
          </cell>
          <cell r="AY83">
            <v>0</v>
          </cell>
        </row>
        <row r="84">
          <cell r="D84" t="str">
            <v>Fin AA</v>
          </cell>
          <cell r="H84">
            <v>1</v>
          </cell>
          <cell r="AY84">
            <v>0</v>
          </cell>
        </row>
        <row r="85">
          <cell r="D85" t="str">
            <v>Fin AA</v>
          </cell>
          <cell r="H85">
            <v>1</v>
          </cell>
          <cell r="AY85">
            <v>0</v>
          </cell>
        </row>
        <row r="86">
          <cell r="D86" t="str">
            <v>Fin AA</v>
          </cell>
          <cell r="H86">
            <v>1</v>
          </cell>
          <cell r="AY86">
            <v>0</v>
          </cell>
        </row>
        <row r="87">
          <cell r="D87" t="str">
            <v>Fin AA</v>
          </cell>
          <cell r="H87">
            <v>1</v>
          </cell>
          <cell r="AY87">
            <v>0</v>
          </cell>
        </row>
        <row r="88">
          <cell r="D88" t="str">
            <v>Fin AA</v>
          </cell>
          <cell r="H88">
            <v>1</v>
          </cell>
          <cell r="AY88">
            <v>0</v>
          </cell>
        </row>
        <row r="89">
          <cell r="D89" t="str">
            <v>Fin AA</v>
          </cell>
          <cell r="H89">
            <v>1</v>
          </cell>
          <cell r="AY89">
            <v>238</v>
          </cell>
        </row>
        <row r="90">
          <cell r="D90" t="str">
            <v>Fin AA</v>
          </cell>
          <cell r="H90">
            <v>1</v>
          </cell>
          <cell r="AY90">
            <v>238</v>
          </cell>
        </row>
        <row r="91">
          <cell r="D91" t="str">
            <v>Fin AA</v>
          </cell>
          <cell r="H91">
            <v>1</v>
          </cell>
          <cell r="AY91">
            <v>0</v>
          </cell>
        </row>
        <row r="92">
          <cell r="D92" t="str">
            <v>Fin AA</v>
          </cell>
          <cell r="H92">
            <v>1</v>
          </cell>
          <cell r="AY92">
            <v>0</v>
          </cell>
        </row>
        <row r="93">
          <cell r="D93" t="str">
            <v>GM AA</v>
          </cell>
          <cell r="H93">
            <v>1</v>
          </cell>
          <cell r="AY93">
            <v>0</v>
          </cell>
        </row>
        <row r="94">
          <cell r="D94" t="str">
            <v>GM AA</v>
          </cell>
          <cell r="H94">
            <v>1</v>
          </cell>
          <cell r="AY94">
            <v>0</v>
          </cell>
        </row>
        <row r="95">
          <cell r="D95" t="str">
            <v>GM AA</v>
          </cell>
          <cell r="H95">
            <v>1</v>
          </cell>
          <cell r="AY95">
            <v>0</v>
          </cell>
        </row>
        <row r="96">
          <cell r="D96" t="str">
            <v>GM AA</v>
          </cell>
          <cell r="H96">
            <v>1</v>
          </cell>
          <cell r="AY96">
            <v>0</v>
          </cell>
        </row>
        <row r="97">
          <cell r="D97" t="str">
            <v>GM AA</v>
          </cell>
          <cell r="H97">
            <v>1</v>
          </cell>
          <cell r="AY97">
            <v>238</v>
          </cell>
        </row>
        <row r="98">
          <cell r="D98" t="str">
            <v>Maint AA</v>
          </cell>
          <cell r="H98">
            <v>1</v>
          </cell>
          <cell r="AY98">
            <v>88</v>
          </cell>
        </row>
        <row r="99">
          <cell r="D99" t="str">
            <v>Maint AA</v>
          </cell>
          <cell r="H99">
            <v>1</v>
          </cell>
          <cell r="AY99">
            <v>208</v>
          </cell>
        </row>
        <row r="100">
          <cell r="D100" t="str">
            <v>Maint AA</v>
          </cell>
          <cell r="H100">
            <v>1</v>
          </cell>
          <cell r="AY100">
            <v>208</v>
          </cell>
        </row>
        <row r="101">
          <cell r="D101" t="str">
            <v>Maint AA</v>
          </cell>
          <cell r="H101">
            <v>1</v>
          </cell>
          <cell r="AY101">
            <v>208</v>
          </cell>
        </row>
        <row r="102">
          <cell r="D102" t="str">
            <v>Maint AA</v>
          </cell>
          <cell r="H102">
            <v>1</v>
          </cell>
          <cell r="AY102">
            <v>208</v>
          </cell>
        </row>
        <row r="103">
          <cell r="D103" t="str">
            <v>Maint AA</v>
          </cell>
          <cell r="H103">
            <v>1</v>
          </cell>
          <cell r="AY103">
            <v>208</v>
          </cell>
        </row>
        <row r="104">
          <cell r="D104" t="str">
            <v>Maint AA</v>
          </cell>
          <cell r="H104">
            <v>1</v>
          </cell>
          <cell r="AY104">
            <v>279</v>
          </cell>
        </row>
        <row r="105">
          <cell r="D105" t="str">
            <v>Maint AA</v>
          </cell>
          <cell r="H105">
            <v>1</v>
          </cell>
          <cell r="AY105">
            <v>279</v>
          </cell>
        </row>
        <row r="106">
          <cell r="D106" t="str">
            <v>Maint AA</v>
          </cell>
          <cell r="H106">
            <v>1</v>
          </cell>
          <cell r="AY106">
            <v>279</v>
          </cell>
        </row>
        <row r="107">
          <cell r="D107" t="str">
            <v>Maint AA</v>
          </cell>
          <cell r="H107">
            <v>1</v>
          </cell>
          <cell r="AY107">
            <v>279</v>
          </cell>
        </row>
        <row r="108">
          <cell r="D108" t="str">
            <v>Maint AA</v>
          </cell>
          <cell r="H108">
            <v>1</v>
          </cell>
          <cell r="AY108">
            <v>239</v>
          </cell>
        </row>
        <row r="109">
          <cell r="D109" t="str">
            <v>Maint AA</v>
          </cell>
          <cell r="H109">
            <v>1</v>
          </cell>
          <cell r="AY109">
            <v>239</v>
          </cell>
        </row>
        <row r="110">
          <cell r="D110" t="str">
            <v>Maint AA</v>
          </cell>
          <cell r="H110">
            <v>1</v>
          </cell>
          <cell r="AY110">
            <v>239</v>
          </cell>
        </row>
        <row r="111">
          <cell r="D111" t="str">
            <v>Maint AA</v>
          </cell>
          <cell r="H111">
            <v>1</v>
          </cell>
          <cell r="AY111">
            <v>239</v>
          </cell>
        </row>
        <row r="112">
          <cell r="D112" t="str">
            <v>Maint AA</v>
          </cell>
          <cell r="H112">
            <v>1</v>
          </cell>
          <cell r="AY112">
            <v>239</v>
          </cell>
        </row>
        <row r="113">
          <cell r="D113" t="str">
            <v>Maint AA</v>
          </cell>
          <cell r="H113">
            <v>1</v>
          </cell>
          <cell r="AY113">
            <v>239</v>
          </cell>
        </row>
        <row r="114">
          <cell r="D114" t="str">
            <v>Maint AA</v>
          </cell>
          <cell r="H114">
            <v>1</v>
          </cell>
          <cell r="AY114">
            <v>208</v>
          </cell>
        </row>
        <row r="115">
          <cell r="D115" t="str">
            <v>Maint AA</v>
          </cell>
          <cell r="H115">
            <v>1</v>
          </cell>
          <cell r="AY115">
            <v>208</v>
          </cell>
        </row>
        <row r="116">
          <cell r="D116" t="str">
            <v>Maint AA</v>
          </cell>
          <cell r="H116">
            <v>1</v>
          </cell>
          <cell r="AY116">
            <v>208</v>
          </cell>
        </row>
        <row r="117">
          <cell r="D117" t="str">
            <v>Maint AA</v>
          </cell>
          <cell r="H117">
            <v>1</v>
          </cell>
          <cell r="AY117">
            <v>208</v>
          </cell>
        </row>
        <row r="118">
          <cell r="D118" t="str">
            <v>Maint AA</v>
          </cell>
          <cell r="H118">
            <v>1</v>
          </cell>
          <cell r="AY118">
            <v>0</v>
          </cell>
        </row>
        <row r="119">
          <cell r="D119" t="str">
            <v>Maint AA</v>
          </cell>
          <cell r="H119">
            <v>1</v>
          </cell>
          <cell r="AY119">
            <v>208</v>
          </cell>
        </row>
        <row r="120">
          <cell r="D120" t="str">
            <v>Maint AA</v>
          </cell>
          <cell r="H120">
            <v>1</v>
          </cell>
          <cell r="AY120">
            <v>208</v>
          </cell>
        </row>
        <row r="121">
          <cell r="D121" t="str">
            <v>Maint AA</v>
          </cell>
          <cell r="H121">
            <v>1</v>
          </cell>
          <cell r="AY121">
            <v>238</v>
          </cell>
        </row>
        <row r="122">
          <cell r="D122" t="str">
            <v>Maint AA</v>
          </cell>
          <cell r="H122">
            <v>1</v>
          </cell>
          <cell r="AY122">
            <v>238</v>
          </cell>
        </row>
        <row r="123">
          <cell r="D123" t="str">
            <v>Maint AA</v>
          </cell>
          <cell r="H123">
            <v>1</v>
          </cell>
          <cell r="AY123">
            <v>238</v>
          </cell>
        </row>
        <row r="124">
          <cell r="D124" t="str">
            <v>Maint AA</v>
          </cell>
          <cell r="H124">
            <v>1</v>
          </cell>
          <cell r="AY124">
            <v>208</v>
          </cell>
        </row>
        <row r="125">
          <cell r="D125" t="str">
            <v>Maint AA</v>
          </cell>
          <cell r="H125">
            <v>1</v>
          </cell>
          <cell r="AY125">
            <v>208</v>
          </cell>
        </row>
        <row r="126">
          <cell r="D126" t="str">
            <v>Maint AA</v>
          </cell>
          <cell r="H126">
            <v>1</v>
          </cell>
          <cell r="AY126">
            <v>208</v>
          </cell>
        </row>
        <row r="127">
          <cell r="D127" t="str">
            <v>Maint AA</v>
          </cell>
          <cell r="H127">
            <v>1</v>
          </cell>
          <cell r="AY127">
            <v>208</v>
          </cell>
        </row>
        <row r="128">
          <cell r="D128" t="str">
            <v>Maint AA</v>
          </cell>
          <cell r="H128">
            <v>1</v>
          </cell>
          <cell r="AY128">
            <v>208</v>
          </cell>
        </row>
        <row r="129">
          <cell r="D129" t="str">
            <v>Maint AA</v>
          </cell>
          <cell r="H129">
            <v>1</v>
          </cell>
          <cell r="AY129">
            <v>208</v>
          </cell>
        </row>
        <row r="130">
          <cell r="D130" t="str">
            <v>Maint AA</v>
          </cell>
          <cell r="H130">
            <v>1</v>
          </cell>
          <cell r="AY130">
            <v>208</v>
          </cell>
        </row>
        <row r="131">
          <cell r="D131" t="str">
            <v>Maint AA</v>
          </cell>
          <cell r="H131">
            <v>1</v>
          </cell>
          <cell r="AY131">
            <v>208</v>
          </cell>
        </row>
        <row r="132">
          <cell r="D132" t="str">
            <v>Maint AA</v>
          </cell>
          <cell r="H132">
            <v>1</v>
          </cell>
          <cell r="AY132">
            <v>208</v>
          </cell>
        </row>
        <row r="133">
          <cell r="D133" t="str">
            <v>Maint AA</v>
          </cell>
          <cell r="H133">
            <v>1</v>
          </cell>
          <cell r="AY133">
            <v>208</v>
          </cell>
        </row>
        <row r="134">
          <cell r="D134" t="str">
            <v>Maint AA</v>
          </cell>
          <cell r="H134">
            <v>1</v>
          </cell>
          <cell r="AY134">
            <v>208</v>
          </cell>
        </row>
        <row r="135">
          <cell r="D135" t="str">
            <v>Maint AA</v>
          </cell>
          <cell r="H135">
            <v>1</v>
          </cell>
          <cell r="AY135">
            <v>208</v>
          </cell>
        </row>
        <row r="136">
          <cell r="D136" t="str">
            <v>Maint AA</v>
          </cell>
          <cell r="H136">
            <v>1</v>
          </cell>
          <cell r="AY136">
            <v>208</v>
          </cell>
        </row>
        <row r="137">
          <cell r="D137" t="str">
            <v>Maint AA</v>
          </cell>
          <cell r="H137">
            <v>1</v>
          </cell>
          <cell r="AY137">
            <v>208</v>
          </cell>
        </row>
        <row r="138">
          <cell r="D138" t="str">
            <v>Maint AA</v>
          </cell>
          <cell r="H138">
            <v>1</v>
          </cell>
          <cell r="AY138">
            <v>208</v>
          </cell>
        </row>
        <row r="139">
          <cell r="D139" t="str">
            <v>Maint AA</v>
          </cell>
          <cell r="H139">
            <v>1</v>
          </cell>
          <cell r="AY139">
            <v>208</v>
          </cell>
        </row>
        <row r="140">
          <cell r="D140" t="str">
            <v>Maint AA</v>
          </cell>
          <cell r="H140">
            <v>1</v>
          </cell>
          <cell r="AY140">
            <v>208</v>
          </cell>
        </row>
        <row r="141">
          <cell r="D141" t="str">
            <v>Maint AA</v>
          </cell>
          <cell r="H141">
            <v>1</v>
          </cell>
          <cell r="AY141">
            <v>208</v>
          </cell>
        </row>
        <row r="142">
          <cell r="D142" t="str">
            <v>Maint AA</v>
          </cell>
          <cell r="H142">
            <v>1</v>
          </cell>
          <cell r="AY142">
            <v>208</v>
          </cell>
        </row>
        <row r="143">
          <cell r="D143" t="str">
            <v>Maint AA</v>
          </cell>
          <cell r="H143">
            <v>1</v>
          </cell>
          <cell r="AY143">
            <v>208</v>
          </cell>
        </row>
        <row r="144">
          <cell r="D144" t="str">
            <v>Maint AA</v>
          </cell>
          <cell r="H144">
            <v>1</v>
          </cell>
          <cell r="AY144">
            <v>208</v>
          </cell>
        </row>
        <row r="145">
          <cell r="D145" t="str">
            <v>Maint AA</v>
          </cell>
          <cell r="H145">
            <v>1</v>
          </cell>
          <cell r="AY145">
            <v>208</v>
          </cell>
        </row>
        <row r="146">
          <cell r="D146" t="str">
            <v>Maint AA</v>
          </cell>
          <cell r="H146">
            <v>1</v>
          </cell>
          <cell r="AY146">
            <v>208</v>
          </cell>
        </row>
        <row r="147">
          <cell r="D147" t="str">
            <v>Maint AA</v>
          </cell>
          <cell r="H147">
            <v>1</v>
          </cell>
          <cell r="AY147">
            <v>208</v>
          </cell>
        </row>
        <row r="148">
          <cell r="D148" t="str">
            <v>Maint AA</v>
          </cell>
          <cell r="H148">
            <v>1</v>
          </cell>
          <cell r="AY148">
            <v>208</v>
          </cell>
        </row>
        <row r="149">
          <cell r="D149" t="str">
            <v>Maint AA</v>
          </cell>
          <cell r="H149">
            <v>1</v>
          </cell>
          <cell r="AY149">
            <v>238</v>
          </cell>
        </row>
        <row r="150">
          <cell r="D150" t="str">
            <v>Maint AA</v>
          </cell>
          <cell r="H150">
            <v>1</v>
          </cell>
          <cell r="AY150">
            <v>238</v>
          </cell>
        </row>
        <row r="151">
          <cell r="D151" t="str">
            <v>Maint AA</v>
          </cell>
          <cell r="H151">
            <v>1</v>
          </cell>
          <cell r="AY151">
            <v>238</v>
          </cell>
        </row>
        <row r="152">
          <cell r="D152" t="str">
            <v>Maint AA</v>
          </cell>
          <cell r="H152">
            <v>1</v>
          </cell>
          <cell r="AY152">
            <v>238</v>
          </cell>
        </row>
        <row r="153">
          <cell r="D153" t="str">
            <v>Prod AA</v>
          </cell>
          <cell r="H153">
            <v>1</v>
          </cell>
          <cell r="AY153">
            <v>88</v>
          </cell>
        </row>
        <row r="154">
          <cell r="D154" t="str">
            <v>Prod AA</v>
          </cell>
          <cell r="H154">
            <v>1</v>
          </cell>
          <cell r="AY154">
            <v>208</v>
          </cell>
        </row>
        <row r="155">
          <cell r="D155" t="str">
            <v>Prod AA</v>
          </cell>
          <cell r="H155">
            <v>1</v>
          </cell>
          <cell r="AY155">
            <v>208</v>
          </cell>
        </row>
        <row r="156">
          <cell r="D156" t="str">
            <v>Prod AA</v>
          </cell>
          <cell r="H156">
            <v>1</v>
          </cell>
          <cell r="AY156">
            <v>208</v>
          </cell>
        </row>
        <row r="157">
          <cell r="D157" t="str">
            <v>Prod AA</v>
          </cell>
          <cell r="H157">
            <v>1</v>
          </cell>
          <cell r="AY157">
            <v>208</v>
          </cell>
        </row>
        <row r="158">
          <cell r="D158" t="str">
            <v>Prod AA</v>
          </cell>
          <cell r="H158">
            <v>1</v>
          </cell>
          <cell r="AY158">
            <v>208</v>
          </cell>
        </row>
        <row r="159">
          <cell r="D159" t="str">
            <v>Prod AA</v>
          </cell>
          <cell r="H159">
            <v>1</v>
          </cell>
          <cell r="AY159">
            <v>208</v>
          </cell>
        </row>
        <row r="160">
          <cell r="D160" t="str">
            <v>Prod AA</v>
          </cell>
          <cell r="H160">
            <v>1</v>
          </cell>
          <cell r="AY160">
            <v>208</v>
          </cell>
        </row>
        <row r="161">
          <cell r="D161" t="str">
            <v>Prod AA</v>
          </cell>
          <cell r="H161">
            <v>1</v>
          </cell>
          <cell r="AY161">
            <v>208</v>
          </cell>
        </row>
        <row r="162">
          <cell r="D162" t="str">
            <v>Prod AA</v>
          </cell>
          <cell r="H162">
            <v>1</v>
          </cell>
          <cell r="AY162">
            <v>208</v>
          </cell>
        </row>
        <row r="163">
          <cell r="D163" t="str">
            <v>Prod AA</v>
          </cell>
          <cell r="H163">
            <v>1</v>
          </cell>
          <cell r="AY163">
            <v>208</v>
          </cell>
        </row>
        <row r="164">
          <cell r="D164" t="str">
            <v>Prod AA</v>
          </cell>
          <cell r="H164">
            <v>1</v>
          </cell>
          <cell r="AY164">
            <v>208</v>
          </cell>
        </row>
        <row r="165">
          <cell r="D165" t="str">
            <v>Prod AA</v>
          </cell>
          <cell r="H165">
            <v>1</v>
          </cell>
          <cell r="AY165">
            <v>208</v>
          </cell>
        </row>
        <row r="166">
          <cell r="D166" t="str">
            <v>Prod AA</v>
          </cell>
          <cell r="H166">
            <v>1</v>
          </cell>
          <cell r="AY166">
            <v>208</v>
          </cell>
        </row>
        <row r="167">
          <cell r="D167" t="str">
            <v>Prod AA</v>
          </cell>
          <cell r="H167">
            <v>1</v>
          </cell>
          <cell r="AY167">
            <v>0</v>
          </cell>
        </row>
        <row r="168">
          <cell r="D168" t="str">
            <v>Prod AA</v>
          </cell>
          <cell r="H168">
            <v>1</v>
          </cell>
          <cell r="AY168">
            <v>269</v>
          </cell>
        </row>
        <row r="169">
          <cell r="D169" t="str">
            <v>Prod AA</v>
          </cell>
          <cell r="H169">
            <v>1</v>
          </cell>
          <cell r="AY169">
            <v>269</v>
          </cell>
        </row>
        <row r="170">
          <cell r="D170" t="str">
            <v>Prod AA</v>
          </cell>
          <cell r="H170">
            <v>1</v>
          </cell>
          <cell r="AY170">
            <v>269</v>
          </cell>
        </row>
        <row r="171">
          <cell r="D171" t="str">
            <v>Prod AA</v>
          </cell>
          <cell r="H171">
            <v>1</v>
          </cell>
          <cell r="AY171">
            <v>269</v>
          </cell>
        </row>
        <row r="172">
          <cell r="D172" t="str">
            <v>Prod AA</v>
          </cell>
          <cell r="H172">
            <v>1</v>
          </cell>
          <cell r="AY172">
            <v>269</v>
          </cell>
        </row>
        <row r="173">
          <cell r="D173" t="str">
            <v>Prod AA</v>
          </cell>
          <cell r="H173">
            <v>1</v>
          </cell>
          <cell r="AY173">
            <v>269</v>
          </cell>
        </row>
        <row r="174">
          <cell r="D174" t="str">
            <v>Prod AA</v>
          </cell>
          <cell r="H174">
            <v>1</v>
          </cell>
          <cell r="AY174">
            <v>269</v>
          </cell>
        </row>
        <row r="175">
          <cell r="D175" t="str">
            <v>Prod AA</v>
          </cell>
          <cell r="H175">
            <v>1</v>
          </cell>
          <cell r="AY175">
            <v>269</v>
          </cell>
        </row>
        <row r="176">
          <cell r="D176" t="str">
            <v>Prod AA</v>
          </cell>
          <cell r="H176">
            <v>1</v>
          </cell>
          <cell r="AY176">
            <v>269</v>
          </cell>
        </row>
        <row r="177">
          <cell r="D177" t="str">
            <v>Prod AA</v>
          </cell>
          <cell r="H177">
            <v>1</v>
          </cell>
          <cell r="AY177">
            <v>269</v>
          </cell>
        </row>
        <row r="178">
          <cell r="D178" t="str">
            <v>Prod AA</v>
          </cell>
          <cell r="H178">
            <v>1</v>
          </cell>
          <cell r="AY178">
            <v>269</v>
          </cell>
        </row>
        <row r="179">
          <cell r="D179" t="str">
            <v>Prod AA</v>
          </cell>
          <cell r="H179">
            <v>1</v>
          </cell>
          <cell r="AY179">
            <v>269</v>
          </cell>
        </row>
        <row r="180">
          <cell r="D180" t="str">
            <v>Prod AA</v>
          </cell>
          <cell r="H180">
            <v>1</v>
          </cell>
          <cell r="AY180">
            <v>269</v>
          </cell>
        </row>
        <row r="181">
          <cell r="D181" t="str">
            <v>Prod AA</v>
          </cell>
          <cell r="H181">
            <v>1</v>
          </cell>
          <cell r="AY181">
            <v>269</v>
          </cell>
        </row>
        <row r="182">
          <cell r="D182" t="str">
            <v>Prod AA</v>
          </cell>
          <cell r="H182">
            <v>1</v>
          </cell>
          <cell r="AY182">
            <v>269</v>
          </cell>
        </row>
        <row r="183">
          <cell r="D183" t="str">
            <v>Prod AA</v>
          </cell>
          <cell r="H183">
            <v>1</v>
          </cell>
          <cell r="AY183">
            <v>269</v>
          </cell>
        </row>
        <row r="184">
          <cell r="D184" t="str">
            <v>Prod AA</v>
          </cell>
          <cell r="H184">
            <v>1</v>
          </cell>
          <cell r="AY184">
            <v>269</v>
          </cell>
        </row>
        <row r="185">
          <cell r="D185" t="str">
            <v>Prod AA</v>
          </cell>
          <cell r="H185">
            <v>1</v>
          </cell>
          <cell r="AY185">
            <v>269</v>
          </cell>
        </row>
        <row r="186">
          <cell r="D186" t="str">
            <v>Prod AA</v>
          </cell>
          <cell r="H186">
            <v>1</v>
          </cell>
          <cell r="AY186">
            <v>269</v>
          </cell>
        </row>
        <row r="187">
          <cell r="D187" t="str">
            <v>Prod AA</v>
          </cell>
          <cell r="H187">
            <v>1</v>
          </cell>
          <cell r="AY187">
            <v>269</v>
          </cell>
        </row>
        <row r="188">
          <cell r="D188" t="str">
            <v>Prod AA</v>
          </cell>
          <cell r="H188">
            <v>1</v>
          </cell>
          <cell r="AY188">
            <v>269</v>
          </cell>
        </row>
        <row r="189">
          <cell r="D189" t="str">
            <v>Prod AA</v>
          </cell>
          <cell r="H189">
            <v>1</v>
          </cell>
          <cell r="AY189">
            <v>269</v>
          </cell>
        </row>
        <row r="190">
          <cell r="D190" t="str">
            <v>Prod AA</v>
          </cell>
          <cell r="H190">
            <v>1</v>
          </cell>
          <cell r="AY190">
            <v>269</v>
          </cell>
        </row>
        <row r="191">
          <cell r="D191" t="str">
            <v>Prod AA</v>
          </cell>
          <cell r="H191">
            <v>1</v>
          </cell>
          <cell r="AY191">
            <v>269</v>
          </cell>
        </row>
        <row r="192">
          <cell r="D192" t="str">
            <v>Prod AA</v>
          </cell>
          <cell r="H192">
            <v>1</v>
          </cell>
          <cell r="AY192">
            <v>269</v>
          </cell>
        </row>
        <row r="193">
          <cell r="D193" t="str">
            <v>Prod AA</v>
          </cell>
          <cell r="H193">
            <v>1</v>
          </cell>
          <cell r="AY193">
            <v>269</v>
          </cell>
        </row>
        <row r="194">
          <cell r="D194" t="str">
            <v>Prod AA</v>
          </cell>
          <cell r="H194">
            <v>1</v>
          </cell>
          <cell r="AY194">
            <v>269</v>
          </cell>
        </row>
        <row r="195">
          <cell r="D195" t="str">
            <v>Prod AA</v>
          </cell>
          <cell r="H195">
            <v>1</v>
          </cell>
          <cell r="AY195">
            <v>269</v>
          </cell>
        </row>
        <row r="196">
          <cell r="D196" t="str">
            <v>Prod AA</v>
          </cell>
          <cell r="H196">
            <v>1</v>
          </cell>
          <cell r="AY196">
            <v>269</v>
          </cell>
        </row>
        <row r="197">
          <cell r="D197" t="str">
            <v>Prod AA</v>
          </cell>
          <cell r="H197">
            <v>1</v>
          </cell>
          <cell r="AY197">
            <v>269</v>
          </cell>
        </row>
        <row r="198">
          <cell r="D198" t="str">
            <v>Prod AA</v>
          </cell>
          <cell r="H198">
            <v>1</v>
          </cell>
          <cell r="AY198">
            <v>269</v>
          </cell>
        </row>
        <row r="199">
          <cell r="D199" t="str">
            <v>Prod AA</v>
          </cell>
          <cell r="H199">
            <v>1</v>
          </cell>
          <cell r="AY199">
            <v>269</v>
          </cell>
        </row>
        <row r="200">
          <cell r="D200" t="str">
            <v>Prod AA</v>
          </cell>
          <cell r="H200">
            <v>1</v>
          </cell>
          <cell r="AY200">
            <v>269</v>
          </cell>
        </row>
        <row r="201">
          <cell r="D201" t="str">
            <v>Prod AA</v>
          </cell>
          <cell r="H201">
            <v>1</v>
          </cell>
          <cell r="AY201">
            <v>269</v>
          </cell>
        </row>
        <row r="202">
          <cell r="D202" t="str">
            <v>Prod AA</v>
          </cell>
          <cell r="H202">
            <v>1</v>
          </cell>
          <cell r="AY202">
            <v>269</v>
          </cell>
        </row>
        <row r="203">
          <cell r="D203" t="str">
            <v>Prod AA</v>
          </cell>
          <cell r="H203">
            <v>1</v>
          </cell>
          <cell r="AY203">
            <v>269</v>
          </cell>
        </row>
        <row r="204">
          <cell r="D204" t="str">
            <v>Prod AA</v>
          </cell>
          <cell r="H204">
            <v>1</v>
          </cell>
          <cell r="AY204">
            <v>269</v>
          </cell>
        </row>
        <row r="205">
          <cell r="D205" t="str">
            <v>Prod AA</v>
          </cell>
          <cell r="H205">
            <v>1</v>
          </cell>
          <cell r="AY205">
            <v>269</v>
          </cell>
        </row>
        <row r="206">
          <cell r="D206" t="str">
            <v>Prod AA</v>
          </cell>
          <cell r="H206">
            <v>1</v>
          </cell>
          <cell r="AY206">
            <v>269</v>
          </cell>
        </row>
        <row r="207">
          <cell r="D207" t="str">
            <v>Prod AA</v>
          </cell>
          <cell r="H207">
            <v>1</v>
          </cell>
          <cell r="AY207">
            <v>269</v>
          </cell>
        </row>
        <row r="208">
          <cell r="D208" t="str">
            <v>Prod AA</v>
          </cell>
          <cell r="H208">
            <v>1</v>
          </cell>
          <cell r="AY208">
            <v>269</v>
          </cell>
        </row>
        <row r="209">
          <cell r="D209" t="str">
            <v>Prod AA</v>
          </cell>
          <cell r="H209">
            <v>1</v>
          </cell>
          <cell r="AY209">
            <v>244</v>
          </cell>
        </row>
        <row r="210">
          <cell r="D210" t="str">
            <v>Prod AA</v>
          </cell>
          <cell r="H210">
            <v>1</v>
          </cell>
          <cell r="AY210">
            <v>244</v>
          </cell>
        </row>
        <row r="211">
          <cell r="D211" t="str">
            <v>Prod AA</v>
          </cell>
          <cell r="H211">
            <v>1</v>
          </cell>
          <cell r="AY211">
            <v>244</v>
          </cell>
        </row>
        <row r="212">
          <cell r="D212" t="str">
            <v>Prod AA</v>
          </cell>
          <cell r="H212">
            <v>1</v>
          </cell>
          <cell r="AY212">
            <v>244</v>
          </cell>
        </row>
        <row r="213">
          <cell r="D213" t="str">
            <v>Prod AA</v>
          </cell>
          <cell r="H213">
            <v>1</v>
          </cell>
          <cell r="AY213">
            <v>244</v>
          </cell>
        </row>
        <row r="214">
          <cell r="D214" t="str">
            <v>Prod AA</v>
          </cell>
          <cell r="H214">
            <v>1</v>
          </cell>
          <cell r="AY214">
            <v>244</v>
          </cell>
        </row>
        <row r="215">
          <cell r="D215" t="str">
            <v>Prod AA</v>
          </cell>
          <cell r="H215">
            <v>1</v>
          </cell>
          <cell r="AY215">
            <v>208</v>
          </cell>
        </row>
        <row r="216">
          <cell r="D216" t="str">
            <v>Prod AA</v>
          </cell>
          <cell r="H216">
            <v>1</v>
          </cell>
          <cell r="AY216">
            <v>208</v>
          </cell>
        </row>
        <row r="217">
          <cell r="D217" t="str">
            <v>Prod AA</v>
          </cell>
          <cell r="H217">
            <v>1</v>
          </cell>
          <cell r="AY217">
            <v>208</v>
          </cell>
        </row>
        <row r="218">
          <cell r="D218" t="str">
            <v>Prod AA</v>
          </cell>
          <cell r="H218">
            <v>1</v>
          </cell>
          <cell r="AY218">
            <v>208</v>
          </cell>
        </row>
        <row r="219">
          <cell r="D219" t="str">
            <v>Prod AA</v>
          </cell>
          <cell r="H219">
            <v>1</v>
          </cell>
          <cell r="AY219">
            <v>208</v>
          </cell>
        </row>
        <row r="220">
          <cell r="D220" t="str">
            <v>Prod AA</v>
          </cell>
          <cell r="H220">
            <v>1</v>
          </cell>
          <cell r="AY220">
            <v>208</v>
          </cell>
        </row>
        <row r="221">
          <cell r="D221" t="str">
            <v>Prod AA</v>
          </cell>
          <cell r="H221">
            <v>1</v>
          </cell>
          <cell r="AY221">
            <v>208</v>
          </cell>
        </row>
        <row r="222">
          <cell r="D222" t="str">
            <v>Prod AA</v>
          </cell>
          <cell r="H222">
            <v>1</v>
          </cell>
          <cell r="AY222">
            <v>208</v>
          </cell>
        </row>
        <row r="223">
          <cell r="D223" t="str">
            <v>Prod AA</v>
          </cell>
          <cell r="H223">
            <v>1</v>
          </cell>
          <cell r="AY223">
            <v>208</v>
          </cell>
        </row>
        <row r="224">
          <cell r="D224" t="str">
            <v>Tech AA</v>
          </cell>
          <cell r="H224">
            <v>1</v>
          </cell>
          <cell r="AY224">
            <v>0</v>
          </cell>
        </row>
        <row r="225">
          <cell r="D225" t="str">
            <v>Tech AA</v>
          </cell>
          <cell r="H225">
            <v>1</v>
          </cell>
          <cell r="AY225">
            <v>208</v>
          </cell>
        </row>
        <row r="226">
          <cell r="D226" t="str">
            <v>Tech AA</v>
          </cell>
          <cell r="H226">
            <v>1</v>
          </cell>
          <cell r="AY226">
            <v>238</v>
          </cell>
        </row>
        <row r="227">
          <cell r="D227" t="str">
            <v>Admin Kom</v>
          </cell>
          <cell r="H227">
            <v>1</v>
          </cell>
          <cell r="AY227">
            <v>0</v>
          </cell>
        </row>
        <row r="228">
          <cell r="D228" t="str">
            <v>Admin Kom</v>
          </cell>
          <cell r="H228">
            <v>1</v>
          </cell>
          <cell r="AY228">
            <v>208</v>
          </cell>
        </row>
        <row r="229">
          <cell r="D229" t="str">
            <v>Admin Kom</v>
          </cell>
          <cell r="H229">
            <v>1</v>
          </cell>
          <cell r="AY229">
            <v>0</v>
          </cell>
        </row>
        <row r="230">
          <cell r="D230" t="str">
            <v>Admin Kom</v>
          </cell>
          <cell r="H230">
            <v>1</v>
          </cell>
          <cell r="AY230">
            <v>208</v>
          </cell>
        </row>
        <row r="231">
          <cell r="D231" t="str">
            <v>Admin Kom</v>
          </cell>
          <cell r="H231">
            <v>1</v>
          </cell>
          <cell r="AY231">
            <v>0</v>
          </cell>
        </row>
        <row r="232">
          <cell r="D232" t="str">
            <v>Admin Kom</v>
          </cell>
          <cell r="H232">
            <v>1</v>
          </cell>
          <cell r="AY232">
            <v>238</v>
          </cell>
        </row>
        <row r="233">
          <cell r="D233" t="str">
            <v>Admin Kom</v>
          </cell>
          <cell r="H233">
            <v>1</v>
          </cell>
          <cell r="AY233">
            <v>455</v>
          </cell>
        </row>
        <row r="234">
          <cell r="D234" t="str">
            <v>Admin Kom</v>
          </cell>
          <cell r="H234">
            <v>1</v>
          </cell>
          <cell r="AY234">
            <v>204</v>
          </cell>
        </row>
        <row r="235">
          <cell r="D235" t="str">
            <v>Admin Kom</v>
          </cell>
          <cell r="H235">
            <v>1</v>
          </cell>
          <cell r="AY235">
            <v>208</v>
          </cell>
        </row>
        <row r="236">
          <cell r="D236" t="str">
            <v>Admin Kom</v>
          </cell>
          <cell r="H236">
            <v>1</v>
          </cell>
          <cell r="AY236">
            <v>455</v>
          </cell>
        </row>
        <row r="237">
          <cell r="D237" t="str">
            <v>Admin Kom</v>
          </cell>
          <cell r="H237">
            <v>1</v>
          </cell>
          <cell r="AY237">
            <v>455</v>
          </cell>
        </row>
        <row r="238">
          <cell r="D238" t="str">
            <v>Admin Kom</v>
          </cell>
          <cell r="H238">
            <v>1</v>
          </cell>
          <cell r="AY238">
            <v>455</v>
          </cell>
        </row>
        <row r="239">
          <cell r="D239" t="str">
            <v>Admin Kom</v>
          </cell>
          <cell r="H239">
            <v>1</v>
          </cell>
          <cell r="AY239">
            <v>455</v>
          </cell>
        </row>
        <row r="240">
          <cell r="D240" t="str">
            <v>Admin Kom</v>
          </cell>
          <cell r="H240">
            <v>1</v>
          </cell>
          <cell r="AY240">
            <v>455</v>
          </cell>
        </row>
        <row r="241">
          <cell r="D241" t="str">
            <v>Admin Kom</v>
          </cell>
          <cell r="H241">
            <v>1</v>
          </cell>
          <cell r="AY241">
            <v>455</v>
          </cell>
        </row>
        <row r="242">
          <cell r="D242" t="str">
            <v>Admin Kom</v>
          </cell>
          <cell r="H242">
            <v>1</v>
          </cell>
          <cell r="AY242">
            <v>455</v>
          </cell>
        </row>
        <row r="243">
          <cell r="D243" t="str">
            <v>Admin Kom</v>
          </cell>
          <cell r="H243">
            <v>1</v>
          </cell>
          <cell r="AY243">
            <v>455</v>
          </cell>
        </row>
        <row r="244">
          <cell r="D244" t="str">
            <v>Admin Kom</v>
          </cell>
          <cell r="H244">
            <v>1</v>
          </cell>
          <cell r="AY244">
            <v>455</v>
          </cell>
        </row>
        <row r="245">
          <cell r="D245" t="str">
            <v>Admin Kom</v>
          </cell>
          <cell r="H245">
            <v>1</v>
          </cell>
          <cell r="AY245">
            <v>455</v>
          </cell>
        </row>
        <row r="246">
          <cell r="D246" t="str">
            <v>Admin Kom</v>
          </cell>
          <cell r="H246">
            <v>1</v>
          </cell>
          <cell r="AY246">
            <v>455</v>
          </cell>
        </row>
        <row r="247">
          <cell r="D247" t="str">
            <v>Admin Kom</v>
          </cell>
          <cell r="H247">
            <v>1</v>
          </cell>
          <cell r="AY247">
            <v>455</v>
          </cell>
        </row>
        <row r="248">
          <cell r="D248" t="str">
            <v>Admin Kom</v>
          </cell>
          <cell r="H248">
            <v>1</v>
          </cell>
          <cell r="AY248">
            <v>455</v>
          </cell>
        </row>
        <row r="249">
          <cell r="D249" t="str">
            <v>Admin Kom</v>
          </cell>
          <cell r="H249">
            <v>1</v>
          </cell>
          <cell r="AY249">
            <v>280</v>
          </cell>
        </row>
        <row r="250">
          <cell r="D250" t="str">
            <v>Admin Kom</v>
          </cell>
          <cell r="H250">
            <v>1</v>
          </cell>
          <cell r="AY250">
            <v>280</v>
          </cell>
        </row>
        <row r="251">
          <cell r="D251" t="str">
            <v>Admin Kom</v>
          </cell>
          <cell r="H251">
            <v>1</v>
          </cell>
          <cell r="AY251">
            <v>280</v>
          </cell>
        </row>
        <row r="252">
          <cell r="D252" t="str">
            <v>Admin Kom</v>
          </cell>
          <cell r="H252">
            <v>1</v>
          </cell>
          <cell r="AY252">
            <v>280</v>
          </cell>
        </row>
        <row r="253">
          <cell r="D253" t="str">
            <v>Admin Kom</v>
          </cell>
          <cell r="H253">
            <v>1</v>
          </cell>
          <cell r="AY253">
            <v>280</v>
          </cell>
        </row>
        <row r="254">
          <cell r="D254" t="str">
            <v>Admin Kom</v>
          </cell>
          <cell r="H254">
            <v>1</v>
          </cell>
          <cell r="AY254">
            <v>280</v>
          </cell>
        </row>
        <row r="255">
          <cell r="D255" t="str">
            <v>Fin Kom</v>
          </cell>
          <cell r="H255">
            <v>1</v>
          </cell>
          <cell r="AY255">
            <v>0</v>
          </cell>
        </row>
        <row r="256">
          <cell r="D256" t="str">
            <v>Fin Kom</v>
          </cell>
          <cell r="H256">
            <v>1</v>
          </cell>
          <cell r="AY256">
            <v>0</v>
          </cell>
        </row>
        <row r="257">
          <cell r="D257" t="str">
            <v>Fin Kom</v>
          </cell>
          <cell r="H257">
            <v>1</v>
          </cell>
          <cell r="AY257">
            <v>0</v>
          </cell>
        </row>
        <row r="258">
          <cell r="D258" t="str">
            <v>Fin Kom</v>
          </cell>
          <cell r="H258">
            <v>1</v>
          </cell>
          <cell r="AY258">
            <v>0</v>
          </cell>
        </row>
        <row r="259">
          <cell r="D259" t="str">
            <v>Fin Kom</v>
          </cell>
          <cell r="H259">
            <v>1</v>
          </cell>
          <cell r="AY259">
            <v>0</v>
          </cell>
        </row>
        <row r="260">
          <cell r="D260" t="str">
            <v>Maint Kom</v>
          </cell>
          <cell r="H260">
            <v>1</v>
          </cell>
          <cell r="AY260">
            <v>88</v>
          </cell>
        </row>
        <row r="261">
          <cell r="D261" t="str">
            <v>Maint Kom</v>
          </cell>
          <cell r="H261">
            <v>1</v>
          </cell>
          <cell r="AY261">
            <v>208</v>
          </cell>
        </row>
        <row r="262">
          <cell r="D262" t="str">
            <v>Maint Kom</v>
          </cell>
          <cell r="H262">
            <v>1</v>
          </cell>
          <cell r="AY262">
            <v>279</v>
          </cell>
        </row>
        <row r="263">
          <cell r="D263" t="str">
            <v>Maint Kom</v>
          </cell>
          <cell r="H263">
            <v>1</v>
          </cell>
          <cell r="AY263">
            <v>279</v>
          </cell>
        </row>
        <row r="264">
          <cell r="D264" t="str">
            <v>Maint Kom</v>
          </cell>
          <cell r="H264">
            <v>1</v>
          </cell>
          <cell r="AY264">
            <v>279</v>
          </cell>
        </row>
        <row r="265">
          <cell r="D265" t="str">
            <v>Maint Kom</v>
          </cell>
          <cell r="H265">
            <v>1</v>
          </cell>
          <cell r="AY265">
            <v>279</v>
          </cell>
        </row>
        <row r="266">
          <cell r="D266" t="str">
            <v>Maint Kom</v>
          </cell>
          <cell r="H266">
            <v>1</v>
          </cell>
          <cell r="AY266">
            <v>279</v>
          </cell>
        </row>
        <row r="267">
          <cell r="D267" t="str">
            <v>Maint Kom</v>
          </cell>
          <cell r="H267">
            <v>1</v>
          </cell>
          <cell r="AY267">
            <v>239</v>
          </cell>
        </row>
        <row r="268">
          <cell r="D268" t="str">
            <v>Maint Kom</v>
          </cell>
          <cell r="H268">
            <v>1</v>
          </cell>
          <cell r="AY268">
            <v>239</v>
          </cell>
        </row>
        <row r="269">
          <cell r="D269" t="str">
            <v>Maint Kom</v>
          </cell>
          <cell r="H269">
            <v>1</v>
          </cell>
          <cell r="AY269">
            <v>208</v>
          </cell>
        </row>
        <row r="270">
          <cell r="D270" t="str">
            <v>Maint Kom</v>
          </cell>
          <cell r="H270">
            <v>1</v>
          </cell>
          <cell r="AY270">
            <v>0</v>
          </cell>
        </row>
        <row r="271">
          <cell r="D271" t="str">
            <v>Maint Kom</v>
          </cell>
          <cell r="H271">
            <v>1</v>
          </cell>
          <cell r="AY271">
            <v>238</v>
          </cell>
        </row>
        <row r="272">
          <cell r="D272" t="str">
            <v>Maint Kom</v>
          </cell>
          <cell r="H272">
            <v>1</v>
          </cell>
          <cell r="AY272">
            <v>238</v>
          </cell>
        </row>
        <row r="273">
          <cell r="D273" t="str">
            <v>Maint Kom</v>
          </cell>
          <cell r="H273">
            <v>1</v>
          </cell>
          <cell r="AY273">
            <v>208</v>
          </cell>
        </row>
        <row r="274">
          <cell r="D274" t="str">
            <v>Maint Kom</v>
          </cell>
          <cell r="H274">
            <v>1</v>
          </cell>
          <cell r="AY274">
            <v>208</v>
          </cell>
        </row>
        <row r="275">
          <cell r="D275" t="str">
            <v>Maint Kom</v>
          </cell>
          <cell r="H275">
            <v>1</v>
          </cell>
          <cell r="AY275">
            <v>208</v>
          </cell>
        </row>
        <row r="276">
          <cell r="D276" t="str">
            <v>Maint Kom</v>
          </cell>
          <cell r="H276">
            <v>1</v>
          </cell>
          <cell r="AY276">
            <v>208</v>
          </cell>
        </row>
        <row r="277">
          <cell r="D277" t="str">
            <v>Maint Kom</v>
          </cell>
          <cell r="H277">
            <v>1</v>
          </cell>
          <cell r="AY277">
            <v>208</v>
          </cell>
        </row>
        <row r="278">
          <cell r="D278" t="str">
            <v>Maint Kom</v>
          </cell>
          <cell r="H278">
            <v>1</v>
          </cell>
          <cell r="AY278">
            <v>204</v>
          </cell>
        </row>
        <row r="279">
          <cell r="D279" t="str">
            <v>Maint Kom</v>
          </cell>
          <cell r="H279">
            <v>1</v>
          </cell>
          <cell r="AY279">
            <v>208</v>
          </cell>
        </row>
        <row r="280">
          <cell r="D280" t="str">
            <v>Maint Kom</v>
          </cell>
          <cell r="H280">
            <v>1</v>
          </cell>
          <cell r="AY280">
            <v>208</v>
          </cell>
        </row>
        <row r="281">
          <cell r="D281" t="str">
            <v>Maint Kom</v>
          </cell>
          <cell r="H281">
            <v>1</v>
          </cell>
          <cell r="AY281">
            <v>208</v>
          </cell>
        </row>
        <row r="282">
          <cell r="D282" t="str">
            <v>Maint Kom</v>
          </cell>
          <cell r="H282">
            <v>1</v>
          </cell>
          <cell r="AY282">
            <v>208</v>
          </cell>
        </row>
        <row r="283">
          <cell r="D283" t="str">
            <v>Maint Kom</v>
          </cell>
          <cell r="H283">
            <v>1</v>
          </cell>
          <cell r="AY283">
            <v>238</v>
          </cell>
        </row>
        <row r="284">
          <cell r="D284" t="str">
            <v>Maint Kom</v>
          </cell>
          <cell r="H284">
            <v>1</v>
          </cell>
          <cell r="AY284">
            <v>212</v>
          </cell>
        </row>
        <row r="285">
          <cell r="D285" t="str">
            <v>Maint Kom</v>
          </cell>
          <cell r="H285">
            <v>1</v>
          </cell>
          <cell r="AY285">
            <v>212</v>
          </cell>
        </row>
        <row r="286">
          <cell r="D286" t="str">
            <v>Prod Kom</v>
          </cell>
          <cell r="H286">
            <v>1</v>
          </cell>
          <cell r="AY286">
            <v>208</v>
          </cell>
        </row>
        <row r="287">
          <cell r="D287" t="str">
            <v>Prod Kom</v>
          </cell>
          <cell r="H287">
            <v>1</v>
          </cell>
          <cell r="AY287">
            <v>208</v>
          </cell>
        </row>
        <row r="288">
          <cell r="D288" t="str">
            <v>Prod Kom</v>
          </cell>
          <cell r="H288">
            <v>1</v>
          </cell>
          <cell r="AY288">
            <v>208</v>
          </cell>
        </row>
        <row r="289">
          <cell r="D289" t="str">
            <v>Prod Kom</v>
          </cell>
          <cell r="H289">
            <v>1</v>
          </cell>
          <cell r="AY289">
            <v>208</v>
          </cell>
        </row>
        <row r="290">
          <cell r="D290" t="str">
            <v>Prod Kom</v>
          </cell>
          <cell r="H290">
            <v>1</v>
          </cell>
          <cell r="AY290">
            <v>208</v>
          </cell>
        </row>
        <row r="291">
          <cell r="D291" t="str">
            <v>Prod Kom</v>
          </cell>
          <cell r="H291">
            <v>1</v>
          </cell>
          <cell r="AY291">
            <v>208</v>
          </cell>
        </row>
        <row r="292">
          <cell r="D292" t="str">
            <v>Prod Kom</v>
          </cell>
          <cell r="H292">
            <v>1</v>
          </cell>
          <cell r="AY292">
            <v>208</v>
          </cell>
        </row>
        <row r="293">
          <cell r="D293" t="str">
            <v>Prod Kom</v>
          </cell>
          <cell r="H293">
            <v>1</v>
          </cell>
          <cell r="AY293">
            <v>208</v>
          </cell>
        </row>
        <row r="294">
          <cell r="D294" t="str">
            <v>Prod Kom</v>
          </cell>
          <cell r="H294">
            <v>1</v>
          </cell>
          <cell r="AY294">
            <v>238</v>
          </cell>
        </row>
        <row r="295">
          <cell r="D295" t="str">
            <v>Prod Kom</v>
          </cell>
          <cell r="H295">
            <v>1</v>
          </cell>
          <cell r="AY295">
            <v>238</v>
          </cell>
        </row>
        <row r="296">
          <cell r="D296" t="str">
            <v>Prod Kom</v>
          </cell>
          <cell r="H296">
            <v>1</v>
          </cell>
          <cell r="AY296">
            <v>238</v>
          </cell>
        </row>
        <row r="297">
          <cell r="D297" t="str">
            <v>Prod Kom</v>
          </cell>
          <cell r="H297">
            <v>1</v>
          </cell>
          <cell r="AY297">
            <v>269</v>
          </cell>
        </row>
        <row r="298">
          <cell r="D298" t="str">
            <v>Prod Kom</v>
          </cell>
          <cell r="H298">
            <v>1</v>
          </cell>
          <cell r="AY298">
            <v>269</v>
          </cell>
        </row>
        <row r="299">
          <cell r="D299" t="str">
            <v>Prod Kom</v>
          </cell>
          <cell r="H299">
            <v>1</v>
          </cell>
          <cell r="AY299">
            <v>269</v>
          </cell>
        </row>
        <row r="300">
          <cell r="D300" t="str">
            <v>Prod Kom</v>
          </cell>
          <cell r="H300">
            <v>1</v>
          </cell>
          <cell r="AY300">
            <v>269</v>
          </cell>
        </row>
        <row r="301">
          <cell r="D301" t="str">
            <v>Prod Kom</v>
          </cell>
          <cell r="H301">
            <v>1</v>
          </cell>
          <cell r="AY301">
            <v>269</v>
          </cell>
        </row>
        <row r="302">
          <cell r="D302" t="str">
            <v>Prod Kom</v>
          </cell>
          <cell r="H302">
            <v>1</v>
          </cell>
          <cell r="AY302">
            <v>269</v>
          </cell>
        </row>
        <row r="303">
          <cell r="D303" t="str">
            <v>Prod Kom</v>
          </cell>
          <cell r="H303">
            <v>1</v>
          </cell>
          <cell r="AY303">
            <v>208</v>
          </cell>
        </row>
        <row r="304">
          <cell r="D304" t="str">
            <v>Prod Kom</v>
          </cell>
          <cell r="H304">
            <v>1</v>
          </cell>
          <cell r="AY304">
            <v>269</v>
          </cell>
        </row>
        <row r="305">
          <cell r="D305" t="str">
            <v>Prod Kom</v>
          </cell>
          <cell r="H305">
            <v>1</v>
          </cell>
          <cell r="AY305">
            <v>269</v>
          </cell>
        </row>
        <row r="306">
          <cell r="D306" t="str">
            <v>Prod Kom</v>
          </cell>
          <cell r="H306">
            <v>1</v>
          </cell>
          <cell r="AY306">
            <v>269</v>
          </cell>
        </row>
        <row r="307">
          <cell r="D307" t="str">
            <v>Prod Kom</v>
          </cell>
          <cell r="H307">
            <v>1</v>
          </cell>
          <cell r="AY307">
            <v>269</v>
          </cell>
        </row>
        <row r="308">
          <cell r="D308" t="str">
            <v>Prod Kom</v>
          </cell>
          <cell r="H308">
            <v>1</v>
          </cell>
          <cell r="AY308">
            <v>269</v>
          </cell>
        </row>
        <row r="309">
          <cell r="D309" t="str">
            <v>Prod Kom</v>
          </cell>
          <cell r="H309">
            <v>1</v>
          </cell>
          <cell r="AY309">
            <v>208</v>
          </cell>
        </row>
        <row r="310">
          <cell r="D310" t="str">
            <v>Prod Kom</v>
          </cell>
          <cell r="H310">
            <v>1</v>
          </cell>
          <cell r="AY310">
            <v>208</v>
          </cell>
        </row>
        <row r="311">
          <cell r="D311" t="str">
            <v>Prod Kom</v>
          </cell>
          <cell r="H311">
            <v>1</v>
          </cell>
          <cell r="AY311">
            <v>208</v>
          </cell>
        </row>
        <row r="312">
          <cell r="D312" t="str">
            <v>Prod Kom</v>
          </cell>
          <cell r="H312">
            <v>1</v>
          </cell>
          <cell r="AY312">
            <v>269</v>
          </cell>
        </row>
        <row r="313">
          <cell r="D313" t="str">
            <v>Prod Kom</v>
          </cell>
          <cell r="H313">
            <v>1</v>
          </cell>
          <cell r="AY313">
            <v>269</v>
          </cell>
        </row>
        <row r="314">
          <cell r="D314" t="str">
            <v>Prod Kom</v>
          </cell>
          <cell r="H314">
            <v>1</v>
          </cell>
          <cell r="AY314">
            <v>269</v>
          </cell>
        </row>
        <row r="315">
          <cell r="D315" t="str">
            <v>Prod Kom</v>
          </cell>
          <cell r="H315">
            <v>1</v>
          </cell>
          <cell r="AY315">
            <v>244</v>
          </cell>
        </row>
        <row r="316">
          <cell r="D316" t="str">
            <v>Prod Kom</v>
          </cell>
          <cell r="H316">
            <v>1</v>
          </cell>
          <cell r="AY316">
            <v>244</v>
          </cell>
        </row>
        <row r="317">
          <cell r="D317" t="str">
            <v>Prod Kom</v>
          </cell>
          <cell r="H317">
            <v>1</v>
          </cell>
          <cell r="AY317">
            <v>244</v>
          </cell>
        </row>
        <row r="318">
          <cell r="D318" t="str">
            <v>Prod Kom</v>
          </cell>
          <cell r="H318">
            <v>1</v>
          </cell>
          <cell r="AY318">
            <v>244</v>
          </cell>
        </row>
        <row r="319">
          <cell r="D319" t="str">
            <v>Prod Kom</v>
          </cell>
          <cell r="H319">
            <v>1</v>
          </cell>
          <cell r="AY319">
            <v>244</v>
          </cell>
        </row>
        <row r="320">
          <cell r="D320" t="str">
            <v>Prod Kom</v>
          </cell>
          <cell r="H320">
            <v>1</v>
          </cell>
          <cell r="AY320">
            <v>244</v>
          </cell>
        </row>
        <row r="321">
          <cell r="D321" t="str">
            <v>Prod Kom</v>
          </cell>
          <cell r="H321">
            <v>1</v>
          </cell>
          <cell r="AY321">
            <v>204</v>
          </cell>
        </row>
        <row r="322">
          <cell r="D322" t="str">
            <v>Prod Kom</v>
          </cell>
          <cell r="H322">
            <v>1</v>
          </cell>
          <cell r="AY322">
            <v>208</v>
          </cell>
        </row>
        <row r="323">
          <cell r="D323" t="str">
            <v>Prod Kom</v>
          </cell>
          <cell r="H323">
            <v>1</v>
          </cell>
          <cell r="AY323">
            <v>208</v>
          </cell>
        </row>
        <row r="324">
          <cell r="D324" t="str">
            <v>Prod Kom</v>
          </cell>
          <cell r="H324">
            <v>1</v>
          </cell>
          <cell r="AY324">
            <v>208</v>
          </cell>
        </row>
        <row r="325">
          <cell r="D325" t="str">
            <v>Prod Kom</v>
          </cell>
          <cell r="H325">
            <v>1</v>
          </cell>
          <cell r="AY325">
            <v>208</v>
          </cell>
        </row>
        <row r="326">
          <cell r="D326" t="str">
            <v>Prod Kom</v>
          </cell>
          <cell r="H326">
            <v>1</v>
          </cell>
          <cell r="AY326">
            <v>208</v>
          </cell>
        </row>
        <row r="327">
          <cell r="D327" t="str">
            <v>Prod Kom</v>
          </cell>
          <cell r="H327">
            <v>1</v>
          </cell>
          <cell r="AY327">
            <v>208</v>
          </cell>
        </row>
        <row r="328">
          <cell r="D328" t="str">
            <v>Prod Kom</v>
          </cell>
          <cell r="H328">
            <v>1</v>
          </cell>
          <cell r="AY328">
            <v>208</v>
          </cell>
        </row>
        <row r="329">
          <cell r="D329" t="str">
            <v>Prod Kom</v>
          </cell>
          <cell r="H329">
            <v>1</v>
          </cell>
          <cell r="AY329">
            <v>208</v>
          </cell>
        </row>
        <row r="330">
          <cell r="D330" t="str">
            <v>Prod Kom</v>
          </cell>
          <cell r="H330">
            <v>1</v>
          </cell>
          <cell r="AY330">
            <v>208</v>
          </cell>
        </row>
        <row r="331">
          <cell r="D331" t="str">
            <v>Stores Kom</v>
          </cell>
          <cell r="H331">
            <v>1</v>
          </cell>
          <cell r="AY331">
            <v>208</v>
          </cell>
        </row>
        <row r="332">
          <cell r="D332" t="str">
            <v>Stores Kom</v>
          </cell>
          <cell r="H332">
            <v>1</v>
          </cell>
          <cell r="AY332">
            <v>208</v>
          </cell>
        </row>
        <row r="333">
          <cell r="D333" t="str">
            <v>Stores Kom</v>
          </cell>
          <cell r="H333">
            <v>1</v>
          </cell>
          <cell r="AY333">
            <v>238</v>
          </cell>
        </row>
        <row r="334">
          <cell r="D334" t="str">
            <v>Stores Kom</v>
          </cell>
          <cell r="H334">
            <v>1</v>
          </cell>
          <cell r="AY334">
            <v>208</v>
          </cell>
        </row>
        <row r="335">
          <cell r="D335" t="str">
            <v>Stores Kom</v>
          </cell>
          <cell r="H335">
            <v>1</v>
          </cell>
          <cell r="AY335">
            <v>208</v>
          </cell>
        </row>
        <row r="336">
          <cell r="D336" t="str">
            <v>Stores Kom</v>
          </cell>
          <cell r="H336">
            <v>1</v>
          </cell>
          <cell r="AY336">
            <v>208</v>
          </cell>
        </row>
        <row r="337">
          <cell r="D337" t="str">
            <v>Stores Kom</v>
          </cell>
          <cell r="H337">
            <v>1</v>
          </cell>
          <cell r="AY337">
            <v>208</v>
          </cell>
        </row>
        <row r="338">
          <cell r="D338" t="str">
            <v>Stores Kom</v>
          </cell>
          <cell r="H338">
            <v>1</v>
          </cell>
          <cell r="AY338">
            <v>208</v>
          </cell>
        </row>
        <row r="339">
          <cell r="D339" t="str">
            <v>Stores Kom</v>
          </cell>
          <cell r="H339">
            <v>1</v>
          </cell>
          <cell r="AY339">
            <v>208</v>
          </cell>
        </row>
        <row r="340">
          <cell r="D340" t="str">
            <v>Stores Kom</v>
          </cell>
          <cell r="H340">
            <v>1</v>
          </cell>
          <cell r="AY340">
            <v>208</v>
          </cell>
        </row>
        <row r="341">
          <cell r="D341" t="str">
            <v>Stores Kom</v>
          </cell>
          <cell r="H341">
            <v>1</v>
          </cell>
          <cell r="AY341">
            <v>208</v>
          </cell>
        </row>
        <row r="342">
          <cell r="D342" t="str">
            <v>Stores Kom</v>
          </cell>
          <cell r="H342">
            <v>1</v>
          </cell>
          <cell r="AY342">
            <v>208</v>
          </cell>
        </row>
        <row r="343">
          <cell r="D343" t="str">
            <v>Stores Kom</v>
          </cell>
          <cell r="H343">
            <v>1</v>
          </cell>
          <cell r="AY343">
            <v>208</v>
          </cell>
        </row>
        <row r="344">
          <cell r="D344" t="str">
            <v>Stores Kom</v>
          </cell>
          <cell r="H344">
            <v>1</v>
          </cell>
          <cell r="AY344">
            <v>208</v>
          </cell>
        </row>
        <row r="345">
          <cell r="D345" t="str">
            <v>Stores Kom</v>
          </cell>
          <cell r="H345">
            <v>1</v>
          </cell>
          <cell r="AY345">
            <v>208</v>
          </cell>
        </row>
        <row r="346">
          <cell r="D346" t="str">
            <v>Stores Kom</v>
          </cell>
          <cell r="H346">
            <v>1</v>
          </cell>
          <cell r="AY346">
            <v>238</v>
          </cell>
        </row>
        <row r="347">
          <cell r="D347" t="str">
            <v>Mark</v>
          </cell>
          <cell r="H347">
            <v>1</v>
          </cell>
          <cell r="AY347">
            <v>0</v>
          </cell>
        </row>
        <row r="348">
          <cell r="D348" t="str">
            <v>Mark</v>
          </cell>
          <cell r="H348">
            <v>1</v>
          </cell>
          <cell r="AY348">
            <v>960</v>
          </cell>
        </row>
        <row r="349">
          <cell r="D349" t="str">
            <v>Mark</v>
          </cell>
          <cell r="H349">
            <v>1</v>
          </cell>
          <cell r="AY349">
            <v>960</v>
          </cell>
        </row>
        <row r="350">
          <cell r="D350" t="str">
            <v>Mark</v>
          </cell>
          <cell r="H350">
            <v>1</v>
          </cell>
          <cell r="AY350">
            <v>960</v>
          </cell>
        </row>
        <row r="351">
          <cell r="D351" t="str">
            <v>Mark</v>
          </cell>
          <cell r="H351">
            <v>1</v>
          </cell>
          <cell r="AY351">
            <v>208</v>
          </cell>
        </row>
        <row r="352">
          <cell r="D352" t="str">
            <v>Mark</v>
          </cell>
          <cell r="H352">
            <v>1</v>
          </cell>
          <cell r="AY352">
            <v>0</v>
          </cell>
        </row>
        <row r="353">
          <cell r="D353" t="str">
            <v>Mark</v>
          </cell>
          <cell r="H353">
            <v>1</v>
          </cell>
          <cell r="AY353">
            <v>238</v>
          </cell>
        </row>
        <row r="354">
          <cell r="D354" t="str">
            <v>Mark</v>
          </cell>
          <cell r="H354">
            <v>1</v>
          </cell>
          <cell r="AY354">
            <v>208</v>
          </cell>
        </row>
        <row r="355">
          <cell r="D355" t="str">
            <v>Mark</v>
          </cell>
          <cell r="H355">
            <v>1</v>
          </cell>
          <cell r="AY355">
            <v>208</v>
          </cell>
        </row>
        <row r="356">
          <cell r="D356" t="str">
            <v>Sales BB</v>
          </cell>
          <cell r="H356">
            <v>1</v>
          </cell>
          <cell r="AY356">
            <v>0</v>
          </cell>
        </row>
        <row r="357">
          <cell r="D357" t="str">
            <v>Sales BB</v>
          </cell>
          <cell r="H357">
            <v>1</v>
          </cell>
          <cell r="AY357">
            <v>960</v>
          </cell>
        </row>
        <row r="358">
          <cell r="D358" t="str">
            <v>Sales BB</v>
          </cell>
          <cell r="H358">
            <v>1</v>
          </cell>
          <cell r="AY358">
            <v>960</v>
          </cell>
        </row>
        <row r="359">
          <cell r="D359" t="str">
            <v>Sales BB</v>
          </cell>
          <cell r="H359">
            <v>1</v>
          </cell>
          <cell r="AY359">
            <v>960</v>
          </cell>
        </row>
        <row r="360">
          <cell r="D360" t="str">
            <v>Sales BB</v>
          </cell>
          <cell r="H360">
            <v>1</v>
          </cell>
          <cell r="AY360">
            <v>960</v>
          </cell>
        </row>
        <row r="361">
          <cell r="D361" t="str">
            <v>Sales BB</v>
          </cell>
          <cell r="H361">
            <v>1</v>
          </cell>
          <cell r="AY361">
            <v>960</v>
          </cell>
        </row>
        <row r="362">
          <cell r="D362" t="str">
            <v>Sales BB</v>
          </cell>
          <cell r="H362">
            <v>1</v>
          </cell>
          <cell r="AY362">
            <v>960</v>
          </cell>
        </row>
        <row r="363">
          <cell r="D363" t="str">
            <v>Sales BB</v>
          </cell>
          <cell r="H363">
            <v>1</v>
          </cell>
          <cell r="AY363">
            <v>960</v>
          </cell>
        </row>
        <row r="364">
          <cell r="D364" t="str">
            <v>Sales BB</v>
          </cell>
          <cell r="H364">
            <v>1</v>
          </cell>
          <cell r="AY364">
            <v>960</v>
          </cell>
        </row>
        <row r="365">
          <cell r="D365" t="str">
            <v>Sales BB</v>
          </cell>
          <cell r="H365">
            <v>1</v>
          </cell>
          <cell r="AY365">
            <v>0</v>
          </cell>
        </row>
        <row r="366">
          <cell r="D366" t="str">
            <v>Sales BB</v>
          </cell>
          <cell r="H366">
            <v>1</v>
          </cell>
          <cell r="AY366">
            <v>960</v>
          </cell>
        </row>
        <row r="367">
          <cell r="D367" t="str">
            <v>Shashe B</v>
          </cell>
          <cell r="H367">
            <v>1</v>
          </cell>
          <cell r="AY367">
            <v>220</v>
          </cell>
        </row>
        <row r="368">
          <cell r="D368" t="str">
            <v>Sales BB</v>
          </cell>
          <cell r="H368">
            <v>1</v>
          </cell>
          <cell r="AY368">
            <v>208</v>
          </cell>
        </row>
        <row r="369">
          <cell r="D369" t="str">
            <v>Sales BB</v>
          </cell>
          <cell r="H369">
            <v>1</v>
          </cell>
          <cell r="AY369">
            <v>510</v>
          </cell>
        </row>
        <row r="370">
          <cell r="D370" t="str">
            <v>Sales BB</v>
          </cell>
          <cell r="H370">
            <v>1</v>
          </cell>
          <cell r="AY370">
            <v>510</v>
          </cell>
        </row>
        <row r="371">
          <cell r="D371" t="str">
            <v>Sales BB</v>
          </cell>
          <cell r="H371">
            <v>1</v>
          </cell>
          <cell r="AY371">
            <v>510</v>
          </cell>
        </row>
        <row r="372">
          <cell r="D372" t="str">
            <v>Sales BB</v>
          </cell>
          <cell r="H372">
            <v>1</v>
          </cell>
          <cell r="AY372">
            <v>510</v>
          </cell>
        </row>
        <row r="373">
          <cell r="D373" t="str">
            <v>Sales BB</v>
          </cell>
          <cell r="H373">
            <v>1</v>
          </cell>
          <cell r="AY373">
            <v>510</v>
          </cell>
        </row>
        <row r="374">
          <cell r="D374" t="str">
            <v>Shashe B</v>
          </cell>
          <cell r="H374">
            <v>1</v>
          </cell>
          <cell r="AY374">
            <v>510</v>
          </cell>
        </row>
        <row r="375">
          <cell r="D375" t="str">
            <v>Shashe B</v>
          </cell>
          <cell r="H375">
            <v>1</v>
          </cell>
          <cell r="AY375">
            <v>510</v>
          </cell>
        </row>
        <row r="376">
          <cell r="D376" t="str">
            <v>Sales BB</v>
          </cell>
          <cell r="H376">
            <v>1</v>
          </cell>
          <cell r="AY376">
            <v>960</v>
          </cell>
        </row>
        <row r="377">
          <cell r="D377" t="str">
            <v>Sales BB</v>
          </cell>
          <cell r="H377">
            <v>1</v>
          </cell>
          <cell r="AY377">
            <v>960</v>
          </cell>
        </row>
        <row r="378">
          <cell r="D378" t="str">
            <v>Sales BB</v>
          </cell>
          <cell r="H378">
            <v>1</v>
          </cell>
          <cell r="AY378">
            <v>960</v>
          </cell>
        </row>
        <row r="379">
          <cell r="D379" t="str">
            <v>Shashe B</v>
          </cell>
          <cell r="H379">
            <v>1</v>
          </cell>
          <cell r="AY379">
            <v>0</v>
          </cell>
        </row>
        <row r="380">
          <cell r="D380" t="str">
            <v>Shashe B</v>
          </cell>
          <cell r="H380">
            <v>1</v>
          </cell>
          <cell r="AY380">
            <v>208</v>
          </cell>
        </row>
        <row r="381">
          <cell r="D381" t="str">
            <v>Sales BB</v>
          </cell>
          <cell r="H381">
            <v>1</v>
          </cell>
          <cell r="AY381">
            <v>0</v>
          </cell>
        </row>
        <row r="382">
          <cell r="D382" t="str">
            <v>Sales BB</v>
          </cell>
          <cell r="H382">
            <v>1</v>
          </cell>
          <cell r="AY382">
            <v>0</v>
          </cell>
        </row>
        <row r="383">
          <cell r="D383" t="str">
            <v>Sales BB</v>
          </cell>
          <cell r="H383">
            <v>1</v>
          </cell>
          <cell r="AY383">
            <v>790</v>
          </cell>
        </row>
        <row r="384">
          <cell r="D384" t="str">
            <v>Sales BB</v>
          </cell>
          <cell r="H384">
            <v>1</v>
          </cell>
          <cell r="AY384">
            <v>790</v>
          </cell>
        </row>
        <row r="385">
          <cell r="D385" t="str">
            <v>Sales BB</v>
          </cell>
          <cell r="H385">
            <v>1</v>
          </cell>
          <cell r="AY385">
            <v>790</v>
          </cell>
        </row>
        <row r="386">
          <cell r="D386" t="str">
            <v>Sales BB</v>
          </cell>
          <cell r="H386">
            <v>1</v>
          </cell>
          <cell r="AY386">
            <v>790</v>
          </cell>
        </row>
        <row r="387">
          <cell r="D387" t="str">
            <v>Sales BB</v>
          </cell>
          <cell r="H387">
            <v>1</v>
          </cell>
          <cell r="AY387">
            <v>790</v>
          </cell>
        </row>
        <row r="388">
          <cell r="D388" t="str">
            <v>Sales BB</v>
          </cell>
          <cell r="H388">
            <v>1</v>
          </cell>
          <cell r="AY388">
            <v>790</v>
          </cell>
        </row>
        <row r="389">
          <cell r="D389" t="str">
            <v>Sales BB</v>
          </cell>
          <cell r="H389">
            <v>1</v>
          </cell>
          <cell r="AY389">
            <v>790</v>
          </cell>
        </row>
        <row r="390">
          <cell r="D390" t="str">
            <v>Shashe B</v>
          </cell>
          <cell r="H390">
            <v>1</v>
          </cell>
          <cell r="AY390">
            <v>790</v>
          </cell>
        </row>
        <row r="391">
          <cell r="D391" t="str">
            <v>Shashe B</v>
          </cell>
          <cell r="H391">
            <v>1</v>
          </cell>
          <cell r="AY391">
            <v>790</v>
          </cell>
        </row>
        <row r="392">
          <cell r="D392" t="str">
            <v>Sales BB</v>
          </cell>
          <cell r="H392">
            <v>1</v>
          </cell>
          <cell r="AY392">
            <v>960</v>
          </cell>
        </row>
        <row r="393">
          <cell r="D393" t="str">
            <v>Sales BB</v>
          </cell>
          <cell r="H393">
            <v>1</v>
          </cell>
          <cell r="AY393">
            <v>960</v>
          </cell>
        </row>
        <row r="394">
          <cell r="D394" t="str">
            <v>Sales BB</v>
          </cell>
          <cell r="H394">
            <v>1</v>
          </cell>
          <cell r="AY394">
            <v>960</v>
          </cell>
        </row>
        <row r="395">
          <cell r="D395" t="str">
            <v>Sales BB</v>
          </cell>
          <cell r="H395">
            <v>1</v>
          </cell>
          <cell r="AY395">
            <v>960</v>
          </cell>
        </row>
        <row r="396">
          <cell r="D396" t="str">
            <v>Sales BB</v>
          </cell>
          <cell r="H396">
            <v>1</v>
          </cell>
          <cell r="AY396">
            <v>960</v>
          </cell>
        </row>
        <row r="397">
          <cell r="D397" t="str">
            <v>Sales BB</v>
          </cell>
          <cell r="H397">
            <v>1</v>
          </cell>
          <cell r="AY397">
            <v>960</v>
          </cell>
        </row>
        <row r="398">
          <cell r="D398" t="str">
            <v>Sales BB</v>
          </cell>
          <cell r="H398">
            <v>1</v>
          </cell>
          <cell r="AY398">
            <v>960</v>
          </cell>
        </row>
        <row r="399">
          <cell r="D399" t="str">
            <v>Sales BB</v>
          </cell>
          <cell r="H399">
            <v>1</v>
          </cell>
          <cell r="AY399">
            <v>960</v>
          </cell>
        </row>
        <row r="400">
          <cell r="D400" t="str">
            <v>Sales BB</v>
          </cell>
          <cell r="H400">
            <v>1</v>
          </cell>
          <cell r="AY400">
            <v>960</v>
          </cell>
        </row>
        <row r="401">
          <cell r="D401" t="str">
            <v>Sales BB</v>
          </cell>
          <cell r="H401">
            <v>1</v>
          </cell>
          <cell r="AY401">
            <v>960</v>
          </cell>
        </row>
        <row r="402">
          <cell r="D402" t="str">
            <v>Sales BB</v>
          </cell>
          <cell r="H402">
            <v>1</v>
          </cell>
          <cell r="AY402">
            <v>960</v>
          </cell>
        </row>
        <row r="403">
          <cell r="D403" t="str">
            <v>Sales BB</v>
          </cell>
          <cell r="H403">
            <v>1</v>
          </cell>
          <cell r="AY403">
            <v>960</v>
          </cell>
        </row>
        <row r="404">
          <cell r="D404" t="str">
            <v>Sales BB</v>
          </cell>
          <cell r="H404">
            <v>1</v>
          </cell>
          <cell r="AY404">
            <v>960</v>
          </cell>
        </row>
        <row r="405">
          <cell r="D405" t="str">
            <v>Sales BB</v>
          </cell>
          <cell r="H405">
            <v>1</v>
          </cell>
          <cell r="AY405">
            <v>960</v>
          </cell>
        </row>
        <row r="406">
          <cell r="D406" t="str">
            <v>Sales BB</v>
          </cell>
          <cell r="H406">
            <v>1</v>
          </cell>
          <cell r="AY406">
            <v>960</v>
          </cell>
        </row>
        <row r="407">
          <cell r="D407" t="str">
            <v>Sales BB</v>
          </cell>
          <cell r="H407">
            <v>1</v>
          </cell>
          <cell r="AY407">
            <v>960</v>
          </cell>
        </row>
        <row r="408">
          <cell r="D408" t="str">
            <v>Sales BB</v>
          </cell>
          <cell r="H408">
            <v>1</v>
          </cell>
          <cell r="AY408">
            <v>960</v>
          </cell>
        </row>
        <row r="409">
          <cell r="D409" t="str">
            <v>Sales BB</v>
          </cell>
          <cell r="H409">
            <v>1</v>
          </cell>
          <cell r="AY409">
            <v>238</v>
          </cell>
        </row>
        <row r="410">
          <cell r="D410" t="str">
            <v>Sales BB</v>
          </cell>
          <cell r="H410">
            <v>1</v>
          </cell>
          <cell r="AY410">
            <v>208</v>
          </cell>
        </row>
        <row r="411">
          <cell r="D411" t="str">
            <v>Shashe B</v>
          </cell>
          <cell r="H411">
            <v>1</v>
          </cell>
          <cell r="AY411">
            <v>0</v>
          </cell>
        </row>
        <row r="412">
          <cell r="D412" t="str">
            <v>Shashe B</v>
          </cell>
          <cell r="H412">
            <v>1</v>
          </cell>
          <cell r="AY412">
            <v>455</v>
          </cell>
        </row>
        <row r="413">
          <cell r="D413" t="str">
            <v>Shashe B</v>
          </cell>
          <cell r="H413">
            <v>1</v>
          </cell>
          <cell r="AY413">
            <v>455</v>
          </cell>
        </row>
        <row r="414">
          <cell r="D414" t="str">
            <v>Shashe B</v>
          </cell>
          <cell r="H414">
            <v>1</v>
          </cell>
          <cell r="AY414">
            <v>455</v>
          </cell>
        </row>
        <row r="415">
          <cell r="D415" t="str">
            <v>Sales BB</v>
          </cell>
          <cell r="H415">
            <v>1</v>
          </cell>
          <cell r="AY415">
            <v>208</v>
          </cell>
        </row>
        <row r="416">
          <cell r="D416" t="str">
            <v>Sales BB</v>
          </cell>
          <cell r="H416">
            <v>1</v>
          </cell>
          <cell r="AY416">
            <v>208</v>
          </cell>
        </row>
        <row r="417">
          <cell r="D417" t="str">
            <v>Sales BB</v>
          </cell>
          <cell r="H417">
            <v>1</v>
          </cell>
          <cell r="AY417">
            <v>208</v>
          </cell>
        </row>
        <row r="418">
          <cell r="D418" t="str">
            <v>Sales BB</v>
          </cell>
          <cell r="H418">
            <v>1</v>
          </cell>
          <cell r="AY418">
            <v>208</v>
          </cell>
        </row>
        <row r="419">
          <cell r="D419" t="str">
            <v>Sales BB</v>
          </cell>
          <cell r="H419">
            <v>1</v>
          </cell>
          <cell r="AY419">
            <v>208</v>
          </cell>
        </row>
        <row r="420">
          <cell r="D420" t="str">
            <v>Sales BB</v>
          </cell>
          <cell r="H420">
            <v>1</v>
          </cell>
          <cell r="AY420">
            <v>208</v>
          </cell>
        </row>
        <row r="421">
          <cell r="D421" t="str">
            <v>Sales BB</v>
          </cell>
          <cell r="H421">
            <v>1</v>
          </cell>
          <cell r="AY421">
            <v>208</v>
          </cell>
        </row>
        <row r="422">
          <cell r="D422" t="str">
            <v>Sales BB</v>
          </cell>
          <cell r="H422">
            <v>1</v>
          </cell>
          <cell r="AY422">
            <v>208</v>
          </cell>
        </row>
        <row r="423">
          <cell r="D423" t="str">
            <v>Sales BB</v>
          </cell>
          <cell r="H423">
            <v>1</v>
          </cell>
          <cell r="AY423">
            <v>208</v>
          </cell>
        </row>
        <row r="424">
          <cell r="D424" t="str">
            <v>Shashe B</v>
          </cell>
          <cell r="H424">
            <v>1</v>
          </cell>
          <cell r="AY424">
            <v>208</v>
          </cell>
        </row>
        <row r="425">
          <cell r="D425" t="str">
            <v>Shashe B</v>
          </cell>
          <cell r="H425">
            <v>1</v>
          </cell>
          <cell r="AY425">
            <v>208</v>
          </cell>
        </row>
        <row r="426">
          <cell r="D426" t="str">
            <v>Shashe B</v>
          </cell>
          <cell r="H426">
            <v>1</v>
          </cell>
          <cell r="AY426">
            <v>208</v>
          </cell>
        </row>
        <row r="427">
          <cell r="D427" t="str">
            <v>Sales BB</v>
          </cell>
          <cell r="H427">
            <v>1</v>
          </cell>
          <cell r="AY427">
            <v>280</v>
          </cell>
        </row>
        <row r="428">
          <cell r="D428" t="str">
            <v>Sales BB</v>
          </cell>
          <cell r="H428">
            <v>1</v>
          </cell>
          <cell r="AY428">
            <v>280</v>
          </cell>
        </row>
        <row r="429">
          <cell r="D429" t="str">
            <v>Sales Draft</v>
          </cell>
          <cell r="H429">
            <v>1</v>
          </cell>
          <cell r="AY429">
            <v>960</v>
          </cell>
        </row>
        <row r="430">
          <cell r="D430" t="str">
            <v>Sales Draft</v>
          </cell>
          <cell r="H430">
            <v>1</v>
          </cell>
          <cell r="AY430">
            <v>208</v>
          </cell>
        </row>
        <row r="431">
          <cell r="D431" t="str">
            <v>Sales Draft</v>
          </cell>
          <cell r="H431">
            <v>1</v>
          </cell>
          <cell r="AY431">
            <v>790</v>
          </cell>
        </row>
        <row r="432">
          <cell r="D432" t="str">
            <v>Sales Draft</v>
          </cell>
          <cell r="H432">
            <v>1</v>
          </cell>
          <cell r="AY432">
            <v>790</v>
          </cell>
        </row>
        <row r="433">
          <cell r="D433" t="str">
            <v>Sales Draft</v>
          </cell>
          <cell r="H433">
            <v>1</v>
          </cell>
          <cell r="AY433">
            <v>790</v>
          </cell>
        </row>
        <row r="434">
          <cell r="D434" t="str">
            <v>Sales Draft</v>
          </cell>
          <cell r="H434">
            <v>1</v>
          </cell>
          <cell r="AY434">
            <v>790</v>
          </cell>
        </row>
        <row r="435">
          <cell r="D435" t="str">
            <v>Sales Draft</v>
          </cell>
          <cell r="H435">
            <v>1</v>
          </cell>
          <cell r="AY435">
            <v>790</v>
          </cell>
        </row>
        <row r="436">
          <cell r="D436" t="str">
            <v>Sales Draft</v>
          </cell>
          <cell r="H436">
            <v>1</v>
          </cell>
          <cell r="AY436">
            <v>790</v>
          </cell>
        </row>
        <row r="437">
          <cell r="D437" t="str">
            <v>Sales Draft</v>
          </cell>
          <cell r="H437">
            <v>1</v>
          </cell>
          <cell r="AY437">
            <v>790</v>
          </cell>
        </row>
        <row r="438">
          <cell r="D438" t="str">
            <v>Sales Draft</v>
          </cell>
          <cell r="H438">
            <v>1</v>
          </cell>
          <cell r="AY438">
            <v>790</v>
          </cell>
        </row>
        <row r="439">
          <cell r="D439" t="str">
            <v>Sales Draft</v>
          </cell>
          <cell r="H439">
            <v>1</v>
          </cell>
          <cell r="AY439">
            <v>790</v>
          </cell>
        </row>
        <row r="440">
          <cell r="D440" t="str">
            <v>Sales Draft</v>
          </cell>
          <cell r="H440">
            <v>1</v>
          </cell>
          <cell r="AY440">
            <v>790</v>
          </cell>
        </row>
        <row r="441">
          <cell r="D441" t="str">
            <v>Sales Draft</v>
          </cell>
          <cell r="H441">
            <v>1</v>
          </cell>
          <cell r="AY441">
            <v>960</v>
          </cell>
        </row>
        <row r="442">
          <cell r="D442" t="str">
            <v>Sales Draft</v>
          </cell>
          <cell r="H442">
            <v>1</v>
          </cell>
          <cell r="AY442">
            <v>960</v>
          </cell>
        </row>
        <row r="443">
          <cell r="D443" t="str">
            <v>Sales Draft</v>
          </cell>
          <cell r="H443">
            <v>1</v>
          </cell>
          <cell r="AY443">
            <v>308</v>
          </cell>
        </row>
        <row r="444">
          <cell r="D444" t="str">
            <v>Sales Draft</v>
          </cell>
          <cell r="H444">
            <v>1</v>
          </cell>
          <cell r="AY444">
            <v>308</v>
          </cell>
        </row>
        <row r="445">
          <cell r="D445" t="str">
            <v>Sales Draft</v>
          </cell>
          <cell r="H445">
            <v>1</v>
          </cell>
          <cell r="AY445">
            <v>238</v>
          </cell>
        </row>
        <row r="446">
          <cell r="D446" t="str">
            <v>Sales Draft</v>
          </cell>
          <cell r="H446">
            <v>1</v>
          </cell>
          <cell r="AY446">
            <v>208</v>
          </cell>
        </row>
        <row r="447">
          <cell r="D447" t="str">
            <v>Sales Draft</v>
          </cell>
          <cell r="H447">
            <v>1</v>
          </cell>
          <cell r="AY447">
            <v>208</v>
          </cell>
        </row>
        <row r="448">
          <cell r="D448" t="str">
            <v>Sales Draft</v>
          </cell>
          <cell r="H448">
            <v>1</v>
          </cell>
          <cell r="AY448">
            <v>208</v>
          </cell>
        </row>
        <row r="449">
          <cell r="D449" t="str">
            <v>Sales Draft</v>
          </cell>
          <cell r="H449">
            <v>1</v>
          </cell>
          <cell r="AY449">
            <v>208</v>
          </cell>
        </row>
        <row r="450">
          <cell r="D450" t="str">
            <v>Sales Draft</v>
          </cell>
          <cell r="H450">
            <v>1</v>
          </cell>
          <cell r="AY450">
            <v>208</v>
          </cell>
        </row>
        <row r="451">
          <cell r="D451" t="str">
            <v>Sales Draft</v>
          </cell>
          <cell r="H451">
            <v>1</v>
          </cell>
          <cell r="AY451">
            <v>208</v>
          </cell>
        </row>
        <row r="452">
          <cell r="D452" t="str">
            <v>Sales Draft</v>
          </cell>
          <cell r="H452">
            <v>1</v>
          </cell>
          <cell r="AY452">
            <v>208</v>
          </cell>
        </row>
        <row r="453">
          <cell r="D453" t="str">
            <v>Sales Draft</v>
          </cell>
          <cell r="H453">
            <v>1</v>
          </cell>
          <cell r="AY453">
            <v>208</v>
          </cell>
        </row>
        <row r="454">
          <cell r="D454" t="str">
            <v>Sales Draft</v>
          </cell>
          <cell r="H454">
            <v>1</v>
          </cell>
          <cell r="AY454">
            <v>208</v>
          </cell>
        </row>
        <row r="455">
          <cell r="D455" t="str">
            <v>Sales Draft</v>
          </cell>
          <cell r="H455">
            <v>1</v>
          </cell>
          <cell r="AY455">
            <v>208</v>
          </cell>
        </row>
        <row r="456">
          <cell r="D456" t="str">
            <v>Sales Draft</v>
          </cell>
          <cell r="H456">
            <v>1</v>
          </cell>
          <cell r="AY456">
            <v>208</v>
          </cell>
        </row>
        <row r="457">
          <cell r="D457" t="str">
            <v>Sales Draft</v>
          </cell>
          <cell r="H457">
            <v>1</v>
          </cell>
          <cell r="AY457">
            <v>208</v>
          </cell>
        </row>
        <row r="458">
          <cell r="D458" t="str">
            <v>Sales Draft</v>
          </cell>
          <cell r="H458">
            <v>1</v>
          </cell>
          <cell r="AY458">
            <v>208</v>
          </cell>
        </row>
        <row r="459">
          <cell r="D459" t="str">
            <v>Sales Draft</v>
          </cell>
          <cell r="H459">
            <v>1</v>
          </cell>
          <cell r="AY459">
            <v>208</v>
          </cell>
        </row>
        <row r="460">
          <cell r="D460" t="str">
            <v>Sales Log</v>
          </cell>
          <cell r="H460">
            <v>1</v>
          </cell>
          <cell r="AY460">
            <v>208</v>
          </cell>
        </row>
        <row r="461">
          <cell r="D461" t="str">
            <v>Sales Log</v>
          </cell>
          <cell r="H461">
            <v>1</v>
          </cell>
          <cell r="AY461">
            <v>208</v>
          </cell>
        </row>
        <row r="462">
          <cell r="D462" t="str">
            <v>Sales Log</v>
          </cell>
          <cell r="H462">
            <v>1</v>
          </cell>
          <cell r="AY462">
            <v>208</v>
          </cell>
        </row>
        <row r="463">
          <cell r="D463" t="str">
            <v>Sales Log</v>
          </cell>
          <cell r="H463">
            <v>1</v>
          </cell>
          <cell r="AY463">
            <v>208</v>
          </cell>
        </row>
        <row r="464">
          <cell r="D464" t="str">
            <v>Sales Log</v>
          </cell>
          <cell r="H464">
            <v>1</v>
          </cell>
          <cell r="AY464">
            <v>208</v>
          </cell>
        </row>
        <row r="465">
          <cell r="D465" t="str">
            <v>Sales Log</v>
          </cell>
          <cell r="H465">
            <v>1</v>
          </cell>
          <cell r="AY465">
            <v>208</v>
          </cell>
        </row>
        <row r="466">
          <cell r="D466" t="str">
            <v>Sales Log</v>
          </cell>
          <cell r="H466">
            <v>1</v>
          </cell>
          <cell r="AY466">
            <v>208</v>
          </cell>
        </row>
        <row r="467">
          <cell r="D467" t="str">
            <v>Sales Log</v>
          </cell>
          <cell r="H467">
            <v>1</v>
          </cell>
          <cell r="AY467">
            <v>208</v>
          </cell>
        </row>
        <row r="468">
          <cell r="D468" t="str">
            <v>Sales Log</v>
          </cell>
          <cell r="H468">
            <v>1</v>
          </cell>
          <cell r="AY468">
            <v>208</v>
          </cell>
        </row>
      </sheetData>
      <sheetData sheetId="101" refreshError="1"/>
      <sheetData sheetId="102" refreshError="1">
        <row r="3">
          <cell r="M3">
            <v>150</v>
          </cell>
          <cell r="P3">
            <v>500</v>
          </cell>
          <cell r="AC3">
            <v>1000</v>
          </cell>
        </row>
        <row r="4">
          <cell r="AC4">
            <v>1000</v>
          </cell>
        </row>
        <row r="5">
          <cell r="AC5">
            <v>0</v>
          </cell>
        </row>
        <row r="6">
          <cell r="P6">
            <v>500</v>
          </cell>
          <cell r="AC6">
            <v>1000</v>
          </cell>
        </row>
        <row r="7">
          <cell r="P7">
            <v>500</v>
          </cell>
          <cell r="AC7">
            <v>1000</v>
          </cell>
        </row>
        <row r="8">
          <cell r="P8">
            <v>300</v>
          </cell>
          <cell r="AC8">
            <v>1000</v>
          </cell>
        </row>
        <row r="9">
          <cell r="P9">
            <v>500</v>
          </cell>
          <cell r="AC9">
            <v>1000</v>
          </cell>
        </row>
        <row r="10">
          <cell r="P10">
            <v>500</v>
          </cell>
          <cell r="AC10">
            <v>1000</v>
          </cell>
        </row>
        <row r="11">
          <cell r="P11">
            <v>500</v>
          </cell>
          <cell r="AC11">
            <v>1000</v>
          </cell>
        </row>
        <row r="12">
          <cell r="P12">
            <v>500</v>
          </cell>
          <cell r="AC12">
            <v>1000</v>
          </cell>
        </row>
        <row r="13">
          <cell r="P13">
            <v>500</v>
          </cell>
          <cell r="AC13">
            <v>1000</v>
          </cell>
        </row>
        <row r="14">
          <cell r="P14">
            <v>500</v>
          </cell>
          <cell r="AC14">
            <v>1000</v>
          </cell>
        </row>
        <row r="15">
          <cell r="AC15">
            <v>1000</v>
          </cell>
        </row>
        <row r="16">
          <cell r="P16">
            <v>500</v>
          </cell>
          <cell r="AC16">
            <v>1000</v>
          </cell>
        </row>
        <row r="17">
          <cell r="AC17">
            <v>1000</v>
          </cell>
        </row>
        <row r="18">
          <cell r="AC18">
            <v>1000</v>
          </cell>
        </row>
        <row r="19">
          <cell r="P19">
            <v>300</v>
          </cell>
          <cell r="AC19">
            <v>0</v>
          </cell>
        </row>
        <row r="20">
          <cell r="AC20">
            <v>340</v>
          </cell>
        </row>
        <row r="21">
          <cell r="AC21">
            <v>340</v>
          </cell>
        </row>
        <row r="22">
          <cell r="AC22">
            <v>1000</v>
          </cell>
        </row>
        <row r="23">
          <cell r="P23">
            <v>300</v>
          </cell>
          <cell r="AC23">
            <v>1000</v>
          </cell>
        </row>
        <row r="24">
          <cell r="AC24">
            <v>600</v>
          </cell>
        </row>
        <row r="25">
          <cell r="AC25">
            <v>820</v>
          </cell>
        </row>
        <row r="26">
          <cell r="P26">
            <v>300</v>
          </cell>
          <cell r="AC26">
            <v>1000</v>
          </cell>
        </row>
        <row r="27">
          <cell r="P27">
            <v>300</v>
          </cell>
          <cell r="AC27">
            <v>1000</v>
          </cell>
        </row>
        <row r="28">
          <cell r="AC28">
            <v>0</v>
          </cell>
        </row>
        <row r="29">
          <cell r="P29">
            <v>500</v>
          </cell>
          <cell r="AC29">
            <v>1000</v>
          </cell>
        </row>
        <row r="30">
          <cell r="P30">
            <v>300</v>
          </cell>
          <cell r="AC30">
            <v>1000</v>
          </cell>
        </row>
        <row r="31">
          <cell r="AC31">
            <v>1000</v>
          </cell>
        </row>
        <row r="32">
          <cell r="P32">
            <v>500</v>
          </cell>
          <cell r="AC32">
            <v>1000</v>
          </cell>
        </row>
        <row r="33">
          <cell r="AC33">
            <v>320</v>
          </cell>
        </row>
        <row r="34">
          <cell r="AC34">
            <v>0</v>
          </cell>
        </row>
        <row r="35">
          <cell r="AC35">
            <v>330</v>
          </cell>
        </row>
        <row r="36">
          <cell r="AC36">
            <v>330</v>
          </cell>
        </row>
        <row r="37">
          <cell r="AC37">
            <v>330</v>
          </cell>
        </row>
        <row r="38">
          <cell r="AC38">
            <v>330</v>
          </cell>
        </row>
        <row r="39">
          <cell r="P39">
            <v>0</v>
          </cell>
          <cell r="AC39">
            <v>330</v>
          </cell>
        </row>
        <row r="40">
          <cell r="AC40">
            <v>0</v>
          </cell>
        </row>
        <row r="41">
          <cell r="AC41">
            <v>1000</v>
          </cell>
        </row>
        <row r="42">
          <cell r="AC42">
            <v>1000</v>
          </cell>
        </row>
        <row r="43">
          <cell r="AC43">
            <v>820</v>
          </cell>
        </row>
        <row r="44">
          <cell r="AC44">
            <v>820</v>
          </cell>
        </row>
        <row r="45">
          <cell r="AC45">
            <v>820</v>
          </cell>
        </row>
        <row r="46">
          <cell r="AC46">
            <v>820</v>
          </cell>
        </row>
        <row r="47">
          <cell r="AC47">
            <v>820</v>
          </cell>
        </row>
        <row r="48">
          <cell r="AC48">
            <v>820</v>
          </cell>
        </row>
        <row r="49">
          <cell r="AC49">
            <v>820</v>
          </cell>
        </row>
        <row r="50">
          <cell r="AC50">
            <v>585</v>
          </cell>
        </row>
        <row r="51">
          <cell r="AC51">
            <v>585</v>
          </cell>
        </row>
        <row r="52">
          <cell r="AC52">
            <v>585</v>
          </cell>
        </row>
        <row r="53">
          <cell r="AC53">
            <v>585</v>
          </cell>
        </row>
        <row r="54">
          <cell r="AC54">
            <v>585</v>
          </cell>
        </row>
        <row r="55">
          <cell r="AC55">
            <v>585</v>
          </cell>
        </row>
        <row r="56">
          <cell r="AC56">
            <v>585</v>
          </cell>
        </row>
        <row r="57">
          <cell r="AC57">
            <v>585</v>
          </cell>
        </row>
        <row r="58">
          <cell r="AC58">
            <v>585</v>
          </cell>
        </row>
        <row r="59">
          <cell r="AC59">
            <v>585</v>
          </cell>
        </row>
        <row r="60">
          <cell r="AC60">
            <v>585</v>
          </cell>
        </row>
        <row r="61">
          <cell r="AC61">
            <v>585</v>
          </cell>
        </row>
        <row r="62">
          <cell r="AC62">
            <v>585</v>
          </cell>
        </row>
        <row r="63">
          <cell r="AC63">
            <v>585</v>
          </cell>
        </row>
        <row r="64">
          <cell r="AC64">
            <v>320</v>
          </cell>
        </row>
        <row r="65">
          <cell r="AC65">
            <v>320</v>
          </cell>
        </row>
        <row r="66">
          <cell r="AC66">
            <v>820</v>
          </cell>
        </row>
        <row r="67">
          <cell r="AC67">
            <v>320</v>
          </cell>
        </row>
        <row r="68">
          <cell r="AC68">
            <v>820</v>
          </cell>
        </row>
        <row r="69">
          <cell r="AC69">
            <v>460</v>
          </cell>
        </row>
        <row r="70">
          <cell r="AC70">
            <v>580</v>
          </cell>
        </row>
        <row r="71">
          <cell r="AC71">
            <v>460</v>
          </cell>
        </row>
        <row r="72">
          <cell r="AC72">
            <v>460</v>
          </cell>
        </row>
        <row r="73">
          <cell r="AC73">
            <v>585</v>
          </cell>
        </row>
        <row r="74">
          <cell r="AC74">
            <v>585</v>
          </cell>
        </row>
        <row r="75">
          <cell r="AC75">
            <v>585</v>
          </cell>
        </row>
        <row r="76">
          <cell r="AC76">
            <v>585</v>
          </cell>
        </row>
        <row r="77">
          <cell r="AC77">
            <v>600</v>
          </cell>
        </row>
        <row r="78">
          <cell r="AC78">
            <v>600</v>
          </cell>
        </row>
        <row r="79">
          <cell r="AC79">
            <v>820</v>
          </cell>
        </row>
        <row r="80">
          <cell r="AC80">
            <v>820</v>
          </cell>
        </row>
        <row r="81">
          <cell r="AC81">
            <v>820</v>
          </cell>
        </row>
        <row r="82">
          <cell r="AC82">
            <v>820</v>
          </cell>
        </row>
        <row r="83">
          <cell r="AC83">
            <v>585</v>
          </cell>
        </row>
        <row r="84">
          <cell r="AC84">
            <v>585</v>
          </cell>
        </row>
        <row r="85">
          <cell r="AC85">
            <v>585</v>
          </cell>
        </row>
        <row r="86">
          <cell r="AC86">
            <v>585</v>
          </cell>
        </row>
        <row r="87">
          <cell r="AC87">
            <v>820</v>
          </cell>
        </row>
        <row r="88">
          <cell r="AC88">
            <v>320</v>
          </cell>
        </row>
        <row r="89">
          <cell r="AC89">
            <v>320</v>
          </cell>
        </row>
        <row r="90">
          <cell r="AC90">
            <v>600</v>
          </cell>
        </row>
        <row r="91">
          <cell r="AC91">
            <v>600</v>
          </cell>
        </row>
        <row r="92">
          <cell r="AC92">
            <v>600</v>
          </cell>
        </row>
        <row r="93">
          <cell r="P93">
            <v>300</v>
          </cell>
          <cell r="AC93">
            <v>1000</v>
          </cell>
        </row>
        <row r="94">
          <cell r="P94">
            <v>300</v>
          </cell>
          <cell r="AC94">
            <v>1000</v>
          </cell>
        </row>
        <row r="95">
          <cell r="AC95">
            <v>600</v>
          </cell>
        </row>
        <row r="96">
          <cell r="AC96">
            <v>820</v>
          </cell>
        </row>
        <row r="97">
          <cell r="AC97">
            <v>585</v>
          </cell>
        </row>
        <row r="98">
          <cell r="AC98">
            <v>585</v>
          </cell>
        </row>
        <row r="99">
          <cell r="AC99">
            <v>1000</v>
          </cell>
        </row>
        <row r="100">
          <cell r="AC100">
            <v>330</v>
          </cell>
        </row>
        <row r="101">
          <cell r="AC101">
            <v>330</v>
          </cell>
        </row>
        <row r="102">
          <cell r="AC102">
            <v>1000</v>
          </cell>
        </row>
        <row r="103">
          <cell r="AC103">
            <v>320</v>
          </cell>
        </row>
        <row r="104">
          <cell r="P104">
            <v>300</v>
          </cell>
          <cell r="AC104">
            <v>1000</v>
          </cell>
        </row>
        <row r="105">
          <cell r="AC105">
            <v>1000</v>
          </cell>
        </row>
        <row r="106">
          <cell r="P106">
            <v>300</v>
          </cell>
          <cell r="AC106">
            <v>1000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P109">
            <v>300</v>
          </cell>
          <cell r="AC109">
            <v>1000</v>
          </cell>
        </row>
        <row r="110">
          <cell r="P110">
            <v>300</v>
          </cell>
          <cell r="AC110">
            <v>1000</v>
          </cell>
        </row>
        <row r="111">
          <cell r="AC111">
            <v>1000</v>
          </cell>
        </row>
        <row r="112">
          <cell r="P112">
            <v>300</v>
          </cell>
          <cell r="AC112">
            <v>1000</v>
          </cell>
        </row>
        <row r="113">
          <cell r="AC113">
            <v>260</v>
          </cell>
        </row>
        <row r="114">
          <cell r="AC114">
            <v>320</v>
          </cell>
        </row>
        <row r="115">
          <cell r="AC115">
            <v>1075</v>
          </cell>
        </row>
        <row r="116">
          <cell r="AC116">
            <v>1075</v>
          </cell>
        </row>
        <row r="117">
          <cell r="AC117">
            <v>820</v>
          </cell>
        </row>
        <row r="118">
          <cell r="AC118">
            <v>820</v>
          </cell>
        </row>
        <row r="119">
          <cell r="AC119">
            <v>585</v>
          </cell>
        </row>
        <row r="120">
          <cell r="P120">
            <v>300</v>
          </cell>
          <cell r="AC120">
            <v>1000</v>
          </cell>
        </row>
        <row r="121">
          <cell r="P121">
            <v>300</v>
          </cell>
          <cell r="AC121">
            <v>1000</v>
          </cell>
        </row>
        <row r="122">
          <cell r="AC122">
            <v>330</v>
          </cell>
        </row>
        <row r="123">
          <cell r="AC123">
            <v>820</v>
          </cell>
        </row>
        <row r="124">
          <cell r="P124">
            <v>300</v>
          </cell>
          <cell r="AC124">
            <v>1000</v>
          </cell>
        </row>
        <row r="125">
          <cell r="AC125">
            <v>1000</v>
          </cell>
        </row>
        <row r="126">
          <cell r="P126">
            <v>300</v>
          </cell>
          <cell r="AC126">
            <v>1000</v>
          </cell>
        </row>
        <row r="127">
          <cell r="P127">
            <v>300</v>
          </cell>
          <cell r="AC127">
            <v>1000</v>
          </cell>
        </row>
        <row r="128">
          <cell r="AC128">
            <v>330</v>
          </cell>
        </row>
        <row r="129">
          <cell r="AC129">
            <v>320</v>
          </cell>
        </row>
        <row r="130">
          <cell r="AC130">
            <v>320</v>
          </cell>
        </row>
        <row r="131">
          <cell r="AC131">
            <v>320</v>
          </cell>
        </row>
      </sheetData>
      <sheetData sheetId="103" refreshError="1">
        <row r="3">
          <cell r="E3">
            <v>80</v>
          </cell>
          <cell r="AB3">
            <v>330</v>
          </cell>
        </row>
        <row r="4">
          <cell r="AB4">
            <v>330</v>
          </cell>
        </row>
        <row r="5">
          <cell r="AB5">
            <v>330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330</v>
          </cell>
        </row>
        <row r="18">
          <cell r="AB18">
            <v>0</v>
          </cell>
        </row>
        <row r="19">
          <cell r="O19">
            <v>300</v>
          </cell>
          <cell r="AB19">
            <v>0</v>
          </cell>
        </row>
        <row r="20">
          <cell r="O20">
            <v>300</v>
          </cell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370</v>
          </cell>
        </row>
        <row r="25">
          <cell r="AB25">
            <v>370</v>
          </cell>
        </row>
        <row r="26">
          <cell r="AB26">
            <v>370</v>
          </cell>
        </row>
        <row r="27">
          <cell r="AB27">
            <v>370</v>
          </cell>
        </row>
        <row r="28">
          <cell r="AB28">
            <v>370</v>
          </cell>
        </row>
        <row r="29">
          <cell r="AB29">
            <v>370</v>
          </cell>
        </row>
        <row r="30">
          <cell r="O30">
            <v>300</v>
          </cell>
          <cell r="AB30">
            <v>320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O39">
            <v>300</v>
          </cell>
          <cell r="AB39">
            <v>0</v>
          </cell>
        </row>
        <row r="40">
          <cell r="AB40">
            <v>635</v>
          </cell>
        </row>
        <row r="41">
          <cell r="AB41">
            <v>635</v>
          </cell>
        </row>
        <row r="42">
          <cell r="AB42">
            <v>1075</v>
          </cell>
        </row>
        <row r="43">
          <cell r="AB43">
            <v>635</v>
          </cell>
        </row>
        <row r="44">
          <cell r="AB44">
            <v>635</v>
          </cell>
        </row>
        <row r="45">
          <cell r="AB45">
            <v>635</v>
          </cell>
        </row>
        <row r="46">
          <cell r="AB46">
            <v>635</v>
          </cell>
        </row>
        <row r="47">
          <cell r="AB47">
            <v>1075</v>
          </cell>
        </row>
        <row r="48">
          <cell r="AB48">
            <v>1075</v>
          </cell>
        </row>
        <row r="49">
          <cell r="AB49">
            <v>1075</v>
          </cell>
        </row>
        <row r="50">
          <cell r="AB50">
            <v>1075</v>
          </cell>
        </row>
        <row r="51">
          <cell r="AB51">
            <v>1075</v>
          </cell>
        </row>
        <row r="52">
          <cell r="AB52">
            <v>1075</v>
          </cell>
        </row>
        <row r="53">
          <cell r="AB53">
            <v>1075</v>
          </cell>
        </row>
        <row r="54">
          <cell r="AB54">
            <v>1075</v>
          </cell>
        </row>
        <row r="55">
          <cell r="AB55">
            <v>1075</v>
          </cell>
        </row>
        <row r="56">
          <cell r="AB56">
            <v>1075</v>
          </cell>
        </row>
        <row r="57">
          <cell r="AB57">
            <v>1075</v>
          </cell>
        </row>
        <row r="58">
          <cell r="AB58">
            <v>1075</v>
          </cell>
        </row>
        <row r="59">
          <cell r="AB59">
            <v>1075</v>
          </cell>
        </row>
        <row r="60">
          <cell r="AB60">
            <v>1075</v>
          </cell>
        </row>
        <row r="61">
          <cell r="AB61">
            <v>1075</v>
          </cell>
        </row>
        <row r="62">
          <cell r="AB62">
            <v>1075</v>
          </cell>
        </row>
        <row r="63">
          <cell r="AB63">
            <v>1075</v>
          </cell>
        </row>
        <row r="64">
          <cell r="AB64">
            <v>1075</v>
          </cell>
        </row>
        <row r="65">
          <cell r="AB65">
            <v>1075</v>
          </cell>
        </row>
        <row r="66">
          <cell r="AB66">
            <v>1075</v>
          </cell>
        </row>
        <row r="67">
          <cell r="AB67">
            <v>1075</v>
          </cell>
        </row>
        <row r="68">
          <cell r="AB68">
            <v>1075</v>
          </cell>
        </row>
        <row r="69">
          <cell r="AB69">
            <v>1075</v>
          </cell>
        </row>
        <row r="70">
          <cell r="AB70">
            <v>1075</v>
          </cell>
        </row>
        <row r="71">
          <cell r="AB71">
            <v>1075</v>
          </cell>
        </row>
        <row r="72">
          <cell r="AB72">
            <v>1075</v>
          </cell>
        </row>
        <row r="73">
          <cell r="AB73">
            <v>1075</v>
          </cell>
        </row>
        <row r="74">
          <cell r="AB74">
            <v>635</v>
          </cell>
        </row>
        <row r="75">
          <cell r="AB75">
            <v>1075</v>
          </cell>
        </row>
        <row r="76">
          <cell r="AB76">
            <v>1075</v>
          </cell>
        </row>
        <row r="77">
          <cell r="AB77">
            <v>1075</v>
          </cell>
        </row>
        <row r="78">
          <cell r="AB78">
            <v>635</v>
          </cell>
        </row>
        <row r="79">
          <cell r="AB79">
            <v>635</v>
          </cell>
        </row>
        <row r="80">
          <cell r="AB80">
            <v>635</v>
          </cell>
        </row>
        <row r="81">
          <cell r="AB81">
            <v>635</v>
          </cell>
        </row>
        <row r="82">
          <cell r="AB82">
            <v>1075</v>
          </cell>
        </row>
        <row r="83">
          <cell r="AB83">
            <v>1075</v>
          </cell>
        </row>
        <row r="84">
          <cell r="AB84">
            <v>1075</v>
          </cell>
        </row>
        <row r="85">
          <cell r="AB85">
            <v>590</v>
          </cell>
        </row>
        <row r="86">
          <cell r="AB86">
            <v>590</v>
          </cell>
        </row>
        <row r="87">
          <cell r="AB87">
            <v>1075</v>
          </cell>
        </row>
        <row r="88">
          <cell r="AB88">
            <v>1075</v>
          </cell>
        </row>
        <row r="89">
          <cell r="AB89">
            <v>1075</v>
          </cell>
        </row>
        <row r="90">
          <cell r="AB90">
            <v>1075</v>
          </cell>
        </row>
        <row r="91">
          <cell r="AB91">
            <v>320</v>
          </cell>
        </row>
        <row r="92">
          <cell r="AB92">
            <v>330</v>
          </cell>
        </row>
        <row r="93">
          <cell r="AB93">
            <v>330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320</v>
          </cell>
        </row>
        <row r="98">
          <cell r="AB98">
            <v>0</v>
          </cell>
        </row>
        <row r="99">
          <cell r="AB99">
            <v>320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O103">
            <v>300</v>
          </cell>
          <cell r="AB103">
            <v>0</v>
          </cell>
        </row>
        <row r="104">
          <cell r="AB104">
            <v>320</v>
          </cell>
        </row>
        <row r="105">
          <cell r="AB105">
            <v>320</v>
          </cell>
        </row>
        <row r="106">
          <cell r="AB106">
            <v>750</v>
          </cell>
        </row>
        <row r="107">
          <cell r="AB107">
            <v>750</v>
          </cell>
        </row>
        <row r="108">
          <cell r="AB108">
            <v>750</v>
          </cell>
        </row>
        <row r="109">
          <cell r="AB109">
            <v>750</v>
          </cell>
        </row>
        <row r="110">
          <cell r="AB110">
            <v>750</v>
          </cell>
        </row>
        <row r="111">
          <cell r="AB111">
            <v>750</v>
          </cell>
        </row>
        <row r="112">
          <cell r="AB112">
            <v>750</v>
          </cell>
        </row>
        <row r="113">
          <cell r="AB113">
            <v>750</v>
          </cell>
        </row>
        <row r="114">
          <cell r="AB114">
            <v>750</v>
          </cell>
        </row>
        <row r="115">
          <cell r="AB115">
            <v>750</v>
          </cell>
        </row>
        <row r="116">
          <cell r="AB116">
            <v>750</v>
          </cell>
        </row>
        <row r="117">
          <cell r="AB117">
            <v>650</v>
          </cell>
        </row>
        <row r="118">
          <cell r="AB118">
            <v>650</v>
          </cell>
        </row>
        <row r="119">
          <cell r="AB119">
            <v>650</v>
          </cell>
        </row>
        <row r="120">
          <cell r="AB120">
            <v>650</v>
          </cell>
        </row>
        <row r="121">
          <cell r="AB121">
            <v>650</v>
          </cell>
        </row>
        <row r="122">
          <cell r="AB122">
            <v>650</v>
          </cell>
        </row>
        <row r="123">
          <cell r="AB123">
            <v>650</v>
          </cell>
        </row>
        <row r="124">
          <cell r="AB124">
            <v>650</v>
          </cell>
        </row>
        <row r="125">
          <cell r="AB125">
            <v>650</v>
          </cell>
        </row>
        <row r="126">
          <cell r="AB126">
            <v>650</v>
          </cell>
        </row>
        <row r="127">
          <cell r="AB127">
            <v>650</v>
          </cell>
        </row>
        <row r="128">
          <cell r="AB128">
            <v>650</v>
          </cell>
        </row>
        <row r="129">
          <cell r="AB129">
            <v>715</v>
          </cell>
        </row>
        <row r="130">
          <cell r="AB130">
            <v>715</v>
          </cell>
        </row>
        <row r="131">
          <cell r="AB131">
            <v>715</v>
          </cell>
        </row>
        <row r="132">
          <cell r="AB132">
            <v>395</v>
          </cell>
        </row>
        <row r="133">
          <cell r="AB133">
            <v>395</v>
          </cell>
        </row>
        <row r="134">
          <cell r="AB134">
            <v>395</v>
          </cell>
        </row>
        <row r="135">
          <cell r="AB135">
            <v>180</v>
          </cell>
        </row>
        <row r="136">
          <cell r="AB136">
            <v>585</v>
          </cell>
        </row>
        <row r="137">
          <cell r="AB137">
            <v>585</v>
          </cell>
        </row>
        <row r="138">
          <cell r="AB138">
            <v>585</v>
          </cell>
        </row>
        <row r="139">
          <cell r="AB139">
            <v>585</v>
          </cell>
        </row>
        <row r="140">
          <cell r="AB140">
            <v>585</v>
          </cell>
        </row>
        <row r="141">
          <cell r="AB141">
            <v>500</v>
          </cell>
        </row>
        <row r="142">
          <cell r="AB142">
            <v>585</v>
          </cell>
        </row>
        <row r="143">
          <cell r="AB143">
            <v>585</v>
          </cell>
        </row>
        <row r="144">
          <cell r="AB144">
            <v>585</v>
          </cell>
        </row>
        <row r="145">
          <cell r="AB145">
            <v>500</v>
          </cell>
        </row>
        <row r="146">
          <cell r="AB146">
            <v>500</v>
          </cell>
        </row>
        <row r="147">
          <cell r="AB147">
            <v>500</v>
          </cell>
        </row>
        <row r="148">
          <cell r="AB148">
            <v>704</v>
          </cell>
        </row>
        <row r="149">
          <cell r="AB149">
            <v>500</v>
          </cell>
        </row>
        <row r="150">
          <cell r="AB150">
            <v>704</v>
          </cell>
        </row>
        <row r="151">
          <cell r="AB151">
            <v>445</v>
          </cell>
        </row>
        <row r="152">
          <cell r="AB152">
            <v>704</v>
          </cell>
        </row>
        <row r="153">
          <cell r="AB153">
            <v>704</v>
          </cell>
        </row>
        <row r="154">
          <cell r="AB154">
            <v>704</v>
          </cell>
        </row>
        <row r="155">
          <cell r="AB155">
            <v>704</v>
          </cell>
        </row>
        <row r="156">
          <cell r="AB156">
            <v>704</v>
          </cell>
        </row>
        <row r="157">
          <cell r="AB157">
            <v>704</v>
          </cell>
        </row>
        <row r="158">
          <cell r="AB158">
            <v>704</v>
          </cell>
        </row>
        <row r="159">
          <cell r="AB159">
            <v>445</v>
          </cell>
        </row>
        <row r="160">
          <cell r="AB160">
            <v>445</v>
          </cell>
        </row>
        <row r="161">
          <cell r="AB161">
            <v>675</v>
          </cell>
        </row>
        <row r="162">
          <cell r="AB162">
            <v>675</v>
          </cell>
        </row>
        <row r="163">
          <cell r="AB163">
            <v>570</v>
          </cell>
        </row>
        <row r="164">
          <cell r="AB164">
            <v>675</v>
          </cell>
        </row>
        <row r="165">
          <cell r="AB165">
            <v>675</v>
          </cell>
        </row>
        <row r="166">
          <cell r="AB166">
            <v>780</v>
          </cell>
        </row>
        <row r="167">
          <cell r="AB167">
            <v>515</v>
          </cell>
        </row>
        <row r="168">
          <cell r="AB168">
            <v>575</v>
          </cell>
        </row>
        <row r="169">
          <cell r="AB169">
            <v>485</v>
          </cell>
        </row>
        <row r="170">
          <cell r="AB170">
            <v>780</v>
          </cell>
        </row>
        <row r="171">
          <cell r="AB171">
            <v>995</v>
          </cell>
        </row>
        <row r="172">
          <cell r="AB172">
            <v>995</v>
          </cell>
        </row>
        <row r="173">
          <cell r="AB173">
            <v>675</v>
          </cell>
        </row>
        <row r="174">
          <cell r="AB174">
            <v>715</v>
          </cell>
        </row>
        <row r="175">
          <cell r="AB175">
            <v>785</v>
          </cell>
        </row>
        <row r="176">
          <cell r="AB176">
            <v>785</v>
          </cell>
        </row>
        <row r="177">
          <cell r="AB177">
            <v>785</v>
          </cell>
        </row>
        <row r="178">
          <cell r="AB178">
            <v>785</v>
          </cell>
        </row>
        <row r="179">
          <cell r="AB179">
            <v>785</v>
          </cell>
        </row>
        <row r="180">
          <cell r="AB180">
            <v>715</v>
          </cell>
        </row>
        <row r="181">
          <cell r="AB181">
            <v>715</v>
          </cell>
        </row>
        <row r="182">
          <cell r="AB182">
            <v>1007</v>
          </cell>
        </row>
        <row r="183">
          <cell r="AB183">
            <v>485</v>
          </cell>
        </row>
        <row r="184">
          <cell r="AB184">
            <v>411</v>
          </cell>
        </row>
        <row r="185">
          <cell r="AB185">
            <v>520</v>
          </cell>
        </row>
        <row r="186">
          <cell r="O186">
            <v>300</v>
          </cell>
          <cell r="AB186">
            <v>180</v>
          </cell>
        </row>
        <row r="187">
          <cell r="AB187">
            <v>580</v>
          </cell>
        </row>
        <row r="188">
          <cell r="AB188">
            <v>995</v>
          </cell>
        </row>
        <row r="189">
          <cell r="AB189">
            <v>995</v>
          </cell>
        </row>
        <row r="190">
          <cell r="AB190">
            <v>750</v>
          </cell>
        </row>
        <row r="191">
          <cell r="AB191">
            <v>750</v>
          </cell>
        </row>
        <row r="192">
          <cell r="AB192">
            <v>750</v>
          </cell>
        </row>
        <row r="193">
          <cell r="AB193">
            <v>540</v>
          </cell>
        </row>
        <row r="194">
          <cell r="AB194">
            <v>540</v>
          </cell>
        </row>
        <row r="195">
          <cell r="AB195">
            <v>405</v>
          </cell>
        </row>
        <row r="196">
          <cell r="AB196">
            <v>540</v>
          </cell>
        </row>
        <row r="197">
          <cell r="AB197">
            <v>515</v>
          </cell>
        </row>
        <row r="198">
          <cell r="AB198">
            <v>330</v>
          </cell>
        </row>
        <row r="199">
          <cell r="AB199">
            <v>320</v>
          </cell>
        </row>
        <row r="200">
          <cell r="AB200">
            <v>330</v>
          </cell>
        </row>
        <row r="201">
          <cell r="AB201">
            <v>320</v>
          </cell>
        </row>
        <row r="202">
          <cell r="AB202">
            <v>320</v>
          </cell>
        </row>
        <row r="203">
          <cell r="AB203">
            <v>760</v>
          </cell>
        </row>
        <row r="204">
          <cell r="AB204">
            <v>760</v>
          </cell>
        </row>
        <row r="205">
          <cell r="AB205">
            <v>760</v>
          </cell>
        </row>
        <row r="206">
          <cell r="AB206">
            <v>700</v>
          </cell>
        </row>
        <row r="207">
          <cell r="AB207">
            <v>700</v>
          </cell>
        </row>
        <row r="208">
          <cell r="AB208">
            <v>600</v>
          </cell>
        </row>
        <row r="209">
          <cell r="AB209">
            <v>700</v>
          </cell>
        </row>
        <row r="210">
          <cell r="AB210">
            <v>700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6">
          <cell r="A6" t="str">
            <v>100*00</v>
          </cell>
          <cell r="B6">
            <v>15</v>
          </cell>
        </row>
        <row r="7">
          <cell r="A7" t="str">
            <v>101*00</v>
          </cell>
          <cell r="B7">
            <v>5</v>
          </cell>
        </row>
        <row r="8">
          <cell r="A8" t="str">
            <v>102*00</v>
          </cell>
          <cell r="B8">
            <v>5</v>
          </cell>
        </row>
        <row r="9">
          <cell r="A9" t="str">
            <v>103*00</v>
          </cell>
          <cell r="B9">
            <v>10</v>
          </cell>
        </row>
        <row r="10">
          <cell r="A10" t="str">
            <v>104*00</v>
          </cell>
          <cell r="B10">
            <v>2</v>
          </cell>
        </row>
        <row r="11">
          <cell r="A11" t="str">
            <v>105*00</v>
          </cell>
          <cell r="B11">
            <v>13</v>
          </cell>
        </row>
        <row r="12">
          <cell r="A12" t="str">
            <v>106*00</v>
          </cell>
          <cell r="B12">
            <v>10</v>
          </cell>
        </row>
        <row r="13">
          <cell r="A13" t="str">
            <v>107*00</v>
          </cell>
          <cell r="B13">
            <v>6</v>
          </cell>
        </row>
        <row r="14">
          <cell r="A14" t="str">
            <v>108*00</v>
          </cell>
          <cell r="B14">
            <v>12</v>
          </cell>
        </row>
        <row r="15">
          <cell r="A15" t="str">
            <v>109*00</v>
          </cell>
          <cell r="B15">
            <v>9</v>
          </cell>
        </row>
        <row r="16">
          <cell r="A16" t="str">
            <v>110*00</v>
          </cell>
          <cell r="B16">
            <v>9</v>
          </cell>
        </row>
        <row r="17">
          <cell r="A17" t="str">
            <v>111*00</v>
          </cell>
          <cell r="B17">
            <v>7</v>
          </cell>
        </row>
        <row r="18">
          <cell r="A18" t="str">
            <v>112*00</v>
          </cell>
          <cell r="B18">
            <v>12</v>
          </cell>
        </row>
        <row r="19">
          <cell r="A19" t="str">
            <v>113*00</v>
          </cell>
          <cell r="B19">
            <v>7</v>
          </cell>
        </row>
        <row r="20">
          <cell r="A20" t="str">
            <v>114*00</v>
          </cell>
          <cell r="B20">
            <v>6</v>
          </cell>
        </row>
        <row r="21">
          <cell r="A21" t="str">
            <v>115*00</v>
          </cell>
          <cell r="B21">
            <v>6</v>
          </cell>
        </row>
        <row r="22">
          <cell r="A22" t="str">
            <v>116*00</v>
          </cell>
          <cell r="B22">
            <v>9</v>
          </cell>
        </row>
        <row r="23">
          <cell r="A23" t="str">
            <v>117*01</v>
          </cell>
          <cell r="B23">
            <v>6</v>
          </cell>
        </row>
        <row r="24">
          <cell r="A24" t="str">
            <v>117*02</v>
          </cell>
          <cell r="B24">
            <v>7</v>
          </cell>
        </row>
        <row r="25">
          <cell r="A25" t="str">
            <v>117*03</v>
          </cell>
          <cell r="B25">
            <v>7</v>
          </cell>
        </row>
        <row r="26">
          <cell r="A26" t="str">
            <v>118*00</v>
          </cell>
          <cell r="B26">
            <v>14</v>
          </cell>
        </row>
        <row r="27">
          <cell r="A27" t="str">
            <v>119*00</v>
          </cell>
          <cell r="B27">
            <v>9</v>
          </cell>
        </row>
        <row r="28">
          <cell r="A28" t="str">
            <v>120*00</v>
          </cell>
          <cell r="B28">
            <v>4</v>
          </cell>
        </row>
        <row r="29">
          <cell r="A29" t="str">
            <v>121*00</v>
          </cell>
          <cell r="B29">
            <v>9</v>
          </cell>
        </row>
        <row r="30">
          <cell r="A30" t="str">
            <v>122*00</v>
          </cell>
          <cell r="B30">
            <v>8</v>
          </cell>
        </row>
        <row r="31">
          <cell r="A31" t="str">
            <v>123*00</v>
          </cell>
          <cell r="B31">
            <v>3</v>
          </cell>
        </row>
        <row r="32">
          <cell r="A32" t="str">
            <v>124*00</v>
          </cell>
          <cell r="B32">
            <v>14</v>
          </cell>
        </row>
        <row r="33">
          <cell r="A33" t="str">
            <v>125*00</v>
          </cell>
          <cell r="B33">
            <v>11</v>
          </cell>
        </row>
        <row r="34">
          <cell r="A34" t="str">
            <v>126*00</v>
          </cell>
          <cell r="B34">
            <v>7</v>
          </cell>
        </row>
        <row r="35">
          <cell r="A35" t="str">
            <v>127*00</v>
          </cell>
          <cell r="B35">
            <v>8</v>
          </cell>
        </row>
        <row r="36">
          <cell r="A36" t="str">
            <v>128*00</v>
          </cell>
          <cell r="B36">
            <v>6</v>
          </cell>
        </row>
        <row r="37">
          <cell r="A37" t="str">
            <v>129*00</v>
          </cell>
          <cell r="B37">
            <v>2</v>
          </cell>
        </row>
        <row r="38">
          <cell r="A38" t="str">
            <v>130*00</v>
          </cell>
          <cell r="B38">
            <v>13</v>
          </cell>
        </row>
        <row r="39">
          <cell r="A39" t="str">
            <v>131*00</v>
          </cell>
          <cell r="B39">
            <v>8</v>
          </cell>
        </row>
        <row r="40">
          <cell r="A40" t="str">
            <v>132*00</v>
          </cell>
          <cell r="B40">
            <v>14</v>
          </cell>
        </row>
        <row r="41">
          <cell r="A41" t="str">
            <v>133*00</v>
          </cell>
          <cell r="B41">
            <v>14</v>
          </cell>
        </row>
        <row r="42">
          <cell r="A42" t="str">
            <v>134*00</v>
          </cell>
          <cell r="B42">
            <v>14</v>
          </cell>
        </row>
        <row r="43">
          <cell r="A43" t="str">
            <v>135*00</v>
          </cell>
          <cell r="B43">
            <v>3</v>
          </cell>
        </row>
        <row r="44">
          <cell r="A44" t="str">
            <v>136*00</v>
          </cell>
          <cell r="B44">
            <v>6</v>
          </cell>
        </row>
        <row r="45">
          <cell r="A45" t="str">
            <v>137*00</v>
          </cell>
          <cell r="B45">
            <v>12</v>
          </cell>
        </row>
        <row r="46">
          <cell r="A46" t="str">
            <v>138*00</v>
          </cell>
          <cell r="B46">
            <v>7</v>
          </cell>
        </row>
        <row r="47">
          <cell r="A47" t="str">
            <v>139*00</v>
          </cell>
          <cell r="B47">
            <v>7</v>
          </cell>
        </row>
        <row r="48">
          <cell r="A48" t="str">
            <v>140*00</v>
          </cell>
          <cell r="B48">
            <v>6</v>
          </cell>
        </row>
        <row r="49">
          <cell r="A49" t="str">
            <v>141*00</v>
          </cell>
          <cell r="B49">
            <v>6</v>
          </cell>
        </row>
        <row r="50">
          <cell r="A50" t="str">
            <v>142*00</v>
          </cell>
          <cell r="B50">
            <v>5</v>
          </cell>
        </row>
        <row r="51">
          <cell r="A51" t="str">
            <v>143*00</v>
          </cell>
          <cell r="B51">
            <v>9</v>
          </cell>
        </row>
        <row r="52">
          <cell r="A52" t="str">
            <v>144*00</v>
          </cell>
          <cell r="B52">
            <v>8</v>
          </cell>
        </row>
        <row r="53">
          <cell r="A53" t="str">
            <v>145*00</v>
          </cell>
          <cell r="B53">
            <v>12</v>
          </cell>
        </row>
        <row r="54">
          <cell r="A54" t="str">
            <v>146*00</v>
          </cell>
          <cell r="B54">
            <v>7</v>
          </cell>
        </row>
        <row r="55">
          <cell r="A55" t="str">
            <v>147*00</v>
          </cell>
          <cell r="B55">
            <v>7</v>
          </cell>
        </row>
        <row r="56">
          <cell r="A56" t="str">
            <v>148*00</v>
          </cell>
          <cell r="B56">
            <v>13</v>
          </cell>
        </row>
        <row r="57">
          <cell r="A57" t="str">
            <v>149*01</v>
          </cell>
          <cell r="B57">
            <v>9</v>
          </cell>
        </row>
        <row r="58">
          <cell r="A58" t="str">
            <v>149*02</v>
          </cell>
          <cell r="B58">
            <v>12</v>
          </cell>
        </row>
        <row r="59">
          <cell r="A59" t="str">
            <v>150*00</v>
          </cell>
          <cell r="B59">
            <v>6</v>
          </cell>
        </row>
        <row r="60">
          <cell r="A60" t="str">
            <v>151*00</v>
          </cell>
          <cell r="B60">
            <v>5</v>
          </cell>
        </row>
        <row r="61">
          <cell r="A61" t="str">
            <v>152*00</v>
          </cell>
          <cell r="B61">
            <v>4</v>
          </cell>
        </row>
        <row r="62">
          <cell r="A62" t="str">
            <v>153*00</v>
          </cell>
          <cell r="B62">
            <v>4</v>
          </cell>
        </row>
        <row r="63">
          <cell r="A63" t="str">
            <v>154*00</v>
          </cell>
          <cell r="B63">
            <v>8</v>
          </cell>
        </row>
        <row r="64">
          <cell r="A64" t="str">
            <v>156*00</v>
          </cell>
          <cell r="B64">
            <v>5</v>
          </cell>
        </row>
        <row r="65">
          <cell r="A65" t="str">
            <v>157*00</v>
          </cell>
          <cell r="B65">
            <v>12</v>
          </cell>
        </row>
        <row r="66">
          <cell r="A66" t="str">
            <v>158*00</v>
          </cell>
          <cell r="B66">
            <v>8</v>
          </cell>
        </row>
        <row r="67">
          <cell r="A67" t="str">
            <v>159*00</v>
          </cell>
          <cell r="B67">
            <v>5</v>
          </cell>
        </row>
        <row r="68">
          <cell r="A68" t="str">
            <v>160*00</v>
          </cell>
          <cell r="B68">
            <v>11</v>
          </cell>
        </row>
        <row r="69">
          <cell r="A69" t="str">
            <v>162*00</v>
          </cell>
          <cell r="B69">
            <v>13</v>
          </cell>
        </row>
        <row r="70">
          <cell r="A70" t="str">
            <v>163*00</v>
          </cell>
          <cell r="B70">
            <v>6</v>
          </cell>
        </row>
        <row r="71">
          <cell r="A71" t="str">
            <v>164*00</v>
          </cell>
          <cell r="B71">
            <v>9</v>
          </cell>
        </row>
        <row r="72">
          <cell r="A72" t="str">
            <v>165*00</v>
          </cell>
          <cell r="B72">
            <v>5</v>
          </cell>
        </row>
        <row r="73">
          <cell r="A73" t="str">
            <v>166*00</v>
          </cell>
          <cell r="B73">
            <v>4</v>
          </cell>
        </row>
        <row r="74">
          <cell r="A74" t="str">
            <v>167*00</v>
          </cell>
          <cell r="B74">
            <v>5</v>
          </cell>
        </row>
        <row r="75">
          <cell r="A75" t="str">
            <v>168*00</v>
          </cell>
          <cell r="B75">
            <v>3</v>
          </cell>
        </row>
        <row r="76">
          <cell r="A76" t="str">
            <v>169*00</v>
          </cell>
          <cell r="B76">
            <v>7</v>
          </cell>
        </row>
        <row r="77">
          <cell r="A77" t="str">
            <v>170*00</v>
          </cell>
          <cell r="B77">
            <v>6</v>
          </cell>
        </row>
        <row r="78">
          <cell r="A78" t="str">
            <v>171*01</v>
          </cell>
          <cell r="B78">
            <v>2</v>
          </cell>
        </row>
        <row r="79">
          <cell r="A79" t="str">
            <v>171*02</v>
          </cell>
          <cell r="B79">
            <v>2</v>
          </cell>
        </row>
        <row r="80">
          <cell r="A80" t="str">
            <v>172*00</v>
          </cell>
          <cell r="B80">
            <v>9</v>
          </cell>
        </row>
        <row r="81">
          <cell r="A81" t="str">
            <v>173*00</v>
          </cell>
          <cell r="B81">
            <v>6</v>
          </cell>
        </row>
        <row r="82">
          <cell r="A82" t="str">
            <v>174*00</v>
          </cell>
          <cell r="B82">
            <v>7</v>
          </cell>
        </row>
        <row r="83">
          <cell r="A83" t="str">
            <v>175*01</v>
          </cell>
          <cell r="B83">
            <v>5</v>
          </cell>
        </row>
        <row r="84">
          <cell r="A84" t="str">
            <v>175*02</v>
          </cell>
          <cell r="B84">
            <v>5</v>
          </cell>
        </row>
        <row r="85">
          <cell r="A85" t="str">
            <v>178*00</v>
          </cell>
          <cell r="B85">
            <v>1</v>
          </cell>
        </row>
        <row r="86">
          <cell r="A86" t="str">
            <v>179*00</v>
          </cell>
          <cell r="B86">
            <v>1</v>
          </cell>
        </row>
        <row r="87">
          <cell r="A87" t="str">
            <v>180*00</v>
          </cell>
          <cell r="B87">
            <v>2</v>
          </cell>
        </row>
        <row r="88">
          <cell r="A88" t="str">
            <v>181*00</v>
          </cell>
          <cell r="B88">
            <v>7</v>
          </cell>
        </row>
        <row r="89">
          <cell r="A89" t="str">
            <v>184*00</v>
          </cell>
          <cell r="B89">
            <v>4</v>
          </cell>
        </row>
        <row r="90">
          <cell r="A90" t="str">
            <v>185*00</v>
          </cell>
          <cell r="B90">
            <v>7</v>
          </cell>
        </row>
        <row r="91">
          <cell r="A91" t="str">
            <v>186*00</v>
          </cell>
          <cell r="B91">
            <v>3</v>
          </cell>
        </row>
        <row r="92">
          <cell r="A92" t="str">
            <v>187*00</v>
          </cell>
          <cell r="B92">
            <v>3</v>
          </cell>
        </row>
        <row r="93">
          <cell r="A93" t="str">
            <v>188*01</v>
          </cell>
          <cell r="B93">
            <v>5</v>
          </cell>
        </row>
        <row r="94">
          <cell r="A94" t="str">
            <v>188*02</v>
          </cell>
          <cell r="B94">
            <v>5</v>
          </cell>
        </row>
        <row r="95">
          <cell r="A95" t="str">
            <v>188*03</v>
          </cell>
          <cell r="B95">
            <v>5</v>
          </cell>
        </row>
        <row r="96">
          <cell r="A96" t="str">
            <v>189*00</v>
          </cell>
          <cell r="B96">
            <v>12</v>
          </cell>
        </row>
        <row r="97">
          <cell r="A97" t="str">
            <v>190*00</v>
          </cell>
          <cell r="B97">
            <v>5</v>
          </cell>
        </row>
        <row r="98">
          <cell r="A98" t="str">
            <v>191*00</v>
          </cell>
          <cell r="B98">
            <v>7</v>
          </cell>
        </row>
        <row r="99">
          <cell r="A99" t="str">
            <v>192*00</v>
          </cell>
          <cell r="B99">
            <v>6</v>
          </cell>
        </row>
        <row r="100">
          <cell r="A100" t="str">
            <v>193*00</v>
          </cell>
          <cell r="B100">
            <v>12</v>
          </cell>
        </row>
        <row r="101">
          <cell r="A101" t="str">
            <v>194*00</v>
          </cell>
          <cell r="B101">
            <v>12</v>
          </cell>
        </row>
        <row r="102">
          <cell r="A102" t="str">
            <v>195*00</v>
          </cell>
          <cell r="B102">
            <v>9</v>
          </cell>
        </row>
        <row r="103">
          <cell r="A103" t="str">
            <v>196*00</v>
          </cell>
          <cell r="B103">
            <v>3</v>
          </cell>
        </row>
        <row r="104">
          <cell r="A104" t="str">
            <v>197*00</v>
          </cell>
          <cell r="B104">
            <v>6</v>
          </cell>
        </row>
      </sheetData>
      <sheetData sheetId="114" refreshError="1">
        <row r="6">
          <cell r="A6" t="str">
            <v>178*00</v>
          </cell>
          <cell r="B6">
            <v>1</v>
          </cell>
          <cell r="D6" t="str">
            <v>Messenger-cleaner</v>
          </cell>
          <cell r="F6" t="str">
            <v>F</v>
          </cell>
          <cell r="G6" t="str">
            <v>4</v>
          </cell>
          <cell r="H6" t="str">
            <v>-</v>
          </cell>
          <cell r="I6" t="str">
            <v>L</v>
          </cell>
          <cell r="J6" t="str">
            <v>V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300</v>
          </cell>
        </row>
        <row r="7">
          <cell r="A7" t="str">
            <v>179*00</v>
          </cell>
          <cell r="B7">
            <v>1</v>
          </cell>
          <cell r="D7" t="str">
            <v>Gardener</v>
          </cell>
          <cell r="F7" t="str">
            <v>A</v>
          </cell>
          <cell r="G7" t="str">
            <v>4</v>
          </cell>
          <cell r="H7" t="str">
            <v>P+L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k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J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535</v>
          </cell>
        </row>
        <row r="8">
          <cell r="A8" t="str">
            <v>104*00</v>
          </cell>
          <cell r="B8">
            <v>2</v>
          </cell>
          <cell r="D8" t="str">
            <v>Storekeeper helper</v>
          </cell>
          <cell r="F8" t="str">
            <v>A</v>
          </cell>
          <cell r="G8" t="str">
            <v>4</v>
          </cell>
          <cell r="H8" t="str">
            <v>L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K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J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405</v>
          </cell>
        </row>
        <row r="9">
          <cell r="A9" t="str">
            <v>129*00</v>
          </cell>
          <cell r="B9">
            <v>2</v>
          </cell>
          <cell r="D9" t="str">
            <v>Guard</v>
          </cell>
          <cell r="F9" t="str">
            <v>G</v>
          </cell>
          <cell r="G9" t="str">
            <v>5</v>
          </cell>
          <cell r="H9" t="str">
            <v>-</v>
          </cell>
          <cell r="I9" t="str">
            <v>M</v>
          </cell>
          <cell r="J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830</v>
          </cell>
        </row>
        <row r="10">
          <cell r="A10" t="str">
            <v>171*01</v>
          </cell>
          <cell r="B10">
            <v>2</v>
          </cell>
          <cell r="D10" t="str">
            <v>Mechanic helper</v>
          </cell>
          <cell r="F10" t="str">
            <v>C</v>
          </cell>
          <cell r="G10" t="str">
            <v>1</v>
          </cell>
          <cell r="H10" t="str">
            <v>-</v>
          </cell>
          <cell r="I10" t="str">
            <v>L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I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K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J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545</v>
          </cell>
        </row>
        <row r="11">
          <cell r="A11" t="str">
            <v>171*02</v>
          </cell>
          <cell r="B11">
            <v>2</v>
          </cell>
          <cell r="D11" t="str">
            <v>Garage helper</v>
          </cell>
          <cell r="F11" t="str">
            <v>C</v>
          </cell>
          <cell r="G11" t="str">
            <v>1</v>
          </cell>
          <cell r="H11" t="str">
            <v>-</v>
          </cell>
          <cell r="I11" t="str">
            <v>L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I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K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J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675</v>
          </cell>
        </row>
        <row r="12">
          <cell r="A12" t="str">
            <v>180*00</v>
          </cell>
          <cell r="B12">
            <v>2</v>
          </cell>
          <cell r="D12" t="str">
            <v>Loader</v>
          </cell>
          <cell r="F12" t="str">
            <v>C</v>
          </cell>
          <cell r="G12" t="str">
            <v>3</v>
          </cell>
          <cell r="H12" t="str">
            <v>L+P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I</v>
          </cell>
          <cell r="Q12" t="str">
            <v>-</v>
          </cell>
          <cell r="R12" t="str">
            <v>R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 xml:space="preserve"> -</v>
          </cell>
          <cell r="X12" t="str">
            <v>-</v>
          </cell>
          <cell r="Y12" t="str">
            <v>-</v>
          </cell>
          <cell r="Z12" t="str">
            <v>J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470</v>
          </cell>
        </row>
        <row r="13">
          <cell r="A13" t="str">
            <v>123*00</v>
          </cell>
          <cell r="B13">
            <v>3</v>
          </cell>
          <cell r="D13" t="str">
            <v>Housekeeper</v>
          </cell>
          <cell r="F13" t="str">
            <v>F</v>
          </cell>
          <cell r="G13" t="str">
            <v>?</v>
          </cell>
          <cell r="H13" t="str">
            <v>L</v>
          </cell>
          <cell r="I13" t="str">
            <v>-</v>
          </cell>
          <cell r="J13" t="str">
            <v>-</v>
          </cell>
          <cell r="K13" t="str">
            <v>W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365</v>
          </cell>
        </row>
        <row r="14">
          <cell r="A14" t="str">
            <v>135*00</v>
          </cell>
          <cell r="B14">
            <v>3</v>
          </cell>
          <cell r="D14" t="str">
            <v>Telephone operator</v>
          </cell>
          <cell r="F14" t="str">
            <v>D</v>
          </cell>
          <cell r="G14" t="str">
            <v>4</v>
          </cell>
          <cell r="H14" t="str">
            <v>L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330</v>
          </cell>
        </row>
        <row r="15">
          <cell r="A15" t="str">
            <v>168*00</v>
          </cell>
          <cell r="B15">
            <v>3</v>
          </cell>
          <cell r="D15" t="str">
            <v>Plumber-piper</v>
          </cell>
          <cell r="F15" t="str">
            <v>C</v>
          </cell>
          <cell r="G15" t="str">
            <v>1</v>
          </cell>
          <cell r="H15" t="str">
            <v>L+P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I</v>
          </cell>
          <cell r="Q15" t="str">
            <v>-</v>
          </cell>
          <cell r="R15" t="str">
            <v>-</v>
          </cell>
          <cell r="S15" t="str">
            <v>N</v>
          </cell>
          <cell r="T15" t="str">
            <v>K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J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670</v>
          </cell>
        </row>
        <row r="16">
          <cell r="A16" t="str">
            <v>186*00</v>
          </cell>
          <cell r="B16">
            <v>3</v>
          </cell>
          <cell r="D16" t="str">
            <v>Painter</v>
          </cell>
          <cell r="F16" t="str">
            <v>C</v>
          </cell>
          <cell r="G16" t="str">
            <v>1</v>
          </cell>
          <cell r="H16" t="str">
            <v>L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I</v>
          </cell>
          <cell r="R16" t="str">
            <v>-</v>
          </cell>
          <cell r="S16" t="str">
            <v>N</v>
          </cell>
          <cell r="T16" t="str">
            <v>-</v>
          </cell>
          <cell r="U16" t="str">
            <v>-</v>
          </cell>
          <cell r="V16" t="str">
            <v>K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655</v>
          </cell>
        </row>
        <row r="17">
          <cell r="A17" t="str">
            <v>187*00</v>
          </cell>
          <cell r="B17">
            <v>3</v>
          </cell>
          <cell r="D17" t="str">
            <v>Mason</v>
          </cell>
          <cell r="F17" t="str">
            <v>C</v>
          </cell>
          <cell r="G17" t="str">
            <v>1</v>
          </cell>
          <cell r="H17" t="str">
            <v>L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I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K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J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480</v>
          </cell>
        </row>
        <row r="18">
          <cell r="A18" t="str">
            <v>196*00</v>
          </cell>
          <cell r="B18">
            <v>3</v>
          </cell>
          <cell r="D18" t="str">
            <v>Bottling visual inspector</v>
          </cell>
          <cell r="F18" t="str">
            <v>D</v>
          </cell>
          <cell r="G18" t="str">
            <v>3</v>
          </cell>
          <cell r="H18" t="str">
            <v>L+p</v>
          </cell>
          <cell r="I18" t="str">
            <v>-</v>
          </cell>
          <cell r="J18" t="str">
            <v>V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430</v>
          </cell>
        </row>
        <row r="19">
          <cell r="A19" t="str">
            <v>120*00</v>
          </cell>
          <cell r="B19">
            <v>4</v>
          </cell>
          <cell r="D19" t="str">
            <v>Advertising Painter</v>
          </cell>
          <cell r="F19" t="str">
            <v>C</v>
          </cell>
          <cell r="G19" t="str">
            <v>4</v>
          </cell>
          <cell r="H19" t="str">
            <v>L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300</v>
          </cell>
        </row>
        <row r="20">
          <cell r="A20" t="str">
            <v>152*00</v>
          </cell>
          <cell r="B20">
            <v>4</v>
          </cell>
          <cell r="D20" t="str">
            <v>Operator helper</v>
          </cell>
          <cell r="F20" t="str">
            <v>A</v>
          </cell>
          <cell r="G20" t="str">
            <v>3</v>
          </cell>
          <cell r="H20" t="str">
            <v>L+P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I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J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510</v>
          </cell>
        </row>
        <row r="21">
          <cell r="A21" t="str">
            <v>153*00</v>
          </cell>
          <cell r="B21">
            <v>4</v>
          </cell>
          <cell r="D21" t="str">
            <v>Guard Head</v>
          </cell>
          <cell r="F21" t="str">
            <v>G</v>
          </cell>
          <cell r="G21" t="str">
            <v>5</v>
          </cell>
          <cell r="H21" t="str">
            <v>-</v>
          </cell>
          <cell r="I21" t="str">
            <v>M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830</v>
          </cell>
        </row>
        <row r="22">
          <cell r="A22" t="str">
            <v>166*00</v>
          </cell>
          <cell r="B22">
            <v>4</v>
          </cell>
          <cell r="D22" t="str">
            <v>Welder</v>
          </cell>
          <cell r="F22" t="str">
            <v>C</v>
          </cell>
          <cell r="G22" t="str">
            <v>1</v>
          </cell>
          <cell r="H22" t="str">
            <v>L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I</v>
          </cell>
          <cell r="Q22" t="str">
            <v>-</v>
          </cell>
          <cell r="R22" t="str">
            <v>-</v>
          </cell>
          <cell r="S22" t="str">
            <v>N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J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605</v>
          </cell>
        </row>
        <row r="23">
          <cell r="A23" t="str">
            <v>184*00</v>
          </cell>
          <cell r="B23">
            <v>4</v>
          </cell>
          <cell r="D23" t="str">
            <v>Forklift driver</v>
          </cell>
          <cell r="F23" t="str">
            <v>C</v>
          </cell>
          <cell r="G23" t="str">
            <v>1</v>
          </cell>
          <cell r="H23" t="str">
            <v>L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J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F23" t="str">
            <v>-</v>
          </cell>
          <cell r="AG23">
            <v>365</v>
          </cell>
        </row>
        <row r="24">
          <cell r="A24" t="str">
            <v>101*00</v>
          </cell>
          <cell r="B24">
            <v>5</v>
          </cell>
          <cell r="D24" t="str">
            <v>Secretary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</row>
        <row r="25">
          <cell r="A25" t="str">
            <v>102*00</v>
          </cell>
          <cell r="B25">
            <v>5</v>
          </cell>
          <cell r="D25" t="str">
            <v>Car Driver</v>
          </cell>
          <cell r="F25" t="str">
            <v>A</v>
          </cell>
          <cell r="G25" t="str">
            <v>4</v>
          </cell>
          <cell r="H25" t="str">
            <v>L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340</v>
          </cell>
        </row>
        <row r="26">
          <cell r="A26" t="str">
            <v>142*00</v>
          </cell>
          <cell r="B26">
            <v>5</v>
          </cell>
          <cell r="D26" t="str">
            <v>Storekeeper</v>
          </cell>
          <cell r="F26" t="str">
            <v>D</v>
          </cell>
          <cell r="G26" t="str">
            <v>4</v>
          </cell>
          <cell r="H26" t="str">
            <v>L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330</v>
          </cell>
        </row>
        <row r="27">
          <cell r="A27" t="str">
            <v>151*00</v>
          </cell>
          <cell r="B27">
            <v>5</v>
          </cell>
          <cell r="D27" t="str">
            <v>Fabrication operator</v>
          </cell>
          <cell r="F27" t="str">
            <v>A</v>
          </cell>
          <cell r="G27" t="str">
            <v>3</v>
          </cell>
          <cell r="H27" t="str">
            <v>L+P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I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J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510</v>
          </cell>
        </row>
        <row r="28">
          <cell r="A28" t="str">
            <v>156*00</v>
          </cell>
          <cell r="B28">
            <v>5</v>
          </cell>
          <cell r="D28" t="str">
            <v>Bars draft equipment cleaner</v>
          </cell>
          <cell r="F28" t="str">
            <v>C</v>
          </cell>
          <cell r="G28" t="str">
            <v>M</v>
          </cell>
          <cell r="H28" t="str">
            <v>L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S5</v>
          </cell>
          <cell r="AF28" t="str">
            <v>S6</v>
          </cell>
          <cell r="AG28">
            <v>400</v>
          </cell>
        </row>
        <row r="29">
          <cell r="A29" t="str">
            <v>159*00</v>
          </cell>
          <cell r="B29">
            <v>5</v>
          </cell>
          <cell r="D29" t="str">
            <v>Bottling-kegging operator</v>
          </cell>
          <cell r="F29" t="str">
            <v>A</v>
          </cell>
          <cell r="G29" t="str">
            <v>3</v>
          </cell>
          <cell r="H29" t="str">
            <v>L+P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I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K</v>
          </cell>
          <cell r="X29" t="str">
            <v>-</v>
          </cell>
          <cell r="Y29" t="str">
            <v>-</v>
          </cell>
          <cell r="Z29" t="str">
            <v>J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465</v>
          </cell>
        </row>
        <row r="30">
          <cell r="A30" t="str">
            <v>165*00</v>
          </cell>
          <cell r="B30">
            <v>5</v>
          </cell>
          <cell r="D30" t="str">
            <v>Lathe operator</v>
          </cell>
          <cell r="F30" t="str">
            <v>C</v>
          </cell>
          <cell r="G30" t="str">
            <v>1</v>
          </cell>
          <cell r="H30" t="str">
            <v>L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N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J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465</v>
          </cell>
        </row>
        <row r="31">
          <cell r="A31" t="str">
            <v>167*00</v>
          </cell>
          <cell r="B31">
            <v>5</v>
          </cell>
          <cell r="D31" t="str">
            <v>Inox welder</v>
          </cell>
          <cell r="F31" t="str">
            <v>C</v>
          </cell>
          <cell r="G31" t="str">
            <v>1</v>
          </cell>
          <cell r="H31" t="str">
            <v>L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I</v>
          </cell>
          <cell r="Q31" t="str">
            <v>-</v>
          </cell>
          <cell r="R31" t="str">
            <v>-</v>
          </cell>
          <cell r="S31" t="str">
            <v>N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J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575</v>
          </cell>
        </row>
        <row r="32">
          <cell r="A32" t="str">
            <v>175*01</v>
          </cell>
          <cell r="B32">
            <v>5</v>
          </cell>
          <cell r="D32" t="str">
            <v>Garage mechanic</v>
          </cell>
          <cell r="F32" t="str">
            <v>C</v>
          </cell>
          <cell r="G32" t="str">
            <v>1</v>
          </cell>
          <cell r="H32" t="str">
            <v>-</v>
          </cell>
          <cell r="I32" t="str">
            <v>L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I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K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545</v>
          </cell>
        </row>
        <row r="33">
          <cell r="A33" t="str">
            <v>175*02</v>
          </cell>
          <cell r="B33">
            <v>5</v>
          </cell>
          <cell r="D33" t="str">
            <v>Driver-mechanic</v>
          </cell>
          <cell r="F33" t="str">
            <v>C</v>
          </cell>
          <cell r="G33" t="str">
            <v>1</v>
          </cell>
          <cell r="H33" t="str">
            <v>L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300</v>
          </cell>
        </row>
        <row r="34">
          <cell r="A34" t="str">
            <v>188*01</v>
          </cell>
          <cell r="B34">
            <v>5</v>
          </cell>
          <cell r="D34" t="str">
            <v>Full bottles storekeeper</v>
          </cell>
          <cell r="F34" t="str">
            <v>D</v>
          </cell>
          <cell r="G34" t="str">
            <v>4</v>
          </cell>
          <cell r="H34" t="str">
            <v>L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330</v>
          </cell>
        </row>
        <row r="35">
          <cell r="A35" t="str">
            <v>188*02</v>
          </cell>
          <cell r="B35">
            <v>5</v>
          </cell>
          <cell r="D35" t="str">
            <v>Empty bottles storekeeper</v>
          </cell>
          <cell r="F35" t="str">
            <v>D</v>
          </cell>
          <cell r="G35" t="str">
            <v>4</v>
          </cell>
          <cell r="H35" t="str">
            <v>L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330</v>
          </cell>
        </row>
        <row r="36">
          <cell r="A36" t="str">
            <v>188*03</v>
          </cell>
          <cell r="B36">
            <v>5</v>
          </cell>
          <cell r="D36" t="str">
            <v>Kegs storekeeper</v>
          </cell>
          <cell r="F36" t="str">
            <v>D</v>
          </cell>
          <cell r="G36" t="str">
            <v>4</v>
          </cell>
          <cell r="H36" t="str">
            <v>L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330</v>
          </cell>
        </row>
        <row r="37">
          <cell r="A37" t="str">
            <v>190*00</v>
          </cell>
          <cell r="B37">
            <v>5</v>
          </cell>
          <cell r="D37" t="str">
            <v xml:space="preserve">Junior accountant 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</row>
        <row r="38">
          <cell r="A38" t="str">
            <v>107*00</v>
          </cell>
          <cell r="B38">
            <v>6</v>
          </cell>
          <cell r="D38" t="str">
            <v>Office clerk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</row>
        <row r="39">
          <cell r="A39" t="str">
            <v>114*00</v>
          </cell>
          <cell r="B39">
            <v>6</v>
          </cell>
          <cell r="D39" t="str">
            <v>Refrigeration specialist</v>
          </cell>
          <cell r="F39" t="str">
            <v>C</v>
          </cell>
          <cell r="G39" t="str">
            <v>M</v>
          </cell>
          <cell r="H39" t="str">
            <v>-</v>
          </cell>
          <cell r="I39" t="str">
            <v>L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K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J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400</v>
          </cell>
        </row>
        <row r="40">
          <cell r="A40" t="str">
            <v>115*00</v>
          </cell>
          <cell r="B40">
            <v>6</v>
          </cell>
          <cell r="D40" t="str">
            <v>Cashier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</row>
        <row r="41">
          <cell r="A41" t="str">
            <v>117*01</v>
          </cell>
          <cell r="B41">
            <v>6</v>
          </cell>
          <cell r="D41" t="str">
            <v>Sales Promoter</v>
          </cell>
          <cell r="F41" t="str">
            <v>-</v>
          </cell>
          <cell r="G41" t="str">
            <v>M</v>
          </cell>
          <cell r="H41" t="str">
            <v>L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S1</v>
          </cell>
          <cell r="AB41" t="str">
            <v>S2</v>
          </cell>
          <cell r="AC41" t="str">
            <v>S3</v>
          </cell>
          <cell r="AD41" t="str">
            <v>-</v>
          </cell>
          <cell r="AE41" t="str">
            <v>-</v>
          </cell>
          <cell r="AF41" t="str">
            <v>S6</v>
          </cell>
          <cell r="AG41">
            <v>1135</v>
          </cell>
        </row>
        <row r="42">
          <cell r="A42" t="str">
            <v>128*00</v>
          </cell>
          <cell r="B42">
            <v>6</v>
          </cell>
          <cell r="D42" t="str">
            <v>Depot storekeeper</v>
          </cell>
          <cell r="F42" t="str">
            <v>D</v>
          </cell>
          <cell r="G42" t="str">
            <v>4</v>
          </cell>
          <cell r="H42" t="str">
            <v>L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330</v>
          </cell>
        </row>
        <row r="43">
          <cell r="A43" t="str">
            <v>136*00</v>
          </cell>
          <cell r="B43">
            <v>6</v>
          </cell>
          <cell r="D43" t="str">
            <v>Sales Driver</v>
          </cell>
          <cell r="F43" t="str">
            <v>-</v>
          </cell>
          <cell r="G43" t="str">
            <v>M</v>
          </cell>
          <cell r="H43" t="str">
            <v>L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S1</v>
          </cell>
          <cell r="AB43" t="str">
            <v>S2</v>
          </cell>
          <cell r="AC43" t="str">
            <v>-</v>
          </cell>
          <cell r="AD43" t="str">
            <v>-</v>
          </cell>
          <cell r="AE43" t="str">
            <v>S5</v>
          </cell>
          <cell r="AF43" t="str">
            <v>S6</v>
          </cell>
          <cell r="AG43">
            <v>890</v>
          </cell>
        </row>
        <row r="44">
          <cell r="A44" t="str">
            <v>140*00</v>
          </cell>
          <cell r="B44">
            <v>6</v>
          </cell>
          <cell r="D44" t="str">
            <v>Medical lab technician</v>
          </cell>
          <cell r="F44" t="str">
            <v>D</v>
          </cell>
          <cell r="G44" t="str">
            <v>2</v>
          </cell>
          <cell r="H44" t="str">
            <v>L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330</v>
          </cell>
        </row>
        <row r="45">
          <cell r="A45" t="str">
            <v>141*00</v>
          </cell>
          <cell r="B45">
            <v>6</v>
          </cell>
          <cell r="D45" t="str">
            <v>Health assistant</v>
          </cell>
          <cell r="F45" t="str">
            <v>D</v>
          </cell>
          <cell r="G45" t="str">
            <v>2</v>
          </cell>
          <cell r="H45" t="str">
            <v>L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330</v>
          </cell>
        </row>
        <row r="46">
          <cell r="A46" t="str">
            <v>150*00</v>
          </cell>
          <cell r="B46">
            <v>6</v>
          </cell>
          <cell r="D46" t="str">
            <v>Spare parts storekeeper</v>
          </cell>
          <cell r="F46" t="str">
            <v>D</v>
          </cell>
          <cell r="G46" t="str">
            <v>4</v>
          </cell>
          <cell r="H46" t="str">
            <v>L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330</v>
          </cell>
        </row>
        <row r="47">
          <cell r="A47" t="str">
            <v>163*00</v>
          </cell>
          <cell r="B47">
            <v>6</v>
          </cell>
          <cell r="D47" t="str">
            <v>Technical buyer-driver</v>
          </cell>
          <cell r="F47" t="str">
            <v>A</v>
          </cell>
          <cell r="G47" t="str">
            <v>?</v>
          </cell>
          <cell r="H47" t="str">
            <v>L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340</v>
          </cell>
        </row>
        <row r="48">
          <cell r="A48" t="str">
            <v>170*00</v>
          </cell>
          <cell r="B48">
            <v>6</v>
          </cell>
          <cell r="D48" t="str">
            <v>General Mechanic</v>
          </cell>
          <cell r="F48" t="str">
            <v>C</v>
          </cell>
          <cell r="G48" t="str">
            <v>1</v>
          </cell>
          <cell r="H48" t="str">
            <v>-</v>
          </cell>
          <cell r="I48" t="str">
            <v>L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I</v>
          </cell>
          <cell r="Q48" t="str">
            <v>-</v>
          </cell>
          <cell r="R48" t="str">
            <v>-</v>
          </cell>
          <cell r="S48" t="str">
            <v>N</v>
          </cell>
          <cell r="T48" t="str">
            <v>-</v>
          </cell>
          <cell r="U48" t="str">
            <v>K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J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710</v>
          </cell>
        </row>
        <row r="49">
          <cell r="A49" t="str">
            <v>173*00</v>
          </cell>
          <cell r="B49">
            <v>6</v>
          </cell>
          <cell r="D49" t="str">
            <v>Electrician</v>
          </cell>
          <cell r="F49" t="str">
            <v>C</v>
          </cell>
          <cell r="G49">
            <v>1</v>
          </cell>
          <cell r="H49" t="str">
            <v>-</v>
          </cell>
          <cell r="I49" t="str">
            <v>L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I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K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J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575</v>
          </cell>
        </row>
        <row r="50">
          <cell r="A50" t="str">
            <v>192*00</v>
          </cell>
          <cell r="B50">
            <v>6</v>
          </cell>
          <cell r="D50" t="str">
            <v>Fabrication polyvalent operator</v>
          </cell>
          <cell r="F50" t="str">
            <v>A</v>
          </cell>
          <cell r="G50" t="str">
            <v>3</v>
          </cell>
          <cell r="H50" t="str">
            <v>L+P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I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J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400</v>
          </cell>
        </row>
        <row r="51">
          <cell r="A51" t="str">
            <v>197*00</v>
          </cell>
          <cell r="B51">
            <v>6</v>
          </cell>
          <cell r="D51" t="str">
            <v>Bottling polyvalent operator</v>
          </cell>
          <cell r="F51" t="str">
            <v>A</v>
          </cell>
          <cell r="G51" t="str">
            <v>3</v>
          </cell>
          <cell r="H51" t="str">
            <v>L+P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400</v>
          </cell>
        </row>
        <row r="52">
          <cell r="A52" t="str">
            <v>111*00</v>
          </cell>
          <cell r="B52">
            <v>7</v>
          </cell>
          <cell r="D52" t="str">
            <v>Import officer assistant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</row>
        <row r="53">
          <cell r="A53" t="str">
            <v>113*00</v>
          </cell>
          <cell r="B53">
            <v>7</v>
          </cell>
          <cell r="D53" t="str">
            <v>Divisional accountant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</row>
        <row r="54">
          <cell r="A54" t="str">
            <v>117*02</v>
          </cell>
          <cell r="B54">
            <v>7</v>
          </cell>
          <cell r="D54" t="str">
            <v>Senior Sales Promoter</v>
          </cell>
          <cell r="F54" t="str">
            <v>-</v>
          </cell>
          <cell r="G54" t="str">
            <v>M</v>
          </cell>
          <cell r="H54" t="str">
            <v>L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S1</v>
          </cell>
          <cell r="AB54" t="str">
            <v>S2</v>
          </cell>
          <cell r="AC54" t="str">
            <v>S3</v>
          </cell>
          <cell r="AD54" t="str">
            <v>-</v>
          </cell>
          <cell r="AE54" t="str">
            <v>-</v>
          </cell>
          <cell r="AF54" t="str">
            <v>S6</v>
          </cell>
          <cell r="AG54">
            <v>1135</v>
          </cell>
        </row>
        <row r="55">
          <cell r="A55" t="str">
            <v>117*03</v>
          </cell>
          <cell r="B55">
            <v>7</v>
          </cell>
          <cell r="D55" t="str">
            <v>Marketing Promoter</v>
          </cell>
          <cell r="F55" t="str">
            <v>-</v>
          </cell>
          <cell r="G55" t="str">
            <v>M</v>
          </cell>
          <cell r="H55" t="str">
            <v>L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S1</v>
          </cell>
          <cell r="AB55" t="str">
            <v>S2</v>
          </cell>
          <cell r="AC55" t="str">
            <v>S3</v>
          </cell>
          <cell r="AD55" t="str">
            <v>-</v>
          </cell>
          <cell r="AE55" t="str">
            <v>-</v>
          </cell>
          <cell r="AF55" t="str">
            <v>S6</v>
          </cell>
          <cell r="AG55">
            <v>1135</v>
          </cell>
        </row>
        <row r="56">
          <cell r="A56" t="str">
            <v>126*00</v>
          </cell>
          <cell r="B56">
            <v>7</v>
          </cell>
          <cell r="D56" t="str">
            <v>Salesman</v>
          </cell>
          <cell r="F56" t="str">
            <v>-</v>
          </cell>
          <cell r="G56" t="str">
            <v>M</v>
          </cell>
          <cell r="H56" t="str">
            <v>L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S2</v>
          </cell>
          <cell r="AC56" t="str">
            <v>S3</v>
          </cell>
          <cell r="AD56" t="str">
            <v>-</v>
          </cell>
          <cell r="AE56" t="str">
            <v>-</v>
          </cell>
          <cell r="AF56" t="str">
            <v>S6</v>
          </cell>
          <cell r="AG56">
            <v>625</v>
          </cell>
        </row>
        <row r="57">
          <cell r="A57" t="str">
            <v>138*00</v>
          </cell>
          <cell r="B57">
            <v>7</v>
          </cell>
          <cell r="D57" t="str">
            <v>Nurse</v>
          </cell>
          <cell r="F57" t="str">
            <v>D</v>
          </cell>
          <cell r="G57" t="str">
            <v>2</v>
          </cell>
          <cell r="H57" t="str">
            <v>L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330</v>
          </cell>
        </row>
        <row r="58">
          <cell r="A58" t="str">
            <v>139*00</v>
          </cell>
          <cell r="B58">
            <v>7</v>
          </cell>
          <cell r="D58" t="str">
            <v>Pharmacist</v>
          </cell>
          <cell r="F58" t="str">
            <v>D</v>
          </cell>
          <cell r="G58" t="str">
            <v>2</v>
          </cell>
          <cell r="H58" t="str">
            <v>L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330</v>
          </cell>
        </row>
        <row r="59">
          <cell r="A59" t="str">
            <v>146*00</v>
          </cell>
          <cell r="B59">
            <v>7</v>
          </cell>
          <cell r="D59" t="str">
            <v>Microbiologist</v>
          </cell>
          <cell r="F59" t="str">
            <v>D</v>
          </cell>
          <cell r="G59" t="str">
            <v>2</v>
          </cell>
          <cell r="H59" t="str">
            <v>L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330</v>
          </cell>
        </row>
        <row r="60">
          <cell r="A60" t="str">
            <v>147*00</v>
          </cell>
          <cell r="B60">
            <v>7</v>
          </cell>
          <cell r="D60" t="str">
            <v>Chemist</v>
          </cell>
          <cell r="F60" t="str">
            <v>D</v>
          </cell>
          <cell r="G60" t="str">
            <v>2</v>
          </cell>
          <cell r="H60" t="str">
            <v>L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330</v>
          </cell>
        </row>
        <row r="61">
          <cell r="A61" t="str">
            <v>169*00</v>
          </cell>
          <cell r="B61">
            <v>7</v>
          </cell>
          <cell r="D61" t="str">
            <v xml:space="preserve">Utilities machinist </v>
          </cell>
          <cell r="F61" t="str">
            <v>C</v>
          </cell>
          <cell r="G61" t="str">
            <v>1</v>
          </cell>
          <cell r="H61" t="str">
            <v>-</v>
          </cell>
          <cell r="I61" t="str">
            <v>L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O</v>
          </cell>
          <cell r="P61" t="str">
            <v>I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K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J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830</v>
          </cell>
        </row>
        <row r="62">
          <cell r="A62" t="str">
            <v>174*00</v>
          </cell>
          <cell r="B62">
            <v>7</v>
          </cell>
          <cell r="D62" t="str">
            <v>Garage chief</v>
          </cell>
          <cell r="F62" t="str">
            <v>C</v>
          </cell>
          <cell r="G62" t="str">
            <v>1</v>
          </cell>
          <cell r="H62" t="str">
            <v>-</v>
          </cell>
          <cell r="I62" t="str">
            <v>L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I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K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J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540</v>
          </cell>
        </row>
        <row r="63">
          <cell r="A63" t="str">
            <v>181*00</v>
          </cell>
          <cell r="B63">
            <v>7</v>
          </cell>
          <cell r="D63" t="str">
            <v>Finished goods stores section head</v>
          </cell>
          <cell r="F63" t="str">
            <v>D</v>
          </cell>
          <cell r="G63" t="str">
            <v>4</v>
          </cell>
          <cell r="H63" t="str">
            <v>L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330</v>
          </cell>
        </row>
        <row r="64">
          <cell r="A64" t="str">
            <v>185*00</v>
          </cell>
          <cell r="B64">
            <v>7</v>
          </cell>
          <cell r="D64" t="str">
            <v>Beer dispatching head</v>
          </cell>
          <cell r="F64" t="str">
            <v>D</v>
          </cell>
          <cell r="G64" t="str">
            <v>4</v>
          </cell>
          <cell r="H64" t="str">
            <v>L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330</v>
          </cell>
        </row>
        <row r="65">
          <cell r="A65" t="str">
            <v>191*00</v>
          </cell>
          <cell r="B65">
            <v>7</v>
          </cell>
          <cell r="D65" t="str">
            <v>Executive Secretary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</row>
        <row r="66">
          <cell r="A66" t="str">
            <v>122*00</v>
          </cell>
          <cell r="B66">
            <v>8</v>
          </cell>
          <cell r="D66" t="str">
            <v>Non Finished Goods Stores section head</v>
          </cell>
          <cell r="F66" t="str">
            <v>D</v>
          </cell>
          <cell r="G66" t="str">
            <v>4</v>
          </cell>
          <cell r="H66" t="str">
            <v>L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330</v>
          </cell>
        </row>
        <row r="67">
          <cell r="A67" t="str">
            <v>127*00</v>
          </cell>
          <cell r="B67">
            <v>8</v>
          </cell>
          <cell r="D67" t="str">
            <v>Branch Manager</v>
          </cell>
          <cell r="F67" t="str">
            <v>-</v>
          </cell>
          <cell r="G67" t="str">
            <v>M</v>
          </cell>
          <cell r="H67" t="str">
            <v>L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  <cell r="Y67" t="str">
            <v>-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S5</v>
          </cell>
          <cell r="AF67" t="str">
            <v>S6</v>
          </cell>
          <cell r="AG67">
            <v>230</v>
          </cell>
        </row>
        <row r="68">
          <cell r="A68" t="str">
            <v>131*00</v>
          </cell>
          <cell r="B68">
            <v>8</v>
          </cell>
          <cell r="D68" t="str">
            <v>Personnel section head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</row>
        <row r="69">
          <cell r="A69" t="str">
            <v>144*00</v>
          </cell>
          <cell r="B69">
            <v>8</v>
          </cell>
          <cell r="D69" t="str">
            <v>Computer analyst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</row>
        <row r="70">
          <cell r="A70" t="str">
            <v>154*00</v>
          </cell>
          <cell r="B70">
            <v>8</v>
          </cell>
          <cell r="D70" t="str">
            <v>Kegs filling shift leader</v>
          </cell>
          <cell r="F70" t="str">
            <v>D</v>
          </cell>
          <cell r="G70" t="str">
            <v>3</v>
          </cell>
          <cell r="H70" t="str">
            <v>L+P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</row>
        <row r="71">
          <cell r="A71" t="str">
            <v>158*00</v>
          </cell>
          <cell r="B71">
            <v>8</v>
          </cell>
          <cell r="D71" t="str">
            <v>Bottling head assistant</v>
          </cell>
          <cell r="F71" t="str">
            <v>D</v>
          </cell>
          <cell r="G71" t="str">
            <v>3</v>
          </cell>
          <cell r="H71" t="str">
            <v>L+P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390</v>
          </cell>
        </row>
        <row r="72">
          <cell r="A72" t="str">
            <v>109*00</v>
          </cell>
          <cell r="B72">
            <v>9</v>
          </cell>
          <cell r="D72" t="str">
            <v>Auditor assistant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0</v>
          </cell>
        </row>
        <row r="73">
          <cell r="A73" t="str">
            <v>110*00</v>
          </cell>
          <cell r="B73">
            <v>9</v>
          </cell>
          <cell r="D73" t="str">
            <v>Import officer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0</v>
          </cell>
        </row>
        <row r="74">
          <cell r="A74" t="str">
            <v>116*00</v>
          </cell>
          <cell r="B74">
            <v>9</v>
          </cell>
          <cell r="D74" t="str">
            <v>Works supervisor</v>
          </cell>
          <cell r="F74" t="str">
            <v>D</v>
          </cell>
          <cell r="G74" t="str">
            <v>1</v>
          </cell>
          <cell r="H74" t="str">
            <v>L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I</v>
          </cell>
          <cell r="Q74" t="str">
            <v>-</v>
          </cell>
          <cell r="R74" t="str">
            <v>-</v>
          </cell>
          <cell r="S74" t="str">
            <v>N</v>
          </cell>
          <cell r="T74" t="str">
            <v>K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J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575</v>
          </cell>
        </row>
        <row r="75">
          <cell r="A75" t="str">
            <v>119*00</v>
          </cell>
          <cell r="B75">
            <v>9</v>
          </cell>
          <cell r="D75" t="str">
            <v>Sales Administrator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</row>
        <row r="76">
          <cell r="A76" t="str">
            <v>121*00</v>
          </cell>
          <cell r="B76">
            <v>9</v>
          </cell>
          <cell r="D76" t="str">
            <v>Finished goods logistics head</v>
          </cell>
          <cell r="F76" t="str">
            <v>D</v>
          </cell>
          <cell r="G76" t="str">
            <v>4</v>
          </cell>
          <cell r="H76" t="str">
            <v>L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330</v>
          </cell>
        </row>
        <row r="77">
          <cell r="A77" t="str">
            <v>143*00</v>
          </cell>
          <cell r="B77">
            <v>9</v>
          </cell>
          <cell r="D77" t="str">
            <v>Process assistant</v>
          </cell>
          <cell r="F77" t="str">
            <v>D</v>
          </cell>
          <cell r="G77" t="str">
            <v>2</v>
          </cell>
          <cell r="H77" t="str">
            <v>L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330</v>
          </cell>
        </row>
        <row r="78">
          <cell r="A78" t="str">
            <v>149*01</v>
          </cell>
          <cell r="B78">
            <v>9</v>
          </cell>
          <cell r="D78" t="str">
            <v>Fabrication shift leader</v>
          </cell>
          <cell r="F78" t="str">
            <v>D</v>
          </cell>
          <cell r="G78" t="str">
            <v>2</v>
          </cell>
          <cell r="H78" t="str">
            <v>L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330</v>
          </cell>
        </row>
        <row r="79">
          <cell r="A79" t="str">
            <v>164*00</v>
          </cell>
          <cell r="B79">
            <v>9</v>
          </cell>
          <cell r="D79" t="str">
            <v>Chief mechanic</v>
          </cell>
          <cell r="F79" t="str">
            <v>C</v>
          </cell>
          <cell r="G79" t="str">
            <v>1</v>
          </cell>
          <cell r="H79" t="str">
            <v>L+P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360</v>
          </cell>
        </row>
        <row r="80">
          <cell r="A80" t="str">
            <v>172*00</v>
          </cell>
          <cell r="B80">
            <v>9</v>
          </cell>
          <cell r="D80" t="str">
            <v>Chief electrician</v>
          </cell>
          <cell r="F80" t="str">
            <v>C</v>
          </cell>
          <cell r="G80" t="str">
            <v>1</v>
          </cell>
          <cell r="H80" t="str">
            <v>L+P</v>
          </cell>
          <cell r="I80" t="str">
            <v>-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I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K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J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505</v>
          </cell>
        </row>
        <row r="81">
          <cell r="A81" t="str">
            <v>195*00</v>
          </cell>
          <cell r="B81">
            <v>9</v>
          </cell>
          <cell r="D81" t="str">
            <v>Sales coordinator L1</v>
          </cell>
          <cell r="F81" t="str">
            <v>-</v>
          </cell>
          <cell r="H81" t="str">
            <v>L</v>
          </cell>
          <cell r="I81" t="str">
            <v>-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S1</v>
          </cell>
          <cell r="AB81" t="str">
            <v>S2</v>
          </cell>
          <cell r="AC81" t="str">
            <v>S3</v>
          </cell>
          <cell r="AD81" t="str">
            <v>-</v>
          </cell>
          <cell r="AE81" t="str">
            <v>-</v>
          </cell>
          <cell r="AF81" t="str">
            <v>S6</v>
          </cell>
          <cell r="AG81">
            <v>1135</v>
          </cell>
        </row>
        <row r="82">
          <cell r="A82" t="str">
            <v>103*00</v>
          </cell>
          <cell r="B82">
            <v>10</v>
          </cell>
          <cell r="D82" t="str">
            <v>Public Relations Officer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0</v>
          </cell>
        </row>
        <row r="83">
          <cell r="A83" t="str">
            <v>106*00</v>
          </cell>
          <cell r="B83">
            <v>10</v>
          </cell>
          <cell r="D83" t="str">
            <v xml:space="preserve">Consolidation senior accountant 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0</v>
          </cell>
        </row>
        <row r="84">
          <cell r="A84" t="str">
            <v>125*00</v>
          </cell>
          <cell r="B84">
            <v>11</v>
          </cell>
          <cell r="D84" t="str">
            <v>Sales coordinator L2</v>
          </cell>
          <cell r="F84" t="str">
            <v>-</v>
          </cell>
          <cell r="H84" t="str">
            <v>L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S1</v>
          </cell>
          <cell r="AB84" t="str">
            <v>S2</v>
          </cell>
          <cell r="AC84" t="str">
            <v>S3</v>
          </cell>
          <cell r="AD84" t="str">
            <v>-</v>
          </cell>
          <cell r="AE84" t="str">
            <v>-</v>
          </cell>
          <cell r="AF84" t="str">
            <v>S6</v>
          </cell>
          <cell r="AG84">
            <v>1135</v>
          </cell>
        </row>
        <row r="85">
          <cell r="A85" t="str">
            <v>160*00</v>
          </cell>
          <cell r="B85">
            <v>11</v>
          </cell>
          <cell r="D85" t="str">
            <v>Stores &amp; Logistic section head</v>
          </cell>
          <cell r="F85" t="str">
            <v>D</v>
          </cell>
          <cell r="G85" t="str">
            <v>4</v>
          </cell>
          <cell r="H85" t="str">
            <v>L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330</v>
          </cell>
        </row>
        <row r="86">
          <cell r="A86" t="str">
            <v>108*00</v>
          </cell>
          <cell r="B86">
            <v>12</v>
          </cell>
          <cell r="D86" t="str">
            <v>Auditor principal</v>
          </cell>
          <cell r="F86" t="str">
            <v>-</v>
          </cell>
          <cell r="G86" t="str">
            <v>-</v>
          </cell>
          <cell r="H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0</v>
          </cell>
        </row>
        <row r="87">
          <cell r="A87" t="str">
            <v>112*00</v>
          </cell>
          <cell r="B87">
            <v>12</v>
          </cell>
          <cell r="D87" t="str">
            <v>Divisional chief accountant</v>
          </cell>
          <cell r="F87" t="str">
            <v>-</v>
          </cell>
          <cell r="G87" t="str">
            <v>-</v>
          </cell>
          <cell r="H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0</v>
          </cell>
        </row>
        <row r="88">
          <cell r="A88" t="str">
            <v>137*00</v>
          </cell>
          <cell r="B88">
            <v>12</v>
          </cell>
          <cell r="D88" t="str">
            <v>Company doctor</v>
          </cell>
          <cell r="F88" t="str">
            <v>D</v>
          </cell>
          <cell r="G88" t="str">
            <v>2</v>
          </cell>
          <cell r="H88" t="str">
            <v>L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330</v>
          </cell>
        </row>
        <row r="89">
          <cell r="A89" t="str">
            <v>145*00</v>
          </cell>
          <cell r="B89">
            <v>12</v>
          </cell>
          <cell r="D89" t="str">
            <v>Laboratory Head</v>
          </cell>
          <cell r="F89" t="str">
            <v>D</v>
          </cell>
          <cell r="G89" t="str">
            <v>2</v>
          </cell>
          <cell r="H89" t="str">
            <v>L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330</v>
          </cell>
        </row>
        <row r="90">
          <cell r="A90" t="str">
            <v>149*02</v>
          </cell>
          <cell r="B90">
            <v>12</v>
          </cell>
          <cell r="D90" t="str">
            <v>Fabrication section head</v>
          </cell>
          <cell r="F90" t="str">
            <v>D</v>
          </cell>
          <cell r="G90" t="str">
            <v>2</v>
          </cell>
          <cell r="H90" t="str">
            <v>L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200</v>
          </cell>
        </row>
        <row r="91">
          <cell r="A91" t="str">
            <v>157*00</v>
          </cell>
          <cell r="B91">
            <v>12</v>
          </cell>
          <cell r="D91" t="str">
            <v>Bottling section head</v>
          </cell>
          <cell r="F91" t="str">
            <v>D</v>
          </cell>
          <cell r="G91" t="str">
            <v>2</v>
          </cell>
          <cell r="H91" t="str">
            <v>L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330</v>
          </cell>
        </row>
        <row r="92">
          <cell r="A92" t="str">
            <v>189*00</v>
          </cell>
          <cell r="B92">
            <v>12</v>
          </cell>
          <cell r="D92" t="str">
            <v>Consolidation department head</v>
          </cell>
          <cell r="F92" t="str">
            <v>-</v>
          </cell>
          <cell r="G92" t="str">
            <v>-</v>
          </cell>
          <cell r="H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0</v>
          </cell>
        </row>
        <row r="93">
          <cell r="A93" t="str">
            <v>193*00</v>
          </cell>
          <cell r="B93">
            <v>12</v>
          </cell>
          <cell r="D93" t="str">
            <v>Kombolcha Admin. &amp; IR section head</v>
          </cell>
          <cell r="F93" t="str">
            <v>-</v>
          </cell>
          <cell r="G93" t="str">
            <v>-</v>
          </cell>
          <cell r="H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0</v>
          </cell>
        </row>
        <row r="94">
          <cell r="A94" t="str">
            <v>194*00</v>
          </cell>
          <cell r="B94">
            <v>12</v>
          </cell>
          <cell r="D94" t="str">
            <v>Sales coordinator L3</v>
          </cell>
          <cell r="F94" t="str">
            <v>-</v>
          </cell>
          <cell r="H94" t="str">
            <v>L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S1</v>
          </cell>
          <cell r="AB94" t="str">
            <v>S2</v>
          </cell>
          <cell r="AC94" t="str">
            <v>S3</v>
          </cell>
          <cell r="AD94" t="str">
            <v>-</v>
          </cell>
          <cell r="AE94" t="str">
            <v>-</v>
          </cell>
          <cell r="AF94" t="str">
            <v>S6</v>
          </cell>
          <cell r="AG94">
            <v>1135</v>
          </cell>
        </row>
        <row r="95">
          <cell r="A95" t="str">
            <v>105*00</v>
          </cell>
          <cell r="B95">
            <v>13</v>
          </cell>
          <cell r="D95" t="str">
            <v>Corporate controller</v>
          </cell>
          <cell r="F95" t="str">
            <v>-</v>
          </cell>
          <cell r="G95" t="str">
            <v>-</v>
          </cell>
          <cell r="H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0</v>
          </cell>
        </row>
        <row r="96">
          <cell r="A96" t="str">
            <v>130*00</v>
          </cell>
          <cell r="B96">
            <v>13</v>
          </cell>
          <cell r="D96" t="str">
            <v>Administration &amp; IR Manager</v>
          </cell>
          <cell r="F96" t="str">
            <v>-</v>
          </cell>
          <cell r="G96" t="str">
            <v>-</v>
          </cell>
          <cell r="H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0</v>
          </cell>
        </row>
        <row r="97">
          <cell r="A97" t="str">
            <v>148*00</v>
          </cell>
          <cell r="B97">
            <v>13</v>
          </cell>
          <cell r="D97" t="str">
            <v>Production Manager</v>
          </cell>
          <cell r="F97" t="str">
            <v>D</v>
          </cell>
          <cell r="G97" t="str">
            <v>2</v>
          </cell>
          <cell r="H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200</v>
          </cell>
        </row>
        <row r="98">
          <cell r="A98" t="str">
            <v>162*00</v>
          </cell>
          <cell r="B98">
            <v>13</v>
          </cell>
          <cell r="D98" t="str">
            <v>Maintenance Manager</v>
          </cell>
          <cell r="F98" t="str">
            <v>D</v>
          </cell>
          <cell r="G98" t="str">
            <v>1</v>
          </cell>
          <cell r="H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200</v>
          </cell>
        </row>
        <row r="99">
          <cell r="A99" t="str">
            <v>118*00</v>
          </cell>
          <cell r="B99">
            <v>14</v>
          </cell>
          <cell r="D99" t="str">
            <v>Marketing Manager</v>
          </cell>
          <cell r="F99" t="str">
            <v>-</v>
          </cell>
          <cell r="G99" t="str">
            <v>-</v>
          </cell>
          <cell r="H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0</v>
          </cell>
        </row>
        <row r="100">
          <cell r="A100" t="str">
            <v>124*00</v>
          </cell>
          <cell r="B100">
            <v>14</v>
          </cell>
          <cell r="D100" t="str">
            <v>Financial Controller</v>
          </cell>
          <cell r="F100" t="str">
            <v>-</v>
          </cell>
          <cell r="G100" t="str">
            <v>-</v>
          </cell>
          <cell r="H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0</v>
          </cell>
        </row>
        <row r="101">
          <cell r="A101" t="str">
            <v>132*00</v>
          </cell>
          <cell r="B101">
            <v>14</v>
          </cell>
          <cell r="D101" t="str">
            <v>Technical Manager</v>
          </cell>
          <cell r="F101" t="str">
            <v>-</v>
          </cell>
          <cell r="G101" t="str">
            <v>-</v>
          </cell>
          <cell r="H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0</v>
          </cell>
        </row>
        <row r="102">
          <cell r="A102" t="str">
            <v>133*00</v>
          </cell>
          <cell r="B102">
            <v>14</v>
          </cell>
          <cell r="D102" t="str">
            <v>Plant Manager</v>
          </cell>
          <cell r="F102" t="str">
            <v>-</v>
          </cell>
          <cell r="G102" t="str">
            <v>-</v>
          </cell>
          <cell r="H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0</v>
          </cell>
        </row>
        <row r="103">
          <cell r="A103" t="str">
            <v>134*00</v>
          </cell>
          <cell r="B103">
            <v>14</v>
          </cell>
          <cell r="D103" t="str">
            <v>Sales Manager</v>
          </cell>
          <cell r="F103" t="str">
            <v>-</v>
          </cell>
          <cell r="G103" t="str">
            <v>-</v>
          </cell>
          <cell r="H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0</v>
          </cell>
        </row>
        <row r="104">
          <cell r="A104" t="str">
            <v>100*00</v>
          </cell>
          <cell r="B104">
            <v>15</v>
          </cell>
          <cell r="D104" t="str">
            <v>General Manager</v>
          </cell>
          <cell r="F104" t="str">
            <v>-</v>
          </cell>
          <cell r="G104" t="str">
            <v>-</v>
          </cell>
          <cell r="H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</row>
      </sheetData>
      <sheetData sheetId="115" refreshError="1">
        <row r="1">
          <cell r="A1" t="str">
            <v>BGI Ethiopia PLC</v>
          </cell>
          <cell r="C1" t="str">
            <v>Annex E</v>
          </cell>
        </row>
        <row r="3">
          <cell r="B3" t="str">
            <v>List of Uniforms</v>
          </cell>
        </row>
        <row r="5">
          <cell r="A5" t="str">
            <v>CODE</v>
          </cell>
          <cell r="B5" t="str">
            <v>Type</v>
          </cell>
          <cell r="E5" t="str">
            <v>Unit P</v>
          </cell>
        </row>
        <row r="6">
          <cell r="A6" t="str">
            <v>Clothes</v>
          </cell>
        </row>
        <row r="7">
          <cell r="A7" t="str">
            <v>A</v>
          </cell>
          <cell r="B7" t="str">
            <v>Shirt and Trouser</v>
          </cell>
          <cell r="E7">
            <v>59</v>
          </cell>
        </row>
        <row r="8">
          <cell r="A8" t="str">
            <v>B</v>
          </cell>
          <cell r="B8" t="str">
            <v>Shirt and Kirk for Female Guard</v>
          </cell>
          <cell r="E8">
            <v>90</v>
          </cell>
        </row>
        <row r="9">
          <cell r="A9" t="str">
            <v>C</v>
          </cell>
          <cell r="B9" t="str">
            <v>Overall</v>
          </cell>
          <cell r="E9">
            <v>44</v>
          </cell>
        </row>
        <row r="10">
          <cell r="A10" t="str">
            <v>D</v>
          </cell>
          <cell r="B10" t="str">
            <v>Overcoat</v>
          </cell>
          <cell r="E10">
            <v>44</v>
          </cell>
        </row>
        <row r="11">
          <cell r="A11" t="str">
            <v>F</v>
          </cell>
          <cell r="B11" t="str">
            <v>Dress</v>
          </cell>
          <cell r="E11">
            <v>42</v>
          </cell>
        </row>
        <row r="12">
          <cell r="A12" t="str">
            <v>G</v>
          </cell>
          <cell r="B12" t="str">
            <v>Guard (1 Worksuit+1Shirt+1/2Sweater+1Cap)</v>
          </cell>
          <cell r="E12">
            <v>275</v>
          </cell>
        </row>
        <row r="13">
          <cell r="A13" t="str">
            <v>-</v>
          </cell>
        </row>
        <row r="14">
          <cell r="A14" t="str">
            <v>V</v>
          </cell>
          <cell r="B14" t="str">
            <v>Hair cover</v>
          </cell>
          <cell r="E14">
            <v>18</v>
          </cell>
        </row>
        <row r="15">
          <cell r="A15" t="str">
            <v>W</v>
          </cell>
          <cell r="B15" t="str">
            <v>Apron</v>
          </cell>
        </row>
        <row r="16">
          <cell r="A16" t="str">
            <v>X</v>
          </cell>
          <cell r="B16" t="str">
            <v>Rain coat</v>
          </cell>
          <cell r="E16">
            <v>80</v>
          </cell>
        </row>
        <row r="17">
          <cell r="A17" t="str">
            <v>Y</v>
          </cell>
          <cell r="B17" t="str">
            <v>Warm cloth</v>
          </cell>
          <cell r="E17">
            <v>62</v>
          </cell>
        </row>
        <row r="19">
          <cell r="A19" t="str">
            <v>Sales &amp; Marketing</v>
          </cell>
        </row>
        <row r="20">
          <cell r="A20" t="str">
            <v>S1</v>
          </cell>
          <cell r="B20" t="str">
            <v>Jacket</v>
          </cell>
          <cell r="E20">
            <v>450</v>
          </cell>
        </row>
        <row r="21">
          <cell r="A21" t="str">
            <v>S2</v>
          </cell>
          <cell r="B21" t="str">
            <v>Jeans trouser</v>
          </cell>
          <cell r="E21">
            <v>120</v>
          </cell>
        </row>
        <row r="22">
          <cell r="A22" t="str">
            <v>S3</v>
          </cell>
          <cell r="B22" t="str">
            <v>Polo</v>
          </cell>
          <cell r="E22">
            <v>70</v>
          </cell>
        </row>
        <row r="23">
          <cell r="A23" t="str">
            <v>S4</v>
          </cell>
          <cell r="B23" t="str">
            <v>Decorated Shirt</v>
          </cell>
          <cell r="E23">
            <v>100</v>
          </cell>
        </row>
        <row r="24">
          <cell r="A24" t="str">
            <v>S5</v>
          </cell>
          <cell r="B24" t="str">
            <v>Tee Shirt</v>
          </cell>
          <cell r="E24">
            <v>20</v>
          </cell>
        </row>
        <row r="25">
          <cell r="A25" t="str">
            <v>S6</v>
          </cell>
          <cell r="B25" t="str">
            <v>Decorated Hat</v>
          </cell>
          <cell r="E25">
            <v>20</v>
          </cell>
        </row>
        <row r="27">
          <cell r="A27" t="str">
            <v>Shoes</v>
          </cell>
        </row>
        <row r="28">
          <cell r="A28" t="str">
            <v>L</v>
          </cell>
          <cell r="B28" t="str">
            <v>Leather ( 2 types : male and female)</v>
          </cell>
          <cell r="E28">
            <v>120</v>
          </cell>
        </row>
        <row r="29">
          <cell r="A29" t="str">
            <v>P</v>
          </cell>
          <cell r="B29" t="str">
            <v>Plastic Boots</v>
          </cell>
          <cell r="E29">
            <v>54</v>
          </cell>
        </row>
        <row r="30">
          <cell r="A30" t="str">
            <v>M</v>
          </cell>
          <cell r="B30" t="str">
            <v>Military</v>
          </cell>
          <cell r="E30">
            <v>84</v>
          </cell>
        </row>
        <row r="31">
          <cell r="A31" t="str">
            <v>L+P</v>
          </cell>
          <cell r="B31" t="str">
            <v>Leather + Plastic</v>
          </cell>
          <cell r="E31">
            <v>174</v>
          </cell>
        </row>
        <row r="33">
          <cell r="A33" t="str">
            <v>Color</v>
          </cell>
        </row>
        <row r="34">
          <cell r="A34">
            <v>1</v>
          </cell>
          <cell r="B34" t="str">
            <v>Blue</v>
          </cell>
        </row>
        <row r="35">
          <cell r="A35">
            <v>2</v>
          </cell>
          <cell r="B35" t="str">
            <v xml:space="preserve">White </v>
          </cell>
        </row>
        <row r="36">
          <cell r="A36">
            <v>3</v>
          </cell>
          <cell r="B36" t="str">
            <v>Khaki</v>
          </cell>
        </row>
        <row r="37">
          <cell r="A37">
            <v>4</v>
          </cell>
          <cell r="B37" t="str">
            <v>Grey</v>
          </cell>
        </row>
        <row r="38">
          <cell r="A38">
            <v>5</v>
          </cell>
          <cell r="B38" t="str">
            <v>Guard color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>
        <row r="2">
          <cell r="BL2" t="str">
            <v>Total</v>
          </cell>
        </row>
        <row r="4">
          <cell r="BL4" t="str">
            <v>Budget</v>
          </cell>
          <cell r="BM4" t="str">
            <v>Forecast</v>
          </cell>
          <cell r="BN4" t="str">
            <v>Pending</v>
          </cell>
          <cell r="BO4" t="str">
            <v>Paid</v>
          </cell>
        </row>
        <row r="6">
          <cell r="BL6">
            <v>269100</v>
          </cell>
          <cell r="BM6">
            <v>0</v>
          </cell>
          <cell r="BN6">
            <v>0</v>
          </cell>
          <cell r="BO6">
            <v>0</v>
          </cell>
        </row>
        <row r="7">
          <cell r="BL7">
            <v>260000</v>
          </cell>
          <cell r="BM7">
            <v>0</v>
          </cell>
          <cell r="BN7">
            <v>0</v>
          </cell>
          <cell r="BO7">
            <v>0</v>
          </cell>
        </row>
        <row r="8">
          <cell r="BL8">
            <v>75400</v>
          </cell>
          <cell r="BM8">
            <v>0</v>
          </cell>
          <cell r="BN8">
            <v>0</v>
          </cell>
          <cell r="BO8">
            <v>0</v>
          </cell>
        </row>
        <row r="9">
          <cell r="BL9">
            <v>102000</v>
          </cell>
          <cell r="BM9">
            <v>0</v>
          </cell>
          <cell r="BN9">
            <v>0</v>
          </cell>
          <cell r="BO9">
            <v>0</v>
          </cell>
        </row>
        <row r="10">
          <cell r="BL10">
            <v>49000</v>
          </cell>
          <cell r="BM10">
            <v>0</v>
          </cell>
          <cell r="BN10">
            <v>0</v>
          </cell>
          <cell r="BO10">
            <v>0</v>
          </cell>
        </row>
        <row r="11">
          <cell r="BL11">
            <v>21000</v>
          </cell>
          <cell r="BM11">
            <v>0</v>
          </cell>
          <cell r="BN11">
            <v>0</v>
          </cell>
          <cell r="BO11">
            <v>0</v>
          </cell>
        </row>
        <row r="12">
          <cell r="BL12">
            <v>300000</v>
          </cell>
          <cell r="BM12">
            <v>0</v>
          </cell>
          <cell r="BN12">
            <v>0</v>
          </cell>
          <cell r="BO12">
            <v>0</v>
          </cell>
        </row>
        <row r="13">
          <cell r="BL13">
            <v>20000</v>
          </cell>
          <cell r="BM13">
            <v>0</v>
          </cell>
          <cell r="BN13">
            <v>0</v>
          </cell>
          <cell r="BO13">
            <v>0</v>
          </cell>
        </row>
        <row r="14">
          <cell r="BL14">
            <v>100000</v>
          </cell>
          <cell r="BM14">
            <v>0</v>
          </cell>
          <cell r="BN14">
            <v>0</v>
          </cell>
          <cell r="BO14">
            <v>0</v>
          </cell>
        </row>
        <row r="15">
          <cell r="BL15">
            <v>50000</v>
          </cell>
          <cell r="BM15">
            <v>0</v>
          </cell>
          <cell r="BN15">
            <v>0</v>
          </cell>
          <cell r="BO15">
            <v>0</v>
          </cell>
        </row>
        <row r="16">
          <cell r="BL16">
            <v>80000</v>
          </cell>
          <cell r="BM16">
            <v>0</v>
          </cell>
          <cell r="BN16">
            <v>0</v>
          </cell>
          <cell r="BO16">
            <v>0</v>
          </cell>
        </row>
        <row r="17">
          <cell r="BL17">
            <v>50000</v>
          </cell>
          <cell r="BM17">
            <v>0</v>
          </cell>
          <cell r="BN17">
            <v>0</v>
          </cell>
          <cell r="BO17">
            <v>0</v>
          </cell>
        </row>
        <row r="18">
          <cell r="BL18">
            <v>50000</v>
          </cell>
          <cell r="BM18">
            <v>0</v>
          </cell>
          <cell r="BN18">
            <v>0</v>
          </cell>
          <cell r="BO18">
            <v>0</v>
          </cell>
        </row>
        <row r="19">
          <cell r="BL19">
            <v>160000</v>
          </cell>
          <cell r="BM19">
            <v>0</v>
          </cell>
          <cell r="BN19">
            <v>0</v>
          </cell>
          <cell r="BO19">
            <v>0</v>
          </cell>
        </row>
        <row r="20">
          <cell r="BL20">
            <v>160000</v>
          </cell>
          <cell r="BM20">
            <v>0</v>
          </cell>
          <cell r="BN20">
            <v>0</v>
          </cell>
          <cell r="BO20">
            <v>0</v>
          </cell>
        </row>
        <row r="21">
          <cell r="BL21">
            <v>70000</v>
          </cell>
          <cell r="BM21">
            <v>0</v>
          </cell>
          <cell r="BN21">
            <v>0</v>
          </cell>
          <cell r="BO21">
            <v>0</v>
          </cell>
        </row>
        <row r="22">
          <cell r="BL22">
            <v>150000</v>
          </cell>
          <cell r="BM22">
            <v>0</v>
          </cell>
          <cell r="BN22">
            <v>0</v>
          </cell>
          <cell r="BO22">
            <v>0</v>
          </cell>
        </row>
        <row r="23">
          <cell r="BL23">
            <v>311400</v>
          </cell>
          <cell r="BM23">
            <v>0</v>
          </cell>
          <cell r="BN23">
            <v>0</v>
          </cell>
          <cell r="BO23">
            <v>0</v>
          </cell>
        </row>
        <row r="24">
          <cell r="BL24">
            <v>1000000</v>
          </cell>
          <cell r="BM24">
            <v>0</v>
          </cell>
          <cell r="BN24">
            <v>0</v>
          </cell>
          <cell r="BO24">
            <v>0</v>
          </cell>
        </row>
        <row r="25">
          <cell r="BL25">
            <v>881000</v>
          </cell>
          <cell r="BM25">
            <v>0</v>
          </cell>
          <cell r="BN25">
            <v>0</v>
          </cell>
          <cell r="BO25">
            <v>0</v>
          </cell>
        </row>
        <row r="26">
          <cell r="BL26">
            <v>171000</v>
          </cell>
          <cell r="BM26">
            <v>0</v>
          </cell>
          <cell r="BN26">
            <v>0</v>
          </cell>
          <cell r="BO26">
            <v>0</v>
          </cell>
        </row>
        <row r="27">
          <cell r="BL27">
            <v>500000</v>
          </cell>
          <cell r="BM27">
            <v>0</v>
          </cell>
          <cell r="BN27">
            <v>0</v>
          </cell>
          <cell r="BO27">
            <v>0</v>
          </cell>
        </row>
        <row r="28">
          <cell r="BL28">
            <v>200000</v>
          </cell>
          <cell r="BM28">
            <v>0</v>
          </cell>
          <cell r="BN28">
            <v>0</v>
          </cell>
          <cell r="BO28">
            <v>0</v>
          </cell>
        </row>
        <row r="29">
          <cell r="BL29">
            <v>24300</v>
          </cell>
          <cell r="BM29">
            <v>0</v>
          </cell>
          <cell r="BN29">
            <v>0</v>
          </cell>
          <cell r="BO29">
            <v>0</v>
          </cell>
        </row>
        <row r="30">
          <cell r="BL30">
            <v>180000</v>
          </cell>
          <cell r="BM30">
            <v>0</v>
          </cell>
          <cell r="BN30">
            <v>0</v>
          </cell>
          <cell r="BO30">
            <v>0</v>
          </cell>
        </row>
        <row r="31">
          <cell r="BL31">
            <v>100000</v>
          </cell>
          <cell r="BM31">
            <v>0</v>
          </cell>
          <cell r="BN31">
            <v>0</v>
          </cell>
          <cell r="BO31">
            <v>0</v>
          </cell>
        </row>
        <row r="32">
          <cell r="BL32">
            <v>25000</v>
          </cell>
          <cell r="BM32">
            <v>0</v>
          </cell>
          <cell r="BN32">
            <v>0</v>
          </cell>
          <cell r="BO32">
            <v>0</v>
          </cell>
        </row>
        <row r="33">
          <cell r="BL33">
            <v>50000</v>
          </cell>
          <cell r="BM33">
            <v>0</v>
          </cell>
          <cell r="BN33">
            <v>0</v>
          </cell>
          <cell r="BO33">
            <v>0</v>
          </cell>
        </row>
        <row r="34">
          <cell r="BL34">
            <v>183000</v>
          </cell>
          <cell r="BM34">
            <v>0</v>
          </cell>
          <cell r="BN34">
            <v>0</v>
          </cell>
          <cell r="BO34">
            <v>0</v>
          </cell>
        </row>
        <row r="35">
          <cell r="BL35">
            <v>200000</v>
          </cell>
          <cell r="BM35">
            <v>0</v>
          </cell>
          <cell r="BN35">
            <v>0</v>
          </cell>
          <cell r="BO35">
            <v>0</v>
          </cell>
        </row>
        <row r="36">
          <cell r="BL36">
            <v>60000</v>
          </cell>
          <cell r="BM36">
            <v>0</v>
          </cell>
          <cell r="BN36">
            <v>0</v>
          </cell>
          <cell r="BO36">
            <v>0</v>
          </cell>
        </row>
        <row r="37">
          <cell r="BL37">
            <v>300000</v>
          </cell>
          <cell r="BM37">
            <v>0</v>
          </cell>
          <cell r="BN37">
            <v>0</v>
          </cell>
          <cell r="BO37">
            <v>0</v>
          </cell>
        </row>
        <row r="38">
          <cell r="BL38">
            <v>0</v>
          </cell>
          <cell r="BM38">
            <v>0</v>
          </cell>
          <cell r="BN38">
            <v>0</v>
          </cell>
          <cell r="BO38">
            <v>553.79999999999995</v>
          </cell>
        </row>
        <row r="39">
          <cell r="BL39">
            <v>0</v>
          </cell>
          <cell r="BM39">
            <v>0</v>
          </cell>
          <cell r="BN39">
            <v>0</v>
          </cell>
          <cell r="BO39">
            <v>1353.1000000000001</v>
          </cell>
        </row>
        <row r="40">
          <cell r="BL40">
            <v>0</v>
          </cell>
          <cell r="BM40">
            <v>0</v>
          </cell>
          <cell r="BN40">
            <v>0</v>
          </cell>
          <cell r="BO40">
            <v>1397.9</v>
          </cell>
        </row>
        <row r="41">
          <cell r="BL41">
            <v>0</v>
          </cell>
          <cell r="BM41">
            <v>0</v>
          </cell>
          <cell r="BN41">
            <v>0</v>
          </cell>
          <cell r="BO41">
            <v>1300.8600000000001</v>
          </cell>
        </row>
        <row r="42">
          <cell r="BL42">
            <v>0</v>
          </cell>
          <cell r="BM42">
            <v>0</v>
          </cell>
          <cell r="BN42">
            <v>0</v>
          </cell>
          <cell r="BO42">
            <v>437.75</v>
          </cell>
        </row>
        <row r="43">
          <cell r="BL43">
            <v>0</v>
          </cell>
          <cell r="BM43">
            <v>0</v>
          </cell>
          <cell r="BN43">
            <v>0</v>
          </cell>
          <cell r="BO43">
            <v>2700</v>
          </cell>
        </row>
        <row r="44">
          <cell r="BL44">
            <v>0</v>
          </cell>
          <cell r="BM44">
            <v>0</v>
          </cell>
          <cell r="BN44">
            <v>0</v>
          </cell>
          <cell r="BO44">
            <v>698.95</v>
          </cell>
        </row>
        <row r="45">
          <cell r="BL45">
            <v>0</v>
          </cell>
          <cell r="BM45">
            <v>0</v>
          </cell>
          <cell r="BN45">
            <v>0</v>
          </cell>
          <cell r="BO45">
            <v>1439.88</v>
          </cell>
        </row>
        <row r="46">
          <cell r="BL46">
            <v>0</v>
          </cell>
          <cell r="BM46">
            <v>0</v>
          </cell>
          <cell r="BN46">
            <v>0</v>
          </cell>
          <cell r="BO46">
            <v>37632</v>
          </cell>
        </row>
        <row r="47">
          <cell r="BL47">
            <v>0</v>
          </cell>
          <cell r="BM47">
            <v>0</v>
          </cell>
          <cell r="BN47">
            <v>0</v>
          </cell>
          <cell r="BO47">
            <v>522.4</v>
          </cell>
        </row>
        <row r="48">
          <cell r="BL48">
            <v>0</v>
          </cell>
          <cell r="BM48">
            <v>0</v>
          </cell>
          <cell r="BN48">
            <v>0</v>
          </cell>
          <cell r="BO48">
            <v>1900</v>
          </cell>
        </row>
        <row r="49">
          <cell r="BL49">
            <v>0</v>
          </cell>
          <cell r="BM49">
            <v>0</v>
          </cell>
          <cell r="BN49">
            <v>2950</v>
          </cell>
          <cell r="BO49">
            <v>0</v>
          </cell>
        </row>
        <row r="50">
          <cell r="BL50">
            <v>0</v>
          </cell>
          <cell r="BM50">
            <v>0</v>
          </cell>
          <cell r="BN50">
            <v>0</v>
          </cell>
          <cell r="BO50">
            <v>100</v>
          </cell>
        </row>
        <row r="51">
          <cell r="BL51">
            <v>0</v>
          </cell>
          <cell r="BM51">
            <v>0</v>
          </cell>
          <cell r="BN51">
            <v>0</v>
          </cell>
          <cell r="BO51">
            <v>575</v>
          </cell>
        </row>
        <row r="52">
          <cell r="BL52">
            <v>0</v>
          </cell>
          <cell r="BM52">
            <v>0</v>
          </cell>
          <cell r="BN52">
            <v>0</v>
          </cell>
          <cell r="BO52">
            <v>87.550000000000011</v>
          </cell>
        </row>
        <row r="53">
          <cell r="BL53">
            <v>0</v>
          </cell>
          <cell r="BM53">
            <v>0</v>
          </cell>
          <cell r="BN53">
            <v>0</v>
          </cell>
          <cell r="BO53">
            <v>5750</v>
          </cell>
        </row>
        <row r="54">
          <cell r="BL54">
            <v>0</v>
          </cell>
          <cell r="BM54">
            <v>0</v>
          </cell>
          <cell r="BN54">
            <v>0</v>
          </cell>
          <cell r="BO54">
            <v>1713.6</v>
          </cell>
        </row>
        <row r="55">
          <cell r="BL55">
            <v>0</v>
          </cell>
          <cell r="BM55">
            <v>0</v>
          </cell>
          <cell r="BN55">
            <v>0</v>
          </cell>
          <cell r="BO55">
            <v>500</v>
          </cell>
        </row>
        <row r="56">
          <cell r="BL56">
            <v>0</v>
          </cell>
          <cell r="BM56">
            <v>0</v>
          </cell>
          <cell r="BN56">
            <v>8500</v>
          </cell>
          <cell r="BO56">
            <v>0</v>
          </cell>
        </row>
        <row r="57">
          <cell r="BL57">
            <v>0</v>
          </cell>
          <cell r="BM57">
            <v>0</v>
          </cell>
          <cell r="BN57">
            <v>0</v>
          </cell>
          <cell r="BO57">
            <v>1368.8000000000002</v>
          </cell>
        </row>
        <row r="58">
          <cell r="BL58">
            <v>0</v>
          </cell>
          <cell r="BM58">
            <v>0</v>
          </cell>
          <cell r="BN58">
            <v>0</v>
          </cell>
          <cell r="BO58">
            <v>130.6</v>
          </cell>
        </row>
        <row r="59">
          <cell r="BL59">
            <v>0</v>
          </cell>
          <cell r="BM59">
            <v>0</v>
          </cell>
          <cell r="BN59">
            <v>0</v>
          </cell>
          <cell r="BO59">
            <v>7000</v>
          </cell>
        </row>
        <row r="60">
          <cell r="BL60">
            <v>0</v>
          </cell>
          <cell r="BM60">
            <v>0</v>
          </cell>
          <cell r="BN60">
            <v>0</v>
          </cell>
          <cell r="BO60">
            <v>543.41</v>
          </cell>
        </row>
        <row r="61">
          <cell r="BL61">
            <v>0</v>
          </cell>
          <cell r="BM61">
            <v>0</v>
          </cell>
          <cell r="BN61">
            <v>0</v>
          </cell>
          <cell r="BO61">
            <v>7000</v>
          </cell>
        </row>
        <row r="62">
          <cell r="BL62">
            <v>0</v>
          </cell>
          <cell r="BM62">
            <v>0</v>
          </cell>
          <cell r="BN62">
            <v>0</v>
          </cell>
          <cell r="BO62">
            <v>465.78</v>
          </cell>
        </row>
        <row r="63">
          <cell r="BL63">
            <v>0</v>
          </cell>
          <cell r="BM63">
            <v>0</v>
          </cell>
          <cell r="BN63">
            <v>0</v>
          </cell>
          <cell r="BO63">
            <v>261.2</v>
          </cell>
        </row>
        <row r="64">
          <cell r="BL64">
            <v>0</v>
          </cell>
          <cell r="BM64">
            <v>0</v>
          </cell>
          <cell r="BN64">
            <v>0</v>
          </cell>
          <cell r="BO64">
            <v>1575</v>
          </cell>
        </row>
        <row r="65">
          <cell r="BL65">
            <v>0</v>
          </cell>
          <cell r="BM65">
            <v>0</v>
          </cell>
          <cell r="BN65">
            <v>0</v>
          </cell>
          <cell r="BO65">
            <v>3571.6</v>
          </cell>
        </row>
        <row r="66">
          <cell r="BL66">
            <v>0</v>
          </cell>
          <cell r="BM66">
            <v>0</v>
          </cell>
          <cell r="BN66">
            <v>0</v>
          </cell>
          <cell r="BO66">
            <v>3000</v>
          </cell>
        </row>
        <row r="67">
          <cell r="BL67">
            <v>0</v>
          </cell>
          <cell r="BM67">
            <v>0</v>
          </cell>
          <cell r="BN67">
            <v>0</v>
          </cell>
          <cell r="BO67">
            <v>2481.6</v>
          </cell>
        </row>
        <row r="68">
          <cell r="BL68">
            <v>0</v>
          </cell>
          <cell r="BM68">
            <v>0</v>
          </cell>
          <cell r="BN68">
            <v>0</v>
          </cell>
          <cell r="BO68">
            <v>2215.1999999999998</v>
          </cell>
        </row>
        <row r="69">
          <cell r="BL69">
            <v>0</v>
          </cell>
          <cell r="BM69">
            <v>0</v>
          </cell>
          <cell r="BN69">
            <v>0</v>
          </cell>
          <cell r="BO69">
            <v>2907.4</v>
          </cell>
        </row>
        <row r="70">
          <cell r="BL70">
            <v>0</v>
          </cell>
          <cell r="BM70">
            <v>0</v>
          </cell>
          <cell r="BN70">
            <v>0</v>
          </cell>
          <cell r="BO70">
            <v>34840</v>
          </cell>
        </row>
        <row r="71">
          <cell r="BL71">
            <v>0</v>
          </cell>
          <cell r="BM71">
            <v>0</v>
          </cell>
          <cell r="BN71">
            <v>0</v>
          </cell>
          <cell r="BO71">
            <v>2832</v>
          </cell>
        </row>
        <row r="72">
          <cell r="BL72">
            <v>0</v>
          </cell>
          <cell r="BM72">
            <v>0</v>
          </cell>
          <cell r="BN72">
            <v>0</v>
          </cell>
          <cell r="BO72">
            <v>232.89</v>
          </cell>
        </row>
        <row r="73">
          <cell r="BL73">
            <v>0</v>
          </cell>
          <cell r="BM73">
            <v>0</v>
          </cell>
          <cell r="BN73">
            <v>0</v>
          </cell>
          <cell r="BO73">
            <v>3056.32</v>
          </cell>
        </row>
        <row r="74">
          <cell r="BL74">
            <v>0</v>
          </cell>
          <cell r="BM74">
            <v>0</v>
          </cell>
          <cell r="BN74">
            <v>0</v>
          </cell>
          <cell r="BO74">
            <v>104.48</v>
          </cell>
        </row>
        <row r="75">
          <cell r="BL75">
            <v>0</v>
          </cell>
          <cell r="BM75">
            <v>0</v>
          </cell>
          <cell r="BN75">
            <v>0</v>
          </cell>
          <cell r="BO75">
            <v>444.04</v>
          </cell>
        </row>
        <row r="76">
          <cell r="BL76">
            <v>0</v>
          </cell>
          <cell r="BM76">
            <v>0</v>
          </cell>
          <cell r="BN76">
            <v>0</v>
          </cell>
          <cell r="BO76">
            <v>1500</v>
          </cell>
        </row>
        <row r="77">
          <cell r="BL77">
            <v>0</v>
          </cell>
          <cell r="BM77">
            <v>0</v>
          </cell>
          <cell r="BN77">
            <v>0</v>
          </cell>
          <cell r="BO77">
            <v>261.2</v>
          </cell>
        </row>
        <row r="78">
          <cell r="BL78">
            <v>0</v>
          </cell>
          <cell r="BM78">
            <v>0</v>
          </cell>
          <cell r="BN78">
            <v>0</v>
          </cell>
          <cell r="BO78">
            <v>1945</v>
          </cell>
        </row>
        <row r="79">
          <cell r="BL79">
            <v>0</v>
          </cell>
          <cell r="BM79">
            <v>0</v>
          </cell>
          <cell r="BN79">
            <v>0</v>
          </cell>
          <cell r="BO79">
            <v>5465</v>
          </cell>
        </row>
        <row r="80">
          <cell r="BL80">
            <v>0</v>
          </cell>
          <cell r="BM80">
            <v>0</v>
          </cell>
          <cell r="BN80">
            <v>0</v>
          </cell>
          <cell r="BO80">
            <v>875.5</v>
          </cell>
        </row>
        <row r="81">
          <cell r="BL81">
            <v>0</v>
          </cell>
          <cell r="BM81">
            <v>0</v>
          </cell>
          <cell r="BN81">
            <v>0</v>
          </cell>
          <cell r="BO81">
            <v>232.89</v>
          </cell>
        </row>
        <row r="82">
          <cell r="BL82">
            <v>0</v>
          </cell>
          <cell r="BM82">
            <v>0</v>
          </cell>
          <cell r="BN82">
            <v>0</v>
          </cell>
          <cell r="BO82">
            <v>405.58000000000004</v>
          </cell>
        </row>
        <row r="83">
          <cell r="BL83">
            <v>0</v>
          </cell>
          <cell r="BM83">
            <v>0</v>
          </cell>
          <cell r="BN83">
            <v>0</v>
          </cell>
          <cell r="BO83">
            <v>1107.5999999999999</v>
          </cell>
        </row>
        <row r="84">
          <cell r="BL84">
            <v>0</v>
          </cell>
          <cell r="BM84">
            <v>0</v>
          </cell>
          <cell r="BN84">
            <v>0</v>
          </cell>
          <cell r="BO84">
            <v>8750</v>
          </cell>
        </row>
        <row r="85">
          <cell r="BL85">
            <v>0</v>
          </cell>
          <cell r="BM85">
            <v>0</v>
          </cell>
          <cell r="BN85">
            <v>0</v>
          </cell>
          <cell r="BO85">
            <v>1493.3</v>
          </cell>
        </row>
        <row r="86">
          <cell r="BL86">
            <v>0</v>
          </cell>
          <cell r="BM86">
            <v>0</v>
          </cell>
          <cell r="BN86">
            <v>0</v>
          </cell>
          <cell r="BO86">
            <v>216</v>
          </cell>
        </row>
        <row r="87">
          <cell r="BL87">
            <v>0</v>
          </cell>
          <cell r="BM87">
            <v>0</v>
          </cell>
          <cell r="BN87">
            <v>0</v>
          </cell>
          <cell r="BO87">
            <v>1275</v>
          </cell>
        </row>
        <row r="88">
          <cell r="BL88">
            <v>0</v>
          </cell>
          <cell r="BM88">
            <v>0</v>
          </cell>
          <cell r="BN88">
            <v>0</v>
          </cell>
          <cell r="BO88">
            <v>2769</v>
          </cell>
        </row>
        <row r="89">
          <cell r="BL89">
            <v>0</v>
          </cell>
          <cell r="BM89">
            <v>0</v>
          </cell>
          <cell r="BN89">
            <v>0</v>
          </cell>
          <cell r="BO89">
            <v>1630</v>
          </cell>
        </row>
        <row r="90">
          <cell r="BL90">
            <v>0</v>
          </cell>
          <cell r="BM90">
            <v>0</v>
          </cell>
          <cell r="BN90">
            <v>0</v>
          </cell>
          <cell r="BO90">
            <v>7000</v>
          </cell>
        </row>
        <row r="91">
          <cell r="BL91">
            <v>0</v>
          </cell>
          <cell r="BM91">
            <v>0</v>
          </cell>
          <cell r="BN91">
            <v>830.55</v>
          </cell>
          <cell r="BO91">
            <v>0</v>
          </cell>
        </row>
        <row r="92">
          <cell r="BL92">
            <v>0</v>
          </cell>
          <cell r="BM92">
            <v>0</v>
          </cell>
          <cell r="BN92">
            <v>0</v>
          </cell>
          <cell r="BO92">
            <v>310.52</v>
          </cell>
        </row>
        <row r="93">
          <cell r="BL93">
            <v>0</v>
          </cell>
          <cell r="BM93">
            <v>0</v>
          </cell>
          <cell r="BN93">
            <v>0</v>
          </cell>
          <cell r="BO93">
            <v>1164.4499999999998</v>
          </cell>
        </row>
        <row r="94">
          <cell r="BL94">
            <v>0</v>
          </cell>
          <cell r="BM94">
            <v>0</v>
          </cell>
          <cell r="BN94">
            <v>0</v>
          </cell>
          <cell r="BO94">
            <v>155.26</v>
          </cell>
        </row>
        <row r="95">
          <cell r="BL95">
            <v>0</v>
          </cell>
          <cell r="BM95">
            <v>0</v>
          </cell>
          <cell r="BN95">
            <v>0</v>
          </cell>
          <cell r="BO95">
            <v>154</v>
          </cell>
        </row>
        <row r="96">
          <cell r="BL96">
            <v>0</v>
          </cell>
          <cell r="BM96">
            <v>0</v>
          </cell>
          <cell r="BN96">
            <v>0</v>
          </cell>
          <cell r="BO96">
            <v>285.86</v>
          </cell>
        </row>
        <row r="97">
          <cell r="BL97">
            <v>0</v>
          </cell>
          <cell r="BM97">
            <v>0</v>
          </cell>
          <cell r="BN97">
            <v>0</v>
          </cell>
          <cell r="BO97">
            <v>3000</v>
          </cell>
        </row>
        <row r="98">
          <cell r="BL98">
            <v>0</v>
          </cell>
          <cell r="BM98">
            <v>0</v>
          </cell>
          <cell r="BN98">
            <v>2500</v>
          </cell>
          <cell r="BO98">
            <v>0</v>
          </cell>
        </row>
        <row r="99">
          <cell r="BL99">
            <v>0</v>
          </cell>
          <cell r="BM99">
            <v>0</v>
          </cell>
          <cell r="BN99">
            <v>0</v>
          </cell>
          <cell r="BO99">
            <v>2467</v>
          </cell>
        </row>
        <row r="100">
          <cell r="BL100">
            <v>0</v>
          </cell>
          <cell r="BM100">
            <v>0</v>
          </cell>
          <cell r="BN100">
            <v>0</v>
          </cell>
          <cell r="BO100">
            <v>2208.5500000000002</v>
          </cell>
        </row>
        <row r="101">
          <cell r="BL101">
            <v>0</v>
          </cell>
          <cell r="BM101">
            <v>0</v>
          </cell>
          <cell r="BN101">
            <v>0</v>
          </cell>
          <cell r="BO101">
            <v>2991.95</v>
          </cell>
        </row>
        <row r="102">
          <cell r="BL102">
            <v>0</v>
          </cell>
          <cell r="BM102">
            <v>0</v>
          </cell>
          <cell r="BN102">
            <v>0</v>
          </cell>
          <cell r="BO102">
            <v>4560</v>
          </cell>
        </row>
        <row r="103">
          <cell r="BL103">
            <v>0</v>
          </cell>
          <cell r="BM103">
            <v>0</v>
          </cell>
          <cell r="BN103">
            <v>0</v>
          </cell>
          <cell r="BO103">
            <v>155.26</v>
          </cell>
        </row>
        <row r="104">
          <cell r="BL104">
            <v>0</v>
          </cell>
          <cell r="BM104">
            <v>0</v>
          </cell>
          <cell r="BN104">
            <v>0</v>
          </cell>
          <cell r="BO104">
            <v>285.63</v>
          </cell>
        </row>
        <row r="105">
          <cell r="BL105">
            <v>0</v>
          </cell>
          <cell r="BM105">
            <v>0</v>
          </cell>
          <cell r="BN105">
            <v>0</v>
          </cell>
          <cell r="BO105">
            <v>391.8</v>
          </cell>
        </row>
        <row r="106">
          <cell r="BL106">
            <v>0</v>
          </cell>
          <cell r="BM106">
            <v>0</v>
          </cell>
          <cell r="BN106">
            <v>0</v>
          </cell>
          <cell r="BO106">
            <v>3097</v>
          </cell>
        </row>
        <row r="107">
          <cell r="BL107">
            <v>0</v>
          </cell>
          <cell r="BM107">
            <v>0</v>
          </cell>
          <cell r="BN107">
            <v>4000</v>
          </cell>
          <cell r="BO107">
            <v>0</v>
          </cell>
        </row>
        <row r="108">
          <cell r="BL108">
            <v>0</v>
          </cell>
          <cell r="BM108">
            <v>0</v>
          </cell>
          <cell r="BN108">
            <v>0</v>
          </cell>
          <cell r="BO108">
            <v>391.8</v>
          </cell>
        </row>
        <row r="109">
          <cell r="BL109">
            <v>0</v>
          </cell>
          <cell r="BM109">
            <v>0</v>
          </cell>
          <cell r="BN109">
            <v>0</v>
          </cell>
          <cell r="BO109">
            <v>155.26</v>
          </cell>
        </row>
        <row r="110">
          <cell r="BL110">
            <v>0</v>
          </cell>
          <cell r="BM110">
            <v>0</v>
          </cell>
          <cell r="BN110">
            <v>0</v>
          </cell>
          <cell r="BO110">
            <v>1600</v>
          </cell>
        </row>
        <row r="111">
          <cell r="BL111">
            <v>0</v>
          </cell>
          <cell r="BM111">
            <v>0</v>
          </cell>
          <cell r="BN111">
            <v>0</v>
          </cell>
          <cell r="BO111">
            <v>290.45999999999998</v>
          </cell>
        </row>
        <row r="112">
          <cell r="BL112">
            <v>0</v>
          </cell>
          <cell r="BM112">
            <v>0</v>
          </cell>
          <cell r="BN112">
            <v>0</v>
          </cell>
          <cell r="BO112">
            <v>232.89</v>
          </cell>
        </row>
        <row r="113">
          <cell r="BL113">
            <v>0</v>
          </cell>
          <cell r="BM113">
            <v>0</v>
          </cell>
          <cell r="BN113">
            <v>0</v>
          </cell>
          <cell r="BO113">
            <v>4500</v>
          </cell>
        </row>
        <row r="114">
          <cell r="BL114">
            <v>0</v>
          </cell>
          <cell r="BM114">
            <v>0</v>
          </cell>
          <cell r="BN114">
            <v>0</v>
          </cell>
          <cell r="BO114">
            <v>2984.5</v>
          </cell>
        </row>
        <row r="115">
          <cell r="BL115">
            <v>0</v>
          </cell>
          <cell r="BM115">
            <v>0</v>
          </cell>
          <cell r="BN115">
            <v>0</v>
          </cell>
          <cell r="BO115">
            <v>77.63</v>
          </cell>
        </row>
        <row r="116">
          <cell r="BL116">
            <v>0</v>
          </cell>
          <cell r="BM116">
            <v>0</v>
          </cell>
          <cell r="BN116">
            <v>0</v>
          </cell>
          <cell r="BO116">
            <v>407.5</v>
          </cell>
        </row>
        <row r="117">
          <cell r="BL117">
            <v>0</v>
          </cell>
          <cell r="BM117">
            <v>0</v>
          </cell>
          <cell r="BN117">
            <v>0</v>
          </cell>
          <cell r="BO117">
            <v>77.63</v>
          </cell>
        </row>
        <row r="118">
          <cell r="BL118">
            <v>0</v>
          </cell>
          <cell r="BM118">
            <v>0</v>
          </cell>
          <cell r="BN118">
            <v>0</v>
          </cell>
          <cell r="BO118">
            <v>55.38</v>
          </cell>
        </row>
        <row r="119">
          <cell r="BL119">
            <v>0</v>
          </cell>
          <cell r="BM119">
            <v>0</v>
          </cell>
          <cell r="BN119">
            <v>0</v>
          </cell>
          <cell r="BO119">
            <v>87.550000000000011</v>
          </cell>
        </row>
        <row r="120">
          <cell r="BL120">
            <v>0</v>
          </cell>
          <cell r="BM120">
            <v>0</v>
          </cell>
          <cell r="BN120">
            <v>0</v>
          </cell>
          <cell r="BO120">
            <v>1306</v>
          </cell>
        </row>
        <row r="121">
          <cell r="BL121">
            <v>0</v>
          </cell>
          <cell r="BM121">
            <v>0</v>
          </cell>
          <cell r="BN121">
            <v>0</v>
          </cell>
          <cell r="BO121">
            <v>122.86000000000001</v>
          </cell>
        </row>
        <row r="122">
          <cell r="BL122">
            <v>0</v>
          </cell>
          <cell r="BM122">
            <v>0</v>
          </cell>
          <cell r="BN122">
            <v>0</v>
          </cell>
          <cell r="BO122">
            <v>965.1</v>
          </cell>
        </row>
        <row r="123">
          <cell r="BL123">
            <v>0</v>
          </cell>
          <cell r="BM123">
            <v>0</v>
          </cell>
          <cell r="BN123">
            <v>0</v>
          </cell>
          <cell r="BO123">
            <v>262.65000000000003</v>
          </cell>
        </row>
        <row r="124">
          <cell r="BL124">
            <v>0</v>
          </cell>
          <cell r="BM124">
            <v>0</v>
          </cell>
          <cell r="BN124">
            <v>0</v>
          </cell>
          <cell r="BO124">
            <v>77.63</v>
          </cell>
        </row>
        <row r="125">
          <cell r="BL125">
            <v>0</v>
          </cell>
          <cell r="BM125">
            <v>0</v>
          </cell>
          <cell r="BN125">
            <v>0</v>
          </cell>
          <cell r="BO125">
            <v>310.52</v>
          </cell>
        </row>
        <row r="126">
          <cell r="BL126">
            <v>0</v>
          </cell>
          <cell r="BM126">
            <v>0</v>
          </cell>
          <cell r="BN126">
            <v>0</v>
          </cell>
          <cell r="BO126">
            <v>2872.31</v>
          </cell>
        </row>
        <row r="127">
          <cell r="BL127">
            <v>0</v>
          </cell>
          <cell r="BM127">
            <v>0</v>
          </cell>
          <cell r="BN127">
            <v>0</v>
          </cell>
          <cell r="BO127">
            <v>2878.5</v>
          </cell>
        </row>
        <row r="128">
          <cell r="BL128">
            <v>0</v>
          </cell>
          <cell r="BM128">
            <v>0</v>
          </cell>
          <cell r="BN128">
            <v>3135</v>
          </cell>
          <cell r="BO128">
            <v>0</v>
          </cell>
        </row>
        <row r="129">
          <cell r="BL129">
            <v>0</v>
          </cell>
          <cell r="BM129">
            <v>0</v>
          </cell>
          <cell r="BN129">
            <v>0</v>
          </cell>
          <cell r="BO129">
            <v>2872.31</v>
          </cell>
        </row>
        <row r="130">
          <cell r="BL130">
            <v>0</v>
          </cell>
          <cell r="BM130">
            <v>0</v>
          </cell>
          <cell r="BN130">
            <v>0</v>
          </cell>
          <cell r="BO130">
            <v>3322.8</v>
          </cell>
        </row>
        <row r="131">
          <cell r="BL131">
            <v>0</v>
          </cell>
          <cell r="BM131">
            <v>0</v>
          </cell>
          <cell r="BN131">
            <v>0</v>
          </cell>
          <cell r="BO131">
            <v>500</v>
          </cell>
        </row>
        <row r="132">
          <cell r="BL132">
            <v>0</v>
          </cell>
          <cell r="BM132">
            <v>0</v>
          </cell>
          <cell r="BN132">
            <v>0</v>
          </cell>
          <cell r="BO132">
            <v>1795.14</v>
          </cell>
        </row>
        <row r="133">
          <cell r="BL133">
            <v>0</v>
          </cell>
          <cell r="BM133">
            <v>0</v>
          </cell>
          <cell r="BN133">
            <v>0</v>
          </cell>
          <cell r="BO133">
            <v>3990</v>
          </cell>
        </row>
        <row r="134">
          <cell r="BL134">
            <v>0</v>
          </cell>
          <cell r="BM134">
            <v>0</v>
          </cell>
          <cell r="BN134">
            <v>0</v>
          </cell>
          <cell r="BO134">
            <v>26.12</v>
          </cell>
        </row>
        <row r="135">
          <cell r="BL135">
            <v>0</v>
          </cell>
          <cell r="BM135">
            <v>0</v>
          </cell>
          <cell r="BN135">
            <v>0</v>
          </cell>
          <cell r="BO135">
            <v>553.79999999999995</v>
          </cell>
        </row>
        <row r="136">
          <cell r="BL136">
            <v>0</v>
          </cell>
          <cell r="BM136">
            <v>0</v>
          </cell>
          <cell r="BN136">
            <v>2500</v>
          </cell>
          <cell r="BO136">
            <v>0</v>
          </cell>
        </row>
        <row r="137">
          <cell r="BL137">
            <v>0</v>
          </cell>
          <cell r="BM137">
            <v>0</v>
          </cell>
          <cell r="BN137">
            <v>0</v>
          </cell>
          <cell r="BO137">
            <v>350</v>
          </cell>
        </row>
        <row r="138">
          <cell r="BL138">
            <v>0</v>
          </cell>
          <cell r="BM138">
            <v>0</v>
          </cell>
          <cell r="BN138">
            <v>0</v>
          </cell>
          <cell r="BO138">
            <v>4200</v>
          </cell>
        </row>
        <row r="139">
          <cell r="BL139">
            <v>0</v>
          </cell>
          <cell r="BM139">
            <v>0</v>
          </cell>
          <cell r="BN139">
            <v>0</v>
          </cell>
          <cell r="BO139">
            <v>232.89</v>
          </cell>
        </row>
        <row r="140">
          <cell r="BL140">
            <v>0</v>
          </cell>
          <cell r="BM140">
            <v>0</v>
          </cell>
          <cell r="BN140">
            <v>0</v>
          </cell>
          <cell r="BO140">
            <v>772.08</v>
          </cell>
        </row>
        <row r="141">
          <cell r="BL141">
            <v>0</v>
          </cell>
          <cell r="BM141">
            <v>0</v>
          </cell>
          <cell r="BN141">
            <v>0</v>
          </cell>
          <cell r="BO141">
            <v>431.70000000000005</v>
          </cell>
        </row>
        <row r="142">
          <cell r="BL142">
            <v>0</v>
          </cell>
          <cell r="BM142">
            <v>0</v>
          </cell>
          <cell r="BN142">
            <v>0</v>
          </cell>
          <cell r="BO142">
            <v>155.26</v>
          </cell>
        </row>
        <row r="143">
          <cell r="BL143">
            <v>0</v>
          </cell>
          <cell r="BM143">
            <v>0</v>
          </cell>
          <cell r="BN143">
            <v>0</v>
          </cell>
          <cell r="BO143">
            <v>130.6</v>
          </cell>
        </row>
        <row r="144">
          <cell r="BL144">
            <v>0</v>
          </cell>
          <cell r="BM144">
            <v>0</v>
          </cell>
          <cell r="BN144">
            <v>0</v>
          </cell>
          <cell r="BO144">
            <v>310.52</v>
          </cell>
        </row>
        <row r="145">
          <cell r="BL145">
            <v>0</v>
          </cell>
          <cell r="BM145">
            <v>0</v>
          </cell>
          <cell r="BN145">
            <v>0</v>
          </cell>
          <cell r="BO145">
            <v>800</v>
          </cell>
        </row>
        <row r="146">
          <cell r="BL146">
            <v>0</v>
          </cell>
          <cell r="BM146">
            <v>0</v>
          </cell>
          <cell r="BN146">
            <v>0</v>
          </cell>
          <cell r="BO146">
            <v>815</v>
          </cell>
        </row>
        <row r="147">
          <cell r="BL147">
            <v>0</v>
          </cell>
          <cell r="BM147">
            <v>0</v>
          </cell>
          <cell r="BN147">
            <v>0</v>
          </cell>
          <cell r="BO147">
            <v>310.52</v>
          </cell>
        </row>
        <row r="148">
          <cell r="BL148">
            <v>0</v>
          </cell>
          <cell r="BM148">
            <v>0</v>
          </cell>
          <cell r="BN148">
            <v>0</v>
          </cell>
          <cell r="BO148">
            <v>1429.3000000000002</v>
          </cell>
        </row>
        <row r="149">
          <cell r="BL149">
            <v>0</v>
          </cell>
          <cell r="BM149">
            <v>0</v>
          </cell>
          <cell r="BN149">
            <v>0</v>
          </cell>
          <cell r="BO149">
            <v>310.52</v>
          </cell>
        </row>
        <row r="150">
          <cell r="BL150">
            <v>0</v>
          </cell>
          <cell r="BM150">
            <v>0</v>
          </cell>
          <cell r="BN150">
            <v>0</v>
          </cell>
          <cell r="BO150">
            <v>5000</v>
          </cell>
        </row>
        <row r="151">
          <cell r="BL151">
            <v>0</v>
          </cell>
          <cell r="BM151">
            <v>0</v>
          </cell>
          <cell r="BN151">
            <v>0</v>
          </cell>
          <cell r="BO151">
            <v>270.62</v>
          </cell>
        </row>
        <row r="152">
          <cell r="BL152">
            <v>0</v>
          </cell>
          <cell r="BM152">
            <v>0</v>
          </cell>
          <cell r="BN152">
            <v>0</v>
          </cell>
          <cell r="BO152">
            <v>155.26</v>
          </cell>
        </row>
        <row r="153">
          <cell r="BL153">
            <v>0</v>
          </cell>
          <cell r="BM153">
            <v>0</v>
          </cell>
          <cell r="BN153">
            <v>0</v>
          </cell>
          <cell r="BO153">
            <v>155.26</v>
          </cell>
        </row>
        <row r="154">
          <cell r="BL154">
            <v>0</v>
          </cell>
          <cell r="BM154">
            <v>0</v>
          </cell>
          <cell r="BN154">
            <v>0</v>
          </cell>
          <cell r="BO154">
            <v>77.63</v>
          </cell>
        </row>
        <row r="155">
          <cell r="BL155">
            <v>0</v>
          </cell>
          <cell r="BM155">
            <v>0</v>
          </cell>
          <cell r="BN155">
            <v>0</v>
          </cell>
          <cell r="BO155">
            <v>19226</v>
          </cell>
        </row>
        <row r="156">
          <cell r="BL156">
            <v>0</v>
          </cell>
          <cell r="BM156">
            <v>0</v>
          </cell>
          <cell r="BN156">
            <v>0</v>
          </cell>
          <cell r="BO156">
            <v>350.20000000000005</v>
          </cell>
        </row>
        <row r="157">
          <cell r="BL157">
            <v>0</v>
          </cell>
          <cell r="BM157">
            <v>0</v>
          </cell>
          <cell r="BN157">
            <v>0</v>
          </cell>
          <cell r="BO157">
            <v>3336</v>
          </cell>
        </row>
        <row r="158">
          <cell r="BL158">
            <v>0</v>
          </cell>
          <cell r="BM158">
            <v>0</v>
          </cell>
          <cell r="BN158">
            <v>0</v>
          </cell>
          <cell r="BO158">
            <v>77.63</v>
          </cell>
        </row>
        <row r="159">
          <cell r="BL159">
            <v>0</v>
          </cell>
          <cell r="BM159">
            <v>0</v>
          </cell>
          <cell r="BN159">
            <v>0</v>
          </cell>
          <cell r="BO159">
            <v>310.52</v>
          </cell>
        </row>
        <row r="160">
          <cell r="BL160">
            <v>0</v>
          </cell>
          <cell r="BM160">
            <v>0</v>
          </cell>
          <cell r="BN160">
            <v>0</v>
          </cell>
          <cell r="BO160">
            <v>67265.600000000006</v>
          </cell>
        </row>
        <row r="161">
          <cell r="BL161">
            <v>0</v>
          </cell>
          <cell r="BM161">
            <v>0</v>
          </cell>
          <cell r="BN161">
            <v>0</v>
          </cell>
          <cell r="BO161">
            <v>261.2</v>
          </cell>
        </row>
        <row r="162">
          <cell r="BL162">
            <v>0</v>
          </cell>
          <cell r="BM162">
            <v>0</v>
          </cell>
          <cell r="BN162">
            <v>0</v>
          </cell>
          <cell r="BO162">
            <v>431.70000000000005</v>
          </cell>
        </row>
        <row r="163">
          <cell r="BL163">
            <v>0</v>
          </cell>
          <cell r="BM163">
            <v>0</v>
          </cell>
          <cell r="BN163">
            <v>0</v>
          </cell>
          <cell r="BO163">
            <v>4743</v>
          </cell>
        </row>
        <row r="164">
          <cell r="BL164">
            <v>0</v>
          </cell>
          <cell r="BM164">
            <v>0</v>
          </cell>
          <cell r="BN164">
            <v>0</v>
          </cell>
          <cell r="BO164">
            <v>55.38</v>
          </cell>
        </row>
        <row r="165">
          <cell r="BL165">
            <v>0</v>
          </cell>
          <cell r="BM165">
            <v>0</v>
          </cell>
          <cell r="BN165">
            <v>0</v>
          </cell>
          <cell r="BO165">
            <v>580.45000000000005</v>
          </cell>
        </row>
        <row r="166">
          <cell r="BL166">
            <v>0</v>
          </cell>
          <cell r="BM166">
            <v>0</v>
          </cell>
          <cell r="BN166">
            <v>0</v>
          </cell>
          <cell r="BO166">
            <v>3000</v>
          </cell>
        </row>
        <row r="167">
          <cell r="BL167">
            <v>0</v>
          </cell>
          <cell r="BM167">
            <v>0</v>
          </cell>
          <cell r="BN167">
            <v>0</v>
          </cell>
          <cell r="BO167">
            <v>155.26</v>
          </cell>
        </row>
        <row r="168">
          <cell r="BL168">
            <v>0</v>
          </cell>
          <cell r="BM168">
            <v>0</v>
          </cell>
          <cell r="BN168">
            <v>0</v>
          </cell>
          <cell r="BO168">
            <v>522.4</v>
          </cell>
        </row>
        <row r="169">
          <cell r="BL169">
            <v>0</v>
          </cell>
          <cell r="BM169">
            <v>0</v>
          </cell>
          <cell r="BN169">
            <v>0</v>
          </cell>
          <cell r="BO169">
            <v>77.63</v>
          </cell>
        </row>
        <row r="170">
          <cell r="BL170">
            <v>0</v>
          </cell>
          <cell r="BM170">
            <v>0</v>
          </cell>
          <cell r="BN170">
            <v>0</v>
          </cell>
          <cell r="BO170">
            <v>155.26</v>
          </cell>
        </row>
        <row r="171">
          <cell r="BL171">
            <v>0</v>
          </cell>
          <cell r="BM171">
            <v>0</v>
          </cell>
          <cell r="BN171">
            <v>0</v>
          </cell>
          <cell r="BO171">
            <v>875.5</v>
          </cell>
        </row>
        <row r="172">
          <cell r="BL172">
            <v>0</v>
          </cell>
          <cell r="BM172">
            <v>0</v>
          </cell>
          <cell r="BN172">
            <v>0</v>
          </cell>
          <cell r="BO172">
            <v>280</v>
          </cell>
        </row>
        <row r="173">
          <cell r="BL173">
            <v>0</v>
          </cell>
          <cell r="BM173">
            <v>0</v>
          </cell>
          <cell r="BN173">
            <v>0</v>
          </cell>
          <cell r="BO173">
            <v>-8872.0499999999993</v>
          </cell>
        </row>
        <row r="174">
          <cell r="BL174">
            <v>0</v>
          </cell>
          <cell r="BM174">
            <v>0</v>
          </cell>
          <cell r="BN174">
            <v>0</v>
          </cell>
          <cell r="BO174">
            <v>77.63</v>
          </cell>
        </row>
        <row r="175">
          <cell r="BL175">
            <v>0</v>
          </cell>
          <cell r="BM175">
            <v>0</v>
          </cell>
          <cell r="BN175">
            <v>0</v>
          </cell>
          <cell r="BO175">
            <v>553.79999999999995</v>
          </cell>
        </row>
        <row r="176">
          <cell r="BL176">
            <v>0</v>
          </cell>
          <cell r="BM176">
            <v>0</v>
          </cell>
          <cell r="BN176">
            <v>0</v>
          </cell>
          <cell r="BO176">
            <v>553.79999999999995</v>
          </cell>
        </row>
        <row r="177">
          <cell r="BL177">
            <v>0</v>
          </cell>
          <cell r="BM177">
            <v>0</v>
          </cell>
          <cell r="BN177">
            <v>0</v>
          </cell>
          <cell r="BO177">
            <v>232.89</v>
          </cell>
        </row>
        <row r="178">
          <cell r="BL178">
            <v>0</v>
          </cell>
          <cell r="BM178">
            <v>0</v>
          </cell>
          <cell r="BN178">
            <v>0</v>
          </cell>
          <cell r="BO178">
            <v>155.26</v>
          </cell>
        </row>
        <row r="179">
          <cell r="BL179">
            <v>0</v>
          </cell>
          <cell r="BM179">
            <v>0</v>
          </cell>
          <cell r="BN179">
            <v>0</v>
          </cell>
          <cell r="BO179">
            <v>60</v>
          </cell>
        </row>
        <row r="180">
          <cell r="BL180">
            <v>0</v>
          </cell>
          <cell r="BM180">
            <v>0</v>
          </cell>
          <cell r="BN180">
            <v>0</v>
          </cell>
          <cell r="BO180">
            <v>232.89</v>
          </cell>
        </row>
        <row r="181">
          <cell r="BL181">
            <v>0</v>
          </cell>
          <cell r="BM181">
            <v>0</v>
          </cell>
          <cell r="BN181">
            <v>0</v>
          </cell>
          <cell r="BO181">
            <v>388.15</v>
          </cell>
        </row>
        <row r="182">
          <cell r="BL182">
            <v>0</v>
          </cell>
          <cell r="BM182">
            <v>0</v>
          </cell>
          <cell r="BN182">
            <v>0</v>
          </cell>
          <cell r="BO182">
            <v>705.23</v>
          </cell>
        </row>
        <row r="183">
          <cell r="BL183">
            <v>0</v>
          </cell>
          <cell r="BM183">
            <v>0</v>
          </cell>
          <cell r="BN183">
            <v>0</v>
          </cell>
          <cell r="BO183">
            <v>232.89</v>
          </cell>
        </row>
        <row r="184">
          <cell r="BL184">
            <v>0</v>
          </cell>
          <cell r="BM184">
            <v>0</v>
          </cell>
          <cell r="BN184">
            <v>0</v>
          </cell>
          <cell r="BO184">
            <v>155.26</v>
          </cell>
        </row>
        <row r="185">
          <cell r="BL185">
            <v>0</v>
          </cell>
          <cell r="BM185">
            <v>0</v>
          </cell>
          <cell r="BN185">
            <v>0</v>
          </cell>
          <cell r="BO185">
            <v>500</v>
          </cell>
        </row>
        <row r="186">
          <cell r="BL186">
            <v>0</v>
          </cell>
          <cell r="BM186">
            <v>0</v>
          </cell>
          <cell r="BN186">
            <v>0</v>
          </cell>
          <cell r="BO186">
            <v>14713</v>
          </cell>
        </row>
        <row r="187">
          <cell r="BL187">
            <v>0</v>
          </cell>
          <cell r="BM187">
            <v>0</v>
          </cell>
          <cell r="BN187">
            <v>0</v>
          </cell>
          <cell r="BO187">
            <v>5799.6</v>
          </cell>
        </row>
        <row r="188">
          <cell r="BL188">
            <v>0</v>
          </cell>
          <cell r="BM188">
            <v>0</v>
          </cell>
          <cell r="BN188">
            <v>0</v>
          </cell>
          <cell r="BO188">
            <v>1630</v>
          </cell>
        </row>
        <row r="189">
          <cell r="BL189">
            <v>0</v>
          </cell>
          <cell r="BM189">
            <v>0</v>
          </cell>
          <cell r="BN189">
            <v>0</v>
          </cell>
          <cell r="BO189">
            <v>2204.73</v>
          </cell>
        </row>
        <row r="190">
          <cell r="BL190">
            <v>0</v>
          </cell>
          <cell r="BM190">
            <v>0</v>
          </cell>
          <cell r="BN190">
            <v>0</v>
          </cell>
          <cell r="BO190">
            <v>3120</v>
          </cell>
        </row>
        <row r="191">
          <cell r="BL191">
            <v>0</v>
          </cell>
          <cell r="BM191">
            <v>0</v>
          </cell>
          <cell r="BN191">
            <v>0</v>
          </cell>
          <cell r="BO191">
            <v>232.89</v>
          </cell>
        </row>
        <row r="192">
          <cell r="BL192">
            <v>0</v>
          </cell>
          <cell r="BM192">
            <v>0</v>
          </cell>
          <cell r="BN192">
            <v>0</v>
          </cell>
          <cell r="BO192">
            <v>232.89</v>
          </cell>
        </row>
        <row r="193">
          <cell r="BL193">
            <v>0</v>
          </cell>
          <cell r="BM193">
            <v>0</v>
          </cell>
          <cell r="BN193">
            <v>0</v>
          </cell>
          <cell r="BO193">
            <v>11362.3</v>
          </cell>
        </row>
        <row r="194">
          <cell r="BL194">
            <v>0</v>
          </cell>
          <cell r="BM194">
            <v>0</v>
          </cell>
          <cell r="BN194">
            <v>0</v>
          </cell>
          <cell r="BO194">
            <v>2328.8999999999996</v>
          </cell>
        </row>
        <row r="195">
          <cell r="BL195">
            <v>0</v>
          </cell>
          <cell r="BM195">
            <v>0</v>
          </cell>
          <cell r="BN195">
            <v>0</v>
          </cell>
          <cell r="BO195">
            <v>77.63</v>
          </cell>
        </row>
        <row r="196">
          <cell r="BL196">
            <v>0</v>
          </cell>
          <cell r="BM196">
            <v>0</v>
          </cell>
          <cell r="BN196">
            <v>0</v>
          </cell>
          <cell r="BO196">
            <v>276.89999999999998</v>
          </cell>
        </row>
        <row r="197">
          <cell r="BL197">
            <v>0</v>
          </cell>
          <cell r="BM197">
            <v>0</v>
          </cell>
          <cell r="BN197">
            <v>0</v>
          </cell>
          <cell r="BO197">
            <v>1257.28</v>
          </cell>
        </row>
        <row r="198">
          <cell r="BL198">
            <v>0</v>
          </cell>
          <cell r="BM198">
            <v>0</v>
          </cell>
          <cell r="BN198">
            <v>0</v>
          </cell>
          <cell r="BO198">
            <v>1250</v>
          </cell>
        </row>
        <row r="199">
          <cell r="BL199">
            <v>0</v>
          </cell>
          <cell r="BM199">
            <v>0</v>
          </cell>
          <cell r="BN199">
            <v>0</v>
          </cell>
          <cell r="BO199">
            <v>1600</v>
          </cell>
        </row>
        <row r="200">
          <cell r="BL200">
            <v>0</v>
          </cell>
          <cell r="BM200">
            <v>0</v>
          </cell>
          <cell r="BN200">
            <v>0</v>
          </cell>
          <cell r="BO200">
            <v>26370</v>
          </cell>
        </row>
        <row r="201">
          <cell r="BL201">
            <v>0</v>
          </cell>
          <cell r="BM201">
            <v>0</v>
          </cell>
          <cell r="BN201">
            <v>0</v>
          </cell>
          <cell r="BO201">
            <v>2875</v>
          </cell>
        </row>
        <row r="202">
          <cell r="BL202">
            <v>0</v>
          </cell>
          <cell r="BM202">
            <v>0</v>
          </cell>
          <cell r="BN202">
            <v>0</v>
          </cell>
          <cell r="BO202">
            <v>8765.0954999999994</v>
          </cell>
        </row>
        <row r="203">
          <cell r="BL203">
            <v>0</v>
          </cell>
          <cell r="BM203">
            <v>0</v>
          </cell>
          <cell r="BN203">
            <v>0</v>
          </cell>
          <cell r="BO203">
            <v>1198.0968</v>
          </cell>
        </row>
        <row r="204">
          <cell r="BL204">
            <v>0</v>
          </cell>
          <cell r="BM204">
            <v>0</v>
          </cell>
          <cell r="BN204">
            <v>0</v>
          </cell>
          <cell r="BO204">
            <v>7451</v>
          </cell>
        </row>
        <row r="205">
          <cell r="BL205">
            <v>0</v>
          </cell>
          <cell r="BM205">
            <v>0</v>
          </cell>
          <cell r="BN205">
            <v>0</v>
          </cell>
          <cell r="BO205">
            <v>1756.2435</v>
          </cell>
        </row>
        <row r="206">
          <cell r="BL206">
            <v>0</v>
          </cell>
          <cell r="BM206">
            <v>0</v>
          </cell>
          <cell r="BN206">
            <v>0</v>
          </cell>
          <cell r="BO206">
            <v>4088.25</v>
          </cell>
        </row>
        <row r="207">
          <cell r="BL207">
            <v>0</v>
          </cell>
          <cell r="BM207">
            <v>0</v>
          </cell>
          <cell r="BN207">
            <v>0</v>
          </cell>
          <cell r="BO207">
            <v>5586.7139999999999</v>
          </cell>
        </row>
        <row r="208">
          <cell r="BL208">
            <v>0</v>
          </cell>
          <cell r="BM208">
            <v>0</v>
          </cell>
          <cell r="BN208">
            <v>0</v>
          </cell>
          <cell r="BO208">
            <v>4064.625</v>
          </cell>
        </row>
        <row r="209">
          <cell r="BL209">
            <v>0</v>
          </cell>
          <cell r="BM209">
            <v>0</v>
          </cell>
          <cell r="BN209">
            <v>0</v>
          </cell>
          <cell r="BO209">
            <v>413.82</v>
          </cell>
        </row>
        <row r="210">
          <cell r="BL210">
            <v>0</v>
          </cell>
          <cell r="BM210">
            <v>0</v>
          </cell>
          <cell r="BN210">
            <v>0</v>
          </cell>
          <cell r="BO210">
            <v>827.64</v>
          </cell>
        </row>
        <row r="211">
          <cell r="BL211">
            <v>0</v>
          </cell>
          <cell r="BM211">
            <v>0</v>
          </cell>
          <cell r="BN211">
            <v>0</v>
          </cell>
          <cell r="BO211">
            <v>5524.68</v>
          </cell>
        </row>
        <row r="212">
          <cell r="BL212">
            <v>0</v>
          </cell>
          <cell r="BM212">
            <v>0</v>
          </cell>
          <cell r="BN212">
            <v>0</v>
          </cell>
          <cell r="BO212">
            <v>4593.87</v>
          </cell>
        </row>
        <row r="213">
          <cell r="BL213">
            <v>0</v>
          </cell>
          <cell r="BM213">
            <v>0</v>
          </cell>
          <cell r="BN213">
            <v>0</v>
          </cell>
          <cell r="BO213">
            <v>4616.32</v>
          </cell>
        </row>
        <row r="214">
          <cell r="BL214">
            <v>0</v>
          </cell>
          <cell r="BM214">
            <v>0</v>
          </cell>
          <cell r="BN214">
            <v>0</v>
          </cell>
          <cell r="BO214">
            <v>10469.75</v>
          </cell>
        </row>
        <row r="215">
          <cell r="BL215">
            <v>0</v>
          </cell>
          <cell r="BM215">
            <v>0</v>
          </cell>
          <cell r="BN215">
            <v>0</v>
          </cell>
          <cell r="BO215">
            <v>3750.15</v>
          </cell>
        </row>
        <row r="216">
          <cell r="BL216">
            <v>0</v>
          </cell>
          <cell r="BM216">
            <v>0</v>
          </cell>
          <cell r="BN216">
            <v>0</v>
          </cell>
          <cell r="BO216">
            <v>2695</v>
          </cell>
        </row>
        <row r="217">
          <cell r="BL217">
            <v>0</v>
          </cell>
          <cell r="BM217">
            <v>0</v>
          </cell>
          <cell r="BN217">
            <v>0</v>
          </cell>
          <cell r="BO217">
            <v>621.04</v>
          </cell>
        </row>
        <row r="218">
          <cell r="BL218">
            <v>0</v>
          </cell>
          <cell r="BM218">
            <v>0</v>
          </cell>
          <cell r="BN218">
            <v>0</v>
          </cell>
        </row>
        <row r="219">
          <cell r="BL219">
            <v>0</v>
          </cell>
          <cell r="BM219">
            <v>0</v>
          </cell>
          <cell r="BN219">
            <v>0</v>
          </cell>
          <cell r="BO219">
            <v>232.89</v>
          </cell>
        </row>
        <row r="222">
          <cell r="BL222">
            <v>0</v>
          </cell>
          <cell r="BM222">
            <v>0</v>
          </cell>
          <cell r="BN222">
            <v>0</v>
          </cell>
          <cell r="BO222">
            <v>465.78</v>
          </cell>
        </row>
        <row r="223">
          <cell r="BL223">
            <v>0</v>
          </cell>
          <cell r="BM223">
            <v>0</v>
          </cell>
          <cell r="BN223">
            <v>0</v>
          </cell>
          <cell r="BO223">
            <v>614.30000000000007</v>
          </cell>
        </row>
        <row r="224">
          <cell r="BL224">
            <v>0</v>
          </cell>
          <cell r="BM224">
            <v>0</v>
          </cell>
          <cell r="BN224">
            <v>0</v>
          </cell>
          <cell r="BO224">
            <v>155.26</v>
          </cell>
        </row>
        <row r="225">
          <cell r="BL225">
            <v>0</v>
          </cell>
          <cell r="BM225">
            <v>0</v>
          </cell>
          <cell r="BN225">
            <v>0</v>
          </cell>
          <cell r="BO225">
            <v>87.550000000000011</v>
          </cell>
        </row>
        <row r="226">
          <cell r="BL226">
            <v>0</v>
          </cell>
          <cell r="BM226">
            <v>0</v>
          </cell>
          <cell r="BN226">
            <v>0</v>
          </cell>
          <cell r="BO226">
            <v>522.4</v>
          </cell>
        </row>
        <row r="227">
          <cell r="BL227">
            <v>0</v>
          </cell>
          <cell r="BM227">
            <v>0</v>
          </cell>
          <cell r="BN227">
            <v>0</v>
          </cell>
          <cell r="BO227">
            <v>310.52</v>
          </cell>
        </row>
        <row r="228">
          <cell r="BL228">
            <v>0</v>
          </cell>
          <cell r="BM228">
            <v>0</v>
          </cell>
          <cell r="BN228">
            <v>0</v>
          </cell>
          <cell r="BO228">
            <v>175.10000000000002</v>
          </cell>
        </row>
        <row r="229">
          <cell r="BL229">
            <v>0</v>
          </cell>
          <cell r="BM229">
            <v>0</v>
          </cell>
          <cell r="BN229">
            <v>0</v>
          </cell>
          <cell r="BO229">
            <v>342</v>
          </cell>
        </row>
        <row r="230">
          <cell r="BL230">
            <v>0</v>
          </cell>
          <cell r="BM230">
            <v>0</v>
          </cell>
          <cell r="BN230">
            <v>0</v>
          </cell>
          <cell r="BO230">
            <v>3924</v>
          </cell>
        </row>
        <row r="231">
          <cell r="BL231">
            <v>0</v>
          </cell>
          <cell r="BM231">
            <v>0</v>
          </cell>
          <cell r="BN231">
            <v>0</v>
          </cell>
          <cell r="BO231">
            <v>553.79999999999995</v>
          </cell>
        </row>
        <row r="232">
          <cell r="BL232">
            <v>0</v>
          </cell>
          <cell r="BM232">
            <v>0</v>
          </cell>
          <cell r="BN232">
            <v>0</v>
          </cell>
          <cell r="BO232">
            <v>875.5</v>
          </cell>
        </row>
        <row r="233">
          <cell r="BL233">
            <v>0</v>
          </cell>
          <cell r="BM233">
            <v>0</v>
          </cell>
          <cell r="BN233">
            <v>0</v>
          </cell>
          <cell r="BO233">
            <v>180</v>
          </cell>
        </row>
        <row r="234">
          <cell r="BL234">
            <v>0</v>
          </cell>
          <cell r="BM234">
            <v>0</v>
          </cell>
          <cell r="BN234">
            <v>0</v>
          </cell>
          <cell r="BO234">
            <v>9270</v>
          </cell>
        </row>
        <row r="235">
          <cell r="BL235">
            <v>0</v>
          </cell>
          <cell r="BM235">
            <v>0</v>
          </cell>
          <cell r="BN235">
            <v>0</v>
          </cell>
          <cell r="BO235">
            <v>731.5</v>
          </cell>
        </row>
        <row r="236">
          <cell r="BL236">
            <v>0</v>
          </cell>
          <cell r="BM236">
            <v>0</v>
          </cell>
          <cell r="BN236">
            <v>0</v>
          </cell>
          <cell r="BO236">
            <v>13837.8</v>
          </cell>
        </row>
        <row r="237">
          <cell r="BL237">
            <v>0</v>
          </cell>
          <cell r="BM237">
            <v>0</v>
          </cell>
          <cell r="BN237">
            <v>0</v>
          </cell>
          <cell r="BO237">
            <v>155.26</v>
          </cell>
        </row>
        <row r="238">
          <cell r="BL238">
            <v>0</v>
          </cell>
          <cell r="BM238">
            <v>0</v>
          </cell>
          <cell r="BN238">
            <v>0</v>
          </cell>
          <cell r="BO238">
            <v>77.63</v>
          </cell>
        </row>
        <row r="239">
          <cell r="BL239">
            <v>0</v>
          </cell>
          <cell r="BM239">
            <v>0</v>
          </cell>
          <cell r="BN239">
            <v>0</v>
          </cell>
          <cell r="BO239">
            <v>407.5</v>
          </cell>
        </row>
        <row r="240">
          <cell r="BL240">
            <v>0</v>
          </cell>
          <cell r="BM240">
            <v>0</v>
          </cell>
          <cell r="BN240">
            <v>0</v>
          </cell>
          <cell r="BO240">
            <v>77.63</v>
          </cell>
        </row>
        <row r="241">
          <cell r="BL241">
            <v>0</v>
          </cell>
          <cell r="BM241">
            <v>0</v>
          </cell>
          <cell r="BN241">
            <v>0</v>
          </cell>
          <cell r="BO241">
            <v>853.93</v>
          </cell>
        </row>
        <row r="242">
          <cell r="BL242">
            <v>0</v>
          </cell>
          <cell r="BM242">
            <v>0</v>
          </cell>
          <cell r="BN242">
            <v>0</v>
          </cell>
          <cell r="BO242">
            <v>282.72000000000003</v>
          </cell>
        </row>
        <row r="243">
          <cell r="BL243">
            <v>0</v>
          </cell>
          <cell r="BM243">
            <v>0</v>
          </cell>
          <cell r="BN243">
            <v>0</v>
          </cell>
          <cell r="BO243">
            <v>7615</v>
          </cell>
        </row>
        <row r="244">
          <cell r="BL244">
            <v>0</v>
          </cell>
          <cell r="BM244">
            <v>0</v>
          </cell>
          <cell r="BN244">
            <v>0</v>
          </cell>
          <cell r="BO244">
            <v>1335.86</v>
          </cell>
        </row>
        <row r="245">
          <cell r="BL245">
            <v>0</v>
          </cell>
          <cell r="BM245">
            <v>0</v>
          </cell>
          <cell r="BN245">
            <v>0</v>
          </cell>
          <cell r="BO245">
            <v>1397.9</v>
          </cell>
        </row>
        <row r="246">
          <cell r="BL246">
            <v>0</v>
          </cell>
          <cell r="BM246">
            <v>0</v>
          </cell>
          <cell r="BN246">
            <v>0</v>
          </cell>
          <cell r="BO246">
            <v>310.52</v>
          </cell>
        </row>
        <row r="247">
          <cell r="BL247">
            <v>0</v>
          </cell>
          <cell r="BM247">
            <v>0</v>
          </cell>
          <cell r="BN247">
            <v>0</v>
          </cell>
          <cell r="BO247">
            <v>2163.6</v>
          </cell>
        </row>
        <row r="248">
          <cell r="BL248">
            <v>0</v>
          </cell>
          <cell r="BM248">
            <v>0</v>
          </cell>
          <cell r="BN248">
            <v>0</v>
          </cell>
          <cell r="BO248">
            <v>684.40000000000009</v>
          </cell>
        </row>
        <row r="249">
          <cell r="BL249">
            <v>0</v>
          </cell>
          <cell r="BM249">
            <v>0</v>
          </cell>
          <cell r="BN249">
            <v>0</v>
          </cell>
          <cell r="BO249">
            <v>553.79999999999995</v>
          </cell>
        </row>
        <row r="250">
          <cell r="BL250">
            <v>0</v>
          </cell>
          <cell r="BM250">
            <v>0</v>
          </cell>
          <cell r="BN250">
            <v>0</v>
          </cell>
          <cell r="BO250">
            <v>261.2</v>
          </cell>
        </row>
        <row r="251">
          <cell r="BL251">
            <v>0</v>
          </cell>
          <cell r="BM251">
            <v>0</v>
          </cell>
          <cell r="BN251">
            <v>0</v>
          </cell>
          <cell r="BO251">
            <v>664.56</v>
          </cell>
        </row>
        <row r="252">
          <cell r="BL252">
            <v>0</v>
          </cell>
          <cell r="BM252">
            <v>0</v>
          </cell>
          <cell r="BN252">
            <v>0</v>
          </cell>
          <cell r="BO252">
            <v>830.7</v>
          </cell>
        </row>
        <row r="253">
          <cell r="BL253">
            <v>0</v>
          </cell>
          <cell r="BM253">
            <v>0</v>
          </cell>
          <cell r="BN253">
            <v>0</v>
          </cell>
          <cell r="BO253">
            <v>7000</v>
          </cell>
        </row>
        <row r="254">
          <cell r="BL254">
            <v>0</v>
          </cell>
          <cell r="BM254">
            <v>0</v>
          </cell>
          <cell r="BN254">
            <v>0</v>
          </cell>
          <cell r="BO254">
            <v>2040</v>
          </cell>
        </row>
        <row r="255">
          <cell r="BL255">
            <v>0</v>
          </cell>
          <cell r="BM255">
            <v>0</v>
          </cell>
          <cell r="BN255">
            <v>0</v>
          </cell>
          <cell r="BO255">
            <v>5166.76</v>
          </cell>
        </row>
        <row r="256">
          <cell r="BL256">
            <v>0</v>
          </cell>
          <cell r="BM256">
            <v>0</v>
          </cell>
          <cell r="BN256">
            <v>0</v>
          </cell>
          <cell r="BO256">
            <v>3609.9800000000005</v>
          </cell>
        </row>
        <row r="257">
          <cell r="BL257">
            <v>0</v>
          </cell>
          <cell r="BM257">
            <v>0</v>
          </cell>
          <cell r="BN257">
            <v>0</v>
          </cell>
          <cell r="BO257">
            <v>804.25</v>
          </cell>
        </row>
        <row r="258">
          <cell r="BL258">
            <v>0</v>
          </cell>
          <cell r="BM258">
            <v>0</v>
          </cell>
          <cell r="BN258">
            <v>0</v>
          </cell>
          <cell r="BO258">
            <v>117.04</v>
          </cell>
        </row>
        <row r="259">
          <cell r="BL259">
            <v>0</v>
          </cell>
          <cell r="BM259">
            <v>0</v>
          </cell>
          <cell r="BN259">
            <v>0</v>
          </cell>
          <cell r="BO259">
            <v>276.89999999999998</v>
          </cell>
        </row>
        <row r="260">
          <cell r="BL260">
            <v>0</v>
          </cell>
          <cell r="BM260">
            <v>0</v>
          </cell>
          <cell r="BN260">
            <v>0</v>
          </cell>
          <cell r="BO260">
            <v>1300</v>
          </cell>
        </row>
        <row r="261">
          <cell r="BL261">
            <v>0</v>
          </cell>
          <cell r="BM261">
            <v>0</v>
          </cell>
          <cell r="BN261">
            <v>0</v>
          </cell>
          <cell r="BO261">
            <v>2926</v>
          </cell>
        </row>
        <row r="262">
          <cell r="BL262">
            <v>0</v>
          </cell>
          <cell r="BM262">
            <v>0</v>
          </cell>
          <cell r="BN262">
            <v>0</v>
          </cell>
          <cell r="BO262">
            <v>298.19</v>
          </cell>
        </row>
        <row r="263">
          <cell r="BL263">
            <v>0</v>
          </cell>
          <cell r="BM263">
            <v>0</v>
          </cell>
          <cell r="BN263">
            <v>0</v>
          </cell>
          <cell r="BO263">
            <v>4136.67</v>
          </cell>
        </row>
        <row r="264">
          <cell r="BL264">
            <v>0</v>
          </cell>
          <cell r="BM264">
            <v>0</v>
          </cell>
          <cell r="BN264">
            <v>0</v>
          </cell>
          <cell r="BO264">
            <v>5063.28</v>
          </cell>
        </row>
        <row r="265">
          <cell r="BL265">
            <v>0</v>
          </cell>
          <cell r="BM265">
            <v>0</v>
          </cell>
          <cell r="BN265">
            <v>0</v>
          </cell>
          <cell r="BO265">
            <v>4967.22</v>
          </cell>
        </row>
        <row r="266">
          <cell r="BL266">
            <v>0</v>
          </cell>
          <cell r="BM266">
            <v>0</v>
          </cell>
          <cell r="BN266">
            <v>0</v>
          </cell>
          <cell r="BO266">
            <v>6564.9600000000009</v>
          </cell>
        </row>
        <row r="267">
          <cell r="BL267">
            <v>0</v>
          </cell>
          <cell r="BM267">
            <v>0</v>
          </cell>
          <cell r="BN267">
            <v>0</v>
          </cell>
          <cell r="BO267">
            <v>15012.12</v>
          </cell>
        </row>
        <row r="268">
          <cell r="BL268">
            <v>0</v>
          </cell>
          <cell r="BM268">
            <v>0</v>
          </cell>
          <cell r="BN268">
            <v>0</v>
          </cell>
          <cell r="BO268">
            <v>1800</v>
          </cell>
        </row>
        <row r="269">
          <cell r="BL269">
            <v>0</v>
          </cell>
          <cell r="BM269">
            <v>0</v>
          </cell>
          <cell r="BN269">
            <v>0</v>
          </cell>
          <cell r="BO269">
            <v>3783.6800000000003</v>
          </cell>
        </row>
        <row r="270">
          <cell r="BL270">
            <v>0</v>
          </cell>
          <cell r="BM270">
            <v>0</v>
          </cell>
          <cell r="BN270">
            <v>0</v>
          </cell>
          <cell r="BO270">
            <v>12430</v>
          </cell>
        </row>
        <row r="271">
          <cell r="BL271">
            <v>0</v>
          </cell>
          <cell r="BM271">
            <v>0</v>
          </cell>
          <cell r="BN271">
            <v>0</v>
          </cell>
          <cell r="BO271">
            <v>684.40000000000009</v>
          </cell>
        </row>
        <row r="272">
          <cell r="BL272">
            <v>0</v>
          </cell>
          <cell r="BM272">
            <v>0</v>
          </cell>
          <cell r="BN272">
            <v>0</v>
          </cell>
          <cell r="BO272">
            <v>235.08</v>
          </cell>
        </row>
        <row r="273">
          <cell r="BL273">
            <v>0</v>
          </cell>
          <cell r="BM273">
            <v>0</v>
          </cell>
          <cell r="BN273">
            <v>0</v>
          </cell>
          <cell r="BO273">
            <v>104.48</v>
          </cell>
        </row>
        <row r="274">
          <cell r="BL274">
            <v>0</v>
          </cell>
          <cell r="BM274">
            <v>0</v>
          </cell>
          <cell r="BN274">
            <v>4860</v>
          </cell>
          <cell r="BO274">
            <v>0</v>
          </cell>
        </row>
        <row r="275">
          <cell r="BL275">
            <v>0</v>
          </cell>
          <cell r="BM275">
            <v>0</v>
          </cell>
          <cell r="BN275">
            <v>0</v>
          </cell>
          <cell r="BO275">
            <v>1031.69</v>
          </cell>
        </row>
        <row r="276">
          <cell r="BL276">
            <v>0</v>
          </cell>
          <cell r="BM276">
            <v>0</v>
          </cell>
          <cell r="BN276">
            <v>0</v>
          </cell>
          <cell r="BO276">
            <v>82.38</v>
          </cell>
        </row>
        <row r="277">
          <cell r="BL277">
            <v>0</v>
          </cell>
          <cell r="BM277">
            <v>0</v>
          </cell>
          <cell r="BN277">
            <v>0</v>
          </cell>
          <cell r="BO277">
            <v>261.2</v>
          </cell>
        </row>
        <row r="278">
          <cell r="BL278">
            <v>0</v>
          </cell>
          <cell r="BM278">
            <v>0</v>
          </cell>
          <cell r="BN278">
            <v>0</v>
          </cell>
          <cell r="BO278">
            <v>1306</v>
          </cell>
        </row>
        <row r="279">
          <cell r="BL279">
            <v>0</v>
          </cell>
          <cell r="BM279">
            <v>0</v>
          </cell>
          <cell r="BN279">
            <v>0</v>
          </cell>
          <cell r="BO279">
            <v>388.15</v>
          </cell>
        </row>
        <row r="280">
          <cell r="BL280">
            <v>0</v>
          </cell>
          <cell r="BM280">
            <v>0</v>
          </cell>
          <cell r="BN280">
            <v>0</v>
          </cell>
          <cell r="BO280">
            <v>600</v>
          </cell>
        </row>
        <row r="281">
          <cell r="BL281">
            <v>0</v>
          </cell>
          <cell r="BM281">
            <v>0</v>
          </cell>
          <cell r="BN281">
            <v>0</v>
          </cell>
          <cell r="BO281">
            <v>155.26</v>
          </cell>
        </row>
        <row r="282">
          <cell r="BL282">
            <v>0</v>
          </cell>
          <cell r="BM282">
            <v>0</v>
          </cell>
          <cell r="BN282">
            <v>0</v>
          </cell>
          <cell r="BO282">
            <v>438.90000000000003</v>
          </cell>
        </row>
        <row r="283">
          <cell r="BL283">
            <v>0</v>
          </cell>
          <cell r="BM283">
            <v>0</v>
          </cell>
          <cell r="BN283">
            <v>0</v>
          </cell>
          <cell r="BO283">
            <v>2236.04</v>
          </cell>
        </row>
        <row r="284">
          <cell r="BL284">
            <v>0</v>
          </cell>
          <cell r="BM284">
            <v>0</v>
          </cell>
          <cell r="BN284">
            <v>0</v>
          </cell>
          <cell r="BO284">
            <v>772.18000000000006</v>
          </cell>
        </row>
        <row r="285">
          <cell r="BL285">
            <v>0</v>
          </cell>
          <cell r="BM285">
            <v>0</v>
          </cell>
          <cell r="BN285">
            <v>0</v>
          </cell>
          <cell r="BO285">
            <v>38038</v>
          </cell>
        </row>
        <row r="286">
          <cell r="BL286">
            <v>0</v>
          </cell>
          <cell r="BM286">
            <v>0</v>
          </cell>
          <cell r="BN286">
            <v>0</v>
          </cell>
          <cell r="BO286">
            <v>1175.22</v>
          </cell>
        </row>
        <row r="287">
          <cell r="BL287">
            <v>0</v>
          </cell>
          <cell r="BM287">
            <v>0</v>
          </cell>
          <cell r="BN287">
            <v>0</v>
          </cell>
          <cell r="BO287">
            <v>5700</v>
          </cell>
        </row>
        <row r="288">
          <cell r="BL288">
            <v>0</v>
          </cell>
          <cell r="BM288">
            <v>0</v>
          </cell>
          <cell r="BN288">
            <v>0</v>
          </cell>
          <cell r="BO288">
            <v>2769</v>
          </cell>
        </row>
        <row r="289">
          <cell r="BL289">
            <v>0</v>
          </cell>
          <cell r="BM289">
            <v>0</v>
          </cell>
          <cell r="BN289">
            <v>0</v>
          </cell>
          <cell r="BO289">
            <v>2650</v>
          </cell>
        </row>
        <row r="290">
          <cell r="BL290">
            <v>0</v>
          </cell>
          <cell r="BM290">
            <v>0</v>
          </cell>
          <cell r="BN290">
            <v>0</v>
          </cell>
          <cell r="BO290">
            <v>920.65</v>
          </cell>
        </row>
        <row r="291">
          <cell r="BL291">
            <v>0</v>
          </cell>
          <cell r="BM291">
            <v>0</v>
          </cell>
          <cell r="BN291">
            <v>0</v>
          </cell>
          <cell r="BO291">
            <v>4500</v>
          </cell>
        </row>
        <row r="292">
          <cell r="BL292">
            <v>0</v>
          </cell>
          <cell r="BM292">
            <v>0</v>
          </cell>
          <cell r="BN292">
            <v>0</v>
          </cell>
          <cell r="BO292">
            <v>23826.5</v>
          </cell>
        </row>
        <row r="293">
          <cell r="BL293">
            <v>0</v>
          </cell>
          <cell r="BM293">
            <v>0</v>
          </cell>
          <cell r="BN293">
            <v>0</v>
          </cell>
          <cell r="BO293">
            <v>372.65</v>
          </cell>
        </row>
        <row r="294">
          <cell r="BL294">
            <v>0</v>
          </cell>
          <cell r="BM294">
            <v>0</v>
          </cell>
          <cell r="BN294">
            <v>0</v>
          </cell>
          <cell r="BO294">
            <v>5140</v>
          </cell>
        </row>
        <row r="295">
          <cell r="BL295">
            <v>0</v>
          </cell>
          <cell r="BM295">
            <v>0</v>
          </cell>
          <cell r="BN295">
            <v>0</v>
          </cell>
          <cell r="BO295">
            <v>875.5</v>
          </cell>
        </row>
        <row r="296">
          <cell r="BL296">
            <v>0</v>
          </cell>
          <cell r="BM296">
            <v>0</v>
          </cell>
          <cell r="BN296">
            <v>0</v>
          </cell>
          <cell r="BO296">
            <v>7108</v>
          </cell>
        </row>
        <row r="297">
          <cell r="BL297">
            <v>0</v>
          </cell>
          <cell r="BM297">
            <v>0</v>
          </cell>
          <cell r="BN297">
            <v>0</v>
          </cell>
          <cell r="BO297">
            <v>3900</v>
          </cell>
        </row>
        <row r="298">
          <cell r="BL298">
            <v>0</v>
          </cell>
          <cell r="BM298">
            <v>0</v>
          </cell>
          <cell r="BN298">
            <v>0</v>
          </cell>
          <cell r="BO298">
            <v>155.26</v>
          </cell>
        </row>
        <row r="299">
          <cell r="BL299">
            <v>0</v>
          </cell>
          <cell r="BM299">
            <v>0</v>
          </cell>
          <cell r="BN299">
            <v>0</v>
          </cell>
          <cell r="BO299">
            <v>261.2</v>
          </cell>
        </row>
        <row r="300">
          <cell r="BL300">
            <v>0</v>
          </cell>
          <cell r="BM300">
            <v>0</v>
          </cell>
          <cell r="BN300">
            <v>0</v>
          </cell>
          <cell r="BO300">
            <v>155.26</v>
          </cell>
        </row>
        <row r="301">
          <cell r="BL301">
            <v>0</v>
          </cell>
          <cell r="BM301">
            <v>0</v>
          </cell>
          <cell r="BN301">
            <v>0</v>
          </cell>
          <cell r="BO301">
            <v>1086.82</v>
          </cell>
        </row>
        <row r="302">
          <cell r="BL302">
            <v>0</v>
          </cell>
          <cell r="BM302">
            <v>0</v>
          </cell>
          <cell r="BN302">
            <v>0</v>
          </cell>
          <cell r="BO302">
            <v>413.78000000000003</v>
          </cell>
        </row>
        <row r="303">
          <cell r="BL303">
            <v>0</v>
          </cell>
          <cell r="BM303">
            <v>0</v>
          </cell>
          <cell r="BN303">
            <v>0</v>
          </cell>
          <cell r="BO303">
            <v>776.3</v>
          </cell>
        </row>
        <row r="304">
          <cell r="BL304">
            <v>0</v>
          </cell>
          <cell r="BM304">
            <v>0</v>
          </cell>
          <cell r="BN304">
            <v>0</v>
          </cell>
          <cell r="BO304">
            <v>465.78</v>
          </cell>
        </row>
        <row r="305">
          <cell r="BL305">
            <v>0</v>
          </cell>
          <cell r="BM305">
            <v>0</v>
          </cell>
          <cell r="BN305">
            <v>0</v>
          </cell>
          <cell r="BO305">
            <v>232.89</v>
          </cell>
        </row>
        <row r="306">
          <cell r="BL306">
            <v>0</v>
          </cell>
          <cell r="BM306">
            <v>0</v>
          </cell>
          <cell r="BN306">
            <v>0</v>
          </cell>
          <cell r="BO306">
            <v>77.63</v>
          </cell>
        </row>
        <row r="307">
          <cell r="BL307">
            <v>0</v>
          </cell>
          <cell r="BM307">
            <v>0</v>
          </cell>
          <cell r="BN307">
            <v>0</v>
          </cell>
          <cell r="BO307">
            <v>77.63</v>
          </cell>
        </row>
        <row r="308">
          <cell r="BL308">
            <v>0</v>
          </cell>
          <cell r="BM308">
            <v>0</v>
          </cell>
          <cell r="BN308">
            <v>0</v>
          </cell>
          <cell r="BO308">
            <v>276.89999999999998</v>
          </cell>
        </row>
        <row r="309">
          <cell r="BL309">
            <v>0</v>
          </cell>
          <cell r="BM309">
            <v>0</v>
          </cell>
          <cell r="BN309">
            <v>0</v>
          </cell>
          <cell r="BO309">
            <v>390</v>
          </cell>
        </row>
        <row r="310">
          <cell r="BL310">
            <v>0</v>
          </cell>
          <cell r="BM310">
            <v>0</v>
          </cell>
          <cell r="BN310">
            <v>0</v>
          </cell>
          <cell r="BO310">
            <v>78.36</v>
          </cell>
        </row>
        <row r="311">
          <cell r="BL311">
            <v>0</v>
          </cell>
          <cell r="BM311">
            <v>0</v>
          </cell>
          <cell r="BN311">
            <v>0</v>
          </cell>
          <cell r="BO311">
            <v>5627.6</v>
          </cell>
        </row>
        <row r="312">
          <cell r="BL312">
            <v>0</v>
          </cell>
          <cell r="BM312">
            <v>0</v>
          </cell>
          <cell r="BN312">
            <v>0</v>
          </cell>
          <cell r="BO312">
            <v>232.89</v>
          </cell>
        </row>
        <row r="313">
          <cell r="BL313">
            <v>0</v>
          </cell>
          <cell r="BM313">
            <v>0</v>
          </cell>
          <cell r="BN313">
            <v>0</v>
          </cell>
          <cell r="BO313">
            <v>1368.8000000000002</v>
          </cell>
        </row>
        <row r="314">
          <cell r="BL314">
            <v>0</v>
          </cell>
          <cell r="BM314">
            <v>0</v>
          </cell>
          <cell r="BN314">
            <v>0</v>
          </cell>
          <cell r="BO314">
            <v>261.2</v>
          </cell>
        </row>
        <row r="315">
          <cell r="BL315">
            <v>0</v>
          </cell>
          <cell r="BM315">
            <v>0</v>
          </cell>
          <cell r="BN315">
            <v>0</v>
          </cell>
          <cell r="BO315">
            <v>522.4</v>
          </cell>
        </row>
        <row r="316">
          <cell r="BL316">
            <v>0</v>
          </cell>
          <cell r="BM316">
            <v>0</v>
          </cell>
          <cell r="BN316">
            <v>0</v>
          </cell>
          <cell r="BO316">
            <v>5243.3149999999996</v>
          </cell>
        </row>
        <row r="317">
          <cell r="BL317">
            <v>0</v>
          </cell>
          <cell r="BM317">
            <v>0</v>
          </cell>
          <cell r="BN317">
            <v>0</v>
          </cell>
          <cell r="BO317">
            <v>600</v>
          </cell>
        </row>
        <row r="318">
          <cell r="BL318">
            <v>0</v>
          </cell>
          <cell r="BM318">
            <v>0</v>
          </cell>
          <cell r="BN318">
            <v>0</v>
          </cell>
          <cell r="BO318">
            <v>85</v>
          </cell>
        </row>
        <row r="319">
          <cell r="BL319">
            <v>0</v>
          </cell>
          <cell r="BM319">
            <v>0</v>
          </cell>
          <cell r="BN319">
            <v>0</v>
          </cell>
          <cell r="BO319">
            <v>895.17780000000005</v>
          </cell>
        </row>
        <row r="320">
          <cell r="BL320">
            <v>0</v>
          </cell>
          <cell r="BM320">
            <v>0</v>
          </cell>
          <cell r="BN320">
            <v>0</v>
          </cell>
          <cell r="BO320">
            <v>3446.9630000000002</v>
          </cell>
        </row>
        <row r="321">
          <cell r="BL321">
            <v>0</v>
          </cell>
          <cell r="BM321">
            <v>0</v>
          </cell>
          <cell r="BN321">
            <v>0</v>
          </cell>
          <cell r="BO321">
            <v>1036.3710000000001</v>
          </cell>
        </row>
        <row r="322">
          <cell r="BL322">
            <v>0</v>
          </cell>
          <cell r="BM322">
            <v>0</v>
          </cell>
          <cell r="BN322">
            <v>0</v>
          </cell>
          <cell r="BO322">
            <v>900.73800000000006</v>
          </cell>
        </row>
        <row r="323">
          <cell r="BL323">
            <v>0</v>
          </cell>
          <cell r="BM323">
            <v>0</v>
          </cell>
          <cell r="BN323">
            <v>0</v>
          </cell>
          <cell r="BO323">
            <v>21673.24</v>
          </cell>
        </row>
        <row r="324">
          <cell r="BL324">
            <v>0</v>
          </cell>
          <cell r="BM324">
            <v>0</v>
          </cell>
          <cell r="BN324">
            <v>0</v>
          </cell>
          <cell r="BO324">
            <v>9477.7800000000007</v>
          </cell>
        </row>
        <row r="325">
          <cell r="BL325">
            <v>0</v>
          </cell>
          <cell r="BM325">
            <v>0</v>
          </cell>
          <cell r="BN325">
            <v>0</v>
          </cell>
          <cell r="BO325">
            <v>1450.13</v>
          </cell>
        </row>
        <row r="326">
          <cell r="BL326">
            <v>0</v>
          </cell>
          <cell r="BM326">
            <v>0</v>
          </cell>
          <cell r="BN326">
            <v>0</v>
          </cell>
          <cell r="BO326">
            <v>3678.28</v>
          </cell>
        </row>
        <row r="327">
          <cell r="BL327">
            <v>0</v>
          </cell>
          <cell r="BM327">
            <v>0</v>
          </cell>
          <cell r="BN327">
            <v>0</v>
          </cell>
          <cell r="BO327">
            <v>830.88</v>
          </cell>
        </row>
        <row r="328">
          <cell r="BL328">
            <v>0</v>
          </cell>
          <cell r="BM328">
            <v>0</v>
          </cell>
          <cell r="BN328">
            <v>0</v>
          </cell>
          <cell r="BO328">
            <v>4663.6899999999996</v>
          </cell>
        </row>
        <row r="329">
          <cell r="BL329">
            <v>0</v>
          </cell>
          <cell r="BM329">
            <v>0</v>
          </cell>
          <cell r="BN329">
            <v>0</v>
          </cell>
          <cell r="BO329">
            <v>20065.38</v>
          </cell>
        </row>
        <row r="330">
          <cell r="BL330">
            <v>0</v>
          </cell>
          <cell r="BM330">
            <v>0</v>
          </cell>
          <cell r="BN330">
            <v>0</v>
          </cell>
          <cell r="BO330">
            <v>7482.44</v>
          </cell>
        </row>
        <row r="331">
          <cell r="BL331">
            <v>0</v>
          </cell>
          <cell r="BM331">
            <v>0</v>
          </cell>
          <cell r="BN331">
            <v>0</v>
          </cell>
          <cell r="BO331">
            <v>518.15</v>
          </cell>
        </row>
        <row r="332">
          <cell r="BL332">
            <v>0</v>
          </cell>
          <cell r="BM332">
            <v>0</v>
          </cell>
          <cell r="BN332">
            <v>0</v>
          </cell>
          <cell r="BO332">
            <v>1705.19</v>
          </cell>
        </row>
        <row r="333">
          <cell r="BL333">
            <v>0</v>
          </cell>
          <cell r="BM333">
            <v>0</v>
          </cell>
          <cell r="BN333">
            <v>0</v>
          </cell>
          <cell r="BO333">
            <v>2450</v>
          </cell>
        </row>
        <row r="334">
          <cell r="BL334">
            <v>0</v>
          </cell>
          <cell r="BM334">
            <v>0</v>
          </cell>
          <cell r="BN334">
            <v>0</v>
          </cell>
          <cell r="BO334">
            <v>2411.3000000000002</v>
          </cell>
        </row>
        <row r="335">
          <cell r="BL335">
            <v>0</v>
          </cell>
          <cell r="BM335">
            <v>0</v>
          </cell>
          <cell r="BN335">
            <v>0</v>
          </cell>
          <cell r="BO335">
            <v>9650</v>
          </cell>
        </row>
        <row r="336">
          <cell r="BL336">
            <v>0</v>
          </cell>
          <cell r="BM336">
            <v>0</v>
          </cell>
          <cell r="BN336">
            <v>0</v>
          </cell>
          <cell r="BO336">
            <v>16417.25</v>
          </cell>
        </row>
        <row r="337">
          <cell r="BL337">
            <v>0</v>
          </cell>
          <cell r="BM337">
            <v>0</v>
          </cell>
          <cell r="BN337">
            <v>0</v>
          </cell>
          <cell r="BO337">
            <v>285.86</v>
          </cell>
        </row>
        <row r="338">
          <cell r="BL338">
            <v>0</v>
          </cell>
          <cell r="BM338">
            <v>0</v>
          </cell>
          <cell r="BN338">
            <v>0</v>
          </cell>
          <cell r="BO338">
            <v>1306</v>
          </cell>
        </row>
        <row r="339">
          <cell r="BL339">
            <v>0</v>
          </cell>
          <cell r="BM339">
            <v>0</v>
          </cell>
          <cell r="BN339">
            <v>0</v>
          </cell>
          <cell r="BO339">
            <v>261.2</v>
          </cell>
        </row>
        <row r="340">
          <cell r="BL340">
            <v>0</v>
          </cell>
          <cell r="BM340">
            <v>0</v>
          </cell>
          <cell r="BN340">
            <v>0</v>
          </cell>
          <cell r="BO340">
            <v>388.15</v>
          </cell>
        </row>
        <row r="341">
          <cell r="BL341">
            <v>0</v>
          </cell>
          <cell r="BM341">
            <v>0</v>
          </cell>
          <cell r="BN341">
            <v>0</v>
          </cell>
          <cell r="BO341">
            <v>853.93</v>
          </cell>
        </row>
        <row r="342">
          <cell r="BL342">
            <v>0</v>
          </cell>
          <cell r="BM342">
            <v>0</v>
          </cell>
          <cell r="BN342">
            <v>0</v>
          </cell>
          <cell r="BO342">
            <v>684.40000000000009</v>
          </cell>
        </row>
        <row r="343">
          <cell r="BL343">
            <v>0</v>
          </cell>
          <cell r="BM343">
            <v>0</v>
          </cell>
          <cell r="BN343">
            <v>0</v>
          </cell>
          <cell r="BO343">
            <v>6652.6</v>
          </cell>
        </row>
        <row r="344">
          <cell r="BL344">
            <v>0</v>
          </cell>
          <cell r="BM344">
            <v>0</v>
          </cell>
          <cell r="BN344">
            <v>0</v>
          </cell>
          <cell r="BO344">
            <v>4009.2000000000007</v>
          </cell>
        </row>
        <row r="345">
          <cell r="BL345">
            <v>0</v>
          </cell>
          <cell r="BM345">
            <v>0</v>
          </cell>
          <cell r="BN345">
            <v>0</v>
          </cell>
          <cell r="BO345">
            <v>3562.8</v>
          </cell>
        </row>
        <row r="346">
          <cell r="BL346">
            <v>0</v>
          </cell>
          <cell r="BM346">
            <v>0</v>
          </cell>
        </row>
        <row r="347">
          <cell r="BL347">
            <v>0</v>
          </cell>
          <cell r="BM347">
            <v>0</v>
          </cell>
          <cell r="BN347">
            <v>0</v>
          </cell>
          <cell r="BO347">
            <v>219</v>
          </cell>
        </row>
        <row r="348">
          <cell r="BL348">
            <v>0</v>
          </cell>
          <cell r="BM348">
            <v>0</v>
          </cell>
          <cell r="BN348">
            <v>0</v>
          </cell>
          <cell r="BO348">
            <v>310.52</v>
          </cell>
        </row>
        <row r="349">
          <cell r="BL349">
            <v>0</v>
          </cell>
          <cell r="BM349">
            <v>0</v>
          </cell>
          <cell r="BN349">
            <v>0</v>
          </cell>
          <cell r="BO349">
            <v>232.89</v>
          </cell>
        </row>
        <row r="350">
          <cell r="BL350">
            <v>0</v>
          </cell>
          <cell r="BM350">
            <v>0</v>
          </cell>
          <cell r="BN350">
            <v>0</v>
          </cell>
          <cell r="BO350">
            <v>155.26</v>
          </cell>
        </row>
        <row r="351">
          <cell r="BL351">
            <v>0</v>
          </cell>
          <cell r="BM351">
            <v>0</v>
          </cell>
          <cell r="BN351">
            <v>0</v>
          </cell>
          <cell r="BO351">
            <v>437.75</v>
          </cell>
        </row>
        <row r="352">
          <cell r="BL352">
            <v>0</v>
          </cell>
          <cell r="BM352">
            <v>0</v>
          </cell>
          <cell r="BN352">
            <v>0</v>
          </cell>
          <cell r="BO352">
            <v>175.10000000000002</v>
          </cell>
        </row>
        <row r="353">
          <cell r="BL353">
            <v>0</v>
          </cell>
          <cell r="BM353">
            <v>0</v>
          </cell>
          <cell r="BN353">
            <v>0</v>
          </cell>
          <cell r="BO353">
            <v>261.2</v>
          </cell>
        </row>
        <row r="354">
          <cell r="BL354">
            <v>0</v>
          </cell>
          <cell r="BM354">
            <v>0</v>
          </cell>
          <cell r="BN354">
            <v>0</v>
          </cell>
          <cell r="BO354">
            <v>155.26</v>
          </cell>
        </row>
        <row r="355">
          <cell r="BL355">
            <v>0</v>
          </cell>
          <cell r="BM355">
            <v>0</v>
          </cell>
          <cell r="BN355">
            <v>0</v>
          </cell>
          <cell r="BO355">
            <v>155.26</v>
          </cell>
        </row>
        <row r="356">
          <cell r="BL356">
            <v>0</v>
          </cell>
          <cell r="BM356">
            <v>0</v>
          </cell>
          <cell r="BN356">
            <v>0</v>
          </cell>
          <cell r="BO356">
            <v>957.75</v>
          </cell>
        </row>
        <row r="357">
          <cell r="BL357">
            <v>0</v>
          </cell>
          <cell r="BM357">
            <v>0</v>
          </cell>
          <cell r="BN357">
            <v>0</v>
          </cell>
          <cell r="BO357">
            <v>4032</v>
          </cell>
        </row>
        <row r="358">
          <cell r="BL358">
            <v>0</v>
          </cell>
          <cell r="BM358">
            <v>0</v>
          </cell>
          <cell r="BN358">
            <v>0</v>
          </cell>
          <cell r="BO358">
            <v>44928</v>
          </cell>
        </row>
        <row r="359">
          <cell r="BL359">
            <v>0</v>
          </cell>
          <cell r="BM359">
            <v>0</v>
          </cell>
          <cell r="BN359">
            <v>0</v>
          </cell>
          <cell r="BO359">
            <v>802</v>
          </cell>
        </row>
        <row r="360">
          <cell r="BL360">
            <v>0</v>
          </cell>
          <cell r="BM360">
            <v>0</v>
          </cell>
          <cell r="BN360">
            <v>0</v>
          </cell>
          <cell r="BO360">
            <v>261.2</v>
          </cell>
        </row>
        <row r="361">
          <cell r="BL361">
            <v>0</v>
          </cell>
          <cell r="BM361">
            <v>0</v>
          </cell>
          <cell r="BN361">
            <v>0</v>
          </cell>
          <cell r="BO361">
            <v>26055</v>
          </cell>
        </row>
        <row r="362">
          <cell r="BL362">
            <v>0</v>
          </cell>
          <cell r="BM362">
            <v>0</v>
          </cell>
          <cell r="BN362">
            <v>0</v>
          </cell>
          <cell r="BO362">
            <v>804.58</v>
          </cell>
        </row>
        <row r="363">
          <cell r="BL363">
            <v>0</v>
          </cell>
          <cell r="BM363">
            <v>0</v>
          </cell>
          <cell r="BN363">
            <v>0</v>
          </cell>
          <cell r="BO363">
            <v>276.89999999999998</v>
          </cell>
        </row>
        <row r="364">
          <cell r="BL364">
            <v>0</v>
          </cell>
          <cell r="BM364">
            <v>0</v>
          </cell>
          <cell r="BN364">
            <v>0</v>
          </cell>
          <cell r="BO364">
            <v>423.20000000000005</v>
          </cell>
        </row>
        <row r="365">
          <cell r="BL365">
            <v>0</v>
          </cell>
          <cell r="BM365">
            <v>0</v>
          </cell>
          <cell r="BN365">
            <v>0</v>
          </cell>
          <cell r="BO365">
            <v>875.5</v>
          </cell>
        </row>
        <row r="366">
          <cell r="BL366">
            <v>0</v>
          </cell>
          <cell r="BM366">
            <v>0</v>
          </cell>
          <cell r="BN366">
            <v>0</v>
          </cell>
          <cell r="BO366">
            <v>5116.8500000000004</v>
          </cell>
        </row>
        <row r="367">
          <cell r="BL367">
            <v>0</v>
          </cell>
          <cell r="BM367">
            <v>0</v>
          </cell>
          <cell r="BN367">
            <v>0</v>
          </cell>
          <cell r="BO367">
            <v>50936.24</v>
          </cell>
        </row>
        <row r="368">
          <cell r="BL368">
            <v>0</v>
          </cell>
          <cell r="BM368">
            <v>0</v>
          </cell>
          <cell r="BN368">
            <v>0</v>
          </cell>
          <cell r="BO368">
            <v>156.72</v>
          </cell>
        </row>
        <row r="369">
          <cell r="BL369">
            <v>0</v>
          </cell>
          <cell r="BM369">
            <v>0</v>
          </cell>
          <cell r="BN369">
            <v>0</v>
          </cell>
          <cell r="BO369">
            <v>77.63</v>
          </cell>
        </row>
        <row r="370">
          <cell r="BL370">
            <v>0</v>
          </cell>
          <cell r="BM370">
            <v>0</v>
          </cell>
          <cell r="BN370">
            <v>0</v>
          </cell>
          <cell r="BO370">
            <v>261.2</v>
          </cell>
        </row>
        <row r="371">
          <cell r="BL371">
            <v>0</v>
          </cell>
          <cell r="BM371">
            <v>0</v>
          </cell>
          <cell r="BN371">
            <v>0</v>
          </cell>
          <cell r="BO371">
            <v>261.2</v>
          </cell>
        </row>
        <row r="372">
          <cell r="BL372">
            <v>0</v>
          </cell>
          <cell r="BM372">
            <v>0</v>
          </cell>
          <cell r="BN372">
            <v>0</v>
          </cell>
          <cell r="BO372">
            <v>1384.5</v>
          </cell>
        </row>
        <row r="373">
          <cell r="BL373">
            <v>0</v>
          </cell>
          <cell r="BM373">
            <v>0</v>
          </cell>
          <cell r="BN373">
            <v>0</v>
          </cell>
          <cell r="BO373">
            <v>4766.54</v>
          </cell>
        </row>
        <row r="374">
          <cell r="BL374">
            <v>0</v>
          </cell>
          <cell r="BM374">
            <v>0</v>
          </cell>
          <cell r="BN374">
            <v>0</v>
          </cell>
          <cell r="BO374">
            <v>4289.24</v>
          </cell>
        </row>
        <row r="375">
          <cell r="BL375">
            <v>0</v>
          </cell>
          <cell r="BM375">
            <v>0</v>
          </cell>
          <cell r="BN375">
            <v>0</v>
          </cell>
          <cell r="BO375">
            <v>9137.5600000000013</v>
          </cell>
        </row>
        <row r="376">
          <cell r="BL376">
            <v>0</v>
          </cell>
          <cell r="BM376">
            <v>0</v>
          </cell>
          <cell r="BN376">
            <v>0</v>
          </cell>
          <cell r="BO376">
            <v>1800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1384.5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121282.70000000001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204.82000000000002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7420.64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4896.25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276.89999999999998</v>
          </cell>
        </row>
        <row r="383">
          <cell r="BL383">
            <v>0</v>
          </cell>
          <cell r="BM383">
            <v>0</v>
          </cell>
          <cell r="BN383">
            <v>0</v>
          </cell>
          <cell r="BO383">
            <v>1384.5</v>
          </cell>
        </row>
        <row r="384">
          <cell r="BL384">
            <v>0</v>
          </cell>
          <cell r="BM384">
            <v>0</v>
          </cell>
          <cell r="BN384">
            <v>0</v>
          </cell>
          <cell r="BO384">
            <v>117.04</v>
          </cell>
        </row>
        <row r="385">
          <cell r="BL385">
            <v>0</v>
          </cell>
          <cell r="BM385">
            <v>0</v>
          </cell>
          <cell r="BN385">
            <v>0</v>
          </cell>
          <cell r="BO385">
            <v>830.7</v>
          </cell>
        </row>
        <row r="386">
          <cell r="BL386">
            <v>0</v>
          </cell>
          <cell r="BM386">
            <v>0</v>
          </cell>
          <cell r="BN386">
            <v>0</v>
          </cell>
          <cell r="BO386">
            <v>4283.33</v>
          </cell>
        </row>
        <row r="387">
          <cell r="BL387">
            <v>0</v>
          </cell>
          <cell r="BM387">
            <v>0</v>
          </cell>
          <cell r="BN387">
            <v>0</v>
          </cell>
          <cell r="BO387">
            <v>170</v>
          </cell>
        </row>
        <row r="388">
          <cell r="BL388">
            <v>0</v>
          </cell>
          <cell r="BM388">
            <v>0</v>
          </cell>
          <cell r="BN388">
            <v>0</v>
          </cell>
          <cell r="BO388">
            <v>300</v>
          </cell>
        </row>
        <row r="389">
          <cell r="BL389">
            <v>0</v>
          </cell>
          <cell r="BM389">
            <v>0</v>
          </cell>
          <cell r="BN389">
            <v>0</v>
          </cell>
          <cell r="BO389">
            <v>3052.35</v>
          </cell>
        </row>
        <row r="390">
          <cell r="BL390">
            <v>0</v>
          </cell>
          <cell r="BM390">
            <v>0</v>
          </cell>
          <cell r="BN390">
            <v>0</v>
          </cell>
          <cell r="BO390">
            <v>553.79999999999995</v>
          </cell>
        </row>
        <row r="391">
          <cell r="BL391">
            <v>0</v>
          </cell>
          <cell r="BM391">
            <v>0</v>
          </cell>
          <cell r="BN391">
            <v>0</v>
          </cell>
          <cell r="BO391">
            <v>2653.77</v>
          </cell>
        </row>
        <row r="392">
          <cell r="BL392">
            <v>0</v>
          </cell>
          <cell r="BM392">
            <v>0</v>
          </cell>
          <cell r="BN392">
            <v>0</v>
          </cell>
          <cell r="BO392">
            <v>5315.4400000000005</v>
          </cell>
        </row>
        <row r="393">
          <cell r="BL393">
            <v>0</v>
          </cell>
          <cell r="BM393">
            <v>0</v>
          </cell>
          <cell r="BN393">
            <v>0</v>
          </cell>
          <cell r="BO393">
            <v>87.550000000000011</v>
          </cell>
        </row>
        <row r="394">
          <cell r="BL394">
            <v>0</v>
          </cell>
          <cell r="BM394">
            <v>0</v>
          </cell>
          <cell r="BN394">
            <v>0</v>
          </cell>
          <cell r="BO394">
            <v>553.79999999999995</v>
          </cell>
        </row>
        <row r="395">
          <cell r="BL395">
            <v>0</v>
          </cell>
          <cell r="BM395">
            <v>0</v>
          </cell>
          <cell r="BN395">
            <v>0</v>
          </cell>
          <cell r="BO395">
            <v>163</v>
          </cell>
        </row>
        <row r="396">
          <cell r="BL396">
            <v>0</v>
          </cell>
          <cell r="BM396">
            <v>0</v>
          </cell>
          <cell r="BN396">
            <v>0</v>
          </cell>
          <cell r="BO396">
            <v>276.89999999999998</v>
          </cell>
        </row>
        <row r="397">
          <cell r="BL397">
            <v>0</v>
          </cell>
          <cell r="BM397">
            <v>0</v>
          </cell>
          <cell r="BN397">
            <v>0</v>
          </cell>
          <cell r="BO397">
            <v>5120.22</v>
          </cell>
        </row>
        <row r="398">
          <cell r="BL398">
            <v>0</v>
          </cell>
          <cell r="BM398">
            <v>0</v>
          </cell>
          <cell r="BN398">
            <v>0</v>
          </cell>
          <cell r="BO398">
            <v>235.6</v>
          </cell>
        </row>
        <row r="399">
          <cell r="BL399">
            <v>0</v>
          </cell>
          <cell r="BM399">
            <v>0</v>
          </cell>
          <cell r="BN399">
            <v>0</v>
          </cell>
          <cell r="BO399">
            <v>136.88</v>
          </cell>
        </row>
        <row r="400">
          <cell r="BL400">
            <v>0</v>
          </cell>
          <cell r="BM400">
            <v>0</v>
          </cell>
          <cell r="BN400">
            <v>0</v>
          </cell>
          <cell r="BO400">
            <v>1429.3000000000002</v>
          </cell>
        </row>
        <row r="401">
          <cell r="BL401">
            <v>0</v>
          </cell>
          <cell r="BM401">
            <v>0</v>
          </cell>
          <cell r="BN401">
            <v>0</v>
          </cell>
          <cell r="BO401">
            <v>795</v>
          </cell>
        </row>
        <row r="402">
          <cell r="BL402">
            <v>0</v>
          </cell>
          <cell r="BM402">
            <v>0</v>
          </cell>
          <cell r="BN402">
            <v>0</v>
          </cell>
          <cell r="BO402">
            <v>276.89999999999998</v>
          </cell>
        </row>
        <row r="403">
          <cell r="BL403">
            <v>0</v>
          </cell>
          <cell r="BM403">
            <v>0</v>
          </cell>
          <cell r="BN403">
            <v>0</v>
          </cell>
          <cell r="BO403">
            <v>163</v>
          </cell>
        </row>
        <row r="404">
          <cell r="BL404">
            <v>0</v>
          </cell>
          <cell r="BM404">
            <v>0</v>
          </cell>
          <cell r="BN404">
            <v>0</v>
          </cell>
          <cell r="BO404">
            <v>465.78</v>
          </cell>
        </row>
        <row r="405">
          <cell r="BL405">
            <v>0</v>
          </cell>
          <cell r="BM405">
            <v>0</v>
          </cell>
          <cell r="BN405">
            <v>0</v>
          </cell>
          <cell r="BO405">
            <v>1168.1000000000001</v>
          </cell>
        </row>
        <row r="406">
          <cell r="BL406">
            <v>0</v>
          </cell>
          <cell r="BM406">
            <v>0</v>
          </cell>
          <cell r="BN406">
            <v>0</v>
          </cell>
          <cell r="BO406">
            <v>1750</v>
          </cell>
        </row>
        <row r="407">
          <cell r="BL407">
            <v>0</v>
          </cell>
          <cell r="BM407">
            <v>0</v>
          </cell>
          <cell r="BN407">
            <v>0</v>
          </cell>
          <cell r="BO407">
            <v>684.40000000000009</v>
          </cell>
        </row>
        <row r="408">
          <cell r="BL408">
            <v>0</v>
          </cell>
          <cell r="BM408">
            <v>0</v>
          </cell>
          <cell r="BN408">
            <v>0</v>
          </cell>
          <cell r="BO408">
            <v>155.26</v>
          </cell>
        </row>
        <row r="409">
          <cell r="BL409">
            <v>0</v>
          </cell>
          <cell r="BM409">
            <v>0</v>
          </cell>
          <cell r="BN409">
            <v>0</v>
          </cell>
          <cell r="BO409">
            <v>77.63</v>
          </cell>
        </row>
        <row r="410">
          <cell r="BL410">
            <v>0</v>
          </cell>
          <cell r="BM410">
            <v>0</v>
          </cell>
          <cell r="BN410">
            <v>0</v>
          </cell>
          <cell r="BO410">
            <v>155.26</v>
          </cell>
        </row>
        <row r="411">
          <cell r="BL411">
            <v>0</v>
          </cell>
          <cell r="BM411">
            <v>0</v>
          </cell>
          <cell r="BN411">
            <v>0</v>
          </cell>
          <cell r="BO411">
            <v>4063.9</v>
          </cell>
        </row>
        <row r="412">
          <cell r="BL412">
            <v>0</v>
          </cell>
          <cell r="BM412">
            <v>0</v>
          </cell>
          <cell r="BN412">
            <v>0</v>
          </cell>
          <cell r="BO412">
            <v>310.52</v>
          </cell>
        </row>
        <row r="413">
          <cell r="BL413">
            <v>0</v>
          </cell>
          <cell r="BM413">
            <v>0</v>
          </cell>
          <cell r="BN413">
            <v>0</v>
          </cell>
          <cell r="BO413">
            <v>77.63</v>
          </cell>
        </row>
        <row r="414">
          <cell r="BL414">
            <v>0</v>
          </cell>
          <cell r="BM414">
            <v>0</v>
          </cell>
          <cell r="BN414">
            <v>0</v>
          </cell>
          <cell r="BO414">
            <v>4095</v>
          </cell>
        </row>
        <row r="415">
          <cell r="BL415">
            <v>0</v>
          </cell>
          <cell r="BM415">
            <v>0</v>
          </cell>
          <cell r="BN415">
            <v>0</v>
          </cell>
          <cell r="BO415">
            <v>155.26</v>
          </cell>
        </row>
        <row r="416">
          <cell r="BL416">
            <v>0</v>
          </cell>
          <cell r="BM416">
            <v>0</v>
          </cell>
          <cell r="BN416">
            <v>0</v>
          </cell>
          <cell r="BO416">
            <v>1552.6</v>
          </cell>
        </row>
        <row r="417">
          <cell r="BL417">
            <v>0</v>
          </cell>
          <cell r="BM417">
            <v>0</v>
          </cell>
          <cell r="BN417">
            <v>0</v>
          </cell>
          <cell r="BO417">
            <v>77.63</v>
          </cell>
        </row>
        <row r="418">
          <cell r="BL418">
            <v>0</v>
          </cell>
          <cell r="BM418">
            <v>0</v>
          </cell>
          <cell r="BN418">
            <v>0</v>
          </cell>
          <cell r="BO418">
            <v>55.38</v>
          </cell>
        </row>
        <row r="419">
          <cell r="BL419">
            <v>0</v>
          </cell>
          <cell r="BM419">
            <v>0</v>
          </cell>
          <cell r="BN419">
            <v>0</v>
          </cell>
          <cell r="BO419">
            <v>310.52</v>
          </cell>
        </row>
        <row r="420">
          <cell r="BL420">
            <v>0</v>
          </cell>
          <cell r="BM420">
            <v>0</v>
          </cell>
          <cell r="BN420">
            <v>0</v>
          </cell>
          <cell r="BO420">
            <v>155.26</v>
          </cell>
        </row>
        <row r="421">
          <cell r="BL421">
            <v>0</v>
          </cell>
          <cell r="BM421">
            <v>0</v>
          </cell>
          <cell r="BN421">
            <v>0</v>
          </cell>
          <cell r="BO421">
            <v>776.3</v>
          </cell>
        </row>
        <row r="422">
          <cell r="BL422">
            <v>0</v>
          </cell>
          <cell r="BM422">
            <v>0</v>
          </cell>
          <cell r="BN422">
            <v>0</v>
          </cell>
          <cell r="BO422">
            <v>232.89</v>
          </cell>
        </row>
        <row r="423">
          <cell r="BL423">
            <v>0</v>
          </cell>
          <cell r="BM423">
            <v>0</v>
          </cell>
          <cell r="BN423">
            <v>0</v>
          </cell>
          <cell r="BO423">
            <v>77.63</v>
          </cell>
        </row>
        <row r="424">
          <cell r="BL424">
            <v>0</v>
          </cell>
          <cell r="BM424">
            <v>0</v>
          </cell>
          <cell r="BN424">
            <v>0</v>
          </cell>
          <cell r="BO424">
            <v>300</v>
          </cell>
        </row>
        <row r="425">
          <cell r="BL425">
            <v>0</v>
          </cell>
          <cell r="BM425">
            <v>0</v>
          </cell>
          <cell r="BN425">
            <v>0</v>
          </cell>
          <cell r="BO425">
            <v>420</v>
          </cell>
        </row>
        <row r="426">
          <cell r="BL426">
            <v>0</v>
          </cell>
          <cell r="BM426">
            <v>0</v>
          </cell>
          <cell r="BN426">
            <v>0</v>
          </cell>
          <cell r="BO426">
            <v>4500</v>
          </cell>
        </row>
        <row r="427">
          <cell r="BL427">
            <v>0</v>
          </cell>
          <cell r="BM427">
            <v>0</v>
          </cell>
          <cell r="BN427">
            <v>0</v>
          </cell>
          <cell r="BO427">
            <v>1916.84</v>
          </cell>
        </row>
        <row r="428">
          <cell r="BL428">
            <v>0</v>
          </cell>
          <cell r="BM428">
            <v>0</v>
          </cell>
          <cell r="BN428">
            <v>0</v>
          </cell>
          <cell r="BO428">
            <v>33920.5</v>
          </cell>
        </row>
        <row r="429">
          <cell r="BL429">
            <v>0</v>
          </cell>
          <cell r="BM429">
            <v>0</v>
          </cell>
          <cell r="BN429">
            <v>0</v>
          </cell>
          <cell r="BO429">
            <v>4715</v>
          </cell>
        </row>
        <row r="430">
          <cell r="BL430">
            <v>0</v>
          </cell>
          <cell r="BM430">
            <v>0</v>
          </cell>
          <cell r="BN430">
            <v>0</v>
          </cell>
          <cell r="BO430">
            <v>30301.5</v>
          </cell>
        </row>
        <row r="431">
          <cell r="BL431">
            <v>0</v>
          </cell>
          <cell r="BM431">
            <v>0</v>
          </cell>
          <cell r="BN431">
            <v>0</v>
          </cell>
          <cell r="BO431">
            <v>54111.43</v>
          </cell>
        </row>
        <row r="432">
          <cell r="BL432">
            <v>0</v>
          </cell>
          <cell r="BM432">
            <v>0</v>
          </cell>
          <cell r="BN432">
            <v>0</v>
          </cell>
          <cell r="BO432">
            <v>3563.43</v>
          </cell>
        </row>
        <row r="433">
          <cell r="BL433">
            <v>0</v>
          </cell>
          <cell r="BM433">
            <v>0</v>
          </cell>
          <cell r="BN433">
            <v>0</v>
          </cell>
          <cell r="BO433">
            <v>240</v>
          </cell>
        </row>
        <row r="434">
          <cell r="BL434">
            <v>0</v>
          </cell>
          <cell r="BM434">
            <v>0</v>
          </cell>
          <cell r="BN434">
            <v>0</v>
          </cell>
          <cell r="BO434">
            <v>2712.66</v>
          </cell>
        </row>
        <row r="435">
          <cell r="BL435">
            <v>0</v>
          </cell>
          <cell r="BM435">
            <v>0</v>
          </cell>
          <cell r="BN435">
            <v>0</v>
          </cell>
          <cell r="BO435">
            <v>862.47699999999998</v>
          </cell>
        </row>
        <row r="436">
          <cell r="BL436">
            <v>0</v>
          </cell>
          <cell r="BM436">
            <v>0</v>
          </cell>
          <cell r="BN436">
            <v>0</v>
          </cell>
          <cell r="BO436">
            <v>9007.3799999999992</v>
          </cell>
        </row>
        <row r="437">
          <cell r="BL437">
            <v>0</v>
          </cell>
          <cell r="BM437">
            <v>0</v>
          </cell>
          <cell r="BN437">
            <v>0</v>
          </cell>
          <cell r="BO437">
            <v>13980.093999999999</v>
          </cell>
        </row>
        <row r="438">
          <cell r="BL438">
            <v>0</v>
          </cell>
          <cell r="BM438">
            <v>0</v>
          </cell>
          <cell r="BN438">
            <v>0</v>
          </cell>
          <cell r="BO438">
            <v>754.4</v>
          </cell>
        </row>
        <row r="439">
          <cell r="BL439">
            <v>0</v>
          </cell>
          <cell r="BM439">
            <v>0</v>
          </cell>
          <cell r="BN439">
            <v>0</v>
          </cell>
          <cell r="BO439">
            <v>360.11</v>
          </cell>
        </row>
        <row r="440">
          <cell r="BL440">
            <v>0</v>
          </cell>
          <cell r="BM440">
            <v>0</v>
          </cell>
          <cell r="BN440">
            <v>0</v>
          </cell>
          <cell r="BO440">
            <v>3942</v>
          </cell>
        </row>
        <row r="441">
          <cell r="BL441">
            <v>0</v>
          </cell>
          <cell r="BM441">
            <v>0</v>
          </cell>
          <cell r="BN441">
            <v>0</v>
          </cell>
          <cell r="BO441">
            <v>6646.1</v>
          </cell>
        </row>
        <row r="442">
          <cell r="BL442">
            <v>0</v>
          </cell>
          <cell r="BM442">
            <v>0</v>
          </cell>
          <cell r="BN442">
            <v>0</v>
          </cell>
          <cell r="BO442">
            <v>6922.223</v>
          </cell>
        </row>
        <row r="443">
          <cell r="BL443">
            <v>0</v>
          </cell>
          <cell r="BM443">
            <v>0</v>
          </cell>
          <cell r="BN443">
            <v>0</v>
          </cell>
          <cell r="BO443">
            <v>8973.4529999999995</v>
          </cell>
        </row>
        <row r="444">
          <cell r="BL444">
            <v>0</v>
          </cell>
          <cell r="BM444">
            <v>0</v>
          </cell>
          <cell r="BN444">
            <v>0</v>
          </cell>
          <cell r="BO444">
            <v>1911.1</v>
          </cell>
        </row>
        <row r="445">
          <cell r="BL445">
            <v>0</v>
          </cell>
          <cell r="BM445">
            <v>0</v>
          </cell>
          <cell r="BN445">
            <v>0</v>
          </cell>
          <cell r="BO445">
            <v>1857.9</v>
          </cell>
        </row>
        <row r="446">
          <cell r="BL446">
            <v>0</v>
          </cell>
          <cell r="BM446">
            <v>0</v>
          </cell>
          <cell r="BN446">
            <v>0</v>
          </cell>
          <cell r="BO446">
            <v>1400</v>
          </cell>
        </row>
        <row r="447">
          <cell r="BL447">
            <v>0</v>
          </cell>
          <cell r="BM447">
            <v>0</v>
          </cell>
          <cell r="BN447">
            <v>0</v>
          </cell>
          <cell r="BO447">
            <v>306</v>
          </cell>
        </row>
        <row r="448">
          <cell r="BL448">
            <v>0</v>
          </cell>
          <cell r="BM448">
            <v>0</v>
          </cell>
          <cell r="BN448">
            <v>0</v>
          </cell>
          <cell r="BO448">
            <v>1575</v>
          </cell>
        </row>
        <row r="449">
          <cell r="BL449">
            <v>0</v>
          </cell>
          <cell r="BM449">
            <v>0</v>
          </cell>
          <cell r="BN449">
            <v>0</v>
          </cell>
          <cell r="BO449">
            <v>2829</v>
          </cell>
        </row>
        <row r="450">
          <cell r="BL450">
            <v>0</v>
          </cell>
          <cell r="BM450">
            <v>0</v>
          </cell>
          <cell r="BN450">
            <v>0</v>
          </cell>
          <cell r="BO450">
            <v>2190</v>
          </cell>
        </row>
        <row r="451">
          <cell r="BL451">
            <v>0</v>
          </cell>
          <cell r="BM451">
            <v>0</v>
          </cell>
          <cell r="BN451">
            <v>0</v>
          </cell>
          <cell r="BO451">
            <v>9650</v>
          </cell>
        </row>
        <row r="452">
          <cell r="BL452">
            <v>0</v>
          </cell>
          <cell r="BM452">
            <v>0</v>
          </cell>
          <cell r="BN452">
            <v>0</v>
          </cell>
          <cell r="BO452">
            <v>2664.52</v>
          </cell>
        </row>
        <row r="453">
          <cell r="BL453">
            <v>0</v>
          </cell>
          <cell r="BM453">
            <v>0</v>
          </cell>
          <cell r="BN453">
            <v>0</v>
          </cell>
          <cell r="BO453">
            <v>1813.75</v>
          </cell>
        </row>
        <row r="454">
          <cell r="BL454">
            <v>0</v>
          </cell>
          <cell r="BM454">
            <v>0</v>
          </cell>
          <cell r="BN454">
            <v>0</v>
          </cell>
          <cell r="BO454">
            <v>2990</v>
          </cell>
        </row>
        <row r="455">
          <cell r="BL455">
            <v>0</v>
          </cell>
          <cell r="BM455">
            <v>0</v>
          </cell>
          <cell r="BN455">
            <v>0</v>
          </cell>
          <cell r="BO455">
            <v>2822</v>
          </cell>
        </row>
        <row r="456">
          <cell r="BL456">
            <v>0</v>
          </cell>
          <cell r="BM456">
            <v>0</v>
          </cell>
          <cell r="BN456">
            <v>0</v>
          </cell>
          <cell r="BO456">
            <v>3408</v>
          </cell>
        </row>
        <row r="457">
          <cell r="BL457">
            <v>0</v>
          </cell>
          <cell r="BM457">
            <v>0</v>
          </cell>
          <cell r="BN457">
            <v>0</v>
          </cell>
          <cell r="BO457">
            <v>2843.6</v>
          </cell>
        </row>
        <row r="458">
          <cell r="BL458">
            <v>0</v>
          </cell>
          <cell r="BM458">
            <v>0</v>
          </cell>
          <cell r="BN458">
            <v>0</v>
          </cell>
          <cell r="BO458">
            <v>7342.5</v>
          </cell>
        </row>
        <row r="459">
          <cell r="BL459">
            <v>0</v>
          </cell>
          <cell r="BM459">
            <v>0</v>
          </cell>
          <cell r="BN459">
            <v>0</v>
          </cell>
          <cell r="BO459">
            <v>3542.5</v>
          </cell>
        </row>
        <row r="460">
          <cell r="BL460">
            <v>0</v>
          </cell>
          <cell r="BM460">
            <v>0</v>
          </cell>
          <cell r="BN460">
            <v>0</v>
          </cell>
          <cell r="BO460">
            <v>29390</v>
          </cell>
        </row>
        <row r="461">
          <cell r="BL461">
            <v>0</v>
          </cell>
          <cell r="BM461">
            <v>0</v>
          </cell>
          <cell r="BN461">
            <v>4381.9000000000015</v>
          </cell>
          <cell r="BO461">
            <v>0</v>
          </cell>
        </row>
        <row r="462">
          <cell r="BL462">
            <v>0</v>
          </cell>
          <cell r="BM462">
            <v>0</v>
          </cell>
          <cell r="BN462">
            <v>0</v>
          </cell>
          <cell r="BO462">
            <v>-7652.45</v>
          </cell>
        </row>
        <row r="463">
          <cell r="BL463">
            <v>0</v>
          </cell>
          <cell r="BM463">
            <v>0</v>
          </cell>
          <cell r="BN463">
            <v>0</v>
          </cell>
          <cell r="BO463">
            <v>83.7</v>
          </cell>
        </row>
        <row r="464">
          <cell r="BL464">
            <v>0</v>
          </cell>
          <cell r="BM464">
            <v>0</v>
          </cell>
          <cell r="BN464">
            <v>0</v>
          </cell>
          <cell r="BO464">
            <v>2000</v>
          </cell>
        </row>
        <row r="465">
          <cell r="BL465">
            <v>0</v>
          </cell>
          <cell r="BM465">
            <v>0</v>
          </cell>
          <cell r="BN465">
            <v>0</v>
          </cell>
          <cell r="BO465">
            <v>1366</v>
          </cell>
        </row>
        <row r="466">
          <cell r="BL466">
            <v>0</v>
          </cell>
          <cell r="BM466">
            <v>0</v>
          </cell>
          <cell r="BN466">
            <v>0</v>
          </cell>
          <cell r="BO466">
            <v>-4920</v>
          </cell>
        </row>
        <row r="467">
          <cell r="BL467">
            <v>0</v>
          </cell>
          <cell r="BM467">
            <v>0</v>
          </cell>
          <cell r="BN467">
            <v>0</v>
          </cell>
          <cell r="BO467">
            <v>2190</v>
          </cell>
        </row>
        <row r="468">
          <cell r="BL468">
            <v>0</v>
          </cell>
          <cell r="BM468">
            <v>0</v>
          </cell>
          <cell r="BN468">
            <v>0</v>
          </cell>
          <cell r="BO468">
            <v>3422</v>
          </cell>
        </row>
        <row r="469">
          <cell r="BL469">
            <v>0</v>
          </cell>
          <cell r="BM469">
            <v>0</v>
          </cell>
          <cell r="BN469">
            <v>0</v>
          </cell>
          <cell r="BO469">
            <v>256.10000000000002</v>
          </cell>
        </row>
        <row r="470">
          <cell r="BL470">
            <v>0</v>
          </cell>
          <cell r="BM470">
            <v>0</v>
          </cell>
          <cell r="BN470">
            <v>0</v>
          </cell>
          <cell r="BO470">
            <v>550</v>
          </cell>
        </row>
        <row r="471">
          <cell r="BL471">
            <v>0</v>
          </cell>
          <cell r="BM471">
            <v>0</v>
          </cell>
          <cell r="BN471">
            <v>0</v>
          </cell>
          <cell r="BO471">
            <v>96.5</v>
          </cell>
        </row>
        <row r="472">
          <cell r="BL472">
            <v>0</v>
          </cell>
          <cell r="BM472">
            <v>0</v>
          </cell>
          <cell r="BN472">
            <v>0</v>
          </cell>
          <cell r="BO472">
            <v>6252</v>
          </cell>
        </row>
        <row r="473">
          <cell r="BL473">
            <v>0</v>
          </cell>
          <cell r="BM473">
            <v>0</v>
          </cell>
          <cell r="BN473">
            <v>0</v>
          </cell>
          <cell r="BO473">
            <v>296.14999999999998</v>
          </cell>
        </row>
        <row r="474">
          <cell r="BL474">
            <v>0</v>
          </cell>
          <cell r="BM474">
            <v>0</v>
          </cell>
          <cell r="BN474">
            <v>0</v>
          </cell>
          <cell r="BO474">
            <v>2500</v>
          </cell>
        </row>
        <row r="475">
          <cell r="BL475">
            <v>0</v>
          </cell>
          <cell r="BM475">
            <v>0</v>
          </cell>
          <cell r="BN475">
            <v>0</v>
          </cell>
          <cell r="BO475">
            <v>555.20000000000005</v>
          </cell>
        </row>
        <row r="476">
          <cell r="BL476">
            <v>0</v>
          </cell>
          <cell r="BM476">
            <v>0</v>
          </cell>
          <cell r="BN476">
            <v>0</v>
          </cell>
          <cell r="BO476">
            <v>1687.29</v>
          </cell>
        </row>
        <row r="477">
          <cell r="BL477">
            <v>0</v>
          </cell>
          <cell r="BM477">
            <v>0</v>
          </cell>
          <cell r="BN477">
            <v>0</v>
          </cell>
          <cell r="BO477">
            <v>250</v>
          </cell>
        </row>
        <row r="478">
          <cell r="BL478">
            <v>0</v>
          </cell>
          <cell r="BM478">
            <v>0</v>
          </cell>
          <cell r="BN478">
            <v>0</v>
          </cell>
          <cell r="BO478">
            <v>5000</v>
          </cell>
        </row>
        <row r="479">
          <cell r="BL479">
            <v>0</v>
          </cell>
          <cell r="BM479">
            <v>0</v>
          </cell>
          <cell r="BN479">
            <v>3200</v>
          </cell>
          <cell r="BO479">
            <v>0</v>
          </cell>
        </row>
        <row r="480">
          <cell r="BL480">
            <v>0</v>
          </cell>
          <cell r="BM480">
            <v>0</v>
          </cell>
          <cell r="BN480">
            <v>0</v>
          </cell>
          <cell r="BO480">
            <v>1625</v>
          </cell>
        </row>
        <row r="481">
          <cell r="BL481">
            <v>0</v>
          </cell>
          <cell r="BM481">
            <v>0</v>
          </cell>
          <cell r="BN481">
            <v>0</v>
          </cell>
          <cell r="BO481">
            <v>3264</v>
          </cell>
        </row>
        <row r="482">
          <cell r="BL482">
            <v>0</v>
          </cell>
          <cell r="BM482">
            <v>0</v>
          </cell>
          <cell r="BN482">
            <v>0</v>
          </cell>
          <cell r="BO482">
            <v>2066</v>
          </cell>
        </row>
        <row r="483">
          <cell r="BL483">
            <v>0</v>
          </cell>
          <cell r="BM483">
            <v>0</v>
          </cell>
          <cell r="BN483">
            <v>138580</v>
          </cell>
          <cell r="BO483">
            <v>0</v>
          </cell>
        </row>
        <row r="484">
          <cell r="BL484">
            <v>0</v>
          </cell>
          <cell r="BM484">
            <v>0</v>
          </cell>
          <cell r="BN484">
            <v>2500</v>
          </cell>
          <cell r="BO484">
            <v>0</v>
          </cell>
        </row>
        <row r="485">
          <cell r="BL485">
            <v>0</v>
          </cell>
          <cell r="BM485">
            <v>0</v>
          </cell>
          <cell r="BN485">
            <v>0</v>
          </cell>
          <cell r="BO485">
            <v>1635.8200000000002</v>
          </cell>
        </row>
        <row r="486">
          <cell r="BL486">
            <v>0</v>
          </cell>
          <cell r="BM486">
            <v>0</v>
          </cell>
          <cell r="BN486">
            <v>0</v>
          </cell>
          <cell r="BO486">
            <v>391.8</v>
          </cell>
        </row>
        <row r="487">
          <cell r="BL487">
            <v>0</v>
          </cell>
          <cell r="BM487">
            <v>0</v>
          </cell>
          <cell r="BN487">
            <v>0</v>
          </cell>
          <cell r="BO487">
            <v>164.76</v>
          </cell>
        </row>
        <row r="488">
          <cell r="BL488">
            <v>0</v>
          </cell>
          <cell r="BM488">
            <v>0</v>
          </cell>
          <cell r="BN488">
            <v>0</v>
          </cell>
          <cell r="BO488">
            <v>58.52</v>
          </cell>
        </row>
        <row r="489">
          <cell r="BL489">
            <v>0</v>
          </cell>
          <cell r="BM489">
            <v>0</v>
          </cell>
          <cell r="BN489">
            <v>0</v>
          </cell>
          <cell r="BO489">
            <v>475.45000000000005</v>
          </cell>
        </row>
        <row r="490">
          <cell r="BL490">
            <v>0</v>
          </cell>
          <cell r="BM490">
            <v>0</v>
          </cell>
          <cell r="BN490">
            <v>0</v>
          </cell>
          <cell r="BO490">
            <v>2500</v>
          </cell>
        </row>
        <row r="491">
          <cell r="BL491">
            <v>0</v>
          </cell>
          <cell r="BM491">
            <v>0</v>
          </cell>
          <cell r="BN491">
            <v>0</v>
          </cell>
          <cell r="BO491">
            <v>3796.5</v>
          </cell>
        </row>
        <row r="492">
          <cell r="BL492">
            <v>0</v>
          </cell>
          <cell r="BM492">
            <v>0</v>
          </cell>
          <cell r="BN492">
            <v>0</v>
          </cell>
          <cell r="BO492">
            <v>3912.5</v>
          </cell>
        </row>
        <row r="493">
          <cell r="BL493">
            <v>0</v>
          </cell>
          <cell r="BM493">
            <v>0</v>
          </cell>
          <cell r="BN493">
            <v>0</v>
          </cell>
          <cell r="BO493">
            <v>77.63</v>
          </cell>
        </row>
        <row r="494">
          <cell r="BL494">
            <v>0</v>
          </cell>
          <cell r="BM494">
            <v>0</v>
          </cell>
          <cell r="BN494">
            <v>0</v>
          </cell>
          <cell r="BO494">
            <v>2983.5</v>
          </cell>
        </row>
        <row r="495">
          <cell r="BL495">
            <v>0</v>
          </cell>
          <cell r="BM495">
            <v>0</v>
          </cell>
          <cell r="BN495">
            <v>58551.1</v>
          </cell>
        </row>
        <row r="496">
          <cell r="BL496">
            <v>0</v>
          </cell>
          <cell r="BM496">
            <v>0</v>
          </cell>
          <cell r="BN496">
            <v>0</v>
          </cell>
          <cell r="BO496">
            <v>1647.6</v>
          </cell>
        </row>
        <row r="497">
          <cell r="BL497">
            <v>0</v>
          </cell>
          <cell r="BM497">
            <v>0</v>
          </cell>
          <cell r="BN497">
            <v>0</v>
          </cell>
          <cell r="BO497">
            <v>82.38</v>
          </cell>
        </row>
        <row r="498">
          <cell r="BL498">
            <v>0</v>
          </cell>
          <cell r="BM498">
            <v>0</v>
          </cell>
          <cell r="BN498">
            <v>0</v>
          </cell>
          <cell r="BO498">
            <v>164.76</v>
          </cell>
        </row>
        <row r="499">
          <cell r="BL499">
            <v>0</v>
          </cell>
          <cell r="BM499">
            <v>0</v>
          </cell>
          <cell r="BN499">
            <v>0</v>
          </cell>
          <cell r="BO499">
            <v>3990</v>
          </cell>
        </row>
        <row r="500">
          <cell r="BL500">
            <v>0</v>
          </cell>
          <cell r="BM500">
            <v>0</v>
          </cell>
          <cell r="BN500">
            <v>0</v>
          </cell>
          <cell r="BO500">
            <v>3059.1</v>
          </cell>
        </row>
        <row r="501">
          <cell r="BL501">
            <v>0</v>
          </cell>
          <cell r="BM501">
            <v>0</v>
          </cell>
          <cell r="BN501">
            <v>5705</v>
          </cell>
          <cell r="BO501">
            <v>0</v>
          </cell>
        </row>
        <row r="502">
          <cell r="BL502">
            <v>0</v>
          </cell>
          <cell r="BM502">
            <v>0</v>
          </cell>
          <cell r="BN502">
            <v>0</v>
          </cell>
          <cell r="BO502">
            <v>5286.8</v>
          </cell>
        </row>
        <row r="503">
          <cell r="BL503">
            <v>0</v>
          </cell>
          <cell r="BM503">
            <v>0</v>
          </cell>
          <cell r="BN503">
            <v>0</v>
          </cell>
          <cell r="BO503">
            <v>261.2</v>
          </cell>
        </row>
        <row r="504">
          <cell r="BL504">
            <v>0</v>
          </cell>
          <cell r="BM504">
            <v>0</v>
          </cell>
          <cell r="BN504">
            <v>0</v>
          </cell>
          <cell r="BO504">
            <v>3042</v>
          </cell>
        </row>
        <row r="505">
          <cell r="BL505">
            <v>0</v>
          </cell>
          <cell r="BM505">
            <v>0</v>
          </cell>
          <cell r="BN505">
            <v>0</v>
          </cell>
          <cell r="BO505">
            <v>2318</v>
          </cell>
        </row>
        <row r="506">
          <cell r="BL506">
            <v>0</v>
          </cell>
          <cell r="BM506">
            <v>0</v>
          </cell>
          <cell r="BN506">
            <v>0</v>
          </cell>
          <cell r="BO506">
            <v>815</v>
          </cell>
        </row>
        <row r="507">
          <cell r="BL507">
            <v>0</v>
          </cell>
          <cell r="BM507">
            <v>0</v>
          </cell>
          <cell r="BN507">
            <v>0</v>
          </cell>
          <cell r="BO507">
            <v>4380</v>
          </cell>
        </row>
        <row r="508">
          <cell r="BL508">
            <v>0</v>
          </cell>
          <cell r="BM508">
            <v>0</v>
          </cell>
          <cell r="BN508">
            <v>4695</v>
          </cell>
          <cell r="BO508">
            <v>0</v>
          </cell>
        </row>
        <row r="509">
          <cell r="BL509">
            <v>0</v>
          </cell>
          <cell r="BM509">
            <v>0</v>
          </cell>
          <cell r="BN509">
            <v>4500</v>
          </cell>
          <cell r="BO509">
            <v>0</v>
          </cell>
        </row>
        <row r="510">
          <cell r="BL510">
            <v>0</v>
          </cell>
          <cell r="BM510">
            <v>0</v>
          </cell>
          <cell r="BN510">
            <v>0</v>
          </cell>
          <cell r="BO510">
            <v>292.60000000000002</v>
          </cell>
        </row>
        <row r="511">
          <cell r="BL511">
            <v>0</v>
          </cell>
          <cell r="BM511">
            <v>0</v>
          </cell>
          <cell r="BN511">
            <v>0</v>
          </cell>
          <cell r="BO511">
            <v>6899</v>
          </cell>
        </row>
        <row r="512">
          <cell r="BL512">
            <v>0</v>
          </cell>
          <cell r="BM512">
            <v>0</v>
          </cell>
          <cell r="BN512">
            <v>0</v>
          </cell>
          <cell r="BO512">
            <v>7000</v>
          </cell>
        </row>
        <row r="513">
          <cell r="BL513">
            <v>0</v>
          </cell>
          <cell r="BM513">
            <v>0</v>
          </cell>
          <cell r="BN513">
            <v>0</v>
          </cell>
          <cell r="BO513">
            <v>1800</v>
          </cell>
        </row>
        <row r="514">
          <cell r="BL514">
            <v>0</v>
          </cell>
          <cell r="BM514">
            <v>0</v>
          </cell>
          <cell r="BN514">
            <v>0</v>
          </cell>
          <cell r="BO514">
            <v>8750</v>
          </cell>
        </row>
        <row r="515">
          <cell r="BL515">
            <v>0</v>
          </cell>
          <cell r="BM515">
            <v>0</v>
          </cell>
          <cell r="BN515">
            <v>0</v>
          </cell>
          <cell r="BO515">
            <v>8750</v>
          </cell>
        </row>
        <row r="516">
          <cell r="BL516">
            <v>0</v>
          </cell>
          <cell r="BM516">
            <v>0</v>
          </cell>
          <cell r="BN516">
            <v>0</v>
          </cell>
          <cell r="BO516">
            <v>82.38</v>
          </cell>
        </row>
        <row r="517">
          <cell r="BL517">
            <v>0</v>
          </cell>
          <cell r="BM517">
            <v>0</v>
          </cell>
          <cell r="BN517">
            <v>0</v>
          </cell>
          <cell r="BO517">
            <v>350.20000000000005</v>
          </cell>
        </row>
        <row r="518">
          <cell r="BL518">
            <v>0</v>
          </cell>
          <cell r="BM518">
            <v>0</v>
          </cell>
          <cell r="BN518">
            <v>0</v>
          </cell>
          <cell r="BO518">
            <v>239.44000000000003</v>
          </cell>
        </row>
        <row r="519">
          <cell r="BL519">
            <v>0</v>
          </cell>
          <cell r="BM519">
            <v>0</v>
          </cell>
          <cell r="BN519">
            <v>0</v>
          </cell>
          <cell r="BO519">
            <v>577.5</v>
          </cell>
        </row>
        <row r="520">
          <cell r="BL520">
            <v>0</v>
          </cell>
          <cell r="BM520">
            <v>0</v>
          </cell>
          <cell r="BN520">
            <v>0</v>
          </cell>
          <cell r="BO520">
            <v>3119.1200000000003</v>
          </cell>
        </row>
        <row r="521">
          <cell r="BL521">
            <v>0</v>
          </cell>
          <cell r="BM521">
            <v>0</v>
          </cell>
          <cell r="BN521">
            <v>0</v>
          </cell>
          <cell r="BO521">
            <v>2891.3</v>
          </cell>
        </row>
        <row r="522">
          <cell r="BL522">
            <v>0</v>
          </cell>
          <cell r="BM522">
            <v>0</v>
          </cell>
          <cell r="BN522">
            <v>0</v>
          </cell>
          <cell r="BO522">
            <v>1394.92</v>
          </cell>
        </row>
        <row r="523">
          <cell r="BL523">
            <v>0</v>
          </cell>
          <cell r="BM523">
            <v>0</v>
          </cell>
          <cell r="BN523">
            <v>167.1</v>
          </cell>
          <cell r="BO523">
            <v>0</v>
          </cell>
        </row>
        <row r="524">
          <cell r="BL524">
            <v>0</v>
          </cell>
          <cell r="BM524">
            <v>0</v>
          </cell>
          <cell r="BN524">
            <v>0</v>
          </cell>
          <cell r="BO524">
            <v>2251.7400000000002</v>
          </cell>
        </row>
        <row r="525">
          <cell r="BL525">
            <v>0</v>
          </cell>
          <cell r="BM525">
            <v>0</v>
          </cell>
          <cell r="BN525">
            <v>0</v>
          </cell>
          <cell r="BO525">
            <v>500</v>
          </cell>
        </row>
        <row r="526">
          <cell r="BL526">
            <v>0</v>
          </cell>
          <cell r="BM526">
            <v>0</v>
          </cell>
          <cell r="BN526">
            <v>0</v>
          </cell>
          <cell r="BO526">
            <v>329.52</v>
          </cell>
        </row>
        <row r="527">
          <cell r="BL527">
            <v>0</v>
          </cell>
          <cell r="BM527">
            <v>0</v>
          </cell>
          <cell r="BN527">
            <v>273.76</v>
          </cell>
          <cell r="BO527">
            <v>0</v>
          </cell>
        </row>
        <row r="528">
          <cell r="BL528">
            <v>0</v>
          </cell>
          <cell r="BM528">
            <v>0</v>
          </cell>
          <cell r="BN528">
            <v>0</v>
          </cell>
          <cell r="BO528">
            <v>2053.4</v>
          </cell>
        </row>
        <row r="529">
          <cell r="BL529">
            <v>0</v>
          </cell>
          <cell r="BM529">
            <v>0</v>
          </cell>
          <cell r="BN529">
            <v>0</v>
          </cell>
          <cell r="BO529">
            <v>2240</v>
          </cell>
        </row>
        <row r="530">
          <cell r="BL530">
            <v>0</v>
          </cell>
          <cell r="BM530">
            <v>0</v>
          </cell>
          <cell r="BN530">
            <v>0</v>
          </cell>
          <cell r="BO530">
            <v>87.550000000000011</v>
          </cell>
        </row>
        <row r="531">
          <cell r="BL531">
            <v>0</v>
          </cell>
          <cell r="BM531">
            <v>0</v>
          </cell>
          <cell r="BN531">
            <v>0</v>
          </cell>
          <cell r="BO531">
            <v>276.89999999999998</v>
          </cell>
        </row>
        <row r="532">
          <cell r="BL532">
            <v>0</v>
          </cell>
          <cell r="BM532">
            <v>0</v>
          </cell>
          <cell r="BN532">
            <v>0</v>
          </cell>
          <cell r="BO532">
            <v>547.52</v>
          </cell>
        </row>
        <row r="533">
          <cell r="BL533">
            <v>0</v>
          </cell>
          <cell r="BM533">
            <v>0</v>
          </cell>
          <cell r="BN533">
            <v>0</v>
          </cell>
          <cell r="BO533">
            <v>82.38</v>
          </cell>
        </row>
        <row r="534">
          <cell r="BL534">
            <v>0</v>
          </cell>
          <cell r="BM534">
            <v>0</v>
          </cell>
          <cell r="BN534">
            <v>0</v>
          </cell>
          <cell r="BO534">
            <v>163</v>
          </cell>
        </row>
        <row r="535">
          <cell r="BL535">
            <v>0</v>
          </cell>
          <cell r="BM535">
            <v>0</v>
          </cell>
          <cell r="BN535">
            <v>0</v>
          </cell>
          <cell r="BO535">
            <v>175.10000000000002</v>
          </cell>
        </row>
        <row r="536">
          <cell r="BL536">
            <v>0</v>
          </cell>
          <cell r="BM536">
            <v>0</v>
          </cell>
          <cell r="BN536">
            <v>0</v>
          </cell>
          <cell r="BO536">
            <v>525.30000000000007</v>
          </cell>
        </row>
        <row r="537">
          <cell r="BL537">
            <v>0</v>
          </cell>
          <cell r="BM537">
            <v>0</v>
          </cell>
          <cell r="BN537">
            <v>0</v>
          </cell>
          <cell r="BO537">
            <v>770.5</v>
          </cell>
        </row>
        <row r="538">
          <cell r="BL538">
            <v>0</v>
          </cell>
          <cell r="BM538">
            <v>0</v>
          </cell>
          <cell r="BN538">
            <v>0</v>
          </cell>
          <cell r="BO538">
            <v>3850</v>
          </cell>
        </row>
        <row r="539">
          <cell r="BL539">
            <v>0</v>
          </cell>
          <cell r="BM539">
            <v>0</v>
          </cell>
          <cell r="BN539">
            <v>0</v>
          </cell>
          <cell r="BO539">
            <v>6847.5</v>
          </cell>
        </row>
        <row r="540">
          <cell r="BL540">
            <v>0</v>
          </cell>
          <cell r="BM540">
            <v>0</v>
          </cell>
          <cell r="BN540">
            <v>0</v>
          </cell>
          <cell r="BO540">
            <v>247.5</v>
          </cell>
        </row>
        <row r="541">
          <cell r="BL541">
            <v>0</v>
          </cell>
          <cell r="BM541">
            <v>0</v>
          </cell>
          <cell r="BN541">
            <v>0</v>
          </cell>
          <cell r="BO541">
            <v>3160.8</v>
          </cell>
        </row>
        <row r="542">
          <cell r="BL542">
            <v>0</v>
          </cell>
          <cell r="BM542">
            <v>0</v>
          </cell>
          <cell r="BN542">
            <v>0</v>
          </cell>
          <cell r="BO542">
            <v>1107.5999999999999</v>
          </cell>
        </row>
        <row r="543">
          <cell r="BL543">
            <v>0</v>
          </cell>
          <cell r="BM543">
            <v>0</v>
          </cell>
          <cell r="BN543">
            <v>0</v>
          </cell>
          <cell r="BO543">
            <v>6000</v>
          </cell>
        </row>
        <row r="544">
          <cell r="BL544">
            <v>0</v>
          </cell>
          <cell r="BM544">
            <v>0</v>
          </cell>
          <cell r="BN544">
            <v>0</v>
          </cell>
          <cell r="BO544">
            <v>804.25</v>
          </cell>
        </row>
        <row r="545">
          <cell r="BL545">
            <v>0</v>
          </cell>
          <cell r="BM545">
            <v>0</v>
          </cell>
          <cell r="BN545">
            <v>0</v>
          </cell>
          <cell r="BO545">
            <v>8000</v>
          </cell>
        </row>
        <row r="546">
          <cell r="BL546">
            <v>0</v>
          </cell>
          <cell r="BM546">
            <v>0</v>
          </cell>
          <cell r="BN546">
            <v>0</v>
          </cell>
          <cell r="BO546">
            <v>522.4</v>
          </cell>
        </row>
        <row r="547">
          <cell r="BL547">
            <v>0</v>
          </cell>
          <cell r="BM547">
            <v>0</v>
          </cell>
          <cell r="BN547">
            <v>0</v>
          </cell>
          <cell r="BO547">
            <v>226.65</v>
          </cell>
        </row>
        <row r="548">
          <cell r="BL548">
            <v>0</v>
          </cell>
          <cell r="BM548">
            <v>0</v>
          </cell>
          <cell r="BN548">
            <v>0</v>
          </cell>
          <cell r="BO548">
            <v>1485</v>
          </cell>
        </row>
        <row r="549">
          <cell r="BL549">
            <v>0</v>
          </cell>
          <cell r="BM549">
            <v>0</v>
          </cell>
          <cell r="BN549">
            <v>0</v>
          </cell>
          <cell r="BO549">
            <v>2072.9</v>
          </cell>
        </row>
        <row r="550">
          <cell r="BL550">
            <v>0</v>
          </cell>
          <cell r="BM550">
            <v>0</v>
          </cell>
          <cell r="BN550">
            <v>0</v>
          </cell>
          <cell r="BO550">
            <v>19311.600000000002</v>
          </cell>
        </row>
        <row r="551">
          <cell r="BL551">
            <v>0</v>
          </cell>
          <cell r="BM551">
            <v>0</v>
          </cell>
          <cell r="BN551">
            <v>0</v>
          </cell>
          <cell r="BO551">
            <v>1577.7600000000002</v>
          </cell>
        </row>
        <row r="552">
          <cell r="BL552">
            <v>0</v>
          </cell>
          <cell r="BM552">
            <v>0</v>
          </cell>
          <cell r="BN552">
            <v>0</v>
          </cell>
          <cell r="BO552">
            <v>1932.88</v>
          </cell>
        </row>
        <row r="553">
          <cell r="BL553">
            <v>0</v>
          </cell>
          <cell r="BM553">
            <v>0</v>
          </cell>
          <cell r="BN553">
            <v>0</v>
          </cell>
          <cell r="BO553">
            <v>1400.2</v>
          </cell>
        </row>
        <row r="554">
          <cell r="BL554">
            <v>0</v>
          </cell>
          <cell r="BM554">
            <v>0</v>
          </cell>
          <cell r="BN554">
            <v>0</v>
          </cell>
          <cell r="BO554">
            <v>112.5</v>
          </cell>
        </row>
        <row r="555">
          <cell r="BL555">
            <v>0</v>
          </cell>
          <cell r="BM555">
            <v>0</v>
          </cell>
          <cell r="BN555">
            <v>0</v>
          </cell>
          <cell r="BO555">
            <v>7000</v>
          </cell>
        </row>
        <row r="556">
          <cell r="BL556">
            <v>0</v>
          </cell>
          <cell r="BM556">
            <v>0</v>
          </cell>
          <cell r="BN556">
            <v>5360</v>
          </cell>
          <cell r="BO556">
            <v>0</v>
          </cell>
        </row>
        <row r="557">
          <cell r="BL557">
            <v>0</v>
          </cell>
          <cell r="BM557">
            <v>0</v>
          </cell>
          <cell r="BN557">
            <v>0</v>
          </cell>
          <cell r="BO557">
            <v>175.56</v>
          </cell>
        </row>
        <row r="558">
          <cell r="BL558">
            <v>0</v>
          </cell>
          <cell r="BM558">
            <v>0</v>
          </cell>
          <cell r="BN558">
            <v>0</v>
          </cell>
          <cell r="BO558">
            <v>5194</v>
          </cell>
        </row>
        <row r="559">
          <cell r="BL559">
            <v>0</v>
          </cell>
          <cell r="BM559">
            <v>0</v>
          </cell>
          <cell r="BN559">
            <v>0</v>
          </cell>
          <cell r="BO559">
            <v>1384.5</v>
          </cell>
        </row>
        <row r="560">
          <cell r="BL560">
            <v>0</v>
          </cell>
          <cell r="BM560">
            <v>0</v>
          </cell>
          <cell r="BN560">
            <v>0</v>
          </cell>
          <cell r="BO560">
            <v>1750</v>
          </cell>
        </row>
        <row r="561">
          <cell r="BL561">
            <v>0</v>
          </cell>
          <cell r="BM561">
            <v>0</v>
          </cell>
          <cell r="BN561">
            <v>0</v>
          </cell>
          <cell r="BO561">
            <v>262.65000000000003</v>
          </cell>
        </row>
        <row r="562">
          <cell r="BL562">
            <v>0</v>
          </cell>
          <cell r="BM562">
            <v>0</v>
          </cell>
          <cell r="BN562">
            <v>0</v>
          </cell>
          <cell r="BO562">
            <v>164.76</v>
          </cell>
        </row>
        <row r="563">
          <cell r="BL563">
            <v>0</v>
          </cell>
          <cell r="BM563">
            <v>0</v>
          </cell>
          <cell r="BN563">
            <v>0</v>
          </cell>
          <cell r="BO563">
            <v>82.38</v>
          </cell>
        </row>
        <row r="564">
          <cell r="BL564">
            <v>0</v>
          </cell>
          <cell r="BM564">
            <v>0</v>
          </cell>
          <cell r="BN564">
            <v>0</v>
          </cell>
          <cell r="BO564">
            <v>164.76</v>
          </cell>
        </row>
        <row r="565">
          <cell r="BL565">
            <v>0</v>
          </cell>
          <cell r="BM565">
            <v>0</v>
          </cell>
          <cell r="BN565">
            <v>0</v>
          </cell>
          <cell r="BO565">
            <v>247.14</v>
          </cell>
        </row>
        <row r="566">
          <cell r="BL566">
            <v>0</v>
          </cell>
          <cell r="BM566">
            <v>0</v>
          </cell>
          <cell r="BN566">
            <v>0</v>
          </cell>
          <cell r="BO566">
            <v>9650</v>
          </cell>
        </row>
        <row r="567">
          <cell r="BL567">
            <v>0</v>
          </cell>
          <cell r="BM567">
            <v>0</v>
          </cell>
          <cell r="BN567">
            <v>0</v>
          </cell>
          <cell r="BO567">
            <v>659.04</v>
          </cell>
        </row>
        <row r="568">
          <cell r="BL568">
            <v>0</v>
          </cell>
          <cell r="BM568">
            <v>0</v>
          </cell>
          <cell r="BN568">
            <v>0</v>
          </cell>
          <cell r="BO568">
            <v>2300.84</v>
          </cell>
        </row>
        <row r="569">
          <cell r="BL569">
            <v>0</v>
          </cell>
          <cell r="BM569">
            <v>0</v>
          </cell>
          <cell r="BN569">
            <v>0</v>
          </cell>
          <cell r="BO569">
            <v>329.52</v>
          </cell>
        </row>
        <row r="570">
          <cell r="BL570">
            <v>0</v>
          </cell>
          <cell r="BM570">
            <v>0</v>
          </cell>
          <cell r="BN570">
            <v>0</v>
          </cell>
          <cell r="BO570">
            <v>110.76</v>
          </cell>
        </row>
        <row r="571">
          <cell r="BL571">
            <v>0</v>
          </cell>
          <cell r="BM571">
            <v>0</v>
          </cell>
          <cell r="BN571">
            <v>0</v>
          </cell>
          <cell r="BO571">
            <v>684.40000000000009</v>
          </cell>
        </row>
        <row r="572">
          <cell r="BL572">
            <v>0</v>
          </cell>
          <cell r="BM572">
            <v>0</v>
          </cell>
          <cell r="BN572">
            <v>0</v>
          </cell>
          <cell r="BO572">
            <v>407.5</v>
          </cell>
        </row>
        <row r="573">
          <cell r="BL573">
            <v>0</v>
          </cell>
          <cell r="BM573">
            <v>0</v>
          </cell>
          <cell r="BN573">
            <v>0</v>
          </cell>
          <cell r="BO573">
            <v>330</v>
          </cell>
        </row>
        <row r="574">
          <cell r="BL574">
            <v>0</v>
          </cell>
          <cell r="BM574">
            <v>0</v>
          </cell>
          <cell r="BN574">
            <v>0</v>
          </cell>
          <cell r="BO574">
            <v>330</v>
          </cell>
        </row>
        <row r="575">
          <cell r="BL575">
            <v>0</v>
          </cell>
          <cell r="BM575">
            <v>0</v>
          </cell>
          <cell r="BN575">
            <v>0</v>
          </cell>
          <cell r="BO575">
            <v>1400.2</v>
          </cell>
        </row>
        <row r="576">
          <cell r="BL576">
            <v>0</v>
          </cell>
          <cell r="BM576">
            <v>0</v>
          </cell>
          <cell r="BN576">
            <v>0</v>
          </cell>
          <cell r="BO576">
            <v>553.79999999999995</v>
          </cell>
        </row>
        <row r="577">
          <cell r="BL577">
            <v>0</v>
          </cell>
          <cell r="BM577">
            <v>0</v>
          </cell>
          <cell r="BN577">
            <v>3500</v>
          </cell>
          <cell r="BO577">
            <v>0</v>
          </cell>
        </row>
        <row r="578">
          <cell r="BL578">
            <v>0</v>
          </cell>
          <cell r="BM578">
            <v>0</v>
          </cell>
          <cell r="BN578">
            <v>0</v>
          </cell>
          <cell r="BO578">
            <v>1575</v>
          </cell>
        </row>
        <row r="579">
          <cell r="BL579">
            <v>0</v>
          </cell>
          <cell r="BM579">
            <v>0</v>
          </cell>
          <cell r="BN579">
            <v>0</v>
          </cell>
          <cell r="BO579">
            <v>690</v>
          </cell>
        </row>
        <row r="580">
          <cell r="BL580">
            <v>0</v>
          </cell>
          <cell r="BM580">
            <v>0</v>
          </cell>
          <cell r="BN580">
            <v>1000</v>
          </cell>
          <cell r="BO580">
            <v>0</v>
          </cell>
        </row>
        <row r="581">
          <cell r="BL581">
            <v>0</v>
          </cell>
          <cell r="BM581">
            <v>0</v>
          </cell>
          <cell r="BN581">
            <v>0</v>
          </cell>
          <cell r="BO581">
            <v>1567.2</v>
          </cell>
        </row>
        <row r="582">
          <cell r="BL582">
            <v>0</v>
          </cell>
          <cell r="BM582">
            <v>0</v>
          </cell>
          <cell r="BN582">
            <v>0</v>
          </cell>
          <cell r="BO582">
            <v>13701</v>
          </cell>
        </row>
        <row r="583">
          <cell r="BL583">
            <v>0</v>
          </cell>
          <cell r="BM583">
            <v>0</v>
          </cell>
          <cell r="BN583">
            <v>0</v>
          </cell>
          <cell r="BO583">
            <v>2612</v>
          </cell>
        </row>
        <row r="584">
          <cell r="BL584">
            <v>0</v>
          </cell>
          <cell r="BM584">
            <v>0</v>
          </cell>
          <cell r="BN584">
            <v>0</v>
          </cell>
          <cell r="BO584">
            <v>20000</v>
          </cell>
        </row>
        <row r="585">
          <cell r="BL585">
            <v>0</v>
          </cell>
          <cell r="BM585">
            <v>0</v>
          </cell>
          <cell r="BN585">
            <v>0</v>
          </cell>
          <cell r="BO585">
            <v>-2680</v>
          </cell>
        </row>
        <row r="586">
          <cell r="BL586">
            <v>0</v>
          </cell>
          <cell r="BM586">
            <v>0</v>
          </cell>
          <cell r="BN586">
            <v>0</v>
          </cell>
          <cell r="BO586">
            <v>1335.86</v>
          </cell>
        </row>
        <row r="587">
          <cell r="BL587">
            <v>0</v>
          </cell>
          <cell r="BM587">
            <v>0</v>
          </cell>
          <cell r="BN587">
            <v>0</v>
          </cell>
          <cell r="BO587">
            <v>1175.4000000000001</v>
          </cell>
        </row>
        <row r="588">
          <cell r="BL588">
            <v>0</v>
          </cell>
          <cell r="BM588">
            <v>0</v>
          </cell>
          <cell r="BN588">
            <v>0</v>
          </cell>
          <cell r="BO588">
            <v>276.89999999999998</v>
          </cell>
        </row>
        <row r="589">
          <cell r="BL589">
            <v>0</v>
          </cell>
          <cell r="BM589">
            <v>0</v>
          </cell>
          <cell r="BN589">
            <v>0</v>
          </cell>
          <cell r="BO589">
            <v>276.89999999999998</v>
          </cell>
        </row>
        <row r="590">
          <cell r="BL590">
            <v>0</v>
          </cell>
          <cell r="BM590">
            <v>0</v>
          </cell>
          <cell r="BN590">
            <v>0</v>
          </cell>
          <cell r="BO590">
            <v>553.79999999999995</v>
          </cell>
        </row>
        <row r="591">
          <cell r="BL591">
            <v>0</v>
          </cell>
          <cell r="BM591">
            <v>0</v>
          </cell>
          <cell r="BN591">
            <v>0</v>
          </cell>
          <cell r="BO591">
            <v>276.89999999999998</v>
          </cell>
        </row>
        <row r="592">
          <cell r="BL592">
            <v>0</v>
          </cell>
          <cell r="BM592">
            <v>0</v>
          </cell>
          <cell r="BN592">
            <v>0</v>
          </cell>
          <cell r="BO592">
            <v>164.76</v>
          </cell>
        </row>
        <row r="593">
          <cell r="BL593">
            <v>0</v>
          </cell>
          <cell r="BM593">
            <v>0</v>
          </cell>
          <cell r="BN593">
            <v>0</v>
          </cell>
          <cell r="BO593">
            <v>522.4</v>
          </cell>
        </row>
        <row r="594">
          <cell r="BL594">
            <v>0</v>
          </cell>
          <cell r="BM594">
            <v>0</v>
          </cell>
          <cell r="BN594">
            <v>0</v>
          </cell>
          <cell r="BO594">
            <v>25806.7824</v>
          </cell>
        </row>
        <row r="595">
          <cell r="BL595">
            <v>0</v>
          </cell>
          <cell r="BM595">
            <v>0</v>
          </cell>
          <cell r="BN595">
            <v>0</v>
          </cell>
          <cell r="BO595">
            <v>120</v>
          </cell>
        </row>
        <row r="596">
          <cell r="BL596">
            <v>0</v>
          </cell>
          <cell r="BM596">
            <v>0</v>
          </cell>
          <cell r="BN596">
            <v>0</v>
          </cell>
          <cell r="BO596">
            <v>8781.6407999999992</v>
          </cell>
        </row>
        <row r="597">
          <cell r="BL597">
            <v>0</v>
          </cell>
          <cell r="BM597">
            <v>0</v>
          </cell>
          <cell r="BN597">
            <v>0</v>
          </cell>
          <cell r="BO597">
            <v>542.53200000000004</v>
          </cell>
        </row>
        <row r="598">
          <cell r="BL598">
            <v>0</v>
          </cell>
          <cell r="BM598">
            <v>0</v>
          </cell>
          <cell r="BN598">
            <v>0</v>
          </cell>
          <cell r="BO598">
            <v>10287.5327</v>
          </cell>
        </row>
        <row r="599">
          <cell r="BL599">
            <v>0</v>
          </cell>
          <cell r="BM599">
            <v>0</v>
          </cell>
          <cell r="BN599">
            <v>0</v>
          </cell>
          <cell r="BO599">
            <v>20</v>
          </cell>
        </row>
        <row r="600">
          <cell r="BL600">
            <v>0</v>
          </cell>
          <cell r="BM600">
            <v>0</v>
          </cell>
          <cell r="BN600">
            <v>0</v>
          </cell>
          <cell r="BO600">
            <v>90.070099999999996</v>
          </cell>
        </row>
        <row r="601">
          <cell r="BL601">
            <v>0</v>
          </cell>
          <cell r="BM601">
            <v>0</v>
          </cell>
          <cell r="BN601">
            <v>0</v>
          </cell>
          <cell r="BO601">
            <v>14115.877500000001</v>
          </cell>
        </row>
        <row r="602">
          <cell r="BL602">
            <v>0</v>
          </cell>
          <cell r="BM602">
            <v>0</v>
          </cell>
          <cell r="BN602">
            <v>0</v>
          </cell>
          <cell r="BO602">
            <v>4550</v>
          </cell>
        </row>
        <row r="603">
          <cell r="BL603">
            <v>0</v>
          </cell>
          <cell r="BM603">
            <v>0</v>
          </cell>
          <cell r="BN603">
            <v>0</v>
          </cell>
          <cell r="BO603">
            <v>2800.9558999999999</v>
          </cell>
        </row>
        <row r="604">
          <cell r="BL604">
            <v>0</v>
          </cell>
          <cell r="BM604">
            <v>0</v>
          </cell>
          <cell r="BN604">
            <v>0</v>
          </cell>
          <cell r="BO604">
            <v>4431.8999999999996</v>
          </cell>
        </row>
        <row r="605">
          <cell r="BL605">
            <v>0</v>
          </cell>
          <cell r="BM605">
            <v>0</v>
          </cell>
          <cell r="BN605">
            <v>0</v>
          </cell>
          <cell r="BO605">
            <v>671.38</v>
          </cell>
        </row>
        <row r="606">
          <cell r="BL606">
            <v>0</v>
          </cell>
          <cell r="BM606">
            <v>0</v>
          </cell>
          <cell r="BN606">
            <v>0</v>
          </cell>
          <cell r="BO606">
            <v>-6570</v>
          </cell>
        </row>
        <row r="607">
          <cell r="BL607">
            <v>0</v>
          </cell>
          <cell r="BM607">
            <v>0</v>
          </cell>
          <cell r="BN607">
            <v>0</v>
          </cell>
          <cell r="BO607">
            <v>212.1</v>
          </cell>
        </row>
        <row r="608">
          <cell r="BL608">
            <v>0</v>
          </cell>
          <cell r="BM608">
            <v>0</v>
          </cell>
          <cell r="BN608">
            <v>0</v>
          </cell>
          <cell r="BO608">
            <v>82.38</v>
          </cell>
        </row>
        <row r="609">
          <cell r="BL609">
            <v>0</v>
          </cell>
          <cell r="BM609">
            <v>0</v>
          </cell>
          <cell r="BN609">
            <v>0</v>
          </cell>
          <cell r="BO609">
            <v>45</v>
          </cell>
        </row>
        <row r="610">
          <cell r="BL610">
            <v>0</v>
          </cell>
          <cell r="BM610">
            <v>0</v>
          </cell>
          <cell r="BN610">
            <v>0</v>
          </cell>
          <cell r="BO610">
            <v>90</v>
          </cell>
        </row>
        <row r="611">
          <cell r="BL611">
            <v>0</v>
          </cell>
          <cell r="BM611">
            <v>0</v>
          </cell>
          <cell r="BN611">
            <v>0</v>
          </cell>
          <cell r="BO611">
            <v>261.2</v>
          </cell>
        </row>
        <row r="612">
          <cell r="BL612">
            <v>0</v>
          </cell>
          <cell r="BM612">
            <v>0</v>
          </cell>
          <cell r="BN612">
            <v>0</v>
          </cell>
          <cell r="BO612">
            <v>1368.8000000000002</v>
          </cell>
        </row>
        <row r="613">
          <cell r="BL613">
            <v>0</v>
          </cell>
          <cell r="BM613">
            <v>0</v>
          </cell>
          <cell r="BN613">
            <v>0</v>
          </cell>
          <cell r="BO613">
            <v>5734.26</v>
          </cell>
        </row>
        <row r="614">
          <cell r="BL614">
            <v>0</v>
          </cell>
          <cell r="BM614">
            <v>0</v>
          </cell>
          <cell r="BN614">
            <v>0</v>
          </cell>
          <cell r="BO614">
            <v>1983.1</v>
          </cell>
        </row>
        <row r="615">
          <cell r="BL615">
            <v>0</v>
          </cell>
          <cell r="BM615">
            <v>0</v>
          </cell>
          <cell r="BN615">
            <v>0</v>
          </cell>
          <cell r="BO615">
            <v>553.79999999999995</v>
          </cell>
        </row>
        <row r="616">
          <cell r="BL616">
            <v>0</v>
          </cell>
          <cell r="BM616">
            <v>0</v>
          </cell>
          <cell r="BN616">
            <v>0</v>
          </cell>
          <cell r="BO616">
            <v>32.17</v>
          </cell>
        </row>
        <row r="617">
          <cell r="BL617">
            <v>0</v>
          </cell>
          <cell r="BM617">
            <v>0</v>
          </cell>
          <cell r="BN617">
            <v>0</v>
          </cell>
          <cell r="BO617">
            <v>1436.74</v>
          </cell>
        </row>
        <row r="618">
          <cell r="BL618">
            <v>0</v>
          </cell>
          <cell r="BM618">
            <v>0</v>
          </cell>
          <cell r="BN618">
            <v>0</v>
          </cell>
          <cell r="BO618">
            <v>4134.03</v>
          </cell>
        </row>
        <row r="619">
          <cell r="BL619">
            <v>0</v>
          </cell>
          <cell r="BM619">
            <v>0</v>
          </cell>
          <cell r="BN619">
            <v>0</v>
          </cell>
          <cell r="BO619">
            <v>2103.06</v>
          </cell>
        </row>
        <row r="620">
          <cell r="BL620">
            <v>0</v>
          </cell>
          <cell r="BM620">
            <v>0</v>
          </cell>
          <cell r="BN620">
            <v>0</v>
          </cell>
          <cell r="BO620">
            <v>218.38</v>
          </cell>
        </row>
        <row r="621">
          <cell r="BL621">
            <v>0</v>
          </cell>
          <cell r="BM621">
            <v>0</v>
          </cell>
          <cell r="BN621">
            <v>0</v>
          </cell>
          <cell r="BO621">
            <v>1550.78</v>
          </cell>
        </row>
        <row r="622">
          <cell r="BL622">
            <v>0</v>
          </cell>
          <cell r="BM622">
            <v>0</v>
          </cell>
          <cell r="BN622">
            <v>2612</v>
          </cell>
          <cell r="BO622">
            <v>0</v>
          </cell>
        </row>
        <row r="623">
          <cell r="BL623">
            <v>0</v>
          </cell>
          <cell r="BM623">
            <v>0</v>
          </cell>
          <cell r="BN623">
            <v>0</v>
          </cell>
          <cell r="BO623">
            <v>261.2</v>
          </cell>
        </row>
        <row r="624">
          <cell r="BL624">
            <v>0</v>
          </cell>
          <cell r="BM624">
            <v>0</v>
          </cell>
          <cell r="BN624">
            <v>0</v>
          </cell>
          <cell r="BO624">
            <v>261.2</v>
          </cell>
        </row>
        <row r="625">
          <cell r="BL625">
            <v>0</v>
          </cell>
          <cell r="BM625">
            <v>0</v>
          </cell>
          <cell r="BN625">
            <v>0</v>
          </cell>
          <cell r="BO625">
            <v>3900</v>
          </cell>
        </row>
        <row r="626">
          <cell r="BL626">
            <v>0</v>
          </cell>
          <cell r="BM626">
            <v>0</v>
          </cell>
          <cell r="BN626">
            <v>0</v>
          </cell>
          <cell r="BO626">
            <v>7700</v>
          </cell>
        </row>
        <row r="627">
          <cell r="BL627">
            <v>0</v>
          </cell>
          <cell r="BM627">
            <v>0</v>
          </cell>
          <cell r="BN627">
            <v>0</v>
          </cell>
          <cell r="BO627">
            <v>140</v>
          </cell>
        </row>
        <row r="628">
          <cell r="BL628">
            <v>0</v>
          </cell>
          <cell r="BM628">
            <v>0</v>
          </cell>
          <cell r="BN628">
            <v>0</v>
          </cell>
          <cell r="BO628">
            <v>180</v>
          </cell>
        </row>
        <row r="629">
          <cell r="BL629">
            <v>0</v>
          </cell>
          <cell r="BM629">
            <v>0</v>
          </cell>
          <cell r="BN629">
            <v>0</v>
          </cell>
          <cell r="BO629">
            <v>9000</v>
          </cell>
        </row>
        <row r="630">
          <cell r="BL630">
            <v>0</v>
          </cell>
          <cell r="BM630">
            <v>0</v>
          </cell>
          <cell r="BN630">
            <v>0</v>
          </cell>
          <cell r="BO630">
            <v>13020</v>
          </cell>
        </row>
        <row r="631">
          <cell r="BL631">
            <v>0</v>
          </cell>
          <cell r="BM631">
            <v>0</v>
          </cell>
          <cell r="BN631">
            <v>0</v>
          </cell>
          <cell r="BO631">
            <v>29552</v>
          </cell>
        </row>
        <row r="632">
          <cell r="BL632">
            <v>0</v>
          </cell>
          <cell r="BM632">
            <v>0</v>
          </cell>
          <cell r="BN632">
            <v>0</v>
          </cell>
          <cell r="BO632">
            <v>2700</v>
          </cell>
        </row>
        <row r="633">
          <cell r="BL633">
            <v>0</v>
          </cell>
          <cell r="BM633">
            <v>0</v>
          </cell>
          <cell r="BN633">
            <v>0</v>
          </cell>
          <cell r="BO633">
            <v>12664</v>
          </cell>
        </row>
        <row r="634">
          <cell r="BL634">
            <v>0</v>
          </cell>
          <cell r="BM634">
            <v>0</v>
          </cell>
          <cell r="BN634">
            <v>0</v>
          </cell>
          <cell r="BO634">
            <v>939.9</v>
          </cell>
        </row>
        <row r="635">
          <cell r="BL635">
            <v>0</v>
          </cell>
          <cell r="BM635">
            <v>0</v>
          </cell>
          <cell r="BN635">
            <v>0</v>
          </cell>
          <cell r="BO635">
            <v>1000</v>
          </cell>
        </row>
        <row r="636">
          <cell r="BL636">
            <v>0</v>
          </cell>
          <cell r="BM636">
            <v>0</v>
          </cell>
          <cell r="BN636">
            <v>0</v>
          </cell>
          <cell r="BO636">
            <v>4099</v>
          </cell>
        </row>
        <row r="637">
          <cell r="BL637">
            <v>0</v>
          </cell>
          <cell r="BM637">
            <v>0</v>
          </cell>
          <cell r="BN637">
            <v>2000</v>
          </cell>
          <cell r="BO637">
            <v>0</v>
          </cell>
        </row>
        <row r="638">
          <cell r="BL638">
            <v>0</v>
          </cell>
          <cell r="BM638">
            <v>0</v>
          </cell>
          <cell r="BN638">
            <v>0</v>
          </cell>
          <cell r="BO638">
            <v>1750</v>
          </cell>
        </row>
        <row r="639">
          <cell r="BL639">
            <v>0</v>
          </cell>
          <cell r="BM639">
            <v>0</v>
          </cell>
          <cell r="BN639">
            <v>0</v>
          </cell>
          <cell r="BO639">
            <v>15640</v>
          </cell>
        </row>
        <row r="640">
          <cell r="BL640">
            <v>0</v>
          </cell>
          <cell r="BM640">
            <v>0</v>
          </cell>
          <cell r="BN640">
            <v>0</v>
          </cell>
          <cell r="BO640">
            <v>15640</v>
          </cell>
        </row>
        <row r="641">
          <cell r="BL641">
            <v>0</v>
          </cell>
          <cell r="BM641">
            <v>0</v>
          </cell>
          <cell r="BN641">
            <v>0</v>
          </cell>
          <cell r="BO641">
            <v>15640</v>
          </cell>
        </row>
        <row r="642">
          <cell r="BL642">
            <v>0</v>
          </cell>
          <cell r="BM642">
            <v>0</v>
          </cell>
          <cell r="BN642">
            <v>0</v>
          </cell>
          <cell r="BO642">
            <v>18000</v>
          </cell>
        </row>
        <row r="643">
          <cell r="BL643">
            <v>0</v>
          </cell>
          <cell r="BM643">
            <v>0</v>
          </cell>
          <cell r="BN643">
            <v>0</v>
          </cell>
          <cell r="BO643">
            <v>553.79999999999995</v>
          </cell>
        </row>
        <row r="644">
          <cell r="BL644">
            <v>0</v>
          </cell>
          <cell r="BM644">
            <v>0</v>
          </cell>
          <cell r="BN644">
            <v>0</v>
          </cell>
          <cell r="BO644">
            <v>5323.48</v>
          </cell>
        </row>
        <row r="645">
          <cell r="BL645">
            <v>0</v>
          </cell>
          <cell r="BM645">
            <v>0</v>
          </cell>
          <cell r="BN645">
            <v>0</v>
          </cell>
          <cell r="BO645">
            <v>57200</v>
          </cell>
        </row>
        <row r="646">
          <cell r="BL646">
            <v>0</v>
          </cell>
          <cell r="BM646">
            <v>0</v>
          </cell>
          <cell r="BN646">
            <v>0</v>
          </cell>
          <cell r="BO646">
            <v>7500</v>
          </cell>
        </row>
        <row r="647">
          <cell r="BL647">
            <v>0</v>
          </cell>
          <cell r="BM647">
            <v>0</v>
          </cell>
          <cell r="BN647">
            <v>0</v>
          </cell>
          <cell r="BO647">
            <v>2845.25</v>
          </cell>
        </row>
        <row r="648">
          <cell r="BL648">
            <v>0</v>
          </cell>
          <cell r="BM648">
            <v>0</v>
          </cell>
          <cell r="BN648">
            <v>0</v>
          </cell>
          <cell r="BO648">
            <v>2705</v>
          </cell>
        </row>
        <row r="649">
          <cell r="BL649">
            <v>0</v>
          </cell>
          <cell r="BM649">
            <v>0</v>
          </cell>
          <cell r="BN649">
            <v>0</v>
          </cell>
          <cell r="BO649">
            <v>6300</v>
          </cell>
        </row>
        <row r="650">
          <cell r="BL650">
            <v>0</v>
          </cell>
          <cell r="BM650">
            <v>0</v>
          </cell>
          <cell r="BN650">
            <v>0</v>
          </cell>
          <cell r="BO650">
            <v>2796.25</v>
          </cell>
        </row>
        <row r="651">
          <cell r="BL651">
            <v>0</v>
          </cell>
          <cell r="BM651">
            <v>0</v>
          </cell>
          <cell r="BN651">
            <v>0</v>
          </cell>
          <cell r="BO651">
            <v>24000</v>
          </cell>
        </row>
        <row r="652">
          <cell r="BL652">
            <v>0</v>
          </cell>
          <cell r="BM652">
            <v>0</v>
          </cell>
          <cell r="BN652">
            <v>0</v>
          </cell>
          <cell r="BO652">
            <v>15001.8</v>
          </cell>
        </row>
        <row r="653">
          <cell r="BL653">
            <v>0</v>
          </cell>
          <cell r="BM653">
            <v>0</v>
          </cell>
          <cell r="BN653">
            <v>0</v>
          </cell>
          <cell r="BO653">
            <v>2500</v>
          </cell>
        </row>
        <row r="654">
          <cell r="BL654">
            <v>0</v>
          </cell>
          <cell r="BM654">
            <v>0</v>
          </cell>
          <cell r="BN654">
            <v>0</v>
          </cell>
          <cell r="BO654">
            <v>149</v>
          </cell>
        </row>
        <row r="655">
          <cell r="BL655">
            <v>0</v>
          </cell>
          <cell r="BM655">
            <v>0</v>
          </cell>
          <cell r="BN655">
            <v>0</v>
          </cell>
          <cell r="BO655">
            <v>1043.48</v>
          </cell>
        </row>
        <row r="656">
          <cell r="BL656">
            <v>0</v>
          </cell>
          <cell r="BM656">
            <v>0</v>
          </cell>
          <cell r="BN656">
            <v>0</v>
          </cell>
          <cell r="BO656">
            <v>3067.4</v>
          </cell>
        </row>
        <row r="657">
          <cell r="BL657">
            <v>0</v>
          </cell>
          <cell r="BM657">
            <v>0</v>
          </cell>
        </row>
        <row r="658">
          <cell r="BL658">
            <v>0</v>
          </cell>
          <cell r="BM658">
            <v>0</v>
          </cell>
          <cell r="BN658">
            <v>0</v>
          </cell>
          <cell r="BO658">
            <v>1335.86</v>
          </cell>
        </row>
        <row r="659">
          <cell r="BL659">
            <v>0</v>
          </cell>
          <cell r="BM659">
            <v>0</v>
          </cell>
          <cell r="BN659">
            <v>0</v>
          </cell>
          <cell r="BO659">
            <v>6500</v>
          </cell>
        </row>
        <row r="660">
          <cell r="BL660">
            <v>0</v>
          </cell>
          <cell r="BM660">
            <v>0</v>
          </cell>
          <cell r="BN660">
            <v>0</v>
          </cell>
          <cell r="BO660">
            <v>100</v>
          </cell>
        </row>
        <row r="661">
          <cell r="BL661">
            <v>0</v>
          </cell>
          <cell r="BM661">
            <v>0</v>
          </cell>
          <cell r="BN661">
            <v>0</v>
          </cell>
          <cell r="BO661">
            <v>5538</v>
          </cell>
        </row>
        <row r="662">
          <cell r="BL662">
            <v>0</v>
          </cell>
          <cell r="BM662">
            <v>0</v>
          </cell>
          <cell r="BN662">
            <v>0</v>
          </cell>
          <cell r="BO662">
            <v>2500</v>
          </cell>
        </row>
        <row r="663">
          <cell r="BL663">
            <v>0</v>
          </cell>
          <cell r="BM663">
            <v>0</v>
          </cell>
          <cell r="BN663">
            <v>0</v>
          </cell>
          <cell r="BO663">
            <v>3003.4</v>
          </cell>
        </row>
        <row r="664">
          <cell r="BL664">
            <v>0</v>
          </cell>
          <cell r="BM664">
            <v>0</v>
          </cell>
          <cell r="BN664">
            <v>0</v>
          </cell>
          <cell r="BO664">
            <v>136.88</v>
          </cell>
        </row>
        <row r="665">
          <cell r="BL665">
            <v>0</v>
          </cell>
          <cell r="BM665">
            <v>0</v>
          </cell>
          <cell r="BN665">
            <v>0</v>
          </cell>
          <cell r="BO665">
            <v>7407</v>
          </cell>
        </row>
        <row r="666">
          <cell r="BL666">
            <v>0</v>
          </cell>
          <cell r="BM666">
            <v>0</v>
          </cell>
          <cell r="BN666">
            <v>0</v>
          </cell>
          <cell r="BO666">
            <v>525.30000000000007</v>
          </cell>
        </row>
        <row r="667">
          <cell r="BL667">
            <v>0</v>
          </cell>
          <cell r="BM667">
            <v>0</v>
          </cell>
          <cell r="BN667">
            <v>0</v>
          </cell>
          <cell r="BO667">
            <v>-4786.75</v>
          </cell>
        </row>
        <row r="668">
          <cell r="BL668">
            <v>0</v>
          </cell>
          <cell r="BM668">
            <v>0</v>
          </cell>
          <cell r="BN668">
            <v>29952</v>
          </cell>
          <cell r="BO668">
            <v>0</v>
          </cell>
        </row>
        <row r="669">
          <cell r="BL669">
            <v>0</v>
          </cell>
          <cell r="BM669">
            <v>0</v>
          </cell>
          <cell r="BN669">
            <v>8663.33</v>
          </cell>
          <cell r="BO669">
            <v>0</v>
          </cell>
        </row>
        <row r="670">
          <cell r="BL670">
            <v>0</v>
          </cell>
          <cell r="BM670">
            <v>0</v>
          </cell>
          <cell r="BN670">
            <v>0</v>
          </cell>
          <cell r="BO670">
            <v>82.5</v>
          </cell>
        </row>
        <row r="671">
          <cell r="BL671">
            <v>0</v>
          </cell>
          <cell r="BM671">
            <v>0</v>
          </cell>
          <cell r="BN671">
            <v>0</v>
          </cell>
          <cell r="BO671">
            <v>18576</v>
          </cell>
        </row>
        <row r="672">
          <cell r="BL672">
            <v>0</v>
          </cell>
          <cell r="BM672">
            <v>0</v>
          </cell>
          <cell r="BN672">
            <v>0</v>
          </cell>
          <cell r="BO672">
            <v>6000</v>
          </cell>
        </row>
        <row r="673">
          <cell r="BL673">
            <v>0</v>
          </cell>
          <cell r="BM673">
            <v>0</v>
          </cell>
          <cell r="BN673">
            <v>0</v>
          </cell>
          <cell r="BO673">
            <v>407.5</v>
          </cell>
        </row>
        <row r="674">
          <cell r="BL674">
            <v>0</v>
          </cell>
          <cell r="BM674">
            <v>0</v>
          </cell>
          <cell r="BN674">
            <v>0</v>
          </cell>
          <cell r="BO674">
            <v>538.1</v>
          </cell>
        </row>
        <row r="675">
          <cell r="BL675">
            <v>0</v>
          </cell>
          <cell r="BM675">
            <v>0</v>
          </cell>
          <cell r="BN675">
            <v>0</v>
          </cell>
          <cell r="BO675">
            <v>300</v>
          </cell>
        </row>
        <row r="676">
          <cell r="BL676">
            <v>0</v>
          </cell>
          <cell r="BM676">
            <v>0</v>
          </cell>
          <cell r="BN676">
            <v>0</v>
          </cell>
          <cell r="BO676">
            <v>30768</v>
          </cell>
        </row>
        <row r="677">
          <cell r="BL677">
            <v>0</v>
          </cell>
          <cell r="BM677">
            <v>0</v>
          </cell>
          <cell r="BN677">
            <v>0</v>
          </cell>
          <cell r="BO677">
            <v>1567.2</v>
          </cell>
        </row>
        <row r="678">
          <cell r="BL678">
            <v>0</v>
          </cell>
          <cell r="BM678">
            <v>0</v>
          </cell>
          <cell r="BN678">
            <v>0</v>
          </cell>
          <cell r="BO678">
            <v>276.89999999999998</v>
          </cell>
        </row>
        <row r="679">
          <cell r="BL679">
            <v>0</v>
          </cell>
          <cell r="BM679">
            <v>0</v>
          </cell>
          <cell r="BN679">
            <v>0</v>
          </cell>
          <cell r="BO679">
            <v>120</v>
          </cell>
        </row>
        <row r="680">
          <cell r="BL680">
            <v>0</v>
          </cell>
          <cell r="BM680">
            <v>0</v>
          </cell>
          <cell r="BN680">
            <v>0</v>
          </cell>
          <cell r="BO680">
            <v>82.5</v>
          </cell>
        </row>
        <row r="681">
          <cell r="BL681">
            <v>0</v>
          </cell>
          <cell r="BM681">
            <v>0</v>
          </cell>
          <cell r="BN681">
            <v>5852</v>
          </cell>
          <cell r="BO681">
            <v>0</v>
          </cell>
        </row>
        <row r="682">
          <cell r="BL682">
            <v>0</v>
          </cell>
          <cell r="BM682">
            <v>0</v>
          </cell>
          <cell r="BN682">
            <v>0</v>
          </cell>
          <cell r="BO682">
            <v>261.2</v>
          </cell>
        </row>
        <row r="683">
          <cell r="BL683">
            <v>0</v>
          </cell>
          <cell r="BM683">
            <v>0</v>
          </cell>
          <cell r="BN683">
            <v>0</v>
          </cell>
          <cell r="BO683">
            <v>422</v>
          </cell>
        </row>
        <row r="684">
          <cell r="BL684">
            <v>0</v>
          </cell>
          <cell r="BM684">
            <v>0</v>
          </cell>
          <cell r="BN684">
            <v>0</v>
          </cell>
          <cell r="BO684">
            <v>5658</v>
          </cell>
        </row>
        <row r="685">
          <cell r="BL685">
            <v>0</v>
          </cell>
          <cell r="BM685">
            <v>0</v>
          </cell>
          <cell r="BN685">
            <v>0</v>
          </cell>
          <cell r="BO685">
            <v>2190</v>
          </cell>
        </row>
        <row r="686">
          <cell r="BL686">
            <v>0</v>
          </cell>
          <cell r="BM686">
            <v>0</v>
          </cell>
          <cell r="BN686">
            <v>0</v>
          </cell>
          <cell r="BO686">
            <v>72</v>
          </cell>
        </row>
        <row r="687">
          <cell r="BL687">
            <v>0</v>
          </cell>
          <cell r="BM687">
            <v>0</v>
          </cell>
          <cell r="BN687">
            <v>0</v>
          </cell>
          <cell r="BO687">
            <v>7500</v>
          </cell>
        </row>
        <row r="688">
          <cell r="BL688">
            <v>0</v>
          </cell>
          <cell r="BM688">
            <v>0</v>
          </cell>
          <cell r="BN688">
            <v>0</v>
          </cell>
          <cell r="BO688">
            <v>250</v>
          </cell>
        </row>
        <row r="689">
          <cell r="BL689">
            <v>0</v>
          </cell>
          <cell r="BM689">
            <v>0</v>
          </cell>
          <cell r="BN689">
            <v>0</v>
          </cell>
          <cell r="BO689">
            <v>277.10000000000002</v>
          </cell>
        </row>
        <row r="690">
          <cell r="BL690">
            <v>0</v>
          </cell>
          <cell r="BM690">
            <v>0</v>
          </cell>
          <cell r="BN690">
            <v>0</v>
          </cell>
          <cell r="BO690">
            <v>407.5</v>
          </cell>
        </row>
        <row r="691">
          <cell r="BL691">
            <v>0</v>
          </cell>
          <cell r="BM691">
            <v>0</v>
          </cell>
          <cell r="BN691">
            <v>3000</v>
          </cell>
          <cell r="BO691">
            <v>0</v>
          </cell>
        </row>
        <row r="692">
          <cell r="BL692">
            <v>0</v>
          </cell>
          <cell r="BM692">
            <v>0</v>
          </cell>
          <cell r="BN692">
            <v>0</v>
          </cell>
          <cell r="BO692">
            <v>110.76</v>
          </cell>
        </row>
        <row r="693">
          <cell r="BL693">
            <v>0</v>
          </cell>
          <cell r="BM693">
            <v>0</v>
          </cell>
          <cell r="BN693">
            <v>0</v>
          </cell>
          <cell r="BO693">
            <v>412.5</v>
          </cell>
        </row>
        <row r="694">
          <cell r="BL694">
            <v>0</v>
          </cell>
          <cell r="BM694">
            <v>0</v>
          </cell>
          <cell r="BN694">
            <v>0</v>
          </cell>
          <cell r="BO694">
            <v>8000</v>
          </cell>
        </row>
        <row r="695">
          <cell r="BL695">
            <v>0</v>
          </cell>
          <cell r="BM695">
            <v>0</v>
          </cell>
          <cell r="BN695">
            <v>0</v>
          </cell>
          <cell r="BO695">
            <v>5544</v>
          </cell>
        </row>
        <row r="696">
          <cell r="BL696">
            <v>0</v>
          </cell>
          <cell r="BM696">
            <v>0</v>
          </cell>
          <cell r="BN696">
            <v>0</v>
          </cell>
          <cell r="BO696">
            <v>500</v>
          </cell>
        </row>
        <row r="697">
          <cell r="BL697">
            <v>0</v>
          </cell>
          <cell r="BM697">
            <v>0</v>
          </cell>
          <cell r="BN697">
            <v>0</v>
          </cell>
          <cell r="BO697">
            <v>3362.34</v>
          </cell>
        </row>
        <row r="698">
          <cell r="BL698">
            <v>0</v>
          </cell>
          <cell r="BM698">
            <v>0</v>
          </cell>
          <cell r="BN698">
            <v>262.65000000000003</v>
          </cell>
          <cell r="BO698">
            <v>0</v>
          </cell>
        </row>
        <row r="699">
          <cell r="BL699">
            <v>0</v>
          </cell>
          <cell r="BM699">
            <v>0</v>
          </cell>
          <cell r="BN699">
            <v>5323.48</v>
          </cell>
          <cell r="BO699">
            <v>0</v>
          </cell>
        </row>
        <row r="700">
          <cell r="BL700">
            <v>0</v>
          </cell>
          <cell r="BM700">
            <v>0</v>
          </cell>
          <cell r="BN700">
            <v>0</v>
          </cell>
          <cell r="BO700">
            <v>1000</v>
          </cell>
        </row>
        <row r="701">
          <cell r="BL701">
            <v>0</v>
          </cell>
          <cell r="BM701">
            <v>0</v>
          </cell>
          <cell r="BN701">
            <v>0</v>
          </cell>
          <cell r="BO701">
            <v>6557.25</v>
          </cell>
        </row>
        <row r="702">
          <cell r="BL702">
            <v>0</v>
          </cell>
          <cell r="BM702">
            <v>0</v>
          </cell>
          <cell r="BN702">
            <v>350.20000000000005</v>
          </cell>
          <cell r="BO702">
            <v>0</v>
          </cell>
        </row>
        <row r="703">
          <cell r="BL703">
            <v>0</v>
          </cell>
          <cell r="BM703">
            <v>0</v>
          </cell>
          <cell r="BN703">
            <v>0</v>
          </cell>
          <cell r="BO703">
            <v>216</v>
          </cell>
        </row>
        <row r="704">
          <cell r="BL704">
            <v>0</v>
          </cell>
          <cell r="BM704">
            <v>0</v>
          </cell>
          <cell r="BN704">
            <v>0</v>
          </cell>
          <cell r="BO704">
            <v>8256.34</v>
          </cell>
        </row>
        <row r="705">
          <cell r="BL705">
            <v>0</v>
          </cell>
          <cell r="BM705">
            <v>0</v>
          </cell>
          <cell r="BN705">
            <v>0</v>
          </cell>
          <cell r="BO705">
            <v>538.1</v>
          </cell>
        </row>
        <row r="706">
          <cell r="BL706">
            <v>0</v>
          </cell>
          <cell r="BM706">
            <v>0</v>
          </cell>
          <cell r="BN706">
            <v>0</v>
          </cell>
          <cell r="BO706">
            <v>116</v>
          </cell>
        </row>
        <row r="707">
          <cell r="BL707">
            <v>0</v>
          </cell>
          <cell r="BM707">
            <v>0</v>
          </cell>
          <cell r="BN707">
            <v>0</v>
          </cell>
          <cell r="BO707">
            <v>240</v>
          </cell>
        </row>
        <row r="708">
          <cell r="BL708">
            <v>0</v>
          </cell>
          <cell r="BM708">
            <v>0</v>
          </cell>
          <cell r="BN708">
            <v>0</v>
          </cell>
          <cell r="BO708">
            <v>500</v>
          </cell>
        </row>
        <row r="709">
          <cell r="BL709">
            <v>0</v>
          </cell>
          <cell r="BM709">
            <v>0</v>
          </cell>
          <cell r="BN709">
            <v>553.79999999999995</v>
          </cell>
          <cell r="BO709">
            <v>0</v>
          </cell>
        </row>
        <row r="710">
          <cell r="BL710">
            <v>0</v>
          </cell>
          <cell r="BM710">
            <v>0</v>
          </cell>
          <cell r="BN710">
            <v>0</v>
          </cell>
          <cell r="BO710">
            <v>412.5</v>
          </cell>
        </row>
        <row r="711">
          <cell r="BL711">
            <v>0</v>
          </cell>
          <cell r="BM711">
            <v>0</v>
          </cell>
          <cell r="BN711">
            <v>0</v>
          </cell>
          <cell r="BO711">
            <v>5632.2000000000007</v>
          </cell>
        </row>
        <row r="712">
          <cell r="BL712">
            <v>0</v>
          </cell>
          <cell r="BM712">
            <v>0</v>
          </cell>
          <cell r="BN712">
            <v>0</v>
          </cell>
          <cell r="BO712">
            <v>4500</v>
          </cell>
        </row>
        <row r="713">
          <cell r="BL713">
            <v>0</v>
          </cell>
          <cell r="BM713">
            <v>0</v>
          </cell>
          <cell r="BN713">
            <v>0</v>
          </cell>
          <cell r="BO713">
            <v>3500</v>
          </cell>
        </row>
        <row r="714">
          <cell r="BL714">
            <v>0</v>
          </cell>
          <cell r="BM714">
            <v>0</v>
          </cell>
          <cell r="BN714">
            <v>0</v>
          </cell>
          <cell r="BO714">
            <v>306</v>
          </cell>
        </row>
        <row r="715">
          <cell r="BL715">
            <v>0</v>
          </cell>
          <cell r="BM715">
            <v>0</v>
          </cell>
          <cell r="BN715">
            <v>0</v>
          </cell>
          <cell r="BO715">
            <v>2902.02</v>
          </cell>
        </row>
        <row r="716">
          <cell r="BL716">
            <v>0</v>
          </cell>
          <cell r="BM716">
            <v>0</v>
          </cell>
          <cell r="BN716">
            <v>0</v>
          </cell>
          <cell r="BO716">
            <v>165</v>
          </cell>
        </row>
        <row r="717">
          <cell r="BL717">
            <v>0</v>
          </cell>
          <cell r="BM717">
            <v>0</v>
          </cell>
          <cell r="BN717">
            <v>0</v>
          </cell>
          <cell r="BO717">
            <v>55.38</v>
          </cell>
        </row>
        <row r="718">
          <cell r="BL718">
            <v>0</v>
          </cell>
          <cell r="BM718">
            <v>0</v>
          </cell>
          <cell r="BN718">
            <v>0</v>
          </cell>
          <cell r="BO718">
            <v>412.5</v>
          </cell>
        </row>
        <row r="719">
          <cell r="BL719">
            <v>0</v>
          </cell>
          <cell r="BM719">
            <v>0</v>
          </cell>
          <cell r="BN719">
            <v>0</v>
          </cell>
          <cell r="BO719">
            <v>165</v>
          </cell>
        </row>
        <row r="720">
          <cell r="BL720">
            <v>0</v>
          </cell>
          <cell r="BM720">
            <v>0</v>
          </cell>
          <cell r="BN720">
            <v>0</v>
          </cell>
          <cell r="BO720">
            <v>825</v>
          </cell>
        </row>
        <row r="721">
          <cell r="BL721">
            <v>0</v>
          </cell>
          <cell r="BM721">
            <v>0</v>
          </cell>
          <cell r="BN721">
            <v>0</v>
          </cell>
          <cell r="BO721">
            <v>8000</v>
          </cell>
        </row>
        <row r="722">
          <cell r="BL722">
            <v>0</v>
          </cell>
          <cell r="BM722">
            <v>0</v>
          </cell>
          <cell r="BN722">
            <v>0</v>
          </cell>
          <cell r="BO722">
            <v>276.89999999999998</v>
          </cell>
        </row>
        <row r="723">
          <cell r="BL723">
            <v>0</v>
          </cell>
          <cell r="BM723">
            <v>0</v>
          </cell>
          <cell r="BN723">
            <v>0</v>
          </cell>
          <cell r="BO723">
            <v>9456</v>
          </cell>
        </row>
        <row r="724">
          <cell r="BL724">
            <v>0</v>
          </cell>
          <cell r="BM724">
            <v>0</v>
          </cell>
          <cell r="BN724">
            <v>0</v>
          </cell>
          <cell r="BO724">
            <v>55.24</v>
          </cell>
        </row>
        <row r="725">
          <cell r="BL725">
            <v>0</v>
          </cell>
          <cell r="BM725">
            <v>0</v>
          </cell>
          <cell r="BN725">
            <v>0</v>
          </cell>
          <cell r="BO725">
            <v>4370</v>
          </cell>
        </row>
        <row r="726">
          <cell r="BL726">
            <v>0</v>
          </cell>
          <cell r="BM726">
            <v>0</v>
          </cell>
          <cell r="BN726">
            <v>0</v>
          </cell>
          <cell r="BO726">
            <v>130.6</v>
          </cell>
        </row>
        <row r="727">
          <cell r="BL727">
            <v>0</v>
          </cell>
          <cell r="BM727">
            <v>0</v>
          </cell>
          <cell r="BN727">
            <v>0</v>
          </cell>
          <cell r="BO727">
            <v>3000</v>
          </cell>
        </row>
        <row r="728">
          <cell r="BL728">
            <v>0</v>
          </cell>
          <cell r="BM728">
            <v>0</v>
          </cell>
          <cell r="BN728">
            <v>0</v>
          </cell>
          <cell r="BO728">
            <v>117.04</v>
          </cell>
        </row>
        <row r="729">
          <cell r="BL729">
            <v>0</v>
          </cell>
          <cell r="BM729">
            <v>0</v>
          </cell>
          <cell r="BN729">
            <v>0</v>
          </cell>
          <cell r="BO729">
            <v>104.48</v>
          </cell>
        </row>
        <row r="730">
          <cell r="BL730">
            <v>0</v>
          </cell>
          <cell r="BM730">
            <v>0</v>
          </cell>
          <cell r="BN730">
            <v>0</v>
          </cell>
          <cell r="BO730">
            <v>43</v>
          </cell>
        </row>
        <row r="731">
          <cell r="BL731">
            <v>0</v>
          </cell>
          <cell r="BM731">
            <v>0</v>
          </cell>
          <cell r="BN731">
            <v>0</v>
          </cell>
          <cell r="BO731">
            <v>600</v>
          </cell>
        </row>
        <row r="732">
          <cell r="BL732">
            <v>0</v>
          </cell>
          <cell r="BM732">
            <v>0</v>
          </cell>
          <cell r="BN732">
            <v>1086.82</v>
          </cell>
          <cell r="BO732">
            <v>0</v>
          </cell>
        </row>
        <row r="733">
          <cell r="BL733">
            <v>0</v>
          </cell>
          <cell r="BM733">
            <v>0</v>
          </cell>
          <cell r="BN733">
            <v>0</v>
          </cell>
          <cell r="BO733">
            <v>407.5</v>
          </cell>
        </row>
        <row r="734">
          <cell r="BL734">
            <v>0</v>
          </cell>
          <cell r="BM734">
            <v>0</v>
          </cell>
          <cell r="BN734">
            <v>0</v>
          </cell>
          <cell r="BO734">
            <v>165</v>
          </cell>
        </row>
        <row r="735">
          <cell r="BL735">
            <v>0</v>
          </cell>
          <cell r="BM735">
            <v>0</v>
          </cell>
          <cell r="BN735">
            <v>24500</v>
          </cell>
          <cell r="BO735">
            <v>0</v>
          </cell>
        </row>
        <row r="736">
          <cell r="BL736">
            <v>0</v>
          </cell>
          <cell r="BM736">
            <v>0</v>
          </cell>
          <cell r="BN736">
            <v>9142</v>
          </cell>
          <cell r="BO736">
            <v>0</v>
          </cell>
        </row>
        <row r="737">
          <cell r="BL737">
            <v>0</v>
          </cell>
          <cell r="BM737">
            <v>0</v>
          </cell>
          <cell r="BN737">
            <v>0</v>
          </cell>
          <cell r="BO737">
            <v>684.40000000000009</v>
          </cell>
        </row>
        <row r="738">
          <cell r="BL738">
            <v>0</v>
          </cell>
          <cell r="BM738">
            <v>0</v>
          </cell>
          <cell r="BN738">
            <v>0</v>
          </cell>
          <cell r="BO738">
            <v>156.72</v>
          </cell>
        </row>
        <row r="739">
          <cell r="BL739">
            <v>0</v>
          </cell>
          <cell r="BM739">
            <v>0</v>
          </cell>
          <cell r="BN739">
            <v>0</v>
          </cell>
          <cell r="BO739">
            <v>163</v>
          </cell>
        </row>
        <row r="740">
          <cell r="BL740">
            <v>0</v>
          </cell>
          <cell r="BM740">
            <v>0</v>
          </cell>
          <cell r="BN740">
            <v>0</v>
          </cell>
          <cell r="BO740">
            <v>2737.6000000000004</v>
          </cell>
        </row>
        <row r="741">
          <cell r="BL741">
            <v>0</v>
          </cell>
          <cell r="BM741">
            <v>0</v>
          </cell>
          <cell r="BN741">
            <v>0</v>
          </cell>
          <cell r="BO741">
            <v>3885</v>
          </cell>
        </row>
        <row r="742">
          <cell r="BL742">
            <v>0</v>
          </cell>
          <cell r="BM742">
            <v>0</v>
          </cell>
          <cell r="BN742">
            <v>0</v>
          </cell>
          <cell r="BO742">
            <v>82.5</v>
          </cell>
        </row>
        <row r="743">
          <cell r="BL743">
            <v>0</v>
          </cell>
          <cell r="BM743">
            <v>0</v>
          </cell>
          <cell r="BN743">
            <v>0</v>
          </cell>
          <cell r="BO743">
            <v>107.62</v>
          </cell>
        </row>
        <row r="744">
          <cell r="BL744">
            <v>0</v>
          </cell>
          <cell r="BM744">
            <v>0</v>
          </cell>
          <cell r="BN744">
            <v>0</v>
          </cell>
          <cell r="BO744">
            <v>330</v>
          </cell>
        </row>
        <row r="745">
          <cell r="BL745">
            <v>0</v>
          </cell>
          <cell r="BM745">
            <v>0</v>
          </cell>
          <cell r="BN745">
            <v>0</v>
          </cell>
          <cell r="BO745">
            <v>2080</v>
          </cell>
        </row>
        <row r="746">
          <cell r="BL746">
            <v>0</v>
          </cell>
          <cell r="BM746">
            <v>0</v>
          </cell>
          <cell r="BN746">
            <v>0</v>
          </cell>
          <cell r="BO746">
            <v>292.60000000000002</v>
          </cell>
        </row>
        <row r="747">
          <cell r="BL747">
            <v>0</v>
          </cell>
          <cell r="BM747">
            <v>0</v>
          </cell>
          <cell r="BN747">
            <v>0</v>
          </cell>
          <cell r="BO747">
            <v>52.24</v>
          </cell>
        </row>
        <row r="748">
          <cell r="BL748">
            <v>0</v>
          </cell>
          <cell r="BM748">
            <v>0</v>
          </cell>
          <cell r="BN748">
            <v>0</v>
          </cell>
          <cell r="BO748">
            <v>387.66</v>
          </cell>
        </row>
        <row r="749">
          <cell r="BL749">
            <v>0</v>
          </cell>
          <cell r="BM749">
            <v>0</v>
          </cell>
          <cell r="BN749">
            <v>0</v>
          </cell>
          <cell r="BO749">
            <v>82.5</v>
          </cell>
        </row>
        <row r="750">
          <cell r="BL750">
            <v>0</v>
          </cell>
          <cell r="BM750">
            <v>0</v>
          </cell>
          <cell r="BN750">
            <v>0</v>
          </cell>
          <cell r="BO750">
            <v>110.76</v>
          </cell>
        </row>
        <row r="751">
          <cell r="BL751">
            <v>0</v>
          </cell>
          <cell r="BM751">
            <v>0</v>
          </cell>
          <cell r="BN751">
            <v>0</v>
          </cell>
          <cell r="BO751">
            <v>247.5</v>
          </cell>
        </row>
        <row r="752">
          <cell r="BL752">
            <v>0</v>
          </cell>
          <cell r="BM752">
            <v>0</v>
          </cell>
          <cell r="BN752">
            <v>0</v>
          </cell>
          <cell r="BO752">
            <v>30779.38</v>
          </cell>
        </row>
        <row r="753">
          <cell r="BL753">
            <v>0</v>
          </cell>
          <cell r="BM753">
            <v>0</v>
          </cell>
          <cell r="BN753">
            <v>0</v>
          </cell>
          <cell r="BO753">
            <v>1500</v>
          </cell>
        </row>
        <row r="754">
          <cell r="BL754">
            <v>0</v>
          </cell>
          <cell r="BM754">
            <v>0</v>
          </cell>
          <cell r="BN754">
            <v>0</v>
          </cell>
          <cell r="BO754">
            <v>553.79999999999995</v>
          </cell>
        </row>
        <row r="755">
          <cell r="BL755">
            <v>0</v>
          </cell>
          <cell r="BM755">
            <v>0</v>
          </cell>
          <cell r="BN755">
            <v>0</v>
          </cell>
          <cell r="BO755">
            <v>4375.0200000000004</v>
          </cell>
        </row>
        <row r="756">
          <cell r="BL756">
            <v>0</v>
          </cell>
          <cell r="BM756">
            <v>0</v>
          </cell>
          <cell r="BN756">
            <v>6320</v>
          </cell>
          <cell r="BO756">
            <v>0</v>
          </cell>
        </row>
        <row r="757">
          <cell r="BL757">
            <v>0</v>
          </cell>
          <cell r="BM757">
            <v>0</v>
          </cell>
          <cell r="BN757">
            <v>0</v>
          </cell>
          <cell r="BO757">
            <v>4814</v>
          </cell>
        </row>
        <row r="758">
          <cell r="BL758">
            <v>0</v>
          </cell>
          <cell r="BM758">
            <v>0</v>
          </cell>
          <cell r="BN758">
            <v>0</v>
          </cell>
          <cell r="BO758">
            <v>165</v>
          </cell>
        </row>
        <row r="759">
          <cell r="BL759">
            <v>0</v>
          </cell>
          <cell r="BM759">
            <v>0</v>
          </cell>
          <cell r="BN759">
            <v>0</v>
          </cell>
          <cell r="BO759">
            <v>287.32</v>
          </cell>
        </row>
        <row r="760">
          <cell r="BL760">
            <v>0</v>
          </cell>
          <cell r="BM760">
            <v>0</v>
          </cell>
          <cell r="BN760">
            <v>0</v>
          </cell>
          <cell r="BO760">
            <v>192.26</v>
          </cell>
        </row>
        <row r="761">
          <cell r="BL761">
            <v>0</v>
          </cell>
          <cell r="BM761">
            <v>0</v>
          </cell>
          <cell r="BN761">
            <v>0</v>
          </cell>
          <cell r="BO761">
            <v>4500</v>
          </cell>
        </row>
        <row r="762">
          <cell r="BL762">
            <v>0</v>
          </cell>
          <cell r="BM762">
            <v>0</v>
          </cell>
          <cell r="BN762">
            <v>0</v>
          </cell>
          <cell r="BO762">
            <v>110.76</v>
          </cell>
        </row>
        <row r="763">
          <cell r="BL763">
            <v>0</v>
          </cell>
          <cell r="BM763">
            <v>0</v>
          </cell>
          <cell r="BN763">
            <v>0</v>
          </cell>
          <cell r="BO763">
            <v>82.5</v>
          </cell>
        </row>
        <row r="764">
          <cell r="BL764">
            <v>0</v>
          </cell>
          <cell r="BM764">
            <v>0</v>
          </cell>
          <cell r="BN764">
            <v>0</v>
          </cell>
          <cell r="BO764">
            <v>19270</v>
          </cell>
        </row>
        <row r="765">
          <cell r="BL765">
            <v>0</v>
          </cell>
          <cell r="BM765">
            <v>0</v>
          </cell>
          <cell r="BN765">
            <v>776.3</v>
          </cell>
          <cell r="BO765">
            <v>0</v>
          </cell>
        </row>
        <row r="766">
          <cell r="BL766">
            <v>0</v>
          </cell>
          <cell r="BM766">
            <v>0</v>
          </cell>
          <cell r="BN766">
            <v>24013.4</v>
          </cell>
          <cell r="BO766">
            <v>0</v>
          </cell>
        </row>
        <row r="767">
          <cell r="BL767">
            <v>0</v>
          </cell>
          <cell r="BM767">
            <v>0</v>
          </cell>
          <cell r="BN767">
            <v>0</v>
          </cell>
          <cell r="BO767">
            <v>3005.25</v>
          </cell>
        </row>
        <row r="768">
          <cell r="BL768">
            <v>0</v>
          </cell>
          <cell r="BM768">
            <v>0</v>
          </cell>
          <cell r="BN768">
            <v>0</v>
          </cell>
          <cell r="BO768">
            <v>321.86</v>
          </cell>
        </row>
        <row r="769">
          <cell r="BL769">
            <v>0</v>
          </cell>
          <cell r="BM769">
            <v>0</v>
          </cell>
          <cell r="BN769">
            <v>0</v>
          </cell>
          <cell r="BO769">
            <v>9299</v>
          </cell>
        </row>
        <row r="770">
          <cell r="BL770">
            <v>0</v>
          </cell>
          <cell r="BM770">
            <v>0</v>
          </cell>
          <cell r="BN770">
            <v>0</v>
          </cell>
          <cell r="BO770">
            <v>26.12</v>
          </cell>
        </row>
        <row r="771">
          <cell r="BL771">
            <v>0</v>
          </cell>
          <cell r="BM771">
            <v>0</v>
          </cell>
          <cell r="BN771">
            <v>0</v>
          </cell>
          <cell r="BO771">
            <v>55.38</v>
          </cell>
        </row>
        <row r="772">
          <cell r="BL772">
            <v>0</v>
          </cell>
          <cell r="BM772">
            <v>0</v>
          </cell>
          <cell r="BN772">
            <v>0</v>
          </cell>
          <cell r="BO772">
            <v>8307</v>
          </cell>
        </row>
        <row r="773">
          <cell r="BL773">
            <v>0</v>
          </cell>
          <cell r="BM773">
            <v>0</v>
          </cell>
          <cell r="BN773">
            <v>0</v>
          </cell>
          <cell r="BO773">
            <v>240</v>
          </cell>
        </row>
        <row r="774">
          <cell r="BL774">
            <v>0</v>
          </cell>
          <cell r="BM774">
            <v>0</v>
          </cell>
          <cell r="BN774">
            <v>0</v>
          </cell>
          <cell r="BO774">
            <v>78.36</v>
          </cell>
        </row>
        <row r="775">
          <cell r="BL775">
            <v>0</v>
          </cell>
          <cell r="BM775">
            <v>0</v>
          </cell>
          <cell r="BN775">
            <v>0</v>
          </cell>
          <cell r="BO775">
            <v>407.5</v>
          </cell>
        </row>
        <row r="776">
          <cell r="BL776">
            <v>0</v>
          </cell>
          <cell r="BM776">
            <v>0</v>
          </cell>
          <cell r="BN776">
            <v>0</v>
          </cell>
          <cell r="BO776">
            <v>247.5</v>
          </cell>
        </row>
        <row r="777">
          <cell r="BL777">
            <v>0</v>
          </cell>
          <cell r="BM777">
            <v>0</v>
          </cell>
          <cell r="BN777">
            <v>0</v>
          </cell>
          <cell r="BO777">
            <v>82.5</v>
          </cell>
        </row>
        <row r="778">
          <cell r="BL778">
            <v>0</v>
          </cell>
          <cell r="BM778">
            <v>0</v>
          </cell>
          <cell r="BN778">
            <v>0</v>
          </cell>
          <cell r="BO778">
            <v>163</v>
          </cell>
        </row>
        <row r="779">
          <cell r="BL779">
            <v>0</v>
          </cell>
          <cell r="BM779">
            <v>0</v>
          </cell>
          <cell r="BN779">
            <v>0</v>
          </cell>
          <cell r="BO779">
            <v>684.40000000000009</v>
          </cell>
        </row>
        <row r="780">
          <cell r="BL780">
            <v>0</v>
          </cell>
          <cell r="BM780">
            <v>0</v>
          </cell>
          <cell r="BN780">
            <v>0</v>
          </cell>
          <cell r="BO780">
            <v>261.2</v>
          </cell>
        </row>
        <row r="781">
          <cell r="BL781">
            <v>0</v>
          </cell>
          <cell r="BM781">
            <v>0</v>
          </cell>
          <cell r="BN781">
            <v>0</v>
          </cell>
          <cell r="BO781">
            <v>276.89999999999998</v>
          </cell>
        </row>
        <row r="782">
          <cell r="BL782">
            <v>0</v>
          </cell>
          <cell r="BM782">
            <v>0</v>
          </cell>
          <cell r="BN782">
            <v>0</v>
          </cell>
          <cell r="BO782">
            <v>5291.8999000000003</v>
          </cell>
        </row>
        <row r="783">
          <cell r="BL783">
            <v>0</v>
          </cell>
          <cell r="BM783">
            <v>0</v>
          </cell>
          <cell r="BN783">
            <v>0</v>
          </cell>
          <cell r="BO783">
            <v>3714.0720000000001</v>
          </cell>
        </row>
        <row r="784">
          <cell r="BL784">
            <v>0</v>
          </cell>
          <cell r="BM784">
            <v>0</v>
          </cell>
          <cell r="BN784">
            <v>0</v>
          </cell>
          <cell r="BO784">
            <v>406.899</v>
          </cell>
        </row>
        <row r="785">
          <cell r="BL785">
            <v>0</v>
          </cell>
          <cell r="BM785">
            <v>0</v>
          </cell>
          <cell r="BN785">
            <v>0</v>
          </cell>
          <cell r="BO785">
            <v>13484.640100000001</v>
          </cell>
        </row>
        <row r="786">
          <cell r="BL786">
            <v>0</v>
          </cell>
          <cell r="BM786">
            <v>0</v>
          </cell>
          <cell r="BN786">
            <v>0</v>
          </cell>
          <cell r="BO786">
            <v>863.20100000000002</v>
          </cell>
        </row>
        <row r="787">
          <cell r="BL787">
            <v>0</v>
          </cell>
          <cell r="BM787">
            <v>0</v>
          </cell>
          <cell r="BN787">
            <v>0</v>
          </cell>
          <cell r="BO787">
            <v>5902.7754000000004</v>
          </cell>
        </row>
        <row r="788">
          <cell r="BL788">
            <v>0</v>
          </cell>
          <cell r="BM788">
            <v>0</v>
          </cell>
          <cell r="BN788">
            <v>0</v>
          </cell>
          <cell r="BO788">
            <v>-4915</v>
          </cell>
        </row>
        <row r="789">
          <cell r="BL789">
            <v>0</v>
          </cell>
          <cell r="BM789">
            <v>0</v>
          </cell>
          <cell r="BN789">
            <v>0</v>
          </cell>
          <cell r="BO789">
            <v>1261.3255999999999</v>
          </cell>
        </row>
        <row r="790">
          <cell r="BL790">
            <v>0</v>
          </cell>
          <cell r="BM790">
            <v>0</v>
          </cell>
          <cell r="BN790">
            <v>0</v>
          </cell>
          <cell r="BO790">
            <v>5704.2552999999998</v>
          </cell>
        </row>
        <row r="791">
          <cell r="BL791">
            <v>0</v>
          </cell>
          <cell r="BM791">
            <v>0</v>
          </cell>
          <cell r="BN791">
            <v>0</v>
          </cell>
          <cell r="BO791">
            <v>3346.0749999999998</v>
          </cell>
        </row>
        <row r="792">
          <cell r="BL792">
            <v>0</v>
          </cell>
          <cell r="BM792">
            <v>0</v>
          </cell>
          <cell r="BN792">
            <v>0</v>
          </cell>
          <cell r="BO792">
            <v>55.38</v>
          </cell>
        </row>
        <row r="793">
          <cell r="BL793">
            <v>0</v>
          </cell>
          <cell r="BM793">
            <v>0</v>
          </cell>
          <cell r="BN793">
            <v>0</v>
          </cell>
          <cell r="BO793">
            <v>800</v>
          </cell>
        </row>
        <row r="794">
          <cell r="BL794">
            <v>0</v>
          </cell>
          <cell r="BM794">
            <v>0</v>
          </cell>
          <cell r="BN794">
            <v>0</v>
          </cell>
          <cell r="BO794">
            <v>110.76</v>
          </cell>
        </row>
        <row r="795">
          <cell r="BL795">
            <v>0</v>
          </cell>
          <cell r="BM795">
            <v>0</v>
          </cell>
          <cell r="BN795">
            <v>0</v>
          </cell>
          <cell r="BO795">
            <v>4000</v>
          </cell>
        </row>
        <row r="796">
          <cell r="BL796">
            <v>0</v>
          </cell>
          <cell r="BM796">
            <v>0</v>
          </cell>
          <cell r="BN796">
            <v>0</v>
          </cell>
          <cell r="BO796">
            <v>8224.1</v>
          </cell>
        </row>
        <row r="797">
          <cell r="BL797">
            <v>0</v>
          </cell>
          <cell r="BM797">
            <v>0</v>
          </cell>
          <cell r="BN797">
            <v>0</v>
          </cell>
          <cell r="BO797">
            <v>800</v>
          </cell>
        </row>
        <row r="798">
          <cell r="BL798">
            <v>0</v>
          </cell>
          <cell r="BM798">
            <v>0</v>
          </cell>
          <cell r="BN798">
            <v>0</v>
          </cell>
          <cell r="BO798">
            <v>1091.9000000000001</v>
          </cell>
        </row>
        <row r="799">
          <cell r="BL799">
            <v>0</v>
          </cell>
          <cell r="BM799">
            <v>0</v>
          </cell>
          <cell r="BN799">
            <v>0</v>
          </cell>
          <cell r="BO799">
            <v>330</v>
          </cell>
        </row>
        <row r="800">
          <cell r="BL800">
            <v>0</v>
          </cell>
          <cell r="BM800">
            <v>0</v>
          </cell>
          <cell r="BN800">
            <v>0</v>
          </cell>
          <cell r="BO800">
            <v>288.77000000000004</v>
          </cell>
        </row>
        <row r="801">
          <cell r="BL801">
            <v>0</v>
          </cell>
          <cell r="BM801">
            <v>0</v>
          </cell>
          <cell r="BN801">
            <v>0</v>
          </cell>
          <cell r="BO801">
            <v>81.5</v>
          </cell>
        </row>
        <row r="802">
          <cell r="BL802">
            <v>0</v>
          </cell>
          <cell r="BM802">
            <v>0</v>
          </cell>
          <cell r="BN802">
            <v>0</v>
          </cell>
          <cell r="BO802">
            <v>165</v>
          </cell>
        </row>
        <row r="803">
          <cell r="BL803">
            <v>0</v>
          </cell>
          <cell r="BM803">
            <v>0</v>
          </cell>
          <cell r="BN803">
            <v>0</v>
          </cell>
          <cell r="BO803">
            <v>82.5</v>
          </cell>
        </row>
        <row r="804">
          <cell r="BL804">
            <v>0</v>
          </cell>
          <cell r="BM804">
            <v>0</v>
          </cell>
          <cell r="BN804">
            <v>0</v>
          </cell>
          <cell r="BO804">
            <v>330</v>
          </cell>
        </row>
        <row r="805">
          <cell r="BL805">
            <v>0</v>
          </cell>
          <cell r="BM805">
            <v>0</v>
          </cell>
          <cell r="BN805">
            <v>0</v>
          </cell>
          <cell r="BO805">
            <v>175.10000000000002</v>
          </cell>
        </row>
        <row r="806">
          <cell r="BL806">
            <v>0</v>
          </cell>
          <cell r="BM806">
            <v>0</v>
          </cell>
          <cell r="BN806">
            <v>0</v>
          </cell>
          <cell r="BO806">
            <v>6950</v>
          </cell>
        </row>
        <row r="807">
          <cell r="BL807">
            <v>0</v>
          </cell>
          <cell r="BM807">
            <v>0</v>
          </cell>
          <cell r="BN807">
            <v>0</v>
          </cell>
          <cell r="BO807">
            <v>4713</v>
          </cell>
        </row>
        <row r="808">
          <cell r="BL808">
            <v>0</v>
          </cell>
          <cell r="BM808">
            <v>0</v>
          </cell>
          <cell r="BN808">
            <v>292.60000000000002</v>
          </cell>
          <cell r="BO808">
            <v>0</v>
          </cell>
        </row>
        <row r="809">
          <cell r="BL809">
            <v>0</v>
          </cell>
          <cell r="BM809">
            <v>0</v>
          </cell>
          <cell r="BN809">
            <v>0</v>
          </cell>
          <cell r="BO809">
            <v>2988</v>
          </cell>
        </row>
        <row r="810">
          <cell r="BL810">
            <v>0</v>
          </cell>
          <cell r="BM810">
            <v>0</v>
          </cell>
          <cell r="BN810">
            <v>0</v>
          </cell>
          <cell r="BO810">
            <v>2693.61</v>
          </cell>
        </row>
        <row r="811">
          <cell r="BL811">
            <v>0</v>
          </cell>
          <cell r="BM811">
            <v>0</v>
          </cell>
          <cell r="BN811">
            <v>0</v>
          </cell>
          <cell r="BO811">
            <v>150</v>
          </cell>
        </row>
        <row r="812">
          <cell r="BL812">
            <v>0</v>
          </cell>
          <cell r="BM812">
            <v>0</v>
          </cell>
          <cell r="BN812">
            <v>0</v>
          </cell>
          <cell r="BO812">
            <v>240</v>
          </cell>
        </row>
        <row r="813">
          <cell r="BL813">
            <v>0</v>
          </cell>
          <cell r="BM813">
            <v>0</v>
          </cell>
          <cell r="BN813">
            <v>0</v>
          </cell>
          <cell r="BO813">
            <v>425</v>
          </cell>
        </row>
        <row r="814">
          <cell r="BL814">
            <v>0</v>
          </cell>
          <cell r="BM814">
            <v>0</v>
          </cell>
          <cell r="BN814">
            <v>0</v>
          </cell>
          <cell r="BO814">
            <v>167.2</v>
          </cell>
        </row>
        <row r="815">
          <cell r="BL815">
            <v>0</v>
          </cell>
          <cell r="BM815">
            <v>0</v>
          </cell>
          <cell r="BN815">
            <v>0</v>
          </cell>
          <cell r="BO815">
            <v>4401.67</v>
          </cell>
        </row>
        <row r="816">
          <cell r="BL816">
            <v>0</v>
          </cell>
          <cell r="BM816">
            <v>0</v>
          </cell>
          <cell r="BN816">
            <v>0</v>
          </cell>
          <cell r="BO816">
            <v>2920</v>
          </cell>
        </row>
        <row r="817">
          <cell r="BL817">
            <v>0</v>
          </cell>
          <cell r="BM817">
            <v>0</v>
          </cell>
          <cell r="BN817">
            <v>0</v>
          </cell>
          <cell r="BO817">
            <v>2536</v>
          </cell>
        </row>
        <row r="818">
          <cell r="BL818">
            <v>0</v>
          </cell>
          <cell r="BM818">
            <v>0</v>
          </cell>
          <cell r="BN818">
            <v>0</v>
          </cell>
          <cell r="BO818">
            <v>4556</v>
          </cell>
        </row>
        <row r="819">
          <cell r="BL819">
            <v>0</v>
          </cell>
          <cell r="BM819">
            <v>0</v>
          </cell>
        </row>
        <row r="820">
          <cell r="BL820">
            <v>0</v>
          </cell>
          <cell r="BM820">
            <v>0</v>
          </cell>
          <cell r="BN820">
            <v>0</v>
          </cell>
          <cell r="BO820">
            <v>165</v>
          </cell>
        </row>
        <row r="821">
          <cell r="BL821">
            <v>0</v>
          </cell>
          <cell r="BM821">
            <v>0</v>
          </cell>
          <cell r="BN821">
            <v>0</v>
          </cell>
          <cell r="BO821">
            <v>163</v>
          </cell>
        </row>
        <row r="822">
          <cell r="BL822">
            <v>0</v>
          </cell>
          <cell r="BM822">
            <v>0</v>
          </cell>
          <cell r="BN822">
            <v>0</v>
          </cell>
          <cell r="BO822">
            <v>82.5</v>
          </cell>
        </row>
        <row r="823">
          <cell r="BL823">
            <v>0</v>
          </cell>
          <cell r="BM823">
            <v>0</v>
          </cell>
          <cell r="BN823">
            <v>0</v>
          </cell>
          <cell r="BO823">
            <v>584.05000000000007</v>
          </cell>
        </row>
        <row r="824">
          <cell r="BL824">
            <v>0</v>
          </cell>
          <cell r="BM824">
            <v>0</v>
          </cell>
          <cell r="BN824">
            <v>0</v>
          </cell>
          <cell r="BO824">
            <v>4500</v>
          </cell>
        </row>
        <row r="825">
          <cell r="BL825">
            <v>0</v>
          </cell>
          <cell r="BM825">
            <v>0</v>
          </cell>
          <cell r="BN825">
            <v>7008</v>
          </cell>
          <cell r="BO825">
            <v>0</v>
          </cell>
        </row>
        <row r="826">
          <cell r="BL826">
            <v>0</v>
          </cell>
          <cell r="BM826">
            <v>0</v>
          </cell>
          <cell r="BN826">
            <v>0</v>
          </cell>
          <cell r="BO826">
            <v>8130</v>
          </cell>
        </row>
        <row r="827">
          <cell r="BL827">
            <v>0</v>
          </cell>
          <cell r="BM827">
            <v>0</v>
          </cell>
          <cell r="BN827">
            <v>0</v>
          </cell>
          <cell r="BO827">
            <v>163</v>
          </cell>
        </row>
        <row r="828">
          <cell r="BL828">
            <v>0</v>
          </cell>
          <cell r="BM828">
            <v>0</v>
          </cell>
          <cell r="BN828">
            <v>0</v>
          </cell>
          <cell r="BO828">
            <v>82.5</v>
          </cell>
        </row>
        <row r="829">
          <cell r="BL829">
            <v>0</v>
          </cell>
          <cell r="BM829">
            <v>0</v>
          </cell>
          <cell r="BN829">
            <v>0</v>
          </cell>
          <cell r="BO829">
            <v>522.4</v>
          </cell>
        </row>
        <row r="830">
          <cell r="BL830">
            <v>0</v>
          </cell>
          <cell r="BM830">
            <v>0</v>
          </cell>
          <cell r="BN830">
            <v>0</v>
          </cell>
          <cell r="BO830">
            <v>150</v>
          </cell>
        </row>
        <row r="831">
          <cell r="BL831">
            <v>0</v>
          </cell>
          <cell r="BM831">
            <v>0</v>
          </cell>
          <cell r="BN831">
            <v>0</v>
          </cell>
          <cell r="BO831">
            <v>85</v>
          </cell>
        </row>
        <row r="832">
          <cell r="BL832">
            <v>0</v>
          </cell>
          <cell r="BM832">
            <v>0</v>
          </cell>
          <cell r="BN832">
            <v>0</v>
          </cell>
          <cell r="BO832">
            <v>270</v>
          </cell>
        </row>
        <row r="833">
          <cell r="BL833">
            <v>0</v>
          </cell>
          <cell r="BM833">
            <v>0</v>
          </cell>
          <cell r="BN833">
            <v>0</v>
          </cell>
          <cell r="BO833">
            <v>-23414.7</v>
          </cell>
        </row>
        <row r="834">
          <cell r="BL834">
            <v>0</v>
          </cell>
          <cell r="BM834">
            <v>0</v>
          </cell>
          <cell r="BN834">
            <v>0</v>
          </cell>
          <cell r="BO834">
            <v>881.5</v>
          </cell>
        </row>
        <row r="835">
          <cell r="BL835">
            <v>0</v>
          </cell>
          <cell r="BM835">
            <v>0</v>
          </cell>
          <cell r="BN835">
            <v>0</v>
          </cell>
          <cell r="BO835">
            <v>1400.2</v>
          </cell>
        </row>
        <row r="836">
          <cell r="BL836">
            <v>0</v>
          </cell>
          <cell r="BM836">
            <v>0</v>
          </cell>
          <cell r="BN836">
            <v>0</v>
          </cell>
          <cell r="BO836">
            <v>2210.92</v>
          </cell>
        </row>
        <row r="837">
          <cell r="BL837">
            <v>0</v>
          </cell>
          <cell r="BM837">
            <v>0</v>
          </cell>
          <cell r="BN837">
            <v>0</v>
          </cell>
          <cell r="BO837">
            <v>700</v>
          </cell>
        </row>
        <row r="838">
          <cell r="BL838">
            <v>0</v>
          </cell>
          <cell r="BM838">
            <v>0</v>
          </cell>
          <cell r="BN838">
            <v>0</v>
          </cell>
          <cell r="BO838">
            <v>229</v>
          </cell>
        </row>
        <row r="839">
          <cell r="BL839">
            <v>0</v>
          </cell>
          <cell r="BM839">
            <v>0</v>
          </cell>
          <cell r="BN839">
            <v>6764</v>
          </cell>
          <cell r="BO839">
            <v>0</v>
          </cell>
        </row>
        <row r="840">
          <cell r="BL840">
            <v>0</v>
          </cell>
          <cell r="BM840">
            <v>0</v>
          </cell>
          <cell r="BN840">
            <v>0</v>
          </cell>
          <cell r="BO840">
            <v>412.5</v>
          </cell>
        </row>
        <row r="841">
          <cell r="BL841">
            <v>0</v>
          </cell>
          <cell r="BM841">
            <v>0</v>
          </cell>
          <cell r="BN841">
            <v>600</v>
          </cell>
          <cell r="BO841">
            <v>0</v>
          </cell>
        </row>
        <row r="842">
          <cell r="BL842">
            <v>0</v>
          </cell>
          <cell r="BM842">
            <v>0</v>
          </cell>
          <cell r="BN842">
            <v>0</v>
          </cell>
          <cell r="BO842">
            <v>522.4</v>
          </cell>
        </row>
        <row r="843">
          <cell r="BL843">
            <v>0</v>
          </cell>
          <cell r="BM843">
            <v>0</v>
          </cell>
          <cell r="BN843">
            <v>0</v>
          </cell>
          <cell r="BO843">
            <v>175.10000000000002</v>
          </cell>
        </row>
        <row r="844">
          <cell r="BL844">
            <v>0</v>
          </cell>
          <cell r="BM844">
            <v>0</v>
          </cell>
          <cell r="BN844">
            <v>0</v>
          </cell>
          <cell r="BO844">
            <v>250</v>
          </cell>
        </row>
        <row r="845">
          <cell r="BL845">
            <v>0</v>
          </cell>
          <cell r="BM845">
            <v>0</v>
          </cell>
          <cell r="BN845">
            <v>0</v>
          </cell>
          <cell r="BO845">
            <v>2975</v>
          </cell>
        </row>
        <row r="846">
          <cell r="BL846">
            <v>0</v>
          </cell>
          <cell r="BM846">
            <v>0</v>
          </cell>
          <cell r="BN846">
            <v>0</v>
          </cell>
          <cell r="BO846">
            <v>247.5</v>
          </cell>
        </row>
        <row r="847">
          <cell r="BL847">
            <v>0</v>
          </cell>
          <cell r="BM847">
            <v>0</v>
          </cell>
          <cell r="BN847">
            <v>0</v>
          </cell>
          <cell r="BO847">
            <v>538.1</v>
          </cell>
        </row>
        <row r="848">
          <cell r="BL848">
            <v>0</v>
          </cell>
          <cell r="BM848">
            <v>0</v>
          </cell>
          <cell r="BN848">
            <v>232.89</v>
          </cell>
          <cell r="BO848">
            <v>0</v>
          </cell>
        </row>
        <row r="849">
          <cell r="BL849">
            <v>0</v>
          </cell>
          <cell r="BM849">
            <v>0</v>
          </cell>
          <cell r="BN849">
            <v>0</v>
          </cell>
          <cell r="BO849">
            <v>1641.5</v>
          </cell>
        </row>
        <row r="850">
          <cell r="BL850">
            <v>0</v>
          </cell>
          <cell r="BM850">
            <v>0</v>
          </cell>
          <cell r="BN850">
            <v>0</v>
          </cell>
          <cell r="BO850">
            <v>16974</v>
          </cell>
        </row>
        <row r="851">
          <cell r="BL851">
            <v>0</v>
          </cell>
          <cell r="BM851">
            <v>0</v>
          </cell>
          <cell r="BN851">
            <v>0</v>
          </cell>
          <cell r="BO851">
            <v>2829</v>
          </cell>
        </row>
        <row r="852">
          <cell r="BL852">
            <v>0</v>
          </cell>
          <cell r="BM852">
            <v>0</v>
          </cell>
          <cell r="BN852">
            <v>0</v>
          </cell>
          <cell r="BO852">
            <v>880</v>
          </cell>
        </row>
        <row r="853">
          <cell r="BL853">
            <v>0</v>
          </cell>
          <cell r="BM853">
            <v>0</v>
          </cell>
          <cell r="BN853">
            <v>0</v>
          </cell>
          <cell r="BO853">
            <v>408</v>
          </cell>
        </row>
        <row r="854">
          <cell r="BL854">
            <v>0</v>
          </cell>
          <cell r="BM854">
            <v>0</v>
          </cell>
          <cell r="BN854">
            <v>0</v>
          </cell>
          <cell r="BO854">
            <v>2769</v>
          </cell>
        </row>
        <row r="855">
          <cell r="BL855">
            <v>0</v>
          </cell>
          <cell r="BM855">
            <v>0</v>
          </cell>
          <cell r="BN855">
            <v>0</v>
          </cell>
          <cell r="BO855">
            <v>522.4</v>
          </cell>
        </row>
        <row r="856">
          <cell r="BL856">
            <v>0</v>
          </cell>
          <cell r="BM856">
            <v>0</v>
          </cell>
          <cell r="BN856">
            <v>1332.1200000000001</v>
          </cell>
          <cell r="BO856">
            <v>0</v>
          </cell>
        </row>
        <row r="857">
          <cell r="BL857">
            <v>0</v>
          </cell>
          <cell r="BM857">
            <v>0</v>
          </cell>
          <cell r="BN857">
            <v>0</v>
          </cell>
          <cell r="BO857">
            <v>30225.58</v>
          </cell>
        </row>
        <row r="858">
          <cell r="BL858">
            <v>0</v>
          </cell>
          <cell r="BM858">
            <v>0</v>
          </cell>
          <cell r="BN858">
            <v>0</v>
          </cell>
          <cell r="BO858">
            <v>577.5</v>
          </cell>
        </row>
        <row r="859">
          <cell r="BL859">
            <v>0</v>
          </cell>
          <cell r="BM859">
            <v>0</v>
          </cell>
          <cell r="BN859">
            <v>0</v>
          </cell>
          <cell r="BO859">
            <v>163</v>
          </cell>
        </row>
        <row r="860">
          <cell r="BL860">
            <v>0</v>
          </cell>
          <cell r="BM860">
            <v>0</v>
          </cell>
          <cell r="BN860">
            <v>0</v>
          </cell>
          <cell r="BO860">
            <v>107.62</v>
          </cell>
        </row>
        <row r="861">
          <cell r="BL861">
            <v>0</v>
          </cell>
          <cell r="BM861">
            <v>0</v>
          </cell>
          <cell r="BN861">
            <v>0</v>
          </cell>
          <cell r="BO861">
            <v>82.5</v>
          </cell>
        </row>
        <row r="862">
          <cell r="BL862">
            <v>0</v>
          </cell>
          <cell r="BM862">
            <v>0</v>
          </cell>
          <cell r="BN862">
            <v>0</v>
          </cell>
          <cell r="BO862">
            <v>247.5</v>
          </cell>
        </row>
        <row r="863">
          <cell r="BL863">
            <v>0</v>
          </cell>
          <cell r="BM863">
            <v>0</v>
          </cell>
          <cell r="BN863">
            <v>0</v>
          </cell>
          <cell r="BO863">
            <v>5224</v>
          </cell>
        </row>
        <row r="864">
          <cell r="BL864">
            <v>0</v>
          </cell>
          <cell r="BM864">
            <v>0</v>
          </cell>
          <cell r="BN864">
            <v>0</v>
          </cell>
          <cell r="BO864">
            <v>4389</v>
          </cell>
        </row>
        <row r="865">
          <cell r="BL865">
            <v>0</v>
          </cell>
          <cell r="BM865">
            <v>0</v>
          </cell>
          <cell r="BN865">
            <v>0</v>
          </cell>
          <cell r="BO865">
            <v>3579.7200000000003</v>
          </cell>
        </row>
        <row r="866">
          <cell r="BL866">
            <v>0</v>
          </cell>
          <cell r="BM866">
            <v>0</v>
          </cell>
          <cell r="BN866">
            <v>0</v>
          </cell>
          <cell r="BO866">
            <v>495</v>
          </cell>
        </row>
        <row r="867">
          <cell r="BL867">
            <v>0</v>
          </cell>
          <cell r="BM867">
            <v>0</v>
          </cell>
          <cell r="BN867">
            <v>0</v>
          </cell>
          <cell r="BO867">
            <v>2714</v>
          </cell>
        </row>
        <row r="868">
          <cell r="BL868">
            <v>0</v>
          </cell>
          <cell r="BM868">
            <v>0</v>
          </cell>
          <cell r="BN868">
            <v>1600</v>
          </cell>
          <cell r="BO868">
            <v>0</v>
          </cell>
        </row>
        <row r="869">
          <cell r="BL869">
            <v>0</v>
          </cell>
          <cell r="BM869">
            <v>0</v>
          </cell>
          <cell r="BN869">
            <v>0</v>
          </cell>
          <cell r="BO869">
            <v>360</v>
          </cell>
        </row>
        <row r="870">
          <cell r="BL870">
            <v>0</v>
          </cell>
          <cell r="BM870">
            <v>0</v>
          </cell>
          <cell r="BN870">
            <v>0</v>
          </cell>
          <cell r="BO870">
            <v>1700</v>
          </cell>
        </row>
        <row r="871">
          <cell r="BL871">
            <v>0</v>
          </cell>
          <cell r="BM871">
            <v>0</v>
          </cell>
          <cell r="BN871">
            <v>0</v>
          </cell>
          <cell r="BO871">
            <v>7778</v>
          </cell>
        </row>
        <row r="872">
          <cell r="BL872">
            <v>0</v>
          </cell>
          <cell r="BM872">
            <v>0</v>
          </cell>
          <cell r="BN872">
            <v>0</v>
          </cell>
          <cell r="BO872">
            <v>600</v>
          </cell>
        </row>
        <row r="873">
          <cell r="BL873">
            <v>0</v>
          </cell>
          <cell r="BM873">
            <v>0</v>
          </cell>
          <cell r="BN873">
            <v>0</v>
          </cell>
          <cell r="BO873">
            <v>270.62</v>
          </cell>
        </row>
        <row r="874">
          <cell r="BL874">
            <v>0</v>
          </cell>
          <cell r="BM874">
            <v>0</v>
          </cell>
          <cell r="BN874">
            <v>0</v>
          </cell>
          <cell r="BO874">
            <v>2471.1200000000003</v>
          </cell>
        </row>
        <row r="875">
          <cell r="BL875">
            <v>0</v>
          </cell>
          <cell r="BM875">
            <v>0</v>
          </cell>
          <cell r="BN875">
            <v>0</v>
          </cell>
          <cell r="BO875">
            <v>16212.780000000002</v>
          </cell>
        </row>
        <row r="876">
          <cell r="BL876">
            <v>0</v>
          </cell>
          <cell r="BM876">
            <v>0</v>
          </cell>
          <cell r="BN876">
            <v>0</v>
          </cell>
          <cell r="BO876">
            <v>1654</v>
          </cell>
        </row>
        <row r="877">
          <cell r="BL877">
            <v>0</v>
          </cell>
          <cell r="BM877">
            <v>0</v>
          </cell>
          <cell r="BN877">
            <v>0</v>
          </cell>
          <cell r="BO877">
            <v>1750</v>
          </cell>
        </row>
        <row r="878">
          <cell r="BL878">
            <v>0</v>
          </cell>
          <cell r="BM878">
            <v>0</v>
          </cell>
          <cell r="BN878">
            <v>13392</v>
          </cell>
          <cell r="BO878">
            <v>0</v>
          </cell>
        </row>
        <row r="879">
          <cell r="BL879">
            <v>0</v>
          </cell>
          <cell r="BM879">
            <v>0</v>
          </cell>
          <cell r="BN879">
            <v>9716.6400000000012</v>
          </cell>
          <cell r="BO879">
            <v>0</v>
          </cell>
        </row>
        <row r="880">
          <cell r="BL880">
            <v>0</v>
          </cell>
          <cell r="BM880">
            <v>0</v>
          </cell>
          <cell r="BN880">
            <v>6750</v>
          </cell>
          <cell r="BO880">
            <v>0</v>
          </cell>
        </row>
        <row r="881">
          <cell r="BL881">
            <v>0</v>
          </cell>
          <cell r="BM881">
            <v>0</v>
          </cell>
          <cell r="BN881">
            <v>0</v>
          </cell>
          <cell r="BO881">
            <v>330</v>
          </cell>
        </row>
        <row r="882">
          <cell r="BL882">
            <v>0</v>
          </cell>
          <cell r="BM882">
            <v>0</v>
          </cell>
          <cell r="BN882">
            <v>0</v>
          </cell>
          <cell r="BO882">
            <v>3827.33</v>
          </cell>
        </row>
        <row r="883">
          <cell r="BL883">
            <v>0</v>
          </cell>
          <cell r="BM883">
            <v>0</v>
          </cell>
          <cell r="BN883">
            <v>0</v>
          </cell>
          <cell r="BO883">
            <v>15000</v>
          </cell>
        </row>
        <row r="884">
          <cell r="BL884">
            <v>0</v>
          </cell>
          <cell r="BM884">
            <v>0</v>
          </cell>
          <cell r="BN884">
            <v>0</v>
          </cell>
          <cell r="BO884">
            <v>273.76</v>
          </cell>
        </row>
        <row r="885">
          <cell r="BL885">
            <v>0</v>
          </cell>
          <cell r="BM885">
            <v>0</v>
          </cell>
          <cell r="BN885">
            <v>0</v>
          </cell>
          <cell r="BO885">
            <v>218.38</v>
          </cell>
        </row>
        <row r="886">
          <cell r="BL886">
            <v>0</v>
          </cell>
          <cell r="BM886">
            <v>0</v>
          </cell>
          <cell r="BN886">
            <v>0</v>
          </cell>
          <cell r="BO886">
            <v>82.5</v>
          </cell>
        </row>
        <row r="887">
          <cell r="BL887">
            <v>0</v>
          </cell>
          <cell r="BM887">
            <v>0</v>
          </cell>
          <cell r="BN887">
            <v>0</v>
          </cell>
          <cell r="BO887">
            <v>7550.62</v>
          </cell>
        </row>
        <row r="888">
          <cell r="BL888">
            <v>0</v>
          </cell>
          <cell r="BM888">
            <v>0</v>
          </cell>
          <cell r="BN888">
            <v>0</v>
          </cell>
          <cell r="BO888">
            <v>1629.97</v>
          </cell>
        </row>
        <row r="889">
          <cell r="BL889">
            <v>0</v>
          </cell>
          <cell r="BM889">
            <v>0</v>
          </cell>
          <cell r="BN889">
            <v>0</v>
          </cell>
          <cell r="BO889">
            <v>52.24</v>
          </cell>
        </row>
        <row r="890">
          <cell r="BL890">
            <v>0</v>
          </cell>
          <cell r="BM890">
            <v>0</v>
          </cell>
          <cell r="BN890">
            <v>0</v>
          </cell>
          <cell r="BO890">
            <v>276.89999999999998</v>
          </cell>
        </row>
        <row r="891">
          <cell r="BL891">
            <v>0</v>
          </cell>
          <cell r="BM891">
            <v>0</v>
          </cell>
          <cell r="BN891">
            <v>0</v>
          </cell>
          <cell r="BO891">
            <v>146.30000000000001</v>
          </cell>
        </row>
        <row r="892">
          <cell r="BL892">
            <v>0</v>
          </cell>
          <cell r="BM892">
            <v>0</v>
          </cell>
          <cell r="BN892">
            <v>0</v>
          </cell>
          <cell r="BO892">
            <v>1750</v>
          </cell>
        </row>
        <row r="893">
          <cell r="BL893">
            <v>0</v>
          </cell>
          <cell r="BM893">
            <v>0</v>
          </cell>
          <cell r="BN893">
            <v>9500</v>
          </cell>
          <cell r="BO893">
            <v>0</v>
          </cell>
        </row>
        <row r="894">
          <cell r="BL894">
            <v>0</v>
          </cell>
          <cell r="BM894">
            <v>0</v>
          </cell>
          <cell r="BN894">
            <v>0</v>
          </cell>
          <cell r="BO894">
            <v>2742</v>
          </cell>
        </row>
        <row r="895">
          <cell r="BL895">
            <v>0</v>
          </cell>
          <cell r="BM895">
            <v>0</v>
          </cell>
          <cell r="BN895">
            <v>0</v>
          </cell>
          <cell r="BO895">
            <v>288</v>
          </cell>
        </row>
        <row r="896">
          <cell r="BL896">
            <v>0</v>
          </cell>
          <cell r="BM896">
            <v>0</v>
          </cell>
          <cell r="BN896">
            <v>0</v>
          </cell>
          <cell r="BO896">
            <v>261.2</v>
          </cell>
        </row>
        <row r="897">
          <cell r="BL897">
            <v>0</v>
          </cell>
          <cell r="BM897">
            <v>0</v>
          </cell>
          <cell r="BN897">
            <v>0</v>
          </cell>
          <cell r="BO897">
            <v>9960.5600000000013</v>
          </cell>
        </row>
        <row r="898">
          <cell r="BL898">
            <v>0</v>
          </cell>
          <cell r="BM898">
            <v>0</v>
          </cell>
          <cell r="BN898">
            <v>0</v>
          </cell>
          <cell r="BO898">
            <v>1750</v>
          </cell>
        </row>
        <row r="899">
          <cell r="BL899">
            <v>0</v>
          </cell>
          <cell r="BM899">
            <v>0</v>
          </cell>
          <cell r="BN899">
            <v>0</v>
          </cell>
          <cell r="BO899">
            <v>3774</v>
          </cell>
        </row>
        <row r="900">
          <cell r="BL900">
            <v>0</v>
          </cell>
          <cell r="BM900">
            <v>0</v>
          </cell>
          <cell r="BN900">
            <v>0</v>
          </cell>
          <cell r="BO900">
            <v>553.79999999999995</v>
          </cell>
        </row>
        <row r="901">
          <cell r="BL901">
            <v>0</v>
          </cell>
          <cell r="BM901">
            <v>0</v>
          </cell>
          <cell r="BN901">
            <v>0</v>
          </cell>
          <cell r="BO901">
            <v>1368.8000000000002</v>
          </cell>
        </row>
        <row r="902">
          <cell r="BL902">
            <v>0</v>
          </cell>
          <cell r="BM902">
            <v>0</v>
          </cell>
          <cell r="BN902">
            <v>0</v>
          </cell>
          <cell r="BO902">
            <v>2183.8000000000002</v>
          </cell>
        </row>
        <row r="903">
          <cell r="BL903">
            <v>0</v>
          </cell>
          <cell r="BM903">
            <v>0</v>
          </cell>
          <cell r="BN903">
            <v>0</v>
          </cell>
          <cell r="BO903">
            <v>165</v>
          </cell>
        </row>
        <row r="904">
          <cell r="BL904">
            <v>0</v>
          </cell>
          <cell r="BM904">
            <v>0</v>
          </cell>
          <cell r="BN904">
            <v>0</v>
          </cell>
          <cell r="BO904">
            <v>525.30000000000007</v>
          </cell>
        </row>
        <row r="905">
          <cell r="BL905">
            <v>0</v>
          </cell>
          <cell r="BM905">
            <v>0</v>
          </cell>
          <cell r="BN905">
            <v>0</v>
          </cell>
          <cell r="BO905">
            <v>4000</v>
          </cell>
        </row>
        <row r="906">
          <cell r="BL906">
            <v>0</v>
          </cell>
          <cell r="BM906">
            <v>0</v>
          </cell>
          <cell r="BN906">
            <v>0</v>
          </cell>
          <cell r="BO906">
            <v>276.89999999999998</v>
          </cell>
        </row>
        <row r="907">
          <cell r="BL907">
            <v>0</v>
          </cell>
          <cell r="BM907">
            <v>0</v>
          </cell>
          <cell r="BN907">
            <v>0</v>
          </cell>
          <cell r="BO907">
            <v>247.5</v>
          </cell>
        </row>
        <row r="908">
          <cell r="BL908">
            <v>0</v>
          </cell>
          <cell r="BM908">
            <v>0</v>
          </cell>
          <cell r="BN908">
            <v>0</v>
          </cell>
          <cell r="BO908">
            <v>2608</v>
          </cell>
        </row>
        <row r="909">
          <cell r="BL909">
            <v>0</v>
          </cell>
          <cell r="BM909">
            <v>0</v>
          </cell>
          <cell r="BN909">
            <v>0</v>
          </cell>
          <cell r="BO909">
            <v>110.76</v>
          </cell>
        </row>
        <row r="910">
          <cell r="BL910">
            <v>0</v>
          </cell>
          <cell r="BM910">
            <v>0</v>
          </cell>
          <cell r="BN910">
            <v>0</v>
          </cell>
          <cell r="BO910">
            <v>2919</v>
          </cell>
        </row>
        <row r="911">
          <cell r="BL911">
            <v>0</v>
          </cell>
          <cell r="BM911">
            <v>0</v>
          </cell>
          <cell r="BN911">
            <v>0</v>
          </cell>
          <cell r="BO911">
            <v>165</v>
          </cell>
        </row>
        <row r="912">
          <cell r="BL912">
            <v>0</v>
          </cell>
          <cell r="BM912">
            <v>0</v>
          </cell>
          <cell r="BN912">
            <v>0</v>
          </cell>
          <cell r="BO912">
            <v>273.76</v>
          </cell>
        </row>
        <row r="913">
          <cell r="BL913">
            <v>0</v>
          </cell>
          <cell r="BM913">
            <v>0</v>
          </cell>
          <cell r="BN913">
            <v>0</v>
          </cell>
          <cell r="BO913">
            <v>165</v>
          </cell>
        </row>
        <row r="914">
          <cell r="BL914">
            <v>0</v>
          </cell>
          <cell r="BM914">
            <v>0</v>
          </cell>
          <cell r="BN914">
            <v>0</v>
          </cell>
          <cell r="BO914">
            <v>5000</v>
          </cell>
        </row>
        <row r="915">
          <cell r="BL915">
            <v>0</v>
          </cell>
          <cell r="BM915">
            <v>0</v>
          </cell>
          <cell r="BN915">
            <v>0</v>
          </cell>
          <cell r="BO915">
            <v>163</v>
          </cell>
        </row>
        <row r="916">
          <cell r="BL916">
            <v>0</v>
          </cell>
          <cell r="BM916">
            <v>0</v>
          </cell>
          <cell r="BN916">
            <v>0</v>
          </cell>
          <cell r="BO916">
            <v>82.5</v>
          </cell>
        </row>
        <row r="917">
          <cell r="BL917">
            <v>0</v>
          </cell>
          <cell r="BM917">
            <v>0</v>
          </cell>
          <cell r="BN917">
            <v>0</v>
          </cell>
          <cell r="BO917">
            <v>1120</v>
          </cell>
        </row>
        <row r="918">
          <cell r="BL918">
            <v>0</v>
          </cell>
          <cell r="BM918">
            <v>0</v>
          </cell>
          <cell r="BN918">
            <v>0</v>
          </cell>
          <cell r="BO918">
            <v>1120</v>
          </cell>
        </row>
        <row r="919">
          <cell r="BL919">
            <v>0</v>
          </cell>
          <cell r="BM919">
            <v>0</v>
          </cell>
          <cell r="BN919">
            <v>0</v>
          </cell>
          <cell r="BO919">
            <v>1120</v>
          </cell>
        </row>
        <row r="920">
          <cell r="BL920">
            <v>0</v>
          </cell>
          <cell r="BM920">
            <v>0</v>
          </cell>
          <cell r="BN920">
            <v>0</v>
          </cell>
          <cell r="BO920">
            <v>215.24</v>
          </cell>
        </row>
        <row r="921">
          <cell r="BL921">
            <v>0</v>
          </cell>
          <cell r="BM921">
            <v>0</v>
          </cell>
          <cell r="BN921">
            <v>0</v>
          </cell>
          <cell r="BO921">
            <v>82.5</v>
          </cell>
        </row>
        <row r="922">
          <cell r="BL922">
            <v>0</v>
          </cell>
          <cell r="BM922">
            <v>0</v>
          </cell>
          <cell r="BN922">
            <v>0</v>
          </cell>
          <cell r="BO922">
            <v>165</v>
          </cell>
        </row>
        <row r="923">
          <cell r="BL923">
            <v>0</v>
          </cell>
          <cell r="BM923">
            <v>0</v>
          </cell>
          <cell r="BN923">
            <v>0</v>
          </cell>
          <cell r="BO923">
            <v>5880</v>
          </cell>
        </row>
        <row r="924">
          <cell r="BL924">
            <v>0</v>
          </cell>
          <cell r="BM924">
            <v>0</v>
          </cell>
          <cell r="BN924">
            <v>0</v>
          </cell>
          <cell r="BO924">
            <v>415</v>
          </cell>
        </row>
        <row r="925">
          <cell r="BL925">
            <v>0</v>
          </cell>
          <cell r="BM925">
            <v>0</v>
          </cell>
          <cell r="BN925">
            <v>388.15</v>
          </cell>
          <cell r="BO925">
            <v>0</v>
          </cell>
        </row>
        <row r="926">
          <cell r="BL926">
            <v>0</v>
          </cell>
          <cell r="BM926">
            <v>0</v>
          </cell>
          <cell r="BN926">
            <v>0</v>
          </cell>
          <cell r="BO926">
            <v>1792</v>
          </cell>
        </row>
        <row r="927">
          <cell r="BL927">
            <v>0</v>
          </cell>
          <cell r="BM927">
            <v>0</v>
          </cell>
          <cell r="BN927">
            <v>156.72000000000003</v>
          </cell>
          <cell r="BO927">
            <v>0</v>
          </cell>
        </row>
        <row r="928">
          <cell r="BL928">
            <v>0</v>
          </cell>
          <cell r="BM928">
            <v>0</v>
          </cell>
          <cell r="BN928">
            <v>0</v>
          </cell>
          <cell r="BO928">
            <v>1243.48</v>
          </cell>
        </row>
        <row r="929">
          <cell r="BL929">
            <v>0</v>
          </cell>
          <cell r="BM929">
            <v>0</v>
          </cell>
          <cell r="BN929">
            <v>0</v>
          </cell>
          <cell r="BO929">
            <v>522.4</v>
          </cell>
        </row>
        <row r="930">
          <cell r="BL930">
            <v>0</v>
          </cell>
          <cell r="BM930">
            <v>0</v>
          </cell>
          <cell r="BN930">
            <v>11340</v>
          </cell>
          <cell r="BO930">
            <v>0</v>
          </cell>
        </row>
        <row r="931">
          <cell r="BL931">
            <v>0</v>
          </cell>
          <cell r="BM931">
            <v>0</v>
          </cell>
          <cell r="BN931">
            <v>0</v>
          </cell>
          <cell r="BO931">
            <v>218.38</v>
          </cell>
        </row>
        <row r="932">
          <cell r="BL932">
            <v>0</v>
          </cell>
          <cell r="BM932">
            <v>0</v>
          </cell>
          <cell r="BN932">
            <v>15120</v>
          </cell>
          <cell r="BO932">
            <v>0</v>
          </cell>
        </row>
        <row r="933">
          <cell r="BL933">
            <v>0</v>
          </cell>
          <cell r="BM933">
            <v>0</v>
          </cell>
          <cell r="BN933">
            <v>0</v>
          </cell>
          <cell r="BO933">
            <v>2800</v>
          </cell>
        </row>
        <row r="934">
          <cell r="BL934">
            <v>0</v>
          </cell>
          <cell r="BM934">
            <v>0</v>
          </cell>
          <cell r="BN934">
            <v>193.0200000000001</v>
          </cell>
          <cell r="BO934">
            <v>0</v>
          </cell>
        </row>
        <row r="935">
          <cell r="BL935">
            <v>0</v>
          </cell>
          <cell r="BM935">
            <v>0</v>
          </cell>
          <cell r="BN935">
            <v>0</v>
          </cell>
          <cell r="BO935">
            <v>294.82</v>
          </cell>
        </row>
        <row r="936">
          <cell r="BL936">
            <v>0</v>
          </cell>
          <cell r="BM936">
            <v>0</v>
          </cell>
          <cell r="BN936">
            <v>0</v>
          </cell>
          <cell r="BO936">
            <v>165</v>
          </cell>
        </row>
        <row r="937">
          <cell r="BL937">
            <v>0</v>
          </cell>
          <cell r="BM937">
            <v>0</v>
          </cell>
          <cell r="BN937">
            <v>4000</v>
          </cell>
          <cell r="BO937">
            <v>0</v>
          </cell>
        </row>
        <row r="938">
          <cell r="BL938">
            <v>0</v>
          </cell>
          <cell r="BM938">
            <v>0</v>
          </cell>
          <cell r="BN938">
            <v>3918</v>
          </cell>
          <cell r="BO938">
            <v>0</v>
          </cell>
        </row>
        <row r="939">
          <cell r="BL939">
            <v>0</v>
          </cell>
          <cell r="BM939">
            <v>0</v>
          </cell>
          <cell r="BN939">
            <v>0</v>
          </cell>
          <cell r="BO939">
            <v>302</v>
          </cell>
        </row>
        <row r="940">
          <cell r="BL940">
            <v>0</v>
          </cell>
          <cell r="BM940">
            <v>0</v>
          </cell>
          <cell r="BN940">
            <v>0</v>
          </cell>
          <cell r="BO940">
            <v>660</v>
          </cell>
        </row>
        <row r="941">
          <cell r="BL941">
            <v>0</v>
          </cell>
          <cell r="BM941">
            <v>0</v>
          </cell>
          <cell r="BN941">
            <v>0</v>
          </cell>
          <cell r="BO941">
            <v>107.62</v>
          </cell>
        </row>
        <row r="942">
          <cell r="BL942">
            <v>0</v>
          </cell>
          <cell r="BM942">
            <v>0</v>
          </cell>
          <cell r="BN942">
            <v>0</v>
          </cell>
          <cell r="BO942">
            <v>3660</v>
          </cell>
        </row>
        <row r="943">
          <cell r="BL943">
            <v>0</v>
          </cell>
          <cell r="BM943">
            <v>0</v>
          </cell>
          <cell r="BN943">
            <v>0</v>
          </cell>
          <cell r="BO943">
            <v>82.5</v>
          </cell>
        </row>
        <row r="944">
          <cell r="BL944">
            <v>0</v>
          </cell>
          <cell r="BM944">
            <v>0</v>
          </cell>
          <cell r="BN944">
            <v>0</v>
          </cell>
          <cell r="BO944">
            <v>165</v>
          </cell>
        </row>
        <row r="945">
          <cell r="BL945">
            <v>0</v>
          </cell>
          <cell r="BM945">
            <v>0</v>
          </cell>
          <cell r="BN945">
            <v>0</v>
          </cell>
          <cell r="BO945">
            <v>9487.41</v>
          </cell>
        </row>
        <row r="946">
          <cell r="BL946">
            <v>0</v>
          </cell>
          <cell r="BM946">
            <v>0</v>
          </cell>
          <cell r="BN946">
            <v>0</v>
          </cell>
          <cell r="BO946">
            <v>82.5</v>
          </cell>
        </row>
        <row r="947">
          <cell r="BL947">
            <v>0</v>
          </cell>
          <cell r="BM947">
            <v>0</v>
          </cell>
          <cell r="BN947">
            <v>0</v>
          </cell>
          <cell r="BO947">
            <v>30189.45</v>
          </cell>
        </row>
        <row r="948">
          <cell r="BL948">
            <v>0</v>
          </cell>
          <cell r="BM948">
            <v>0</v>
          </cell>
          <cell r="BN948">
            <v>0</v>
          </cell>
          <cell r="BO948">
            <v>-46720</v>
          </cell>
        </row>
        <row r="949">
          <cell r="BL949">
            <v>0</v>
          </cell>
          <cell r="BM949">
            <v>0</v>
          </cell>
          <cell r="BN949">
            <v>0</v>
          </cell>
          <cell r="BO949">
            <v>654.5</v>
          </cell>
        </row>
        <row r="950">
          <cell r="BL950">
            <v>0</v>
          </cell>
          <cell r="BM950">
            <v>0</v>
          </cell>
          <cell r="BN950">
            <v>0</v>
          </cell>
          <cell r="BO950">
            <v>5580</v>
          </cell>
        </row>
        <row r="951">
          <cell r="BL951">
            <v>0</v>
          </cell>
          <cell r="BM951">
            <v>0</v>
          </cell>
          <cell r="BN951">
            <v>0</v>
          </cell>
          <cell r="BO951">
            <v>24480</v>
          </cell>
        </row>
        <row r="952">
          <cell r="BL952">
            <v>0</v>
          </cell>
          <cell r="BM952">
            <v>0</v>
          </cell>
          <cell r="BN952">
            <v>0</v>
          </cell>
          <cell r="BO952">
            <v>221.52</v>
          </cell>
        </row>
        <row r="953">
          <cell r="BL953">
            <v>0</v>
          </cell>
          <cell r="BM953">
            <v>0</v>
          </cell>
          <cell r="BN953">
            <v>0</v>
          </cell>
          <cell r="BO953">
            <v>1320</v>
          </cell>
        </row>
        <row r="954">
          <cell r="BL954">
            <v>0</v>
          </cell>
          <cell r="BM954">
            <v>0</v>
          </cell>
          <cell r="BN954">
            <v>0</v>
          </cell>
          <cell r="BO954">
            <v>165</v>
          </cell>
        </row>
        <row r="955">
          <cell r="BL955">
            <v>0</v>
          </cell>
          <cell r="BM955">
            <v>0</v>
          </cell>
          <cell r="BN955">
            <v>0</v>
          </cell>
          <cell r="BO955">
            <v>466.02</v>
          </cell>
        </row>
        <row r="956">
          <cell r="BL956">
            <v>0</v>
          </cell>
          <cell r="BM956">
            <v>0</v>
          </cell>
          <cell r="BN956">
            <v>1384.5</v>
          </cell>
          <cell r="BO956">
            <v>0</v>
          </cell>
        </row>
        <row r="957">
          <cell r="BL957">
            <v>0</v>
          </cell>
          <cell r="BM957">
            <v>0</v>
          </cell>
          <cell r="BN957">
            <v>0</v>
          </cell>
          <cell r="BO957">
            <v>104.48</v>
          </cell>
        </row>
        <row r="958">
          <cell r="BL958">
            <v>0</v>
          </cell>
          <cell r="BM958">
            <v>0</v>
          </cell>
          <cell r="BN958">
            <v>2612</v>
          </cell>
          <cell r="BO958">
            <v>0</v>
          </cell>
        </row>
        <row r="959">
          <cell r="BL959">
            <v>0</v>
          </cell>
          <cell r="BM959">
            <v>0</v>
          </cell>
          <cell r="BN959">
            <v>0</v>
          </cell>
          <cell r="BO959">
            <v>4593.9500000000007</v>
          </cell>
        </row>
        <row r="960">
          <cell r="BL960">
            <v>0</v>
          </cell>
          <cell r="BM960">
            <v>0</v>
          </cell>
          <cell r="BN960">
            <v>0</v>
          </cell>
          <cell r="BO960">
            <v>585.20000000000005</v>
          </cell>
        </row>
        <row r="961">
          <cell r="BL961">
            <v>0</v>
          </cell>
          <cell r="BM961">
            <v>0</v>
          </cell>
          <cell r="BN961">
            <v>0</v>
          </cell>
          <cell r="BO961">
            <v>2350.8000000000002</v>
          </cell>
        </row>
        <row r="962">
          <cell r="BL962">
            <v>0</v>
          </cell>
          <cell r="BM962">
            <v>0</v>
          </cell>
          <cell r="BN962">
            <v>0</v>
          </cell>
          <cell r="BO962">
            <v>82.5</v>
          </cell>
        </row>
        <row r="963">
          <cell r="BL963">
            <v>0</v>
          </cell>
          <cell r="BM963">
            <v>0</v>
          </cell>
          <cell r="BN963">
            <v>0</v>
          </cell>
          <cell r="BO963">
            <v>5000</v>
          </cell>
        </row>
        <row r="964">
          <cell r="BL964">
            <v>0</v>
          </cell>
          <cell r="BM964">
            <v>0</v>
          </cell>
          <cell r="BN964">
            <v>0</v>
          </cell>
          <cell r="BO964">
            <v>600</v>
          </cell>
        </row>
        <row r="965">
          <cell r="BL965">
            <v>0</v>
          </cell>
          <cell r="BM965">
            <v>0</v>
          </cell>
          <cell r="BN965">
            <v>0</v>
          </cell>
          <cell r="BO965">
            <v>3932</v>
          </cell>
        </row>
        <row r="966">
          <cell r="BL966">
            <v>0</v>
          </cell>
          <cell r="BM966">
            <v>0</v>
          </cell>
          <cell r="BN966">
            <v>0</v>
          </cell>
          <cell r="BO966">
            <v>2000</v>
          </cell>
        </row>
        <row r="967">
          <cell r="BL967">
            <v>0</v>
          </cell>
          <cell r="BM967">
            <v>0</v>
          </cell>
          <cell r="BN967">
            <v>4516.66</v>
          </cell>
          <cell r="BO967">
            <v>0</v>
          </cell>
        </row>
        <row r="968">
          <cell r="BL968">
            <v>0</v>
          </cell>
          <cell r="BM968">
            <v>0</v>
          </cell>
          <cell r="BN968">
            <v>0</v>
          </cell>
          <cell r="BO968">
            <v>3264</v>
          </cell>
        </row>
        <row r="969">
          <cell r="BL969">
            <v>0</v>
          </cell>
          <cell r="BM969">
            <v>0</v>
          </cell>
          <cell r="BN969">
            <v>805</v>
          </cell>
          <cell r="BO969">
            <v>0</v>
          </cell>
        </row>
        <row r="970">
          <cell r="BL970">
            <v>0</v>
          </cell>
          <cell r="BM970">
            <v>0</v>
          </cell>
          <cell r="BN970">
            <v>0</v>
          </cell>
          <cell r="BO970">
            <v>600</v>
          </cell>
        </row>
        <row r="971">
          <cell r="BL971">
            <v>0</v>
          </cell>
          <cell r="BM971">
            <v>0</v>
          </cell>
          <cell r="BN971">
            <v>0</v>
          </cell>
          <cell r="BO971">
            <v>20474</v>
          </cell>
        </row>
        <row r="972">
          <cell r="BL972">
            <v>0</v>
          </cell>
          <cell r="BM972">
            <v>0</v>
          </cell>
          <cell r="BN972">
            <v>0</v>
          </cell>
          <cell r="BO972">
            <v>91551.535499999998</v>
          </cell>
        </row>
        <row r="973">
          <cell r="BL973">
            <v>0</v>
          </cell>
          <cell r="BM973">
            <v>0</v>
          </cell>
          <cell r="BN973">
            <v>0</v>
          </cell>
          <cell r="BO973">
            <v>22267.6698</v>
          </cell>
        </row>
        <row r="974">
          <cell r="BL974">
            <v>0</v>
          </cell>
          <cell r="BM974">
            <v>0</v>
          </cell>
          <cell r="BN974">
            <v>0</v>
          </cell>
          <cell r="BO974">
            <v>8983.4622999999992</v>
          </cell>
        </row>
        <row r="975">
          <cell r="BL975">
            <v>0</v>
          </cell>
          <cell r="BM975">
            <v>0</v>
          </cell>
          <cell r="BN975">
            <v>0</v>
          </cell>
          <cell r="BO975">
            <v>17280.4807</v>
          </cell>
        </row>
        <row r="976">
          <cell r="BL976">
            <v>0</v>
          </cell>
          <cell r="BM976">
            <v>0</v>
          </cell>
          <cell r="BN976">
            <v>0</v>
          </cell>
          <cell r="BO976">
            <v>11667.1945</v>
          </cell>
        </row>
        <row r="977">
          <cell r="BL977">
            <v>0</v>
          </cell>
          <cell r="BM977">
            <v>0</v>
          </cell>
          <cell r="BN977">
            <v>0</v>
          </cell>
          <cell r="BO977">
            <v>8393</v>
          </cell>
        </row>
        <row r="978">
          <cell r="BL978">
            <v>0</v>
          </cell>
          <cell r="BM978">
            <v>0</v>
          </cell>
          <cell r="BN978">
            <v>0</v>
          </cell>
          <cell r="BO978">
            <v>14043.101199999999</v>
          </cell>
        </row>
        <row r="979">
          <cell r="BL979">
            <v>0</v>
          </cell>
          <cell r="BM979">
            <v>0</v>
          </cell>
          <cell r="BN979">
            <v>0</v>
          </cell>
          <cell r="BO979">
            <v>17861.571400000001</v>
          </cell>
        </row>
        <row r="980">
          <cell r="BL980">
            <v>0</v>
          </cell>
          <cell r="BM980">
            <v>0</v>
          </cell>
          <cell r="BN980">
            <v>0</v>
          </cell>
          <cell r="BO980">
            <v>21961.290700000001</v>
          </cell>
        </row>
        <row r="981">
          <cell r="BL981">
            <v>0</v>
          </cell>
          <cell r="BM981">
            <v>0</v>
          </cell>
          <cell r="BN981">
            <v>0</v>
          </cell>
          <cell r="BO981">
            <v>72956.827000000005</v>
          </cell>
        </row>
        <row r="982">
          <cell r="BL982">
            <v>0</v>
          </cell>
          <cell r="BM982">
            <v>0</v>
          </cell>
          <cell r="BN982">
            <v>0</v>
          </cell>
          <cell r="BO982">
            <v>1800</v>
          </cell>
        </row>
        <row r="983">
          <cell r="BL983">
            <v>0</v>
          </cell>
          <cell r="BM983">
            <v>0</v>
          </cell>
          <cell r="BN983">
            <v>0</v>
          </cell>
          <cell r="BO983">
            <v>780</v>
          </cell>
        </row>
        <row r="984">
          <cell r="BL984">
            <v>0</v>
          </cell>
          <cell r="BM984">
            <v>0</v>
          </cell>
          <cell r="BN984">
            <v>0</v>
          </cell>
          <cell r="BO984">
            <v>700</v>
          </cell>
        </row>
        <row r="985">
          <cell r="BL985">
            <v>0</v>
          </cell>
          <cell r="BM985">
            <v>0</v>
          </cell>
          <cell r="BN985">
            <v>0</v>
          </cell>
          <cell r="BO985">
            <v>522.4</v>
          </cell>
        </row>
        <row r="986">
          <cell r="BL986">
            <v>0</v>
          </cell>
          <cell r="BM986">
            <v>0</v>
          </cell>
          <cell r="BN986">
            <v>0</v>
          </cell>
          <cell r="BO986">
            <v>2742.6</v>
          </cell>
        </row>
        <row r="987">
          <cell r="BL987">
            <v>0</v>
          </cell>
          <cell r="BM987">
            <v>0</v>
          </cell>
          <cell r="BN987">
            <v>0</v>
          </cell>
          <cell r="BO987">
            <v>4000</v>
          </cell>
        </row>
        <row r="988">
          <cell r="BL988">
            <v>0</v>
          </cell>
          <cell r="BM988">
            <v>0</v>
          </cell>
          <cell r="BN988">
            <v>0</v>
          </cell>
          <cell r="BO988">
            <v>3000</v>
          </cell>
        </row>
        <row r="989">
          <cell r="BL989">
            <v>0</v>
          </cell>
          <cell r="BM989">
            <v>0</v>
          </cell>
          <cell r="BN989">
            <v>0</v>
          </cell>
          <cell r="BO989">
            <v>783.6</v>
          </cell>
        </row>
        <row r="990">
          <cell r="BL990">
            <v>0</v>
          </cell>
          <cell r="BM990">
            <v>0</v>
          </cell>
          <cell r="BN990">
            <v>0</v>
          </cell>
          <cell r="BO990">
            <v>3000</v>
          </cell>
        </row>
        <row r="991">
          <cell r="BL991">
            <v>0</v>
          </cell>
          <cell r="BM991">
            <v>0</v>
          </cell>
          <cell r="BN991">
            <v>0</v>
          </cell>
          <cell r="BO991">
            <v>825</v>
          </cell>
        </row>
        <row r="992">
          <cell r="BL992">
            <v>0</v>
          </cell>
          <cell r="BM992">
            <v>0</v>
          </cell>
          <cell r="BN992">
            <v>0</v>
          </cell>
          <cell r="BO992">
            <v>1402.5</v>
          </cell>
        </row>
        <row r="993">
          <cell r="BL993">
            <v>0</v>
          </cell>
          <cell r="BM993">
            <v>0</v>
          </cell>
          <cell r="BN993">
            <v>0</v>
          </cell>
          <cell r="BO993">
            <v>606</v>
          </cell>
        </row>
        <row r="994">
          <cell r="BL994">
            <v>0</v>
          </cell>
          <cell r="BM994">
            <v>0</v>
          </cell>
          <cell r="BN994">
            <v>0</v>
          </cell>
          <cell r="BO994">
            <v>4023.33</v>
          </cell>
        </row>
        <row r="995">
          <cell r="BL995">
            <v>0</v>
          </cell>
          <cell r="BM995">
            <v>0</v>
          </cell>
          <cell r="BN995">
            <v>0</v>
          </cell>
          <cell r="BO995">
            <v>448</v>
          </cell>
        </row>
        <row r="996">
          <cell r="BL996">
            <v>0</v>
          </cell>
          <cell r="BM996">
            <v>0</v>
          </cell>
          <cell r="BN996">
            <v>0</v>
          </cell>
          <cell r="BO996">
            <v>1575</v>
          </cell>
        </row>
        <row r="997">
          <cell r="BL997">
            <v>0</v>
          </cell>
          <cell r="BM997">
            <v>0</v>
          </cell>
        </row>
        <row r="998">
          <cell r="BL998">
            <v>0</v>
          </cell>
          <cell r="BM998">
            <v>0</v>
          </cell>
          <cell r="BN998">
            <v>0</v>
          </cell>
          <cell r="BO998">
            <v>175.56</v>
          </cell>
        </row>
        <row r="999">
          <cell r="BL999">
            <v>0</v>
          </cell>
          <cell r="BM999">
            <v>0</v>
          </cell>
          <cell r="BN999">
            <v>0</v>
          </cell>
          <cell r="BO999">
            <v>3430</v>
          </cell>
        </row>
        <row r="1000">
          <cell r="BL1000">
            <v>0</v>
          </cell>
          <cell r="BM1000">
            <v>0</v>
          </cell>
          <cell r="BN1000">
            <v>0</v>
          </cell>
          <cell r="BO1000">
            <v>276.89999999999998</v>
          </cell>
        </row>
        <row r="1001">
          <cell r="BL1001">
            <v>0</v>
          </cell>
          <cell r="BM1001">
            <v>0</v>
          </cell>
          <cell r="BN1001">
            <v>0</v>
          </cell>
          <cell r="BO1001">
            <v>-13859.8</v>
          </cell>
        </row>
        <row r="1002">
          <cell r="BL1002">
            <v>0</v>
          </cell>
          <cell r="BM1002">
            <v>0</v>
          </cell>
          <cell r="BN1002">
            <v>0</v>
          </cell>
          <cell r="BO1002">
            <v>3412.4</v>
          </cell>
        </row>
        <row r="1003">
          <cell r="BL1003">
            <v>0</v>
          </cell>
          <cell r="BM1003">
            <v>0</v>
          </cell>
          <cell r="BN1003">
            <v>0</v>
          </cell>
          <cell r="BO1003">
            <v>233.39</v>
          </cell>
        </row>
        <row r="1004">
          <cell r="BL1004">
            <v>0</v>
          </cell>
          <cell r="BM1004">
            <v>0</v>
          </cell>
          <cell r="BN1004">
            <v>0</v>
          </cell>
          <cell r="BO1004">
            <v>151.5</v>
          </cell>
        </row>
        <row r="1005">
          <cell r="BL1005">
            <v>0</v>
          </cell>
          <cell r="BM1005">
            <v>0</v>
          </cell>
          <cell r="BN1005">
            <v>0</v>
          </cell>
          <cell r="BO1005">
            <v>151.5</v>
          </cell>
        </row>
        <row r="1006">
          <cell r="BL1006">
            <v>0</v>
          </cell>
          <cell r="BM1006">
            <v>0</v>
          </cell>
          <cell r="BN1006">
            <v>0</v>
          </cell>
          <cell r="BO1006">
            <v>225.19</v>
          </cell>
        </row>
        <row r="1007">
          <cell r="BL1007">
            <v>0</v>
          </cell>
          <cell r="BM1007">
            <v>0</v>
          </cell>
          <cell r="BN1007">
            <v>0</v>
          </cell>
          <cell r="BO1007">
            <v>26.12</v>
          </cell>
        </row>
        <row r="1008">
          <cell r="BL1008">
            <v>0</v>
          </cell>
          <cell r="BM1008">
            <v>0</v>
          </cell>
          <cell r="BN1008">
            <v>1630.0000000000002</v>
          </cell>
          <cell r="BO1008">
            <v>0</v>
          </cell>
        </row>
        <row r="1009">
          <cell r="BL1009">
            <v>0</v>
          </cell>
          <cell r="BM1009">
            <v>0</v>
          </cell>
          <cell r="BN1009">
            <v>0</v>
          </cell>
          <cell r="BO1009">
            <v>360</v>
          </cell>
        </row>
        <row r="1010">
          <cell r="BL1010">
            <v>0</v>
          </cell>
          <cell r="BM1010">
            <v>0</v>
          </cell>
          <cell r="BN1010">
            <v>10725</v>
          </cell>
          <cell r="BO1010">
            <v>0</v>
          </cell>
        </row>
        <row r="1011">
          <cell r="BL1011">
            <v>0</v>
          </cell>
          <cell r="BM1011">
            <v>0</v>
          </cell>
          <cell r="BN1011">
            <v>82.5</v>
          </cell>
          <cell r="BO1011">
            <v>0</v>
          </cell>
        </row>
        <row r="1012">
          <cell r="BL1012">
            <v>0</v>
          </cell>
          <cell r="BM1012">
            <v>0</v>
          </cell>
          <cell r="BN1012">
            <v>0</v>
          </cell>
          <cell r="BO1012">
            <v>75.75</v>
          </cell>
        </row>
        <row r="1013">
          <cell r="BL1013">
            <v>0</v>
          </cell>
          <cell r="BM1013">
            <v>0</v>
          </cell>
          <cell r="BN1013">
            <v>4640</v>
          </cell>
          <cell r="BO1013">
            <v>0</v>
          </cell>
        </row>
        <row r="1014">
          <cell r="BL1014">
            <v>0</v>
          </cell>
          <cell r="BM1014">
            <v>0</v>
          </cell>
          <cell r="BN1014">
            <v>0</v>
          </cell>
          <cell r="BO1014">
            <v>1630</v>
          </cell>
        </row>
        <row r="1015">
          <cell r="BL1015">
            <v>0</v>
          </cell>
          <cell r="BM1015">
            <v>0</v>
          </cell>
          <cell r="BN1015">
            <v>0</v>
          </cell>
          <cell r="BO1015">
            <v>7439.9000000000005</v>
          </cell>
        </row>
        <row r="1016">
          <cell r="BL1016">
            <v>0</v>
          </cell>
          <cell r="BM1016">
            <v>0</v>
          </cell>
          <cell r="BN1016">
            <v>0</v>
          </cell>
          <cell r="BO1016">
            <v>87.550000000000011</v>
          </cell>
        </row>
        <row r="1017">
          <cell r="BL1017">
            <v>0</v>
          </cell>
          <cell r="BM1017">
            <v>0</v>
          </cell>
          <cell r="BN1017">
            <v>0</v>
          </cell>
          <cell r="BO1017">
            <v>225.19</v>
          </cell>
        </row>
        <row r="1018">
          <cell r="BL1018">
            <v>0</v>
          </cell>
          <cell r="BM1018">
            <v>0</v>
          </cell>
          <cell r="BN1018">
            <v>3000</v>
          </cell>
          <cell r="BO1018">
            <v>0</v>
          </cell>
        </row>
        <row r="1019">
          <cell r="BL1019">
            <v>0</v>
          </cell>
          <cell r="BM1019">
            <v>0</v>
          </cell>
          <cell r="BN1019">
            <v>0</v>
          </cell>
          <cell r="BO1019">
            <v>1368.8000000000002</v>
          </cell>
        </row>
        <row r="1020">
          <cell r="BL1020">
            <v>0</v>
          </cell>
          <cell r="BM1020">
            <v>0</v>
          </cell>
          <cell r="BN1020">
            <v>0</v>
          </cell>
          <cell r="BO1020">
            <v>9201</v>
          </cell>
        </row>
        <row r="1021">
          <cell r="BL1021">
            <v>0</v>
          </cell>
          <cell r="BM1021">
            <v>0</v>
          </cell>
          <cell r="BN1021">
            <v>0</v>
          </cell>
          <cell r="BO1021">
            <v>75.75</v>
          </cell>
        </row>
        <row r="1022">
          <cell r="BL1022">
            <v>0</v>
          </cell>
          <cell r="BM1022">
            <v>0</v>
          </cell>
          <cell r="BN1022">
            <v>0</v>
          </cell>
          <cell r="BO1022">
            <v>454.5</v>
          </cell>
        </row>
        <row r="1023">
          <cell r="BL1023">
            <v>0</v>
          </cell>
          <cell r="BM1023">
            <v>0</v>
          </cell>
          <cell r="BN1023">
            <v>0</v>
          </cell>
          <cell r="BO1023">
            <v>1223.5</v>
          </cell>
        </row>
        <row r="1024">
          <cell r="BL1024">
            <v>0</v>
          </cell>
          <cell r="BM1024">
            <v>0</v>
          </cell>
          <cell r="BN1024">
            <v>0</v>
          </cell>
          <cell r="BO1024">
            <v>175.10000000000002</v>
          </cell>
        </row>
        <row r="1025">
          <cell r="BL1025">
            <v>0</v>
          </cell>
          <cell r="BM1025">
            <v>0</v>
          </cell>
          <cell r="BN1025">
            <v>0</v>
          </cell>
          <cell r="BO1025">
            <v>75.75</v>
          </cell>
        </row>
        <row r="1026">
          <cell r="BL1026">
            <v>0</v>
          </cell>
          <cell r="BM1026">
            <v>0</v>
          </cell>
          <cell r="BN1026">
            <v>859.80000000000007</v>
          </cell>
          <cell r="BO1026">
            <v>0</v>
          </cell>
        </row>
        <row r="1027">
          <cell r="BL1027">
            <v>0</v>
          </cell>
          <cell r="BM1027">
            <v>0</v>
          </cell>
          <cell r="BN1027">
            <v>0</v>
          </cell>
          <cell r="BO1027">
            <v>4707.3999999999996</v>
          </cell>
        </row>
        <row r="1028">
          <cell r="BL1028">
            <v>0</v>
          </cell>
          <cell r="BM1028">
            <v>0</v>
          </cell>
          <cell r="BN1028">
            <v>0</v>
          </cell>
          <cell r="BO1028">
            <v>280.04000000000002</v>
          </cell>
        </row>
        <row r="1029">
          <cell r="BL1029">
            <v>0</v>
          </cell>
          <cell r="BM1029">
            <v>0</v>
          </cell>
          <cell r="BN1029">
            <v>0</v>
          </cell>
          <cell r="BO1029">
            <v>3787.5</v>
          </cell>
        </row>
        <row r="1030">
          <cell r="BL1030">
            <v>0</v>
          </cell>
          <cell r="BM1030">
            <v>0</v>
          </cell>
          <cell r="BN1030">
            <v>0</v>
          </cell>
          <cell r="BO1030">
            <v>5302.5</v>
          </cell>
        </row>
        <row r="1031">
          <cell r="BL1031">
            <v>0</v>
          </cell>
          <cell r="BM1031">
            <v>0</v>
          </cell>
          <cell r="BN1031">
            <v>0</v>
          </cell>
          <cell r="BO1031">
            <v>945.6</v>
          </cell>
        </row>
        <row r="1032">
          <cell r="BL1032">
            <v>0</v>
          </cell>
          <cell r="BM1032">
            <v>0</v>
          </cell>
          <cell r="BN1032">
            <v>0</v>
          </cell>
          <cell r="BO1032">
            <v>1776.16</v>
          </cell>
        </row>
        <row r="1033">
          <cell r="BL1033">
            <v>0</v>
          </cell>
          <cell r="BM1033">
            <v>0</v>
          </cell>
          <cell r="BN1033">
            <v>0</v>
          </cell>
          <cell r="BO1033">
            <v>175.10000000000002</v>
          </cell>
        </row>
        <row r="1034">
          <cell r="BL1034">
            <v>0</v>
          </cell>
          <cell r="BM1034">
            <v>0</v>
          </cell>
          <cell r="BN1034">
            <v>0</v>
          </cell>
          <cell r="BO1034">
            <v>227.25</v>
          </cell>
        </row>
        <row r="1035">
          <cell r="BL1035">
            <v>0</v>
          </cell>
          <cell r="BM1035">
            <v>0</v>
          </cell>
          <cell r="BN1035">
            <v>0</v>
          </cell>
          <cell r="BO1035">
            <v>1200</v>
          </cell>
        </row>
        <row r="1036">
          <cell r="BL1036">
            <v>0</v>
          </cell>
          <cell r="BM1036">
            <v>0</v>
          </cell>
          <cell r="BN1036">
            <v>0</v>
          </cell>
          <cell r="BO1036">
            <v>3077</v>
          </cell>
        </row>
        <row r="1037">
          <cell r="BL1037">
            <v>0</v>
          </cell>
          <cell r="BM1037">
            <v>0</v>
          </cell>
          <cell r="BN1037">
            <v>0</v>
          </cell>
          <cell r="BO1037">
            <v>276.89999999999998</v>
          </cell>
        </row>
        <row r="1038">
          <cell r="BL1038">
            <v>0</v>
          </cell>
          <cell r="BM1038">
            <v>0</v>
          </cell>
          <cell r="BN1038">
            <v>0</v>
          </cell>
          <cell r="BO1038">
            <v>75.75</v>
          </cell>
        </row>
        <row r="1039">
          <cell r="BL1039">
            <v>0</v>
          </cell>
          <cell r="BM1039">
            <v>0</v>
          </cell>
          <cell r="BN1039">
            <v>0</v>
          </cell>
          <cell r="BO1039">
            <v>7602</v>
          </cell>
        </row>
        <row r="1040">
          <cell r="BL1040">
            <v>0</v>
          </cell>
          <cell r="BM1040">
            <v>0</v>
          </cell>
          <cell r="BN1040">
            <v>0</v>
          </cell>
          <cell r="BO1040">
            <v>24275.46</v>
          </cell>
        </row>
        <row r="1041">
          <cell r="BL1041">
            <v>0</v>
          </cell>
          <cell r="BM1041">
            <v>0</v>
          </cell>
          <cell r="BN1041">
            <v>0</v>
          </cell>
          <cell r="BO1041">
            <v>498</v>
          </cell>
        </row>
        <row r="1042">
          <cell r="BL1042">
            <v>0</v>
          </cell>
          <cell r="BM1042">
            <v>0</v>
          </cell>
          <cell r="BN1042">
            <v>0</v>
          </cell>
          <cell r="BO1042">
            <v>2855.5</v>
          </cell>
        </row>
        <row r="1043">
          <cell r="BL1043">
            <v>0</v>
          </cell>
          <cell r="BM1043">
            <v>0</v>
          </cell>
          <cell r="BN1043">
            <v>0</v>
          </cell>
          <cell r="BO1043">
            <v>3015.9</v>
          </cell>
        </row>
        <row r="1044">
          <cell r="BL1044">
            <v>0</v>
          </cell>
          <cell r="BM1044">
            <v>0</v>
          </cell>
          <cell r="BN1044">
            <v>0</v>
          </cell>
          <cell r="BO1044">
            <v>3009</v>
          </cell>
        </row>
        <row r="1045">
          <cell r="BL1045">
            <v>0</v>
          </cell>
          <cell r="BM1045">
            <v>0</v>
          </cell>
          <cell r="BN1045">
            <v>0</v>
          </cell>
          <cell r="BO1045">
            <v>151.5</v>
          </cell>
        </row>
        <row r="1046">
          <cell r="BL1046">
            <v>0</v>
          </cell>
          <cell r="BM1046">
            <v>0</v>
          </cell>
          <cell r="BN1046">
            <v>0</v>
          </cell>
          <cell r="BO1046">
            <v>64220</v>
          </cell>
        </row>
        <row r="1047">
          <cell r="BL1047">
            <v>0</v>
          </cell>
          <cell r="BM1047">
            <v>0</v>
          </cell>
          <cell r="BN1047">
            <v>0</v>
          </cell>
          <cell r="BO1047">
            <v>218.38</v>
          </cell>
        </row>
        <row r="1048">
          <cell r="BL1048">
            <v>0</v>
          </cell>
          <cell r="BM1048">
            <v>0</v>
          </cell>
          <cell r="BN1048">
            <v>0</v>
          </cell>
          <cell r="BO1048">
            <v>151.5</v>
          </cell>
        </row>
        <row r="1049">
          <cell r="BL1049">
            <v>0</v>
          </cell>
          <cell r="BM1049">
            <v>0</v>
          </cell>
          <cell r="BN1049">
            <v>0</v>
          </cell>
          <cell r="BO1049">
            <v>5564.1</v>
          </cell>
        </row>
        <row r="1050">
          <cell r="BL1050">
            <v>0</v>
          </cell>
          <cell r="BM1050">
            <v>0</v>
          </cell>
          <cell r="BN1050">
            <v>0</v>
          </cell>
          <cell r="BO1050">
            <v>218.38</v>
          </cell>
        </row>
        <row r="1051">
          <cell r="BL1051">
            <v>0</v>
          </cell>
          <cell r="BM1051">
            <v>0</v>
          </cell>
          <cell r="BN1051">
            <v>0</v>
          </cell>
          <cell r="BO1051">
            <v>151.5</v>
          </cell>
        </row>
        <row r="1052">
          <cell r="BL1052">
            <v>0</v>
          </cell>
          <cell r="BM1052">
            <v>0</v>
          </cell>
          <cell r="BN1052">
            <v>0</v>
          </cell>
          <cell r="BO1052">
            <v>166.14</v>
          </cell>
        </row>
        <row r="1053">
          <cell r="BL1053">
            <v>0</v>
          </cell>
          <cell r="BM1053">
            <v>0</v>
          </cell>
          <cell r="BN1053">
            <v>0</v>
          </cell>
          <cell r="BO1053">
            <v>151.5</v>
          </cell>
        </row>
        <row r="1054">
          <cell r="BL1054">
            <v>0</v>
          </cell>
          <cell r="BM1054">
            <v>0</v>
          </cell>
          <cell r="BN1054">
            <v>0</v>
          </cell>
          <cell r="BO1054">
            <v>2121</v>
          </cell>
        </row>
        <row r="1055">
          <cell r="BL1055">
            <v>0</v>
          </cell>
          <cell r="BM1055">
            <v>0</v>
          </cell>
          <cell r="BN1055">
            <v>0</v>
          </cell>
          <cell r="BO1055">
            <v>437.75</v>
          </cell>
        </row>
        <row r="1056">
          <cell r="BL1056">
            <v>0</v>
          </cell>
          <cell r="BM1056">
            <v>0</v>
          </cell>
          <cell r="BN1056">
            <v>0</v>
          </cell>
          <cell r="BO1056">
            <v>378.75</v>
          </cell>
        </row>
        <row r="1057">
          <cell r="BL1057">
            <v>0</v>
          </cell>
          <cell r="BM1057">
            <v>0</v>
          </cell>
          <cell r="BN1057">
            <v>14000</v>
          </cell>
          <cell r="BO1057">
            <v>0</v>
          </cell>
        </row>
        <row r="1058">
          <cell r="BL1058">
            <v>0</v>
          </cell>
          <cell r="BM1058">
            <v>0</v>
          </cell>
          <cell r="BN1058">
            <v>0</v>
          </cell>
          <cell r="BO1058">
            <v>276.89999999999998</v>
          </cell>
        </row>
        <row r="1059">
          <cell r="BL1059">
            <v>0</v>
          </cell>
          <cell r="BM1059">
            <v>0</v>
          </cell>
          <cell r="BN1059">
            <v>0</v>
          </cell>
          <cell r="BO1059">
            <v>276.89999999999998</v>
          </cell>
        </row>
        <row r="1060">
          <cell r="BL1060">
            <v>0</v>
          </cell>
          <cell r="BM1060">
            <v>0</v>
          </cell>
          <cell r="BN1060">
            <v>0</v>
          </cell>
          <cell r="BO1060">
            <v>14613.5</v>
          </cell>
        </row>
        <row r="1061">
          <cell r="BL1061">
            <v>0</v>
          </cell>
          <cell r="BM1061">
            <v>0</v>
          </cell>
          <cell r="BN1061">
            <v>0</v>
          </cell>
          <cell r="BO1061">
            <v>678.12</v>
          </cell>
        </row>
        <row r="1062">
          <cell r="BL1062">
            <v>0</v>
          </cell>
          <cell r="BM1062">
            <v>0</v>
          </cell>
          <cell r="BN1062">
            <v>0</v>
          </cell>
          <cell r="BO1062">
            <v>182.84</v>
          </cell>
        </row>
        <row r="1063">
          <cell r="BL1063">
            <v>0</v>
          </cell>
          <cell r="BM1063">
            <v>0</v>
          </cell>
          <cell r="BN1063">
            <v>0</v>
          </cell>
          <cell r="BO1063">
            <v>553.79999999999995</v>
          </cell>
        </row>
        <row r="1064">
          <cell r="BL1064">
            <v>0</v>
          </cell>
          <cell r="BM1064">
            <v>0</v>
          </cell>
          <cell r="BN1064">
            <v>0</v>
          </cell>
          <cell r="BO1064">
            <v>47898.62</v>
          </cell>
        </row>
        <row r="1065">
          <cell r="BL1065">
            <v>0</v>
          </cell>
          <cell r="BM1065">
            <v>0</v>
          </cell>
          <cell r="BN1065">
            <v>0</v>
          </cell>
          <cell r="BO1065">
            <v>407.5</v>
          </cell>
        </row>
        <row r="1066">
          <cell r="BL1066">
            <v>0</v>
          </cell>
          <cell r="BM1066">
            <v>0</v>
          </cell>
          <cell r="BN1066">
            <v>0</v>
          </cell>
          <cell r="BO1066">
            <v>684.40000000000009</v>
          </cell>
        </row>
        <row r="1067">
          <cell r="BL1067">
            <v>0</v>
          </cell>
          <cell r="BM1067">
            <v>0</v>
          </cell>
          <cell r="BN1067">
            <v>0</v>
          </cell>
          <cell r="BO1067">
            <v>3125</v>
          </cell>
        </row>
        <row r="1068">
          <cell r="BL1068">
            <v>0</v>
          </cell>
          <cell r="BM1068">
            <v>0</v>
          </cell>
          <cell r="BN1068">
            <v>0</v>
          </cell>
          <cell r="BO1068">
            <v>75.75</v>
          </cell>
        </row>
        <row r="1069">
          <cell r="BL1069">
            <v>0</v>
          </cell>
          <cell r="BM1069">
            <v>0</v>
          </cell>
          <cell r="BN1069">
            <v>0</v>
          </cell>
          <cell r="BO1069">
            <v>276.89999999999998</v>
          </cell>
        </row>
        <row r="1070">
          <cell r="BL1070">
            <v>0</v>
          </cell>
          <cell r="BM1070">
            <v>0</v>
          </cell>
          <cell r="BN1070">
            <v>0</v>
          </cell>
          <cell r="BO1070">
            <v>553.79999999999995</v>
          </cell>
        </row>
        <row r="1071">
          <cell r="BL1071">
            <v>0</v>
          </cell>
          <cell r="BM1071">
            <v>0</v>
          </cell>
          <cell r="BN1071">
            <v>858.94</v>
          </cell>
          <cell r="BO1071">
            <v>0</v>
          </cell>
        </row>
        <row r="1072">
          <cell r="BL1072">
            <v>0</v>
          </cell>
          <cell r="BM1072">
            <v>0</v>
          </cell>
          <cell r="BN1072">
            <v>0</v>
          </cell>
          <cell r="BO1072">
            <v>407.5</v>
          </cell>
        </row>
        <row r="1073">
          <cell r="BL1073">
            <v>0</v>
          </cell>
          <cell r="BM1073">
            <v>0</v>
          </cell>
          <cell r="BN1073">
            <v>0</v>
          </cell>
          <cell r="BO1073">
            <v>151.5</v>
          </cell>
        </row>
        <row r="1074">
          <cell r="BL1074">
            <v>0</v>
          </cell>
          <cell r="BM1074">
            <v>0</v>
          </cell>
          <cell r="BN1074">
            <v>0</v>
          </cell>
          <cell r="BO1074">
            <v>1107.5999999999999</v>
          </cell>
        </row>
        <row r="1075">
          <cell r="BL1075">
            <v>0</v>
          </cell>
          <cell r="BM1075">
            <v>0</v>
          </cell>
          <cell r="BN1075">
            <v>0</v>
          </cell>
          <cell r="BO1075">
            <v>416.92</v>
          </cell>
        </row>
        <row r="1076">
          <cell r="BL1076">
            <v>0</v>
          </cell>
          <cell r="BM1076">
            <v>0</v>
          </cell>
          <cell r="BN1076">
            <v>0</v>
          </cell>
          <cell r="BO1076">
            <v>637.74</v>
          </cell>
        </row>
        <row r="1077">
          <cell r="BL1077">
            <v>0</v>
          </cell>
          <cell r="BM1077">
            <v>0</v>
          </cell>
          <cell r="BN1077">
            <v>0</v>
          </cell>
          <cell r="BO1077">
            <v>3602.2</v>
          </cell>
        </row>
        <row r="1078">
          <cell r="BL1078">
            <v>0</v>
          </cell>
          <cell r="BM1078">
            <v>0</v>
          </cell>
          <cell r="BN1078">
            <v>0</v>
          </cell>
          <cell r="BO1078">
            <v>1384.5</v>
          </cell>
        </row>
        <row r="1079">
          <cell r="BL1079">
            <v>0</v>
          </cell>
          <cell r="BM1079">
            <v>0</v>
          </cell>
          <cell r="BN1079">
            <v>0</v>
          </cell>
          <cell r="BO1079">
            <v>303</v>
          </cell>
        </row>
        <row r="1080">
          <cell r="BL1080">
            <v>0</v>
          </cell>
          <cell r="BM1080">
            <v>0</v>
          </cell>
          <cell r="BN1080">
            <v>0</v>
          </cell>
          <cell r="BO1080">
            <v>52.24</v>
          </cell>
        </row>
        <row r="1081">
          <cell r="BL1081">
            <v>0</v>
          </cell>
          <cell r="BM1081">
            <v>0</v>
          </cell>
          <cell r="BN1081">
            <v>0</v>
          </cell>
          <cell r="BO1081">
            <v>120</v>
          </cell>
        </row>
        <row r="1082">
          <cell r="BL1082">
            <v>0</v>
          </cell>
          <cell r="BM1082">
            <v>0</v>
          </cell>
          <cell r="BN1082">
            <v>0</v>
          </cell>
          <cell r="BO1082">
            <v>739.43</v>
          </cell>
        </row>
        <row r="1083">
          <cell r="BL1083">
            <v>0</v>
          </cell>
          <cell r="BM1083">
            <v>0</v>
          </cell>
          <cell r="BN1083">
            <v>0</v>
          </cell>
          <cell r="BO1083">
            <v>675</v>
          </cell>
        </row>
        <row r="1084">
          <cell r="BL1084">
            <v>0</v>
          </cell>
          <cell r="BM1084">
            <v>0</v>
          </cell>
          <cell r="BN1084">
            <v>0</v>
          </cell>
          <cell r="BO1084">
            <v>1661.4</v>
          </cell>
        </row>
        <row r="1085">
          <cell r="BL1085">
            <v>0</v>
          </cell>
          <cell r="BM1085">
            <v>0</v>
          </cell>
          <cell r="BN1085">
            <v>0</v>
          </cell>
          <cell r="BO1085">
            <v>5683.88</v>
          </cell>
        </row>
        <row r="1086">
          <cell r="BL1086">
            <v>0</v>
          </cell>
          <cell r="BM1086">
            <v>0</v>
          </cell>
          <cell r="BN1086">
            <v>0</v>
          </cell>
          <cell r="BO1086">
            <v>2000</v>
          </cell>
        </row>
        <row r="1087">
          <cell r="BL1087">
            <v>0</v>
          </cell>
          <cell r="BM1087">
            <v>0</v>
          </cell>
          <cell r="BN1087">
            <v>643.40000000000009</v>
          </cell>
          <cell r="BO1087">
            <v>0</v>
          </cell>
        </row>
        <row r="1088">
          <cell r="BL1088">
            <v>0</v>
          </cell>
          <cell r="BM1088">
            <v>0</v>
          </cell>
          <cell r="BN1088">
            <v>0</v>
          </cell>
          <cell r="BO1088">
            <v>684.40000000000009</v>
          </cell>
        </row>
        <row r="1089">
          <cell r="BL1089">
            <v>0</v>
          </cell>
          <cell r="BM1089">
            <v>0</v>
          </cell>
          <cell r="BN1089">
            <v>0</v>
          </cell>
          <cell r="BO1089">
            <v>553.79999999999995</v>
          </cell>
        </row>
        <row r="1090">
          <cell r="BL1090">
            <v>0</v>
          </cell>
          <cell r="BM1090">
            <v>0</v>
          </cell>
          <cell r="BN1090">
            <v>0</v>
          </cell>
          <cell r="BO1090">
            <v>399.76</v>
          </cell>
        </row>
        <row r="1091">
          <cell r="BL1091">
            <v>0</v>
          </cell>
          <cell r="BM1091">
            <v>0</v>
          </cell>
          <cell r="BN1091">
            <v>0</v>
          </cell>
          <cell r="BO1091">
            <v>87.550000000000011</v>
          </cell>
        </row>
        <row r="1092">
          <cell r="BL1092">
            <v>0</v>
          </cell>
          <cell r="BM1092">
            <v>0</v>
          </cell>
          <cell r="BN1092">
            <v>0</v>
          </cell>
          <cell r="BO1092">
            <v>87.550000000000011</v>
          </cell>
        </row>
        <row r="1093">
          <cell r="BL1093">
            <v>0</v>
          </cell>
          <cell r="BM1093">
            <v>0</v>
          </cell>
          <cell r="BN1093">
            <v>0</v>
          </cell>
          <cell r="BO1093">
            <v>830.7</v>
          </cell>
        </row>
        <row r="1094">
          <cell r="BL1094">
            <v>0</v>
          </cell>
          <cell r="BM1094">
            <v>0</v>
          </cell>
          <cell r="BN1094">
            <v>0</v>
          </cell>
          <cell r="BO1094">
            <v>163</v>
          </cell>
        </row>
        <row r="1095">
          <cell r="BL1095">
            <v>0</v>
          </cell>
          <cell r="BM1095">
            <v>0</v>
          </cell>
          <cell r="BN1095">
            <v>0</v>
          </cell>
          <cell r="BO1095">
            <v>75.75</v>
          </cell>
        </row>
        <row r="1096">
          <cell r="BL1096">
            <v>0</v>
          </cell>
          <cell r="BM1096">
            <v>0</v>
          </cell>
          <cell r="BN1096">
            <v>0</v>
          </cell>
          <cell r="BO1096">
            <v>163</v>
          </cell>
        </row>
        <row r="1097">
          <cell r="BL1097">
            <v>0</v>
          </cell>
          <cell r="BM1097">
            <v>0</v>
          </cell>
          <cell r="BN1097">
            <v>0</v>
          </cell>
          <cell r="BO1097">
            <v>75.75</v>
          </cell>
        </row>
        <row r="1098">
          <cell r="BL1098">
            <v>0</v>
          </cell>
          <cell r="BM1098">
            <v>0</v>
          </cell>
          <cell r="BN1098">
            <v>0</v>
          </cell>
          <cell r="BO1098">
            <v>5381</v>
          </cell>
        </row>
        <row r="1099">
          <cell r="BL1099">
            <v>0</v>
          </cell>
          <cell r="BM1099">
            <v>0</v>
          </cell>
          <cell r="BN1099">
            <v>0</v>
          </cell>
          <cell r="BO1099">
            <v>192.26</v>
          </cell>
        </row>
        <row r="1100">
          <cell r="BL1100">
            <v>0</v>
          </cell>
          <cell r="BM1100">
            <v>0</v>
          </cell>
          <cell r="BN1100">
            <v>0</v>
          </cell>
          <cell r="BO1100">
            <v>151.5</v>
          </cell>
        </row>
        <row r="1101">
          <cell r="BL1101">
            <v>0</v>
          </cell>
          <cell r="BM1101">
            <v>0</v>
          </cell>
          <cell r="BN1101">
            <v>0</v>
          </cell>
          <cell r="BO1101">
            <v>538.1</v>
          </cell>
        </row>
        <row r="1102">
          <cell r="BL1102">
            <v>0</v>
          </cell>
          <cell r="BM1102">
            <v>0</v>
          </cell>
          <cell r="BN1102">
            <v>684.40000000000055</v>
          </cell>
          <cell r="BO1102">
            <v>0</v>
          </cell>
        </row>
        <row r="1103">
          <cell r="BL1103">
            <v>0</v>
          </cell>
          <cell r="BM1103">
            <v>0</v>
          </cell>
          <cell r="BN1103">
            <v>0</v>
          </cell>
          <cell r="BO1103">
            <v>4304.8</v>
          </cell>
        </row>
        <row r="1104">
          <cell r="BL1104">
            <v>0</v>
          </cell>
          <cell r="BM1104">
            <v>0</v>
          </cell>
          <cell r="BN1104">
            <v>701.10000000000014</v>
          </cell>
          <cell r="BO1104">
            <v>0</v>
          </cell>
        </row>
        <row r="1105">
          <cell r="BL1105">
            <v>0</v>
          </cell>
          <cell r="BM1105">
            <v>0</v>
          </cell>
          <cell r="BN1105">
            <v>0</v>
          </cell>
          <cell r="BO1105">
            <v>1541.22</v>
          </cell>
        </row>
        <row r="1106">
          <cell r="BL1106">
            <v>0</v>
          </cell>
          <cell r="BM1106">
            <v>0</v>
          </cell>
          <cell r="BN1106">
            <v>1500</v>
          </cell>
          <cell r="BO1106">
            <v>0</v>
          </cell>
        </row>
        <row r="1107">
          <cell r="BL1107">
            <v>0</v>
          </cell>
          <cell r="BM1107">
            <v>0</v>
          </cell>
          <cell r="BN1107">
            <v>14000</v>
          </cell>
          <cell r="BO1107">
            <v>0</v>
          </cell>
        </row>
        <row r="1108">
          <cell r="BL1108">
            <v>0</v>
          </cell>
          <cell r="BM1108">
            <v>0</v>
          </cell>
          <cell r="BN1108">
            <v>0</v>
          </cell>
          <cell r="BO1108">
            <v>2450</v>
          </cell>
        </row>
        <row r="1109">
          <cell r="BL1109">
            <v>0</v>
          </cell>
          <cell r="BM1109">
            <v>0</v>
          </cell>
          <cell r="BN1109">
            <v>4243.24</v>
          </cell>
          <cell r="BO1109">
            <v>0</v>
          </cell>
        </row>
        <row r="1110">
          <cell r="BL1110">
            <v>0</v>
          </cell>
          <cell r="BM1110">
            <v>0</v>
          </cell>
          <cell r="BN1110">
            <v>4000</v>
          </cell>
          <cell r="BO1110">
            <v>0</v>
          </cell>
        </row>
        <row r="1111">
          <cell r="BL1111">
            <v>0</v>
          </cell>
          <cell r="BM1111">
            <v>0</v>
          </cell>
          <cell r="BN1111">
            <v>585.20000000000005</v>
          </cell>
          <cell r="BO1111">
            <v>0</v>
          </cell>
        </row>
        <row r="1112">
          <cell r="BL1112">
            <v>0</v>
          </cell>
          <cell r="BM1112">
            <v>0</v>
          </cell>
          <cell r="BN1112">
            <v>0</v>
          </cell>
          <cell r="BO1112">
            <v>2612</v>
          </cell>
        </row>
        <row r="1113">
          <cell r="BL1113">
            <v>0</v>
          </cell>
          <cell r="BM1113">
            <v>0</v>
          </cell>
          <cell r="BN1113">
            <v>0</v>
          </cell>
          <cell r="BO1113">
            <v>4426.67</v>
          </cell>
        </row>
        <row r="1114">
          <cell r="BL1114">
            <v>0</v>
          </cell>
          <cell r="BM1114">
            <v>0</v>
          </cell>
          <cell r="BN1114">
            <v>2790.4000000000005</v>
          </cell>
          <cell r="BO1114">
            <v>0</v>
          </cell>
        </row>
        <row r="1115">
          <cell r="BL1115">
            <v>0</v>
          </cell>
          <cell r="BM1115">
            <v>0</v>
          </cell>
          <cell r="BN1115">
            <v>0</v>
          </cell>
          <cell r="BO1115">
            <v>1306</v>
          </cell>
        </row>
        <row r="1116">
          <cell r="BL1116">
            <v>0</v>
          </cell>
          <cell r="BM1116">
            <v>0</v>
          </cell>
          <cell r="BN1116">
            <v>0</v>
          </cell>
          <cell r="BO1116">
            <v>5000</v>
          </cell>
        </row>
        <row r="1117">
          <cell r="BL1117">
            <v>0</v>
          </cell>
          <cell r="BM1117">
            <v>0</v>
          </cell>
          <cell r="BN1117">
            <v>0</v>
          </cell>
          <cell r="BO1117">
            <v>23203.18</v>
          </cell>
        </row>
        <row r="1118">
          <cell r="BL1118">
            <v>0</v>
          </cell>
          <cell r="BM1118">
            <v>0</v>
          </cell>
          <cell r="BN1118">
            <v>0</v>
          </cell>
          <cell r="BO1118">
            <v>7947</v>
          </cell>
        </row>
        <row r="1119">
          <cell r="BL1119">
            <v>0</v>
          </cell>
          <cell r="BM1119">
            <v>0</v>
          </cell>
          <cell r="BN1119">
            <v>0</v>
          </cell>
          <cell r="BO1119">
            <v>200</v>
          </cell>
        </row>
        <row r="1120">
          <cell r="BL1120">
            <v>0</v>
          </cell>
          <cell r="BM1120">
            <v>0</v>
          </cell>
          <cell r="BN1120">
            <v>0</v>
          </cell>
          <cell r="BO1120">
            <v>15640</v>
          </cell>
        </row>
        <row r="1121">
          <cell r="BL1121">
            <v>0</v>
          </cell>
          <cell r="BM1121">
            <v>0</v>
          </cell>
          <cell r="BN1121">
            <v>0</v>
          </cell>
          <cell r="BO1121">
            <v>18000</v>
          </cell>
        </row>
        <row r="1122">
          <cell r="BL1122">
            <v>0</v>
          </cell>
          <cell r="BM1122">
            <v>0</v>
          </cell>
          <cell r="BN1122">
            <v>0</v>
          </cell>
          <cell r="BO1122">
            <v>650</v>
          </cell>
        </row>
        <row r="1123">
          <cell r="BL1123">
            <v>0</v>
          </cell>
          <cell r="BM1123">
            <v>0</v>
          </cell>
          <cell r="BN1123">
            <v>0</v>
          </cell>
          <cell r="BO1123">
            <v>288</v>
          </cell>
        </row>
        <row r="1124">
          <cell r="BL1124">
            <v>0</v>
          </cell>
          <cell r="BM1124">
            <v>0</v>
          </cell>
          <cell r="BN1124">
            <v>0</v>
          </cell>
          <cell r="BO1124">
            <v>223</v>
          </cell>
        </row>
        <row r="1125">
          <cell r="BL1125">
            <v>0</v>
          </cell>
          <cell r="BM1125">
            <v>0</v>
          </cell>
          <cell r="BN1125">
            <v>0</v>
          </cell>
          <cell r="BO1125">
            <v>15000</v>
          </cell>
        </row>
        <row r="1126">
          <cell r="BL1126">
            <v>0</v>
          </cell>
          <cell r="BM1126">
            <v>0</v>
          </cell>
          <cell r="BN1126">
            <v>0</v>
          </cell>
          <cell r="BO1126">
            <v>2475</v>
          </cell>
        </row>
        <row r="1127">
          <cell r="BL1127">
            <v>0</v>
          </cell>
          <cell r="BM1127">
            <v>0</v>
          </cell>
          <cell r="BN1127">
            <v>0</v>
          </cell>
          <cell r="BO1127">
            <v>15640</v>
          </cell>
        </row>
        <row r="1128">
          <cell r="BL1128">
            <v>0</v>
          </cell>
          <cell r="BM1128">
            <v>0</v>
          </cell>
          <cell r="BN1128">
            <v>0</v>
          </cell>
          <cell r="BO1128">
            <v>15640</v>
          </cell>
        </row>
        <row r="1129">
          <cell r="BL1129">
            <v>0</v>
          </cell>
          <cell r="BM1129">
            <v>0</v>
          </cell>
          <cell r="BN1129">
            <v>0</v>
          </cell>
          <cell r="BO1129">
            <v>600</v>
          </cell>
        </row>
        <row r="1130">
          <cell r="BL1130">
            <v>0</v>
          </cell>
          <cell r="BM1130">
            <v>0</v>
          </cell>
          <cell r="BN1130">
            <v>0</v>
          </cell>
          <cell r="BO1130">
            <v>6312</v>
          </cell>
        </row>
        <row r="1131">
          <cell r="BL1131">
            <v>0</v>
          </cell>
          <cell r="BM1131">
            <v>0</v>
          </cell>
          <cell r="BN1131">
            <v>0</v>
          </cell>
          <cell r="BO1131">
            <v>9650</v>
          </cell>
        </row>
        <row r="1132">
          <cell r="BL1132">
            <v>0</v>
          </cell>
          <cell r="BM1132">
            <v>0</v>
          </cell>
          <cell r="BN1132">
            <v>0</v>
          </cell>
          <cell r="BO1132">
            <v>5343.0599999999995</v>
          </cell>
        </row>
        <row r="1133">
          <cell r="BL1133">
            <v>0</v>
          </cell>
          <cell r="BM1133">
            <v>0</v>
          </cell>
          <cell r="BN1133">
            <v>0</v>
          </cell>
          <cell r="BO1133">
            <v>227.8</v>
          </cell>
        </row>
        <row r="1134">
          <cell r="BL1134">
            <v>0</v>
          </cell>
          <cell r="BM1134">
            <v>0</v>
          </cell>
          <cell r="BN1134">
            <v>0</v>
          </cell>
          <cell r="BO1134">
            <v>151.5</v>
          </cell>
        </row>
        <row r="1135">
          <cell r="BL1135">
            <v>0</v>
          </cell>
          <cell r="BM1135">
            <v>0</v>
          </cell>
          <cell r="BN1135">
            <v>0</v>
          </cell>
          <cell r="BO1135">
            <v>146.30000000000001</v>
          </cell>
        </row>
        <row r="1136">
          <cell r="BL1136">
            <v>0</v>
          </cell>
          <cell r="BM1136">
            <v>0</v>
          </cell>
          <cell r="BN1136">
            <v>0</v>
          </cell>
          <cell r="BO1136">
            <v>2829</v>
          </cell>
        </row>
        <row r="1137">
          <cell r="BL1137">
            <v>0</v>
          </cell>
          <cell r="BM1137">
            <v>0</v>
          </cell>
          <cell r="BN1137">
            <v>0</v>
          </cell>
          <cell r="BO1137">
            <v>2829</v>
          </cell>
        </row>
        <row r="1138">
          <cell r="BL1138">
            <v>0</v>
          </cell>
          <cell r="BM1138">
            <v>0</v>
          </cell>
          <cell r="BN1138">
            <v>0</v>
          </cell>
          <cell r="BO1138">
            <v>2829</v>
          </cell>
        </row>
        <row r="1139">
          <cell r="BL1139">
            <v>0</v>
          </cell>
          <cell r="BM1139">
            <v>0</v>
          </cell>
          <cell r="BN1139">
            <v>0</v>
          </cell>
          <cell r="BO1139">
            <v>2829</v>
          </cell>
        </row>
        <row r="1140">
          <cell r="BL1140">
            <v>0</v>
          </cell>
          <cell r="BM1140">
            <v>0</v>
          </cell>
          <cell r="BN1140">
            <v>0</v>
          </cell>
          <cell r="BO1140">
            <v>2829</v>
          </cell>
        </row>
        <row r="1141">
          <cell r="BL1141">
            <v>0</v>
          </cell>
          <cell r="BM1141">
            <v>0</v>
          </cell>
          <cell r="BN1141">
            <v>0</v>
          </cell>
          <cell r="BO1141">
            <v>1095</v>
          </cell>
        </row>
        <row r="1142">
          <cell r="BL1142">
            <v>0</v>
          </cell>
          <cell r="BM1142">
            <v>0</v>
          </cell>
          <cell r="BN1142">
            <v>0</v>
          </cell>
          <cell r="BO1142">
            <v>1384.5</v>
          </cell>
        </row>
        <row r="1143">
          <cell r="BL1143">
            <v>0</v>
          </cell>
          <cell r="BM1143">
            <v>0</v>
          </cell>
          <cell r="BN1143">
            <v>1345</v>
          </cell>
          <cell r="BO1143">
            <v>0</v>
          </cell>
        </row>
        <row r="1144">
          <cell r="BL1144">
            <v>0</v>
          </cell>
          <cell r="BM1144">
            <v>0</v>
          </cell>
          <cell r="BN1144">
            <v>0</v>
          </cell>
          <cell r="BO1144">
            <v>276.89999999999998</v>
          </cell>
        </row>
        <row r="1145">
          <cell r="BL1145">
            <v>0</v>
          </cell>
          <cell r="BM1145">
            <v>0</v>
          </cell>
          <cell r="BN1145">
            <v>0</v>
          </cell>
          <cell r="BO1145">
            <v>4264</v>
          </cell>
        </row>
        <row r="1146">
          <cell r="BL1146">
            <v>0</v>
          </cell>
          <cell r="BM1146">
            <v>0</v>
          </cell>
          <cell r="BN1146">
            <v>0</v>
          </cell>
          <cell r="BO1146">
            <v>3517.4</v>
          </cell>
        </row>
        <row r="1147">
          <cell r="BL1147">
            <v>0</v>
          </cell>
          <cell r="BM1147">
            <v>0</v>
          </cell>
          <cell r="BN1147">
            <v>0</v>
          </cell>
          <cell r="BO1147">
            <v>151.5</v>
          </cell>
        </row>
        <row r="1148">
          <cell r="BL1148">
            <v>0</v>
          </cell>
          <cell r="BM1148">
            <v>0</v>
          </cell>
          <cell r="BN1148">
            <v>0</v>
          </cell>
          <cell r="BO1148">
            <v>716.8</v>
          </cell>
        </row>
        <row r="1149">
          <cell r="BL1149">
            <v>0</v>
          </cell>
          <cell r="BM1149">
            <v>0</v>
          </cell>
          <cell r="BN1149">
            <v>0</v>
          </cell>
          <cell r="BO1149">
            <v>75.75</v>
          </cell>
        </row>
        <row r="1150">
          <cell r="BL1150">
            <v>0</v>
          </cell>
          <cell r="BM1150">
            <v>0</v>
          </cell>
          <cell r="BN1150">
            <v>0</v>
          </cell>
          <cell r="BO1150">
            <v>218.38</v>
          </cell>
        </row>
        <row r="1151">
          <cell r="BL1151">
            <v>0</v>
          </cell>
          <cell r="BM1151">
            <v>0</v>
          </cell>
          <cell r="BN1151">
            <v>0</v>
          </cell>
          <cell r="BO1151">
            <v>75.75</v>
          </cell>
        </row>
        <row r="1152">
          <cell r="BL1152">
            <v>0</v>
          </cell>
          <cell r="BM1152">
            <v>0</v>
          </cell>
          <cell r="BN1152">
            <v>0</v>
          </cell>
          <cell r="BO1152">
            <v>3549.7</v>
          </cell>
        </row>
        <row r="1153">
          <cell r="BL1153">
            <v>0</v>
          </cell>
          <cell r="BM1153">
            <v>0</v>
          </cell>
          <cell r="BN1153">
            <v>0</v>
          </cell>
          <cell r="BO1153">
            <v>378.75</v>
          </cell>
        </row>
        <row r="1154">
          <cell r="BL1154">
            <v>0</v>
          </cell>
          <cell r="BM1154">
            <v>0</v>
          </cell>
          <cell r="BN1154">
            <v>0</v>
          </cell>
          <cell r="BO1154">
            <v>1136.25</v>
          </cell>
        </row>
        <row r="1155">
          <cell r="BL1155">
            <v>0</v>
          </cell>
          <cell r="BM1155">
            <v>0</v>
          </cell>
          <cell r="BN1155">
            <v>0</v>
          </cell>
          <cell r="BO1155">
            <v>6060</v>
          </cell>
        </row>
        <row r="1156">
          <cell r="BL1156">
            <v>0</v>
          </cell>
          <cell r="BM1156">
            <v>0</v>
          </cell>
          <cell r="BN1156">
            <v>1107.5999999999999</v>
          </cell>
          <cell r="BO1156">
            <v>0</v>
          </cell>
        </row>
        <row r="1157">
          <cell r="BL1157">
            <v>0</v>
          </cell>
          <cell r="BM1157">
            <v>0</v>
          </cell>
          <cell r="BN1157">
            <v>0</v>
          </cell>
          <cell r="BO1157">
            <v>13750</v>
          </cell>
        </row>
        <row r="1158">
          <cell r="BL1158">
            <v>0</v>
          </cell>
          <cell r="BM1158">
            <v>0</v>
          </cell>
          <cell r="BN1158">
            <v>0</v>
          </cell>
          <cell r="BO1158">
            <v>-1370</v>
          </cell>
        </row>
        <row r="1159">
          <cell r="BL1159">
            <v>0</v>
          </cell>
          <cell r="BM1159">
            <v>0</v>
          </cell>
          <cell r="BN1159">
            <v>0</v>
          </cell>
          <cell r="BO1159">
            <v>163</v>
          </cell>
        </row>
        <row r="1160">
          <cell r="BL1160">
            <v>0</v>
          </cell>
          <cell r="BM1160">
            <v>0</v>
          </cell>
          <cell r="BN1160">
            <v>0</v>
          </cell>
          <cell r="BO1160">
            <v>25820.835599999999</v>
          </cell>
        </row>
        <row r="1161">
          <cell r="BL1161">
            <v>0</v>
          </cell>
          <cell r="BM1161">
            <v>0</v>
          </cell>
          <cell r="BN1161">
            <v>0</v>
          </cell>
          <cell r="BO1161">
            <v>7017.3689000000004</v>
          </cell>
        </row>
        <row r="1162">
          <cell r="BL1162">
            <v>0</v>
          </cell>
          <cell r="BM1162">
            <v>0</v>
          </cell>
          <cell r="BN1162">
            <v>0</v>
          </cell>
          <cell r="BO1162">
            <v>560</v>
          </cell>
        </row>
        <row r="1163">
          <cell r="BL1163">
            <v>0</v>
          </cell>
          <cell r="BM1163">
            <v>0</v>
          </cell>
          <cell r="BN1163">
            <v>0</v>
          </cell>
          <cell r="BO1163">
            <v>20977.23</v>
          </cell>
        </row>
        <row r="1164">
          <cell r="BL1164">
            <v>0</v>
          </cell>
          <cell r="BM1164">
            <v>0</v>
          </cell>
          <cell r="BN1164">
            <v>0</v>
          </cell>
          <cell r="BO1164">
            <v>2959.65</v>
          </cell>
        </row>
        <row r="1165">
          <cell r="BL1165">
            <v>0</v>
          </cell>
          <cell r="BM1165">
            <v>0</v>
          </cell>
          <cell r="BN1165">
            <v>0</v>
          </cell>
          <cell r="BO1165">
            <v>344.20030000000003</v>
          </cell>
        </row>
        <row r="1166">
          <cell r="BL1166">
            <v>0</v>
          </cell>
          <cell r="BM1166">
            <v>0</v>
          </cell>
          <cell r="BN1166">
            <v>0</v>
          </cell>
          <cell r="BO1166">
            <v>9104.6239999999998</v>
          </cell>
        </row>
        <row r="1167">
          <cell r="BL1167">
            <v>0</v>
          </cell>
          <cell r="BM1167">
            <v>0</v>
          </cell>
          <cell r="BN1167">
            <v>0</v>
          </cell>
          <cell r="BO1167">
            <v>6525.1886999999997</v>
          </cell>
        </row>
        <row r="1168">
          <cell r="BL1168">
            <v>0</v>
          </cell>
          <cell r="BM1168">
            <v>0</v>
          </cell>
          <cell r="BN1168">
            <v>0</v>
          </cell>
          <cell r="BO1168">
            <v>7350</v>
          </cell>
        </row>
        <row r="1169">
          <cell r="BL1169">
            <v>0</v>
          </cell>
          <cell r="BM1169">
            <v>0</v>
          </cell>
          <cell r="BN1169">
            <v>0</v>
          </cell>
          <cell r="BO1169">
            <v>39181.57</v>
          </cell>
        </row>
        <row r="1170">
          <cell r="BL1170">
            <v>0</v>
          </cell>
          <cell r="BM1170">
            <v>0</v>
          </cell>
          <cell r="BN1170">
            <v>0</v>
          </cell>
          <cell r="BO1170">
            <v>8093.61</v>
          </cell>
        </row>
        <row r="1171">
          <cell r="BL1171">
            <v>0</v>
          </cell>
          <cell r="BM1171">
            <v>0</v>
          </cell>
          <cell r="BN1171">
            <v>0</v>
          </cell>
          <cell r="BO1171">
            <v>2933.19</v>
          </cell>
        </row>
        <row r="1172">
          <cell r="BL1172">
            <v>0</v>
          </cell>
          <cell r="BM1172">
            <v>0</v>
          </cell>
          <cell r="BN1172">
            <v>0</v>
          </cell>
          <cell r="BO1172">
            <v>4068.99</v>
          </cell>
        </row>
        <row r="1173">
          <cell r="BL1173">
            <v>0</v>
          </cell>
          <cell r="BM1173">
            <v>0</v>
          </cell>
          <cell r="BN1173">
            <v>0</v>
          </cell>
          <cell r="BO1173">
            <v>1634.2</v>
          </cell>
        </row>
        <row r="1174">
          <cell r="BL1174">
            <v>0</v>
          </cell>
          <cell r="BM1174">
            <v>0</v>
          </cell>
          <cell r="BN1174">
            <v>0</v>
          </cell>
          <cell r="BO1174">
            <v>1898.58</v>
          </cell>
        </row>
        <row r="1175">
          <cell r="BL1175">
            <v>0</v>
          </cell>
          <cell r="BM1175">
            <v>0</v>
          </cell>
          <cell r="BN1175">
            <v>0</v>
          </cell>
          <cell r="BO1175">
            <v>2702.2139999999999</v>
          </cell>
        </row>
        <row r="1176">
          <cell r="BL1176">
            <v>0</v>
          </cell>
          <cell r="BM1176">
            <v>0</v>
          </cell>
          <cell r="BN1176">
            <v>0</v>
          </cell>
          <cell r="BO1176">
            <v>1937.75</v>
          </cell>
        </row>
        <row r="1177">
          <cell r="BL1177">
            <v>0</v>
          </cell>
          <cell r="BM1177">
            <v>0</v>
          </cell>
          <cell r="BN1177">
            <v>9590</v>
          </cell>
          <cell r="BO1177">
            <v>0</v>
          </cell>
        </row>
        <row r="1178">
          <cell r="BL1178">
            <v>0</v>
          </cell>
          <cell r="BM1178">
            <v>0</v>
          </cell>
          <cell r="BN1178">
            <v>276.89999999999998</v>
          </cell>
          <cell r="BO1178">
            <v>0</v>
          </cell>
        </row>
        <row r="1179">
          <cell r="BL1179">
            <v>0</v>
          </cell>
          <cell r="BM1179">
            <v>0</v>
          </cell>
          <cell r="BN1179">
            <v>87.78</v>
          </cell>
          <cell r="BO1179">
            <v>0</v>
          </cell>
        </row>
        <row r="1180">
          <cell r="BL1180">
            <v>0</v>
          </cell>
          <cell r="BM1180">
            <v>0</v>
          </cell>
          <cell r="BN1180">
            <v>553.79999999999995</v>
          </cell>
          <cell r="BO1180">
            <v>0</v>
          </cell>
        </row>
        <row r="1181">
          <cell r="BL1181">
            <v>0</v>
          </cell>
          <cell r="BM1181">
            <v>0</v>
          </cell>
          <cell r="BN1181">
            <v>0</v>
          </cell>
          <cell r="BO1181">
            <v>3885</v>
          </cell>
        </row>
        <row r="1182">
          <cell r="BL1182">
            <v>0</v>
          </cell>
          <cell r="BM1182">
            <v>0</v>
          </cell>
          <cell r="BN1182">
            <v>0</v>
          </cell>
          <cell r="BO1182">
            <v>2671.72</v>
          </cell>
        </row>
        <row r="1183">
          <cell r="BL1183">
            <v>0</v>
          </cell>
          <cell r="BM1183">
            <v>0</v>
          </cell>
          <cell r="BN1183">
            <v>0</v>
          </cell>
          <cell r="BO1183">
            <v>274.75</v>
          </cell>
        </row>
        <row r="1184">
          <cell r="BL1184">
            <v>0</v>
          </cell>
          <cell r="BM1184">
            <v>0</v>
          </cell>
          <cell r="BN1184">
            <v>0</v>
          </cell>
          <cell r="BO1184">
            <v>4500</v>
          </cell>
        </row>
        <row r="1185">
          <cell r="BL1185">
            <v>0</v>
          </cell>
          <cell r="BM1185">
            <v>0</v>
          </cell>
          <cell r="BN1185">
            <v>0</v>
          </cell>
          <cell r="BO1185">
            <v>2786.45</v>
          </cell>
        </row>
        <row r="1186">
          <cell r="BL1186">
            <v>0</v>
          </cell>
          <cell r="BM1186">
            <v>0</v>
          </cell>
          <cell r="BN1186">
            <v>0</v>
          </cell>
          <cell r="BO1186">
            <v>846.40000000000009</v>
          </cell>
        </row>
        <row r="1187">
          <cell r="BL1187">
            <v>0</v>
          </cell>
          <cell r="BM1187">
            <v>0</v>
          </cell>
          <cell r="BN1187">
            <v>0</v>
          </cell>
          <cell r="BO1187">
            <v>4075</v>
          </cell>
        </row>
        <row r="1188">
          <cell r="BO1188">
            <v>3647481.1558999959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RdM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Volumes"/>
      <sheetName val="RdM_ITS"/>
    </sheetNames>
    <sheetDataSet>
      <sheetData sheetId="0" refreshError="1"/>
      <sheetData sheetId="1" refreshError="1"/>
      <sheetData sheetId="2" refreshError="1"/>
      <sheetData sheetId="3" refreshError="1">
        <row r="811">
          <cell r="A811">
            <v>0.18</v>
          </cell>
        </row>
      </sheetData>
      <sheetData sheetId="4" refreshError="1"/>
      <sheetData sheetId="5" refreshError="1"/>
      <sheetData sheetId="6" refreshError="1"/>
      <sheetData sheetId="7" refreshError="1">
        <row r="10">
          <cell r="A10">
            <v>5.0000000000000001E-3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Bal_XMQ"/>
      <sheetName val="COMINFO"/>
      <sheetName val="charges_d'expl_7"/>
      <sheetName val="Pub_trps_vtes_et_autr7"/>
      <sheetName val="Frais_financiers7"/>
      <sheetName val="Hors_exploitation7"/>
      <sheetName val="TN_20047"/>
      <sheetName val="Effectifs_totaux7"/>
      <sheetName val="Effectifs_Cot7"/>
      <sheetName val="Effectifs_PRK7"/>
      <sheetName val="Effectifs_Pos7"/>
      <sheetName val="Masse_salariale7"/>
      <sheetName val="Volumes_et_CA7"/>
      <sheetName val="Autres_produits7"/>
      <sheetName val="Coca_bte7"/>
      <sheetName val="Coca_light7"/>
      <sheetName val="Guin_bte7"/>
      <sheetName val="Flag_bte7"/>
      <sheetName val="charges_d'expl_8"/>
      <sheetName val="Pub_trps_vtes_et_autr8"/>
      <sheetName val="Frais_financiers8"/>
      <sheetName val="Hors_exploitation8"/>
      <sheetName val="TN_20048"/>
      <sheetName val="Effectifs_totaux8"/>
      <sheetName val="Effectifs_Cot8"/>
      <sheetName val="Effectifs_PRK8"/>
      <sheetName val="Effectifs_Pos8"/>
      <sheetName val="Masse_salariale8"/>
      <sheetName val="Volumes_et_CA8"/>
      <sheetName val="Autres_produits8"/>
      <sheetName val="Coca_bte8"/>
      <sheetName val="Coca_light8"/>
      <sheetName val="Guin_bte8"/>
      <sheetName val="Flag_bte8"/>
      <sheetName val="Liste_Inv"/>
      <sheetName val="mvt clas.2"/>
      <sheetName val="Liste_EMB"/>
      <sheetName val="Liste_Eff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Inventaire Total"/>
      <sheetName val="Pub_trps_vtes_et_autr"/>
      <sheetName val="Volumes_et_CA"/>
      <sheetName val="Autres_produits"/>
      <sheetName val="charges_d'expl_"/>
      <sheetName val="TN_2004"/>
      <sheetName val="Frais_financiers"/>
      <sheetName val="Hors_exploitation"/>
      <sheetName val="Effectifs_totaux"/>
      <sheetName val="Effectifs_Cot"/>
      <sheetName val="Effectifs_PRK"/>
      <sheetName val="Effectifs_Pos"/>
      <sheetName val="Masse_salariale"/>
      <sheetName val="Flag_bte"/>
      <sheetName val="Coca_bte"/>
      <sheetName val="Inventaire_Total"/>
      <sheetName val="Volumes"/>
      <sheetName val="RdM_ITS"/>
      <sheetName val="Pub_trps_vtes_et_autr1"/>
      <sheetName val="Volumes_et_CA1"/>
      <sheetName val="Autres_produits1"/>
      <sheetName val="charges_d'expl_1"/>
      <sheetName val="TN_20041"/>
      <sheetName val="Frais_financiers1"/>
      <sheetName val="Hors_exploitation1"/>
      <sheetName val="Effectifs_totaux1"/>
      <sheetName val="Effectifs_Cot1"/>
      <sheetName val="Effectifs_PRK1"/>
      <sheetName val="Effectifs_Pos1"/>
      <sheetName val="Masse_salariale1"/>
      <sheetName val="Flag_bte1"/>
      <sheetName val="Coca_bte1"/>
      <sheetName val="Pub_trps_vtes_et_autr2"/>
      <sheetName val="Volumes_et_CA2"/>
      <sheetName val="Autres_produits2"/>
      <sheetName val="charges_d'expl_2"/>
      <sheetName val="TN_20042"/>
      <sheetName val="Frais_financiers2"/>
      <sheetName val="Hors_exploitation2"/>
      <sheetName val="Effectifs_totaux2"/>
      <sheetName val="Effectifs_Cot2"/>
      <sheetName val="Effectifs_PRK2"/>
      <sheetName val="Effectifs_Pos2"/>
      <sheetName val="Masse_salariale2"/>
      <sheetName val="Flag_bte2"/>
      <sheetName val="Coca_bte2"/>
      <sheetName val="Pub_trps_vtes_et_autr3"/>
      <sheetName val="Volumes_et_CA3"/>
      <sheetName val="Autres_produits3"/>
      <sheetName val="charges_d'expl_3"/>
      <sheetName val="TN_20043"/>
      <sheetName val="Frais_financiers3"/>
      <sheetName val="Hors_exploitation3"/>
      <sheetName val="Effectifs_totaux3"/>
      <sheetName val="Effectifs_Cot3"/>
      <sheetName val="Effectifs_PRK3"/>
      <sheetName val="Effectifs_Pos3"/>
      <sheetName val="Masse_salariale3"/>
      <sheetName val="Flag_bte3"/>
      <sheetName val="Coca_bte3"/>
      <sheetName val="Pub_trps_vtes_et_autr4"/>
      <sheetName val="Volumes_et_CA4"/>
      <sheetName val="Autres_produits4"/>
      <sheetName val="charges_d'expl_4"/>
      <sheetName val="TN_20044"/>
      <sheetName val="Frais_financiers4"/>
      <sheetName val="Hors_exploitation4"/>
      <sheetName val="Effectifs_totaux4"/>
      <sheetName val="Effectifs_Cot4"/>
      <sheetName val="Effectifs_PRK4"/>
      <sheetName val="Effectifs_Pos4"/>
      <sheetName val="Masse_salariale4"/>
      <sheetName val="Flag_bte4"/>
      <sheetName val="Coca_bte4"/>
      <sheetName val="Pub_trps_vtes_et_autr5"/>
      <sheetName val="Volumes_et_CA5"/>
      <sheetName val="Autres_produits5"/>
      <sheetName val="charges_d'expl_5"/>
      <sheetName val="TN_20045"/>
      <sheetName val="Frais_financiers5"/>
      <sheetName val="Hors_exploitation5"/>
      <sheetName val="Effectifs_totaux5"/>
      <sheetName val="Effectifs_Cot5"/>
      <sheetName val="Effectifs_PRK5"/>
      <sheetName val="Effectifs_Pos5"/>
      <sheetName val="Masse_salariale5"/>
      <sheetName val="Flag_bte5"/>
      <sheetName val="Coca_bte5"/>
      <sheetName val="Pub_trps_vtes_et_autr6"/>
      <sheetName val="Volumes_et_CA6"/>
      <sheetName val="Autres_produits6"/>
      <sheetName val="charges_d'expl_6"/>
      <sheetName val="TN_20046"/>
      <sheetName val="Frais_financiers6"/>
      <sheetName val="Hors_exploitation6"/>
      <sheetName val="Effectifs_totaux6"/>
      <sheetName val="Effectifs_Cot6"/>
      <sheetName val="Effectifs_PRK6"/>
      <sheetName val="Effectifs_Pos6"/>
      <sheetName val="Masse_salariale6"/>
      <sheetName val="Flag_bte6"/>
      <sheetName val="Coca_bte6"/>
      <sheetName val="Inventaire_Total1"/>
      <sheetName val="Inventaire_Total2"/>
      <sheetName val="Inventaire_Total3"/>
      <sheetName val="Inventaire_Total4"/>
      <sheetName val="Inventaire_Total5"/>
      <sheetName val="Inventaire_Total6"/>
      <sheetName val="Pub_trps_vtes_et_autr7"/>
      <sheetName val="Volumes_et_CA7"/>
      <sheetName val="Autres_produits7"/>
      <sheetName val="charges_d'expl_7"/>
      <sheetName val="TN_20047"/>
      <sheetName val="Frais_financiers7"/>
      <sheetName val="Hors_exploitation7"/>
      <sheetName val="Effectifs_totaux7"/>
      <sheetName val="Effectifs_Cot7"/>
      <sheetName val="Effectifs_PRK7"/>
      <sheetName val="Effectifs_Pos7"/>
      <sheetName val="Masse_salariale7"/>
      <sheetName val="Flag_bte7"/>
      <sheetName val="Coca_bte7"/>
      <sheetName val="Inventaire_Total7"/>
      <sheetName val="Pub_trps_vtes_et_autr8"/>
      <sheetName val="Volumes_et_CA8"/>
      <sheetName val="Autres_produits8"/>
      <sheetName val="charges_d'expl_8"/>
      <sheetName val="TN_20048"/>
      <sheetName val="Frais_financiers8"/>
      <sheetName val="Hors_exploitation8"/>
      <sheetName val="Effectifs_totaux8"/>
      <sheetName val="Effectifs_Cot8"/>
      <sheetName val="Effectifs_PRK8"/>
      <sheetName val="Effectifs_Pos8"/>
      <sheetName val="Masse_salariale8"/>
      <sheetName val="Flag_bte8"/>
      <sheetName val="Coca_bte8"/>
      <sheetName val="Inventaire_Total8"/>
      <sheetName val="mvt clas.2"/>
    </sheetNames>
    <sheetDataSet>
      <sheetData sheetId="0"/>
      <sheetData sheetId="1"/>
      <sheetData sheetId="2"/>
      <sheetData sheetId="3" refreshError="1">
        <row r="811">
          <cell r="A811">
            <v>0.18</v>
          </cell>
        </row>
      </sheetData>
      <sheetData sheetId="4"/>
      <sheetData sheetId="5"/>
      <sheetData sheetId="6">
        <row r="10">
          <cell r="A10">
            <v>5.0000000000000001E-3</v>
          </cell>
        </row>
      </sheetData>
      <sheetData sheetId="7" refreshError="1">
        <row r="10">
          <cell r="A10">
            <v>5.0000000000000001E-3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>
        <row r="811">
          <cell r="A811">
            <v>0.18</v>
          </cell>
        </row>
      </sheetData>
      <sheetData sheetId="63">
        <row r="811">
          <cell r="A811">
            <v>0.18</v>
          </cell>
        </row>
      </sheetData>
      <sheetData sheetId="64">
        <row r="811">
          <cell r="A811">
            <v>0.18</v>
          </cell>
        </row>
      </sheetData>
      <sheetData sheetId="65">
        <row r="811">
          <cell r="A811">
            <v>0.18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>
        <row r="811">
          <cell r="A811">
            <v>0.18</v>
          </cell>
        </row>
      </sheetData>
      <sheetData sheetId="79">
        <row r="811">
          <cell r="A811">
            <v>0.18</v>
          </cell>
        </row>
      </sheetData>
      <sheetData sheetId="80">
        <row r="811">
          <cell r="A811">
            <v>0.18</v>
          </cell>
        </row>
      </sheetData>
      <sheetData sheetId="81">
        <row r="811">
          <cell r="A811">
            <v>0.18</v>
          </cell>
        </row>
      </sheetData>
      <sheetData sheetId="82">
        <row r="811">
          <cell r="A811">
            <v>0.18</v>
          </cell>
        </row>
      </sheetData>
      <sheetData sheetId="83"/>
      <sheetData sheetId="84"/>
      <sheetData sheetId="85"/>
      <sheetData sheetId="86"/>
      <sheetData sheetId="87"/>
      <sheetData sheetId="88"/>
      <sheetData sheetId="89">
        <row r="811">
          <cell r="A811">
            <v>0.18</v>
          </cell>
        </row>
      </sheetData>
      <sheetData sheetId="90">
        <row r="811">
          <cell r="A811">
            <v>0.18</v>
          </cell>
        </row>
      </sheetData>
      <sheetData sheetId="91">
        <row r="811">
          <cell r="A811">
            <v>0.18</v>
          </cell>
        </row>
      </sheetData>
      <sheetData sheetId="92">
        <row r="811">
          <cell r="A811">
            <v>0.18</v>
          </cell>
        </row>
      </sheetData>
      <sheetData sheetId="93">
        <row r="811">
          <cell r="A811">
            <v>0.18</v>
          </cell>
        </row>
      </sheetData>
      <sheetData sheetId="94">
        <row r="811">
          <cell r="A811">
            <v>0.18</v>
          </cell>
        </row>
      </sheetData>
      <sheetData sheetId="95">
        <row r="811">
          <cell r="A811">
            <v>0.18</v>
          </cell>
        </row>
      </sheetData>
      <sheetData sheetId="96">
        <row r="811">
          <cell r="A811">
            <v>0.18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>
        <row r="811">
          <cell r="A811">
            <v>0.18</v>
          </cell>
        </row>
      </sheetData>
      <sheetData sheetId="104">
        <row r="811">
          <cell r="A811">
            <v>0.18</v>
          </cell>
        </row>
      </sheetData>
      <sheetData sheetId="105">
        <row r="811">
          <cell r="A811">
            <v>0.18</v>
          </cell>
        </row>
      </sheetData>
      <sheetData sheetId="106">
        <row r="811">
          <cell r="A811">
            <v>0.18</v>
          </cell>
        </row>
      </sheetData>
      <sheetData sheetId="107">
        <row r="811">
          <cell r="A811">
            <v>0.18</v>
          </cell>
        </row>
      </sheetData>
      <sheetData sheetId="108">
        <row r="811">
          <cell r="A811">
            <v>0.18</v>
          </cell>
        </row>
      </sheetData>
      <sheetData sheetId="109">
        <row r="811">
          <cell r="A811">
            <v>0.18</v>
          </cell>
        </row>
      </sheetData>
      <sheetData sheetId="110">
        <row r="811">
          <cell r="A811">
            <v>0.18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811">
          <cell r="A811">
            <v>0.18</v>
          </cell>
        </row>
      </sheetData>
      <sheetData sheetId="118">
        <row r="811">
          <cell r="A811">
            <v>0.18</v>
          </cell>
        </row>
      </sheetData>
      <sheetData sheetId="119">
        <row r="811">
          <cell r="A811">
            <v>0.18</v>
          </cell>
        </row>
      </sheetData>
      <sheetData sheetId="120">
        <row r="811">
          <cell r="A811">
            <v>0.18</v>
          </cell>
        </row>
      </sheetData>
      <sheetData sheetId="121">
        <row r="811">
          <cell r="A811">
            <v>0.18</v>
          </cell>
        </row>
      </sheetData>
      <sheetData sheetId="122">
        <row r="811">
          <cell r="A811">
            <v>0.18</v>
          </cell>
        </row>
      </sheetData>
      <sheetData sheetId="123">
        <row r="811">
          <cell r="A811">
            <v>0.18</v>
          </cell>
        </row>
      </sheetData>
      <sheetData sheetId="124">
        <row r="811">
          <cell r="A811">
            <v>0.18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>
        <row r="811">
          <cell r="A811">
            <v>0.18</v>
          </cell>
        </row>
      </sheetData>
      <sheetData sheetId="132">
        <row r="811">
          <cell r="A811">
            <v>0.18</v>
          </cell>
        </row>
      </sheetData>
      <sheetData sheetId="133">
        <row r="811">
          <cell r="A811">
            <v>0.18</v>
          </cell>
        </row>
      </sheetData>
      <sheetData sheetId="134">
        <row r="811">
          <cell r="A811">
            <v>0.18</v>
          </cell>
        </row>
      </sheetData>
      <sheetData sheetId="135">
        <row r="811">
          <cell r="A811">
            <v>0.18</v>
          </cell>
        </row>
      </sheetData>
      <sheetData sheetId="136">
        <row r="811">
          <cell r="A811">
            <v>0.18</v>
          </cell>
        </row>
      </sheetData>
      <sheetData sheetId="137">
        <row r="811">
          <cell r="A811">
            <v>0.18</v>
          </cell>
        </row>
      </sheetData>
      <sheetData sheetId="138">
        <row r="811">
          <cell r="A811">
            <v>0.18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>
        <row r="811">
          <cell r="A811">
            <v>0.18</v>
          </cell>
        </row>
      </sheetData>
      <sheetData sheetId="146">
        <row r="811">
          <cell r="A811">
            <v>0.18</v>
          </cell>
        </row>
      </sheetData>
      <sheetData sheetId="147">
        <row r="811">
          <cell r="A811">
            <v>0.18</v>
          </cell>
        </row>
      </sheetData>
      <sheetData sheetId="148">
        <row r="811">
          <cell r="A811">
            <v>0.18</v>
          </cell>
        </row>
      </sheetData>
      <sheetData sheetId="149">
        <row r="811">
          <cell r="A811">
            <v>0.18</v>
          </cell>
        </row>
      </sheetData>
      <sheetData sheetId="150">
        <row r="811">
          <cell r="A811">
            <v>0.18</v>
          </cell>
        </row>
      </sheetData>
      <sheetData sheetId="151">
        <row r="811">
          <cell r="A811">
            <v>0.18</v>
          </cell>
        </row>
      </sheetData>
      <sheetData sheetId="152">
        <row r="811">
          <cell r="A811">
            <v>0.18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1000000"/>
      <sheetName val="vtes_année_1999"/>
      <sheetName val="vtes_année_2000"/>
      <sheetName val="vtes_année_2001"/>
      <sheetName val="vtes_année_2002"/>
      <sheetName val="Volumes"/>
    </sheetNames>
    <sheetDataSet>
      <sheetData sheetId="0" refreshError="1"/>
      <sheetData sheetId="1" refreshError="1"/>
      <sheetData sheetId="2" refreshError="1"/>
      <sheetData sheetId="3" refreshError="1">
        <row r="5">
          <cell r="T5">
            <v>1362772</v>
          </cell>
        </row>
        <row r="6">
          <cell r="T6">
            <v>159065</v>
          </cell>
        </row>
        <row r="7">
          <cell r="T7">
            <v>302162</v>
          </cell>
        </row>
        <row r="8">
          <cell r="T8">
            <v>4589</v>
          </cell>
        </row>
        <row r="9">
          <cell r="T9">
            <v>465816</v>
          </cell>
        </row>
        <row r="10">
          <cell r="T10">
            <v>3275</v>
          </cell>
        </row>
        <row r="12">
          <cell r="T12">
            <v>1831863</v>
          </cell>
        </row>
        <row r="13">
          <cell r="T13">
            <v>344312</v>
          </cell>
        </row>
        <row r="14">
          <cell r="T14">
            <v>58726</v>
          </cell>
        </row>
        <row r="15">
          <cell r="T15">
            <v>9776</v>
          </cell>
        </row>
        <row r="16">
          <cell r="T16">
            <v>192639</v>
          </cell>
        </row>
        <row r="17">
          <cell r="T17">
            <v>261141</v>
          </cell>
        </row>
        <row r="18">
          <cell r="T18">
            <v>-313</v>
          </cell>
        </row>
        <row r="19">
          <cell r="T19">
            <v>0</v>
          </cell>
        </row>
        <row r="20">
          <cell r="T20">
            <v>-313</v>
          </cell>
        </row>
        <row r="21">
          <cell r="T21">
            <v>0</v>
          </cell>
        </row>
        <row r="22">
          <cell r="T22">
            <v>605140</v>
          </cell>
        </row>
        <row r="23">
          <cell r="T23">
            <v>82663</v>
          </cell>
        </row>
        <row r="24">
          <cell r="T24">
            <v>687803</v>
          </cell>
        </row>
        <row r="25">
          <cell r="T25">
            <v>574579</v>
          </cell>
        </row>
        <row r="26">
          <cell r="T26">
            <v>1462088</v>
          </cell>
        </row>
        <row r="27">
          <cell r="T27">
            <v>18831</v>
          </cell>
        </row>
        <row r="28">
          <cell r="T28">
            <v>3442</v>
          </cell>
        </row>
        <row r="29">
          <cell r="T29">
            <v>2058940</v>
          </cell>
        </row>
        <row r="30">
          <cell r="T30">
            <v>153656</v>
          </cell>
        </row>
        <row r="31">
          <cell r="T31">
            <v>360515</v>
          </cell>
        </row>
        <row r="32">
          <cell r="T32">
            <v>306115</v>
          </cell>
        </row>
        <row r="33">
          <cell r="T33">
            <v>1047</v>
          </cell>
        </row>
        <row r="34">
          <cell r="T34">
            <v>821333</v>
          </cell>
        </row>
        <row r="35">
          <cell r="T35">
            <v>255237</v>
          </cell>
        </row>
        <row r="36">
          <cell r="T36">
            <v>61942</v>
          </cell>
        </row>
        <row r="37">
          <cell r="T37">
            <v>938</v>
          </cell>
        </row>
        <row r="38">
          <cell r="T38">
            <v>318117</v>
          </cell>
        </row>
        <row r="39">
          <cell r="T39">
            <v>14871</v>
          </cell>
        </row>
        <row r="40">
          <cell r="T40">
            <v>0</v>
          </cell>
        </row>
        <row r="41">
          <cell r="T41">
            <v>14871</v>
          </cell>
        </row>
        <row r="42">
          <cell r="T42">
            <v>589539</v>
          </cell>
        </row>
        <row r="43">
          <cell r="T43">
            <v>0</v>
          </cell>
        </row>
        <row r="44">
          <cell r="T44">
            <v>261592</v>
          </cell>
        </row>
        <row r="45">
          <cell r="T45">
            <v>851131</v>
          </cell>
        </row>
        <row r="46">
          <cell r="T46">
            <v>-93</v>
          </cell>
        </row>
        <row r="47">
          <cell r="T47">
            <v>5522</v>
          </cell>
        </row>
        <row r="48">
          <cell r="T48">
            <v>5429</v>
          </cell>
        </row>
        <row r="49">
          <cell r="T49">
            <v>4069821</v>
          </cell>
        </row>
        <row r="50">
          <cell r="T50">
            <v>4674961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328339</v>
          </cell>
        </row>
        <row r="55">
          <cell r="T55">
            <v>18260</v>
          </cell>
        </row>
        <row r="56">
          <cell r="T56">
            <v>4258</v>
          </cell>
        </row>
        <row r="57">
          <cell r="T57">
            <v>22518</v>
          </cell>
        </row>
        <row r="58">
          <cell r="T58">
            <v>350857</v>
          </cell>
        </row>
        <row r="59">
          <cell r="T59">
            <v>192325</v>
          </cell>
        </row>
        <row r="60">
          <cell r="T60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4613003</v>
          </cell>
        </row>
        <row r="66">
          <cell r="T66">
            <v>5300806</v>
          </cell>
        </row>
        <row r="67">
          <cell r="T67">
            <v>7132669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137367.43</v>
          </cell>
        </row>
        <row r="75">
          <cell r="T75">
            <v>12597.960000000001</v>
          </cell>
        </row>
        <row r="76">
          <cell r="T76">
            <v>23931.23</v>
          </cell>
        </row>
        <row r="77">
          <cell r="T77">
            <v>363.45999999999992</v>
          </cell>
        </row>
        <row r="78">
          <cell r="T78">
            <v>36892.649999999994</v>
          </cell>
        </row>
        <row r="79">
          <cell r="T79">
            <v>982.5</v>
          </cell>
        </row>
        <row r="81">
          <cell r="T81">
            <v>175242.58</v>
          </cell>
        </row>
        <row r="82">
          <cell r="T82">
            <v>27269.510000000002</v>
          </cell>
        </row>
        <row r="83">
          <cell r="T83">
            <v>6342.41</v>
          </cell>
        </row>
        <row r="84">
          <cell r="T84">
            <v>1173.1200000000003</v>
          </cell>
        </row>
        <row r="85">
          <cell r="T85">
            <v>13870.009999999998</v>
          </cell>
        </row>
        <row r="86">
          <cell r="T86">
            <v>21385.539999999997</v>
          </cell>
        </row>
        <row r="87">
          <cell r="T87">
            <v>-22.54</v>
          </cell>
        </row>
        <row r="88">
          <cell r="T88">
            <v>0</v>
          </cell>
        </row>
        <row r="89">
          <cell r="T89">
            <v>-22.54</v>
          </cell>
        </row>
        <row r="90">
          <cell r="T90">
            <v>0</v>
          </cell>
        </row>
        <row r="91">
          <cell r="T91">
            <v>48632.510000000009</v>
          </cell>
        </row>
        <row r="92">
          <cell r="T92">
            <v>6546.91</v>
          </cell>
        </row>
        <row r="93">
          <cell r="T93">
            <v>55179.420000000006</v>
          </cell>
        </row>
        <row r="94">
          <cell r="T94">
            <v>68949.48</v>
          </cell>
        </row>
        <row r="95">
          <cell r="T95">
            <v>105270.34</v>
          </cell>
        </row>
        <row r="96">
          <cell r="T96">
            <v>903.88000000000011</v>
          </cell>
        </row>
        <row r="97">
          <cell r="T97">
            <v>247.82</v>
          </cell>
        </row>
        <row r="98">
          <cell r="T98">
            <v>175371.52000000002</v>
          </cell>
        </row>
        <row r="99">
          <cell r="T99">
            <v>11063.22</v>
          </cell>
        </row>
        <row r="100">
          <cell r="T100">
            <v>25957.090000000004</v>
          </cell>
        </row>
        <row r="101">
          <cell r="T101">
            <v>36733.799999999996</v>
          </cell>
        </row>
        <row r="102">
          <cell r="T102">
            <v>75.39</v>
          </cell>
        </row>
        <row r="103">
          <cell r="T103">
            <v>73829.5</v>
          </cell>
        </row>
        <row r="104">
          <cell r="T104">
            <v>18377.060000000001</v>
          </cell>
        </row>
        <row r="105">
          <cell r="T105">
            <v>7433.0400000000009</v>
          </cell>
        </row>
        <row r="106">
          <cell r="T106">
            <v>67.53</v>
          </cell>
        </row>
        <row r="107">
          <cell r="T107">
            <v>25877.629999999997</v>
          </cell>
        </row>
        <row r="108">
          <cell r="T108">
            <v>1070.71</v>
          </cell>
        </row>
        <row r="109">
          <cell r="T109">
            <v>0</v>
          </cell>
        </row>
        <row r="110">
          <cell r="T110">
            <v>1070.71</v>
          </cell>
        </row>
        <row r="111">
          <cell r="T111">
            <v>42446.8</v>
          </cell>
        </row>
        <row r="112">
          <cell r="T112">
            <v>0</v>
          </cell>
        </row>
        <row r="113">
          <cell r="T113">
            <v>31391.039999999997</v>
          </cell>
        </row>
        <row r="114">
          <cell r="T114">
            <v>73837.84</v>
          </cell>
        </row>
        <row r="115">
          <cell r="T115">
            <v>-10.029999999999999</v>
          </cell>
        </row>
        <row r="116">
          <cell r="T116">
            <v>397.58000000000004</v>
          </cell>
        </row>
        <row r="117">
          <cell r="T117">
            <v>387.55</v>
          </cell>
        </row>
        <row r="118">
          <cell r="T118">
            <v>350374.74999999994</v>
          </cell>
        </row>
        <row r="119">
          <cell r="T119">
            <v>399007.26000000013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26004.450000000004</v>
          </cell>
        </row>
        <row r="124">
          <cell r="T124">
            <v>1446.1900000000003</v>
          </cell>
        </row>
        <row r="125">
          <cell r="T125">
            <v>459.86</v>
          </cell>
        </row>
        <row r="126">
          <cell r="T126">
            <v>1906.0499999999997</v>
          </cell>
        </row>
        <row r="127">
          <cell r="T127">
            <v>27910.5</v>
          </cell>
        </row>
        <row r="128">
          <cell r="T128">
            <v>15232.14</v>
          </cell>
        </row>
        <row r="129">
          <cell r="T129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393517.39</v>
          </cell>
        </row>
        <row r="135">
          <cell r="T135">
            <v>448696.81000000006</v>
          </cell>
        </row>
        <row r="136">
          <cell r="T136">
            <v>623939.3899999999</v>
          </cell>
        </row>
      </sheetData>
      <sheetData sheetId="4" refreshError="1">
        <row r="5">
          <cell r="T5">
            <v>1367470</v>
          </cell>
        </row>
        <row r="6">
          <cell r="T6">
            <v>159570</v>
          </cell>
        </row>
        <row r="7">
          <cell r="T7">
            <v>298188</v>
          </cell>
        </row>
        <row r="8">
          <cell r="T8">
            <v>6481</v>
          </cell>
        </row>
        <row r="9">
          <cell r="T9">
            <v>464239</v>
          </cell>
        </row>
        <row r="10">
          <cell r="T10">
            <v>3447</v>
          </cell>
        </row>
        <row r="11">
          <cell r="T11">
            <v>5000</v>
          </cell>
        </row>
        <row r="12">
          <cell r="T12">
            <v>1840156</v>
          </cell>
        </row>
        <row r="13">
          <cell r="T13">
            <v>350139</v>
          </cell>
        </row>
        <row r="14">
          <cell r="T14">
            <v>61575</v>
          </cell>
        </row>
        <row r="15">
          <cell r="T15">
            <v>-1</v>
          </cell>
        </row>
        <row r="16">
          <cell r="T16">
            <v>200165</v>
          </cell>
        </row>
        <row r="17">
          <cell r="T17">
            <v>261739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611878</v>
          </cell>
        </row>
        <row r="24">
          <cell r="T24">
            <v>103875</v>
          </cell>
        </row>
        <row r="25">
          <cell r="T25">
            <v>715753</v>
          </cell>
        </row>
        <row r="26">
          <cell r="T26">
            <v>611912</v>
          </cell>
        </row>
        <row r="27">
          <cell r="T27">
            <v>1571591</v>
          </cell>
        </row>
        <row r="28">
          <cell r="T28">
            <v>18612</v>
          </cell>
        </row>
        <row r="29">
          <cell r="T29">
            <v>3681</v>
          </cell>
        </row>
        <row r="30">
          <cell r="T30">
            <v>2205796</v>
          </cell>
        </row>
        <row r="31">
          <cell r="T31">
            <v>147225</v>
          </cell>
        </row>
        <row r="32">
          <cell r="T32">
            <v>425692</v>
          </cell>
        </row>
        <row r="33">
          <cell r="T33">
            <v>328588</v>
          </cell>
        </row>
        <row r="34">
          <cell r="T34">
            <v>2032</v>
          </cell>
        </row>
        <row r="35">
          <cell r="T35">
            <v>903537</v>
          </cell>
        </row>
        <row r="36">
          <cell r="T36">
            <v>288420</v>
          </cell>
        </row>
        <row r="37">
          <cell r="T37">
            <v>72447</v>
          </cell>
        </row>
        <row r="38">
          <cell r="T38">
            <v>1637</v>
          </cell>
        </row>
        <row r="39">
          <cell r="T39">
            <v>362504</v>
          </cell>
        </row>
        <row r="40">
          <cell r="T40">
            <v>12986</v>
          </cell>
        </row>
        <row r="41">
          <cell r="T41">
            <v>0</v>
          </cell>
        </row>
        <row r="42">
          <cell r="T42">
            <v>12986</v>
          </cell>
        </row>
        <row r="43">
          <cell r="T43">
            <v>623076</v>
          </cell>
        </row>
        <row r="44">
          <cell r="T44">
            <v>0</v>
          </cell>
        </row>
        <row r="45">
          <cell r="T45">
            <v>294945</v>
          </cell>
        </row>
        <row r="46">
          <cell r="T46">
            <v>918021</v>
          </cell>
        </row>
        <row r="47">
          <cell r="T47">
            <v>0</v>
          </cell>
        </row>
        <row r="48">
          <cell r="T48">
            <v>1593</v>
          </cell>
        </row>
        <row r="49">
          <cell r="T49">
            <v>1593</v>
          </cell>
        </row>
        <row r="50">
          <cell r="T50">
            <v>4404437</v>
          </cell>
        </row>
        <row r="51">
          <cell r="T51">
            <v>5016315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333273</v>
          </cell>
        </row>
        <row r="56">
          <cell r="T56">
            <v>17288</v>
          </cell>
        </row>
        <row r="57">
          <cell r="T57">
            <v>3695</v>
          </cell>
        </row>
        <row r="58">
          <cell r="T58">
            <v>20983</v>
          </cell>
        </row>
        <row r="59">
          <cell r="T59">
            <v>354256</v>
          </cell>
        </row>
        <row r="60">
          <cell r="T60">
            <v>195718</v>
          </cell>
        </row>
        <row r="61">
          <cell r="T61">
            <v>899</v>
          </cell>
        </row>
        <row r="62">
          <cell r="T62">
            <v>469</v>
          </cell>
        </row>
        <row r="63">
          <cell r="T63">
            <v>8289</v>
          </cell>
        </row>
        <row r="64">
          <cell r="T64">
            <v>1993</v>
          </cell>
        </row>
        <row r="65">
          <cell r="T65">
            <v>55356036</v>
          </cell>
        </row>
        <row r="66">
          <cell r="T66">
            <v>4954411</v>
          </cell>
        </row>
        <row r="67">
          <cell r="T67">
            <v>5670164</v>
          </cell>
        </row>
        <row r="68">
          <cell r="T68">
            <v>7510320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32289.57</v>
          </cell>
        </row>
        <row r="76">
          <cell r="T76">
            <v>3024.33</v>
          </cell>
        </row>
        <row r="77">
          <cell r="T77">
            <v>5613.6100000000006</v>
          </cell>
        </row>
        <row r="79">
          <cell r="T79">
            <v>8772.11</v>
          </cell>
        </row>
        <row r="80">
          <cell r="T80">
            <v>219.3</v>
          </cell>
        </row>
        <row r="82">
          <cell r="T82">
            <v>41676.979999999996</v>
          </cell>
        </row>
        <row r="83">
          <cell r="T83">
            <v>6944.8099999999995</v>
          </cell>
        </row>
        <row r="84">
          <cell r="T84">
            <v>1588.46</v>
          </cell>
        </row>
        <row r="85">
          <cell r="T85">
            <v>0</v>
          </cell>
        </row>
        <row r="86">
          <cell r="T86">
            <v>3343.76</v>
          </cell>
        </row>
        <row r="87">
          <cell r="T87">
            <v>4932.22</v>
          </cell>
        </row>
        <row r="88">
          <cell r="T88">
            <v>0</v>
          </cell>
        </row>
        <row r="91">
          <cell r="T91">
            <v>0</v>
          </cell>
        </row>
        <row r="93">
          <cell r="T93">
            <v>2001.06</v>
          </cell>
        </row>
        <row r="94">
          <cell r="T94">
            <v>13878.09</v>
          </cell>
        </row>
        <row r="95">
          <cell r="T95">
            <v>17159.28</v>
          </cell>
        </row>
        <row r="96">
          <cell r="T96">
            <v>28184.62</v>
          </cell>
        </row>
        <row r="97">
          <cell r="T97">
            <v>222.24</v>
          </cell>
        </row>
        <row r="99">
          <cell r="T99">
            <v>45641.7</v>
          </cell>
        </row>
        <row r="100">
          <cell r="T100">
            <v>2265.48</v>
          </cell>
        </row>
        <row r="102">
          <cell r="T102">
            <v>9155.8799999999992</v>
          </cell>
        </row>
        <row r="104">
          <cell r="T104">
            <v>19199.620000000003</v>
          </cell>
        </row>
        <row r="105">
          <cell r="T105">
            <v>4604.54</v>
          </cell>
        </row>
        <row r="106">
          <cell r="T106">
            <v>1875.2400000000002</v>
          </cell>
        </row>
        <row r="108">
          <cell r="T108">
            <v>6524.2900000000009</v>
          </cell>
        </row>
        <row r="109">
          <cell r="T109">
            <v>254.52</v>
          </cell>
        </row>
        <row r="110">
          <cell r="T110">
            <v>0</v>
          </cell>
        </row>
        <row r="111">
          <cell r="T111">
            <v>254.52</v>
          </cell>
        </row>
        <row r="112">
          <cell r="T112">
            <v>10502.57</v>
          </cell>
        </row>
        <row r="114">
          <cell r="T114">
            <v>7652.5199999999995</v>
          </cell>
        </row>
        <row r="115">
          <cell r="T115">
            <v>18155.09</v>
          </cell>
        </row>
        <row r="119">
          <cell r="T119">
            <v>89775.01</v>
          </cell>
        </row>
        <row r="120">
          <cell r="T120">
            <v>101652.04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6928.49</v>
          </cell>
        </row>
        <row r="125">
          <cell r="T125">
            <v>380.08</v>
          </cell>
        </row>
        <row r="126">
          <cell r="T126">
            <v>125.82</v>
          </cell>
        </row>
        <row r="127">
          <cell r="T127">
            <v>505.90000000000003</v>
          </cell>
        </row>
        <row r="128">
          <cell r="T128">
            <v>7434.39</v>
          </cell>
        </row>
        <row r="129">
          <cell r="T129">
            <v>3887.62</v>
          </cell>
        </row>
        <row r="135">
          <cell r="T135">
            <v>101949.48</v>
          </cell>
        </row>
        <row r="136">
          <cell r="T136">
            <v>115827.57</v>
          </cell>
        </row>
      </sheetData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SABC Saisie"/>
      <sheetName val="Saisie"/>
      <sheetName val="Jeu de données _ Taux"/>
      <sheetName val="#REF"/>
      <sheetName val="Template SABC Reporting"/>
      <sheetName val="Consultation"/>
      <sheetName val="Barèmes"/>
      <sheetName val="Alloc Distance Détailants"/>
      <sheetName val="Feuil13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 en MFCFA"/>
      <sheetName val="XMQ_Cumul"/>
      <sheetName val="XMQ_Mois"/>
      <sheetName val="Bilan"/>
      <sheetName val="TER en MFCFA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RGLTS"/>
      <sheetName val="Emprunts"/>
      <sheetName val="Provi"/>
      <sheetName val="Achat_Emb"/>
      <sheetName val="Chiff_d'Aff"/>
      <sheetName val="Stocks"/>
      <sheetName val="Suivi_MP"/>
      <sheetName val="RdM_ITS"/>
      <sheetName val="TRESO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info permanente"/>
      <sheetName val="TRESO 2008"/>
      <sheetName val="Balance clients"/>
      <sheetName val="Echéan CMT 2008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gin"/>
      <sheetName val="y.moka"/>
      <sheetName val="youki tonic"/>
      <sheetName val="youki cocktail"/>
      <sheetName val="youki pampl"/>
      <sheetName val="Youki Soda Water"/>
      <sheetName val="youki sport actif"/>
      <sheetName val="youki pompom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whisky"/>
      <sheetName val="Judor"/>
      <sheetName val="XXL"/>
      <sheetName val="judor  pet"/>
      <sheetName val="XXL pet 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6">
          <cell r="E16">
            <v>0.1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H9">
            <v>42000</v>
          </cell>
        </row>
      </sheetData>
      <sheetData sheetId="18">
        <row r="9">
          <cell r="H9">
            <v>52.5</v>
          </cell>
        </row>
      </sheetData>
      <sheetData sheetId="19"/>
      <sheetData sheetId="20">
        <row r="9">
          <cell r="H9">
            <v>6461538</v>
          </cell>
        </row>
      </sheetData>
      <sheetData sheetId="21"/>
      <sheetData sheetId="22"/>
      <sheetData sheetId="23">
        <row r="9">
          <cell r="I9">
            <v>400</v>
          </cell>
        </row>
      </sheetData>
      <sheetData sheetId="24"/>
      <sheetData sheetId="25"/>
      <sheetData sheetId="26">
        <row r="22">
          <cell r="F22">
            <v>2.5</v>
          </cell>
        </row>
      </sheetData>
      <sheetData sheetId="27">
        <row r="112">
          <cell r="G112">
            <v>152401005.29661015</v>
          </cell>
        </row>
      </sheetData>
      <sheetData sheetId="28">
        <row r="8">
          <cell r="Q8">
            <v>191.3011768011454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8">
          <cell r="A8" t="str">
            <v>A001001</v>
          </cell>
        </row>
      </sheetData>
      <sheetData sheetId="44">
        <row r="73">
          <cell r="E73">
            <v>8106.3659666658432</v>
          </cell>
        </row>
      </sheetData>
      <sheetData sheetId="45"/>
      <sheetData sheetId="46">
        <row r="7">
          <cell r="W7">
            <v>118.55244754704763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6">
          <cell r="C6" t="str">
            <v>Période :  2013</v>
          </cell>
        </row>
      </sheetData>
      <sheetData sheetId="55">
        <row r="6">
          <cell r="C6" t="str">
            <v>Période :  2013</v>
          </cell>
        </row>
      </sheetData>
      <sheetData sheetId="56">
        <row r="6">
          <cell r="C6" t="str">
            <v>Période :  2013</v>
          </cell>
        </row>
      </sheetData>
      <sheetData sheetId="57"/>
      <sheetData sheetId="58">
        <row r="6">
          <cell r="C6" t="str">
            <v>Période :  2013</v>
          </cell>
        </row>
      </sheetData>
      <sheetData sheetId="59">
        <row r="6">
          <cell r="C6" t="str">
            <v>Période :  2013</v>
          </cell>
        </row>
      </sheetData>
      <sheetData sheetId="60">
        <row r="6">
          <cell r="C6" t="str">
            <v>Période :  2013</v>
          </cell>
        </row>
      </sheetData>
      <sheetData sheetId="61"/>
      <sheetData sheetId="62">
        <row r="6">
          <cell r="C6" t="str">
            <v>Période :  2013</v>
          </cell>
        </row>
      </sheetData>
      <sheetData sheetId="63"/>
      <sheetData sheetId="64">
        <row r="6">
          <cell r="C6" t="str">
            <v>Période :  2013</v>
          </cell>
        </row>
      </sheetData>
      <sheetData sheetId="65">
        <row r="6">
          <cell r="C6" t="str">
            <v>Période :  2013</v>
          </cell>
        </row>
      </sheetData>
      <sheetData sheetId="66">
        <row r="6">
          <cell r="C6" t="str">
            <v>Période :  2013</v>
          </cell>
        </row>
      </sheetData>
      <sheetData sheetId="67">
        <row r="6">
          <cell r="C6" t="str">
            <v>Période :  2013</v>
          </cell>
        </row>
      </sheetData>
      <sheetData sheetId="68">
        <row r="6">
          <cell r="C6" t="str">
            <v>Période :  2013</v>
          </cell>
        </row>
      </sheetData>
      <sheetData sheetId="69"/>
      <sheetData sheetId="70"/>
      <sheetData sheetId="71"/>
      <sheetData sheetId="72"/>
      <sheetData sheetId="73">
        <row r="6">
          <cell r="C6" t="str">
            <v>Période :  2013</v>
          </cell>
        </row>
      </sheetData>
      <sheetData sheetId="74">
        <row r="6">
          <cell r="C6" t="str">
            <v>Période :  2013</v>
          </cell>
        </row>
      </sheetData>
      <sheetData sheetId="75">
        <row r="6">
          <cell r="C6" t="str">
            <v>Période :  2013</v>
          </cell>
        </row>
      </sheetData>
      <sheetData sheetId="76">
        <row r="6">
          <cell r="C6" t="str">
            <v>Période :  2013</v>
          </cell>
        </row>
      </sheetData>
      <sheetData sheetId="77">
        <row r="6">
          <cell r="C6" t="str">
            <v>Période :  2013</v>
          </cell>
        </row>
      </sheetData>
      <sheetData sheetId="78">
        <row r="6">
          <cell r="C6" t="str">
            <v>Période :  2013</v>
          </cell>
        </row>
      </sheetData>
      <sheetData sheetId="79">
        <row r="6">
          <cell r="C6" t="str">
            <v>Période :  2013</v>
          </cell>
        </row>
      </sheetData>
      <sheetData sheetId="80"/>
      <sheetData sheetId="81">
        <row r="6">
          <cell r="C6" t="str">
            <v>Période :  2013</v>
          </cell>
        </row>
      </sheetData>
      <sheetData sheetId="82">
        <row r="6">
          <cell r="C6" t="str">
            <v>Période :  2013</v>
          </cell>
        </row>
      </sheetData>
      <sheetData sheetId="83">
        <row r="6">
          <cell r="C6" t="str">
            <v>Période :  2013</v>
          </cell>
        </row>
      </sheetData>
      <sheetData sheetId="84">
        <row r="6">
          <cell r="C6" t="str">
            <v>Période :  2013</v>
          </cell>
        </row>
      </sheetData>
      <sheetData sheetId="85"/>
      <sheetData sheetId="86">
        <row r="6">
          <cell r="C6" t="str">
            <v>Période :  2013</v>
          </cell>
        </row>
      </sheetData>
      <sheetData sheetId="87">
        <row r="6">
          <cell r="C6" t="str">
            <v>Période :  2013</v>
          </cell>
        </row>
      </sheetData>
      <sheetData sheetId="88">
        <row r="6">
          <cell r="C6" t="str">
            <v>Période :  2013</v>
          </cell>
        </row>
      </sheetData>
      <sheetData sheetId="89"/>
      <sheetData sheetId="90"/>
      <sheetData sheetId="91">
        <row r="6">
          <cell r="C6" t="str">
            <v>Période :  2013</v>
          </cell>
        </row>
      </sheetData>
      <sheetData sheetId="92"/>
      <sheetData sheetId="93"/>
      <sheetData sheetId="94">
        <row r="6">
          <cell r="C6" t="str">
            <v>Période :  2013</v>
          </cell>
        </row>
      </sheetData>
      <sheetData sheetId="95">
        <row r="112">
          <cell r="R112">
            <v>13283362.738002317</v>
          </cell>
        </row>
      </sheetData>
      <sheetData sheetId="96">
        <row r="112">
          <cell r="R112">
            <v>8153764.4472463783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judor  pet"/>
      <sheetName val="XXL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 t="str">
            <v>P11BEN</v>
          </cell>
        </row>
      </sheetData>
      <sheetData sheetId="18">
        <row r="2">
          <cell r="I2" t="str">
            <v>BUDGET   2013 (Prix réel au 01-02-13)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F2" t="str">
            <v>BUDGET   2013 ( Prix réel au 01-02-13)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0">
          <cell r="A10" t="str">
            <v>A001001</v>
          </cell>
        </row>
      </sheetData>
      <sheetData sheetId="114"/>
      <sheetData sheetId="115"/>
      <sheetData sheetId="116"/>
      <sheetData sheetId="11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 Ent Immo E03"/>
      <sheetName val="XMQ_Mensuel"/>
      <sheetName val="XMQ_Mensuel (2)"/>
      <sheetName val="XMQ_Mensuel (3)"/>
      <sheetName val="TER "/>
      <sheetName val="Evol  volumes et marges"/>
      <sheetName val="Base volumes (2)"/>
      <sheetName val="Base MB à l'hl "/>
      <sheetName val="Evol Marges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youki Ananas"/>
      <sheetName val="Pulp Up"/>
      <sheetName val="judor  pet"/>
      <sheetName val="Pulp Up pet "/>
      <sheetName val="XXL pet "/>
      <sheetName val="y.ananas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Conso Indicative  MPC"/>
      <sheetName val="Conso"/>
      <sheetName val="Feuil1"/>
      <sheetName val="Conso Mensuelle"/>
      <sheetName val="Graphes"/>
      <sheetName val="Feuil3"/>
      <sheetName val="Feuil2"/>
      <sheetName val="XMQ_Cumul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Ent_Immo_E03"/>
      <sheetName val="XMQ_Mensuel_(2)"/>
      <sheetName val="XMQ_Mensuel_(3)"/>
      <sheetName val="TER_"/>
      <sheetName val="Evol__volumes_et_marges"/>
      <sheetName val="Base_volumes_(2)"/>
      <sheetName val="Base_MB_à_l'hl_"/>
      <sheetName val="Evol_Marges"/>
      <sheetName val="Titre_Volumes"/>
      <sheetName val="Mix_Produit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Titre_Fiches_Produits"/>
      <sheetName val="Tableaux_annexes"/>
      <sheetName val="Coût_Produit"/>
      <sheetName val="Standard__bieres_"/>
      <sheetName val="Standard_BG_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Soda_Water"/>
      <sheetName val="youki_sport_actif"/>
      <sheetName val="youki_pompom"/>
      <sheetName val="youki_Ananas"/>
      <sheetName val="Pulp_Up"/>
      <sheetName val="judor__pet"/>
      <sheetName val="Pulp_Up_pet_"/>
      <sheetName val="XXL_pet_"/>
      <sheetName val="y_ananas_pet_"/>
      <sheetName val="youki_sport_actif_pet"/>
      <sheetName val="pompom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coca_pet"/>
      <sheetName val="fanta_pet"/>
      <sheetName val="fanta_citron_pet"/>
      <sheetName val="fanta_mandarine_pet_"/>
      <sheetName val="sprite_pet"/>
      <sheetName val="Malta_guinness"/>
      <sheetName val="_aquabelle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nso_Indicative__MPC"/>
      <sheetName val="Conso_Mensuelle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Ent_Immo_E031"/>
      <sheetName val="XMQ_Mensuel_(2)1"/>
      <sheetName val="XMQ_Mensuel_(3)1"/>
      <sheetName val="TER_1"/>
      <sheetName val="Evol__volumes_et_marges1"/>
      <sheetName val="Base_volumes_(2)1"/>
      <sheetName val="Base_MB_à_l'hl_1"/>
      <sheetName val="Evol_Marges1"/>
      <sheetName val="Titre_Volumes1"/>
      <sheetName val="Mix_Produit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Titre_Fiches_Produits1"/>
      <sheetName val="Tableaux_annexes1"/>
      <sheetName val="Coût_Produit1"/>
      <sheetName val="Standard__bieres_1"/>
      <sheetName val="Standard_BG_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Soda_Water1"/>
      <sheetName val="youki_sport_actif1"/>
      <sheetName val="youki_pompom1"/>
      <sheetName val="youki_Ananas1"/>
      <sheetName val="Pulp_Up1"/>
      <sheetName val="judor__pet1"/>
      <sheetName val="Pulp_Up_pet_1"/>
      <sheetName val="XXL_pet_1"/>
      <sheetName val="y_ananas_pet_1"/>
      <sheetName val="youki_sport_actif_pet1"/>
      <sheetName val="pompom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coca_pet1"/>
      <sheetName val="fanta_pet1"/>
      <sheetName val="fanta_citron_pet1"/>
      <sheetName val="fanta_mandarine_pet_1"/>
      <sheetName val="sprite_pet1"/>
      <sheetName val="Malta_guinness1"/>
      <sheetName val="_aquabelle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nso_Indicative__MPC1"/>
      <sheetName val="Conso_Mensuelle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Ent_Immo_E032"/>
      <sheetName val="XMQ_Mensuel_(2)2"/>
      <sheetName val="XMQ_Mensuel_(3)2"/>
      <sheetName val="TER_2"/>
      <sheetName val="Evol__volumes_et_marges2"/>
      <sheetName val="Base_volumes_(2)2"/>
      <sheetName val="Base_MB_à_l'hl_2"/>
      <sheetName val="Evol_Marges2"/>
      <sheetName val="Titre_Volumes2"/>
      <sheetName val="Mix_Produit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Titre_Fiches_Produits2"/>
      <sheetName val="Tableaux_annexes2"/>
      <sheetName val="Coût_Produit2"/>
      <sheetName val="Standard__bieres_2"/>
      <sheetName val="Standard_BG_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Soda_Water2"/>
      <sheetName val="youki_sport_actif2"/>
      <sheetName val="youki_pompom2"/>
      <sheetName val="youki_Ananas2"/>
      <sheetName val="Pulp_Up2"/>
      <sheetName val="judor__pet2"/>
      <sheetName val="Pulp_Up_pet_2"/>
      <sheetName val="XXL_pet_2"/>
      <sheetName val="y_ananas_pet_2"/>
      <sheetName val="youki_sport_actif_pet2"/>
      <sheetName val="pompom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coca_pet2"/>
      <sheetName val="fanta_pet2"/>
      <sheetName val="fanta_citron_pet2"/>
      <sheetName val="fanta_mandarine_pet_2"/>
      <sheetName val="sprite_pet2"/>
      <sheetName val="Malta_guinness2"/>
      <sheetName val="_aquabelle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nso_Indicative__MPC2"/>
      <sheetName val="Conso_Mensuelle2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Ent_Immo_E033"/>
      <sheetName val="XMQ_Mensuel_(2)3"/>
      <sheetName val="XMQ_Mensuel_(3)3"/>
      <sheetName val="TER_3"/>
      <sheetName val="Evol__volumes_et_marges3"/>
      <sheetName val="Base_volumes_(2)3"/>
      <sheetName val="Base_MB_à_l'hl_3"/>
      <sheetName val="Evol_Marges3"/>
      <sheetName val="Titre_Volumes3"/>
      <sheetName val="Mix_Produit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Titre_Fiches_Produits3"/>
      <sheetName val="Tableaux_annexes3"/>
      <sheetName val="Coût_Produit3"/>
      <sheetName val="Standard__bieres_3"/>
      <sheetName val="Standard_BG_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Soda_Water3"/>
      <sheetName val="youki_sport_actif3"/>
      <sheetName val="youki_pompom3"/>
      <sheetName val="youki_Ananas3"/>
      <sheetName val="Pulp_Up3"/>
      <sheetName val="judor__pet3"/>
      <sheetName val="Pulp_Up_pet_3"/>
      <sheetName val="XXL_pet_3"/>
      <sheetName val="y_ananas_pet_3"/>
      <sheetName val="youki_sport_actif_pet3"/>
      <sheetName val="pompom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coca_pet3"/>
      <sheetName val="fanta_pet3"/>
      <sheetName val="fanta_citron_pet3"/>
      <sheetName val="fanta_mandarine_pet_3"/>
      <sheetName val="sprite_pet3"/>
      <sheetName val="Malta_guinness3"/>
      <sheetName val="_aquabelle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nso_Indicative__MPC3"/>
      <sheetName val="Conso_Mensuel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3">
          <cell r="E13">
            <v>0.18</v>
          </cell>
        </row>
      </sheetData>
      <sheetData sheetId="9"/>
      <sheetData sheetId="10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>
        <row r="9">
          <cell r="A9" t="str">
            <v>P11BEN</v>
          </cell>
        </row>
      </sheetData>
      <sheetData sheetId="22">
        <row r="9">
          <cell r="A9" t="str">
            <v>P11BEN</v>
          </cell>
        </row>
      </sheetData>
      <sheetData sheetId="23">
        <row r="9">
          <cell r="A9" t="str">
            <v>P11BEN</v>
          </cell>
        </row>
      </sheetData>
      <sheetData sheetId="24">
        <row r="9">
          <cell r="H9">
            <v>6491537</v>
          </cell>
        </row>
      </sheetData>
      <sheetData sheetId="25">
        <row r="9">
          <cell r="H9">
            <v>6491537</v>
          </cell>
        </row>
      </sheetData>
      <sheetData sheetId="26">
        <row r="2">
          <cell r="I2" t="str">
            <v>BUDGET  2014</v>
          </cell>
        </row>
      </sheetData>
      <sheetData sheetId="27">
        <row r="2">
          <cell r="I2" t="str">
            <v>BUDGET  2014</v>
          </cell>
        </row>
      </sheetData>
      <sheetData sheetId="28">
        <row r="2">
          <cell r="I2" t="str">
            <v>BUDGET  2014</v>
          </cell>
        </row>
      </sheetData>
      <sheetData sheetId="29">
        <row r="9">
          <cell r="I9">
            <v>435</v>
          </cell>
        </row>
      </sheetData>
      <sheetData sheetId="30"/>
      <sheetData sheetId="31">
        <row r="22">
          <cell r="F22">
            <v>2.5</v>
          </cell>
        </row>
      </sheetData>
      <sheetData sheetId="32">
        <row r="22">
          <cell r="F22">
            <v>2.5</v>
          </cell>
        </row>
      </sheetData>
      <sheetData sheetId="33">
        <row r="8">
          <cell r="Q8">
            <v>148.31108435331967</v>
          </cell>
        </row>
      </sheetData>
      <sheetData sheetId="34">
        <row r="8">
          <cell r="Q8">
            <v>148.31108435331967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A9" t="str">
            <v>A001001</v>
          </cell>
        </row>
      </sheetData>
      <sheetData sheetId="49">
        <row r="9">
          <cell r="A9" t="str">
            <v>A001001</v>
          </cell>
        </row>
      </sheetData>
      <sheetData sheetId="50">
        <row r="73">
          <cell r="E73">
            <v>7447.8328408553143</v>
          </cell>
        </row>
      </sheetData>
      <sheetData sheetId="51">
        <row r="7">
          <cell r="W7">
            <v>103.86276814847191</v>
          </cell>
        </row>
      </sheetData>
      <sheetData sheetId="52">
        <row r="7">
          <cell r="W7">
            <v>103.86276814847191</v>
          </cell>
        </row>
      </sheetData>
      <sheetData sheetId="53"/>
      <sheetData sheetId="54"/>
      <sheetData sheetId="55"/>
      <sheetData sheetId="56"/>
      <sheetData sheetId="57"/>
      <sheetData sheetId="58"/>
      <sheetData sheetId="59">
        <row r="6">
          <cell r="C6" t="str">
            <v>Période :  2014</v>
          </cell>
        </row>
      </sheetData>
      <sheetData sheetId="60">
        <row r="6">
          <cell r="C6" t="str">
            <v>Période :  2014</v>
          </cell>
        </row>
      </sheetData>
      <sheetData sheetId="61"/>
      <sheetData sheetId="62"/>
      <sheetData sheetId="63"/>
      <sheetData sheetId="64"/>
      <sheetData sheetId="65"/>
      <sheetData sheetId="66"/>
      <sheetData sheetId="67">
        <row r="6">
          <cell r="C6" t="str">
            <v>Période :  2014</v>
          </cell>
        </row>
      </sheetData>
      <sheetData sheetId="68">
        <row r="6">
          <cell r="C6" t="str">
            <v>Période :  2014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8">
          <cell r="E8">
            <v>1.6500000000000001E-2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9">
          <cell r="A9" t="str">
            <v>P11BEN</v>
          </cell>
        </row>
      </sheetData>
      <sheetData sheetId="153">
        <row r="9">
          <cell r="A9" t="str">
            <v>P11BEN</v>
          </cell>
        </row>
      </sheetData>
      <sheetData sheetId="154">
        <row r="9">
          <cell r="A9" t="str">
            <v>P11BEN</v>
          </cell>
        </row>
      </sheetData>
      <sheetData sheetId="155">
        <row r="9">
          <cell r="H9">
            <v>6491537</v>
          </cell>
        </row>
      </sheetData>
      <sheetData sheetId="156">
        <row r="9">
          <cell r="H9">
            <v>6491537</v>
          </cell>
        </row>
      </sheetData>
      <sheetData sheetId="157">
        <row r="2">
          <cell r="I2" t="str">
            <v>BUDGET  2014</v>
          </cell>
        </row>
      </sheetData>
      <sheetData sheetId="158">
        <row r="2">
          <cell r="I2" t="str">
            <v>BUDGET  2014</v>
          </cell>
        </row>
      </sheetData>
      <sheetData sheetId="159">
        <row r="2">
          <cell r="I2" t="str">
            <v>BUDGET  2014</v>
          </cell>
        </row>
      </sheetData>
      <sheetData sheetId="160">
        <row r="9">
          <cell r="I9">
            <v>435</v>
          </cell>
        </row>
      </sheetData>
      <sheetData sheetId="161">
        <row r="22">
          <cell r="F22">
            <v>2.5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73">
          <cell r="E73">
            <v>7447.8328408553143</v>
          </cell>
        </row>
      </sheetData>
      <sheetData sheetId="171">
        <row r="7">
          <cell r="W7">
            <v>103.86276814847191</v>
          </cell>
        </row>
      </sheetData>
      <sheetData sheetId="172"/>
      <sheetData sheetId="173"/>
      <sheetData sheetId="174"/>
      <sheetData sheetId="175">
        <row r="6">
          <cell r="C6" t="str">
            <v>Période :  2014</v>
          </cell>
        </row>
      </sheetData>
      <sheetData sheetId="176"/>
      <sheetData sheetId="177">
        <row r="6">
          <cell r="C6" t="str">
            <v>Période :  2014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1.6500000000000001E-2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A9" t="str">
            <v>P11BEN</v>
          </cell>
        </row>
      </sheetData>
      <sheetData sheetId="247">
        <row r="9">
          <cell r="A9" t="str">
            <v>P11BEN</v>
          </cell>
        </row>
      </sheetData>
      <sheetData sheetId="248">
        <row r="9">
          <cell r="A9" t="str">
            <v>P11BEN</v>
          </cell>
        </row>
      </sheetData>
      <sheetData sheetId="249">
        <row r="9">
          <cell r="H9">
            <v>6491537</v>
          </cell>
        </row>
      </sheetData>
      <sheetData sheetId="250">
        <row r="9">
          <cell r="H9">
            <v>6491537</v>
          </cell>
        </row>
      </sheetData>
      <sheetData sheetId="251">
        <row r="2">
          <cell r="I2" t="str">
            <v>BUDGET  2014</v>
          </cell>
        </row>
      </sheetData>
      <sheetData sheetId="252">
        <row r="2">
          <cell r="I2" t="str">
            <v>BUDGET  2014</v>
          </cell>
        </row>
      </sheetData>
      <sheetData sheetId="253">
        <row r="2">
          <cell r="I2" t="str">
            <v>BUDGET  2014</v>
          </cell>
        </row>
      </sheetData>
      <sheetData sheetId="254">
        <row r="9">
          <cell r="I9">
            <v>435</v>
          </cell>
        </row>
      </sheetData>
      <sheetData sheetId="255">
        <row r="22">
          <cell r="F22">
            <v>2.5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73">
          <cell r="E73">
            <v>7447.8328408553143</v>
          </cell>
        </row>
      </sheetData>
      <sheetData sheetId="265">
        <row r="7">
          <cell r="W7">
            <v>103.86276814847191</v>
          </cell>
        </row>
      </sheetData>
      <sheetData sheetId="266"/>
      <sheetData sheetId="267"/>
      <sheetData sheetId="268"/>
      <sheetData sheetId="269">
        <row r="6">
          <cell r="C6" t="str">
            <v>Période :  2014</v>
          </cell>
        </row>
      </sheetData>
      <sheetData sheetId="270"/>
      <sheetData sheetId="271">
        <row r="6">
          <cell r="C6" t="str">
            <v>Période :  2014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>
        <row r="8">
          <cell r="E8">
            <v>1.6500000000000001E-2</v>
          </cell>
        </row>
      </sheetData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>
        <row r="9">
          <cell r="A9" t="str">
            <v>P11BEN</v>
          </cell>
        </row>
      </sheetData>
      <sheetData sheetId="341">
        <row r="9">
          <cell r="A9" t="str">
            <v>P11BEN</v>
          </cell>
        </row>
      </sheetData>
      <sheetData sheetId="342">
        <row r="9">
          <cell r="A9" t="str">
            <v>P11BEN</v>
          </cell>
        </row>
      </sheetData>
      <sheetData sheetId="343">
        <row r="9">
          <cell r="H9">
            <v>6491537</v>
          </cell>
        </row>
      </sheetData>
      <sheetData sheetId="344">
        <row r="9">
          <cell r="H9">
            <v>6491537</v>
          </cell>
        </row>
      </sheetData>
      <sheetData sheetId="345">
        <row r="2">
          <cell r="I2" t="str">
            <v>BUDGET  2014</v>
          </cell>
        </row>
      </sheetData>
      <sheetData sheetId="346">
        <row r="2">
          <cell r="I2" t="str">
            <v>BUDGET  2014</v>
          </cell>
        </row>
      </sheetData>
      <sheetData sheetId="347">
        <row r="2">
          <cell r="I2" t="str">
            <v>BUDGET  2014</v>
          </cell>
        </row>
      </sheetData>
      <sheetData sheetId="348">
        <row r="9">
          <cell r="I9">
            <v>435</v>
          </cell>
        </row>
      </sheetData>
      <sheetData sheetId="349">
        <row r="22">
          <cell r="F22">
            <v>2.5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73">
          <cell r="E73">
            <v>7447.8328408553143</v>
          </cell>
        </row>
      </sheetData>
      <sheetData sheetId="359">
        <row r="7">
          <cell r="W7">
            <v>103.86276814847191</v>
          </cell>
        </row>
      </sheetData>
      <sheetData sheetId="360"/>
      <sheetData sheetId="361"/>
      <sheetData sheetId="362"/>
      <sheetData sheetId="363">
        <row r="6">
          <cell r="C6" t="str">
            <v>Période :  2014</v>
          </cell>
        </row>
      </sheetData>
      <sheetData sheetId="364"/>
      <sheetData sheetId="365">
        <row r="6">
          <cell r="C6" t="str">
            <v>Période :  2014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>
        <row r="8">
          <cell r="E8">
            <v>1.6500000000000001E-2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>
        <row r="9">
          <cell r="A9" t="str">
            <v>P11BEN</v>
          </cell>
        </row>
      </sheetData>
      <sheetData sheetId="435">
        <row r="9">
          <cell r="A9" t="str">
            <v>P11BEN</v>
          </cell>
        </row>
      </sheetData>
      <sheetData sheetId="436">
        <row r="9">
          <cell r="A9" t="str">
            <v>P11BEN</v>
          </cell>
        </row>
      </sheetData>
      <sheetData sheetId="437">
        <row r="9">
          <cell r="H9">
            <v>6491537</v>
          </cell>
        </row>
      </sheetData>
      <sheetData sheetId="438">
        <row r="9">
          <cell r="H9">
            <v>6491537</v>
          </cell>
        </row>
      </sheetData>
      <sheetData sheetId="439">
        <row r="2">
          <cell r="I2" t="str">
            <v>BUDGET  2014</v>
          </cell>
        </row>
      </sheetData>
      <sheetData sheetId="440">
        <row r="2">
          <cell r="I2" t="str">
            <v>BUDGET  2014</v>
          </cell>
        </row>
      </sheetData>
      <sheetData sheetId="441">
        <row r="2">
          <cell r="I2" t="str">
            <v>BUDGET  2014</v>
          </cell>
        </row>
      </sheetData>
      <sheetData sheetId="442">
        <row r="9">
          <cell r="I9">
            <v>435</v>
          </cell>
        </row>
      </sheetData>
      <sheetData sheetId="443">
        <row r="22">
          <cell r="F22">
            <v>2.5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73">
          <cell r="E73">
            <v>7447.8328408553143</v>
          </cell>
        </row>
      </sheetData>
      <sheetData sheetId="453">
        <row r="7">
          <cell r="W7">
            <v>103.86276814847191</v>
          </cell>
        </row>
      </sheetData>
      <sheetData sheetId="454"/>
      <sheetData sheetId="455"/>
      <sheetData sheetId="456"/>
      <sheetData sheetId="457">
        <row r="6">
          <cell r="C6" t="str">
            <v>Période :  2014</v>
          </cell>
        </row>
      </sheetData>
      <sheetData sheetId="458"/>
      <sheetData sheetId="459">
        <row r="6">
          <cell r="C6" t="str">
            <v>Période :  2014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s"/>
      <sheetName val="XMQ_Cumul"/>
      <sheetName val="XMQ_Mois"/>
      <sheetName val="Bilan"/>
      <sheetName val="TER"/>
      <sheetName val="Prod"/>
      <sheetName val="Ventes"/>
      <sheetName val="Mix Produits"/>
      <sheetName val="Mix PET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 "/>
      <sheetName val="RdM_ITS"/>
      <sheetName val="Tresor"/>
      <sheetName val="Impôts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s et Acomptes"/>
      <sheetName val="Effectifs"/>
      <sheetName val="INTERCOS "/>
      <sheetName val="COUVERTURE MPC"/>
      <sheetName val="Bal_Bilan"/>
      <sheetName val="Bal_XMQ"/>
      <sheetName val="Contrôle"/>
      <sheetName val="Print"/>
      <sheetName val="Feuil1"/>
      <sheetName val="Feuil2"/>
      <sheetName val="Print (2)"/>
      <sheetName val="Mix_Produits"/>
      <sheetName val="Mix_PET"/>
      <sheetName val="SUIVI_MP_"/>
      <sheetName val="Comparati_Lignes_du_XMQ"/>
      <sheetName val="Stocks_Produits"/>
      <sheetName val="Avces_et_Acomptes"/>
      <sheetName val="INTERCOS_"/>
      <sheetName val="COUVERTURE_MPC"/>
      <sheetName val="Print_(2)"/>
      <sheetName val="Mix_Produits1"/>
      <sheetName val="Mix_PET1"/>
      <sheetName val="SUIVI_MP_1"/>
      <sheetName val="Comparati_Lignes_du_XMQ1"/>
      <sheetName val="Stocks_Produits1"/>
      <sheetName val="Avces_et_Acomptes1"/>
      <sheetName val="INTERCOS_1"/>
      <sheetName val="COUVERTURE_MPC1"/>
      <sheetName val="Print_(2)1"/>
      <sheetName val="Mix_Produits2"/>
      <sheetName val="Mix_PET2"/>
      <sheetName val="SUIVI_MP_2"/>
      <sheetName val="Comparati_Lignes_du_XMQ2"/>
      <sheetName val="Stocks_Produits2"/>
      <sheetName val="Avces_et_Acomptes2"/>
      <sheetName val="INTERCOS_2"/>
      <sheetName val="COUVERTURE_MPC2"/>
      <sheetName val="Print_(2)2"/>
      <sheetName val="Mix_Produits3"/>
      <sheetName val="Mix_PET3"/>
      <sheetName val="SUIVI_MP_3"/>
      <sheetName val="Comparati_Lignes_du_XMQ3"/>
      <sheetName val="Stocks_Produits3"/>
      <sheetName val="Avces_et_Acomptes3"/>
      <sheetName val="INTERCOS_3"/>
      <sheetName val="COUVERTURE_MPC3"/>
      <sheetName val="Print_(2)3"/>
      <sheetName val="Mix_Produits4"/>
      <sheetName val="Mix_PET4"/>
      <sheetName val="SUIVI_MP_4"/>
      <sheetName val="Comparati_Lignes_du_XMQ4"/>
      <sheetName val="Stocks_Produits4"/>
      <sheetName val="Avces_et_Acomptes4"/>
      <sheetName val="INTERCOS_4"/>
      <sheetName val="COUVERTURE_MPC4"/>
      <sheetName val="Print_(2)4"/>
      <sheetName val="Mix_Produits5"/>
      <sheetName val="Mix_PET5"/>
      <sheetName val="SUIVI_MP_5"/>
      <sheetName val="Comparati_Lignes_du_XMQ5"/>
      <sheetName val="Stocks_Produits5"/>
      <sheetName val="Avces_et_Acomptes5"/>
      <sheetName val="INTERCOS_5"/>
      <sheetName val="COUVERTURE_MPC5"/>
      <sheetName val="Print_(2)5"/>
      <sheetName val="Mix_Produits6"/>
      <sheetName val="Mix_PET6"/>
      <sheetName val="SUIVI_MP_6"/>
      <sheetName val="Comparati_Lignes_du_XMQ6"/>
      <sheetName val="Stocks_Produits6"/>
      <sheetName val="Avces_et_Acomptes6"/>
      <sheetName val="INTERCOS_6"/>
      <sheetName val="COUVERTURE_MPC6"/>
      <sheetName val="Print_(2)6"/>
      <sheetName val="Mix_Produits7"/>
      <sheetName val="Mix_PET7"/>
      <sheetName val="SUIVI_MP_7"/>
      <sheetName val="Comparati_Lignes_du_XMQ7"/>
      <sheetName val="Stocks_Produits7"/>
      <sheetName val="Avces_et_Acomptes7"/>
      <sheetName val="INTERCOS_7"/>
      <sheetName val="COUVERTURE_MPC7"/>
      <sheetName val="Print_(2)7"/>
      <sheetName val="Mix_Produits8"/>
      <sheetName val="Mix_PET8"/>
      <sheetName val="SUIVI_MP_8"/>
      <sheetName val="Comparati_Lignes_du_XMQ8"/>
      <sheetName val="Stocks_Produits8"/>
      <sheetName val="Avces_et_Acomptes8"/>
      <sheetName val="INTERCOS_8"/>
      <sheetName val="COUVERTURE_MPC8"/>
      <sheetName val="Print_(2)8"/>
      <sheetName val="Mix_Produits9"/>
      <sheetName val="Mix_PET9"/>
      <sheetName val="SUIVI_MP_9"/>
      <sheetName val="Comparati_Lignes_du_XMQ9"/>
      <sheetName val="Stocks_Produits9"/>
      <sheetName val="Avces_et_Acomptes9"/>
      <sheetName val="INTERCOS_9"/>
      <sheetName val="COUVERTURE_MPC9"/>
      <sheetName val="Print_(2)9"/>
      <sheetName val="Mix_Produits10"/>
      <sheetName val="Mix_PET10"/>
      <sheetName val="SUIVI_MP_10"/>
      <sheetName val="Comparati_Lignes_du_XMQ10"/>
      <sheetName val="Stocks_Produits10"/>
      <sheetName val="Avces_et_Acomptes10"/>
      <sheetName val="INTERCOS_10"/>
      <sheetName val="COUVERTURE_MPC10"/>
      <sheetName val="Print_(2)10"/>
      <sheetName val="Mix_Produits11"/>
      <sheetName val="Mix_PET11"/>
      <sheetName val="SUIVI_MP_11"/>
      <sheetName val="Comparati_Lignes_du_XMQ11"/>
      <sheetName val="Stocks_Produits11"/>
      <sheetName val="Avces_et_Acomptes11"/>
      <sheetName val="INTERCOS_11"/>
      <sheetName val="COUVERTURE_MPC11"/>
      <sheetName val="Print_(2)11"/>
      <sheetName val="Mix_Produits12"/>
      <sheetName val="Mix_PET12"/>
      <sheetName val="SUIVI_MP_12"/>
      <sheetName val="Comparati_Lignes_du_XMQ12"/>
      <sheetName val="Stocks_Produits12"/>
      <sheetName val="Avces_et_Acomptes12"/>
      <sheetName val="INTERCOS_12"/>
      <sheetName val="COUVERTURE_MPC12"/>
      <sheetName val="Print_(2)12"/>
      <sheetName val="Mix_Produits13"/>
      <sheetName val="Mix_PET13"/>
      <sheetName val="SUIVI_MP_13"/>
      <sheetName val="Comparati_Lignes_du_XMQ13"/>
      <sheetName val="Stocks_Produits13"/>
      <sheetName val="Avces_et_Acomptes13"/>
      <sheetName val="INTERCOS_13"/>
      <sheetName val="COUVERTURE_MPC13"/>
      <sheetName val="Print_(2)13"/>
      <sheetName val="Mix_Produits14"/>
      <sheetName val="Mix_PET14"/>
      <sheetName val="SUIVI_MP_14"/>
      <sheetName val="Comparati_Lignes_du_XMQ14"/>
      <sheetName val="Stocks_Produits14"/>
      <sheetName val="Avces_et_Acomptes14"/>
      <sheetName val="INTERCOS_14"/>
      <sheetName val="COUVERTURE_MPC14"/>
      <sheetName val="Print_(2)14"/>
      <sheetName val="Mix_Produits15"/>
      <sheetName val="Mix_PET15"/>
      <sheetName val="SUIVI_MP_15"/>
      <sheetName val="Comparati_Lignes_du_XMQ15"/>
      <sheetName val="Stocks_Produits15"/>
      <sheetName val="Avces_et_Acomptes15"/>
      <sheetName val="INTERCOS_15"/>
      <sheetName val="COUVERTURE_MPC15"/>
      <sheetName val="Print_(2)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E4" t="str">
            <v>g01</v>
          </cell>
        </row>
        <row r="5">
          <cell r="E5" t="str">
            <v>g01</v>
          </cell>
        </row>
        <row r="6">
          <cell r="E6" t="str">
            <v>g01</v>
          </cell>
        </row>
        <row r="7">
          <cell r="E7" t="str">
            <v>g01</v>
          </cell>
        </row>
        <row r="8">
          <cell r="E8" t="str">
            <v>g01</v>
          </cell>
        </row>
        <row r="9">
          <cell r="E9" t="str">
            <v>g01</v>
          </cell>
        </row>
        <row r="10">
          <cell r="E10" t="str">
            <v>g01</v>
          </cell>
        </row>
        <row r="11">
          <cell r="E11" t="str">
            <v>g01</v>
          </cell>
        </row>
        <row r="12">
          <cell r="E12" t="str">
            <v>g01</v>
          </cell>
        </row>
        <row r="13">
          <cell r="E13" t="str">
            <v>g01</v>
          </cell>
        </row>
        <row r="14">
          <cell r="E14" t="str">
            <v>g01</v>
          </cell>
        </row>
        <row r="15">
          <cell r="E15" t="str">
            <v>g01</v>
          </cell>
        </row>
        <row r="16">
          <cell r="E16" t="str">
            <v>d02</v>
          </cell>
        </row>
        <row r="17">
          <cell r="E17" t="str">
            <v>d02</v>
          </cell>
        </row>
        <row r="18">
          <cell r="E18" t="str">
            <v>d02</v>
          </cell>
        </row>
        <row r="19">
          <cell r="E19" t="str">
            <v>d02</v>
          </cell>
        </row>
        <row r="20">
          <cell r="E20" t="str">
            <v>d02</v>
          </cell>
        </row>
        <row r="21">
          <cell r="E21" t="str">
            <v>d02</v>
          </cell>
        </row>
        <row r="22">
          <cell r="E22" t="str">
            <v>d02</v>
          </cell>
        </row>
        <row r="23">
          <cell r="E23" t="str">
            <v>d02</v>
          </cell>
        </row>
        <row r="24">
          <cell r="E24" t="str">
            <v>d02</v>
          </cell>
        </row>
        <row r="25">
          <cell r="E25" t="str">
            <v>d02</v>
          </cell>
        </row>
        <row r="26">
          <cell r="E26" t="str">
            <v>d02</v>
          </cell>
        </row>
        <row r="27">
          <cell r="E27" t="str">
            <v>d02</v>
          </cell>
        </row>
        <row r="28">
          <cell r="E28" t="str">
            <v>d02</v>
          </cell>
        </row>
        <row r="29">
          <cell r="E29" t="str">
            <v>d02</v>
          </cell>
        </row>
        <row r="30">
          <cell r="D30">
            <v>811088664</v>
          </cell>
          <cell r="E30" t="str">
            <v>g01</v>
          </cell>
        </row>
        <row r="31">
          <cell r="E31" t="str">
            <v>g01</v>
          </cell>
        </row>
        <row r="32">
          <cell r="E32" t="str">
            <v>g01</v>
          </cell>
        </row>
        <row r="33">
          <cell r="E33" t="str">
            <v>g01</v>
          </cell>
        </row>
        <row r="34">
          <cell r="E34" t="str">
            <v>g01</v>
          </cell>
        </row>
        <row r="35">
          <cell r="E35" t="str">
            <v>g01</v>
          </cell>
        </row>
        <row r="36">
          <cell r="E36" t="str">
            <v>g01</v>
          </cell>
        </row>
        <row r="37">
          <cell r="E37" t="str">
            <v>g01</v>
          </cell>
        </row>
        <row r="38">
          <cell r="D38">
            <v>11038724444</v>
          </cell>
          <cell r="E38" t="str">
            <v>d02</v>
          </cell>
        </row>
        <row r="39">
          <cell r="E39" t="str">
            <v>d02</v>
          </cell>
        </row>
        <row r="40">
          <cell r="E40" t="str">
            <v>d02</v>
          </cell>
        </row>
        <row r="41">
          <cell r="E41" t="str">
            <v>d02</v>
          </cell>
        </row>
        <row r="42">
          <cell r="E42" t="str">
            <v>d02</v>
          </cell>
        </row>
        <row r="43">
          <cell r="E43" t="str">
            <v>d02</v>
          </cell>
        </row>
        <row r="44">
          <cell r="E44" t="str">
            <v>d02</v>
          </cell>
        </row>
        <row r="45">
          <cell r="E45" t="str">
            <v>d02</v>
          </cell>
        </row>
        <row r="46">
          <cell r="E46" t="str">
            <v>d02</v>
          </cell>
        </row>
        <row r="47">
          <cell r="E47" t="str">
            <v>g01</v>
          </cell>
        </row>
        <row r="48">
          <cell r="E48" t="str">
            <v>d02</v>
          </cell>
        </row>
        <row r="49">
          <cell r="E49" t="str">
            <v>d02</v>
          </cell>
        </row>
        <row r="50">
          <cell r="E50" t="str">
            <v>d02</v>
          </cell>
        </row>
        <row r="51">
          <cell r="D51">
            <v>664338802</v>
          </cell>
          <cell r="E51" t="str">
            <v>d02</v>
          </cell>
        </row>
        <row r="52">
          <cell r="D52">
            <v>229231219</v>
          </cell>
          <cell r="E52" t="str">
            <v>d03</v>
          </cell>
        </row>
        <row r="53">
          <cell r="D53">
            <v>38608033</v>
          </cell>
          <cell r="E53" t="str">
            <v>d03</v>
          </cell>
        </row>
        <row r="54">
          <cell r="D54">
            <v>1312118855</v>
          </cell>
          <cell r="E54" t="str">
            <v>d03</v>
          </cell>
        </row>
        <row r="55">
          <cell r="D55">
            <v>707135455</v>
          </cell>
          <cell r="E55" t="str">
            <v>e03</v>
          </cell>
        </row>
        <row r="56">
          <cell r="D56">
            <v>1016169116</v>
          </cell>
          <cell r="E56" t="str">
            <v>d06</v>
          </cell>
        </row>
        <row r="57">
          <cell r="E57" t="str">
            <v>e04</v>
          </cell>
        </row>
        <row r="58">
          <cell r="E58" t="str">
            <v>d06</v>
          </cell>
        </row>
        <row r="59">
          <cell r="E59" t="str">
            <v>e01</v>
          </cell>
        </row>
        <row r="60">
          <cell r="E60" t="str">
            <v>d03</v>
          </cell>
        </row>
        <row r="61">
          <cell r="E61" t="str">
            <v>d03</v>
          </cell>
        </row>
        <row r="62">
          <cell r="E62" t="str">
            <v>d03</v>
          </cell>
        </row>
        <row r="63">
          <cell r="E63" t="str">
            <v>d03</v>
          </cell>
        </row>
        <row r="64">
          <cell r="E64" t="str">
            <v>d06</v>
          </cell>
        </row>
        <row r="65">
          <cell r="E65" t="str">
            <v>i03</v>
          </cell>
        </row>
        <row r="66">
          <cell r="E66" t="str">
            <v>i03</v>
          </cell>
        </row>
        <row r="67">
          <cell r="E67" t="str">
            <v>i03</v>
          </cell>
        </row>
        <row r="68">
          <cell r="E68" t="str">
            <v>d02</v>
          </cell>
        </row>
        <row r="69">
          <cell r="E69" t="str">
            <v>g01</v>
          </cell>
        </row>
        <row r="70">
          <cell r="E70" t="str">
            <v>e02</v>
          </cell>
        </row>
        <row r="71">
          <cell r="E71" t="str">
            <v>e03</v>
          </cell>
        </row>
        <row r="72">
          <cell r="D72">
            <v>478243</v>
          </cell>
          <cell r="E72" t="str">
            <v>e03</v>
          </cell>
        </row>
        <row r="73">
          <cell r="E73" t="str">
            <v>e01</v>
          </cell>
        </row>
        <row r="74">
          <cell r="E74" t="str">
            <v>d02</v>
          </cell>
        </row>
        <row r="75">
          <cell r="E75" t="str">
            <v>d03</v>
          </cell>
        </row>
        <row r="76">
          <cell r="E76" t="str">
            <v>d03</v>
          </cell>
        </row>
        <row r="77">
          <cell r="E77" t="str">
            <v>d03</v>
          </cell>
        </row>
        <row r="78">
          <cell r="E78" t="str">
            <v>d03</v>
          </cell>
        </row>
        <row r="79">
          <cell r="E79" t="str">
            <v>d02</v>
          </cell>
        </row>
        <row r="80">
          <cell r="E80" t="str">
            <v>d02</v>
          </cell>
        </row>
        <row r="81">
          <cell r="E81" t="str">
            <v>d02</v>
          </cell>
        </row>
        <row r="82">
          <cell r="E82" t="str">
            <v>e01</v>
          </cell>
        </row>
        <row r="83">
          <cell r="E83" t="str">
            <v>e04</v>
          </cell>
        </row>
        <row r="84">
          <cell r="E84" t="str">
            <v>e03</v>
          </cell>
        </row>
        <row r="85">
          <cell r="E85" t="str">
            <v>e03</v>
          </cell>
        </row>
        <row r="86">
          <cell r="E86" t="str">
            <v>e01</v>
          </cell>
        </row>
        <row r="87">
          <cell r="E87" t="str">
            <v>e01</v>
          </cell>
        </row>
        <row r="88">
          <cell r="E88" t="str">
            <v>e03</v>
          </cell>
        </row>
        <row r="89">
          <cell r="E89" t="str">
            <v>e01</v>
          </cell>
        </row>
        <row r="90">
          <cell r="E90" t="str">
            <v>d02</v>
          </cell>
        </row>
        <row r="91">
          <cell r="E91" t="str">
            <v>e03</v>
          </cell>
        </row>
        <row r="92">
          <cell r="E92" t="str">
            <v>e01</v>
          </cell>
        </row>
        <row r="93">
          <cell r="E93" t="str">
            <v>d02</v>
          </cell>
        </row>
        <row r="94">
          <cell r="E94" t="str">
            <v>d02</v>
          </cell>
        </row>
        <row r="95">
          <cell r="E95" t="str">
            <v>d02</v>
          </cell>
        </row>
        <row r="96">
          <cell r="E96" t="str">
            <v>d03</v>
          </cell>
        </row>
        <row r="97">
          <cell r="E97" t="str">
            <v>d03</v>
          </cell>
        </row>
        <row r="98">
          <cell r="E98" t="str">
            <v>e03</v>
          </cell>
        </row>
        <row r="99">
          <cell r="E99" t="str">
            <v>e03</v>
          </cell>
        </row>
        <row r="100">
          <cell r="E100" t="str">
            <v>e01</v>
          </cell>
        </row>
        <row r="101">
          <cell r="E101" t="str">
            <v>e01</v>
          </cell>
        </row>
        <row r="102">
          <cell r="D102">
            <v>15108200</v>
          </cell>
          <cell r="E102" t="str">
            <v>d02</v>
          </cell>
        </row>
        <row r="103">
          <cell r="E103" t="str">
            <v>d03</v>
          </cell>
        </row>
        <row r="104">
          <cell r="E104" t="str">
            <v>f01</v>
          </cell>
        </row>
        <row r="105">
          <cell r="E105" t="str">
            <v>d03</v>
          </cell>
        </row>
        <row r="106">
          <cell r="E106" t="str">
            <v>f01</v>
          </cell>
        </row>
        <row r="107">
          <cell r="E107" t="str">
            <v>f01</v>
          </cell>
        </row>
        <row r="108">
          <cell r="E108" t="str">
            <v>d02</v>
          </cell>
        </row>
        <row r="109">
          <cell r="E109" t="str">
            <v>e01</v>
          </cell>
        </row>
        <row r="110">
          <cell r="E110" t="str">
            <v>f01</v>
          </cell>
        </row>
        <row r="111">
          <cell r="E111" t="str">
            <v>e01</v>
          </cell>
        </row>
        <row r="112">
          <cell r="E112" t="str">
            <v>f01</v>
          </cell>
        </row>
        <row r="113">
          <cell r="D113">
            <v>9737019</v>
          </cell>
          <cell r="E113" t="str">
            <v>e03</v>
          </cell>
        </row>
        <row r="114">
          <cell r="E114" t="str">
            <v>d03</v>
          </cell>
        </row>
        <row r="115">
          <cell r="E115" t="str">
            <v>f01</v>
          </cell>
        </row>
        <row r="116">
          <cell r="E116" t="str">
            <v>e03</v>
          </cell>
        </row>
        <row r="117">
          <cell r="E117" t="str">
            <v>e03</v>
          </cell>
        </row>
        <row r="118">
          <cell r="E118" t="str">
            <v>f01</v>
          </cell>
        </row>
        <row r="119">
          <cell r="E119" t="str">
            <v>f01</v>
          </cell>
        </row>
        <row r="120">
          <cell r="E120" t="str">
            <v>f01</v>
          </cell>
        </row>
        <row r="121">
          <cell r="E121" t="str">
            <v>f06</v>
          </cell>
        </row>
        <row r="122">
          <cell r="E122" t="str">
            <v>f01</v>
          </cell>
        </row>
        <row r="123">
          <cell r="E123" t="str">
            <v>e03</v>
          </cell>
        </row>
        <row r="124">
          <cell r="E124" t="str">
            <v>f01</v>
          </cell>
        </row>
        <row r="125">
          <cell r="E125" t="str">
            <v>f01</v>
          </cell>
        </row>
        <row r="126">
          <cell r="E126" t="str">
            <v>d03</v>
          </cell>
        </row>
        <row r="127">
          <cell r="E127" t="str">
            <v>f01</v>
          </cell>
        </row>
        <row r="128">
          <cell r="E128" t="str">
            <v>e01</v>
          </cell>
        </row>
        <row r="129">
          <cell r="E129" t="str">
            <v>f06</v>
          </cell>
        </row>
        <row r="130">
          <cell r="E130" t="str">
            <v>g01</v>
          </cell>
        </row>
        <row r="131">
          <cell r="E131" t="str">
            <v>d06</v>
          </cell>
        </row>
        <row r="132">
          <cell r="E132" t="str">
            <v>d06</v>
          </cell>
        </row>
        <row r="133">
          <cell r="E133" t="str">
            <v>d06</v>
          </cell>
        </row>
        <row r="134">
          <cell r="E134" t="str">
            <v>d06</v>
          </cell>
        </row>
        <row r="135">
          <cell r="E135" t="str">
            <v>d06</v>
          </cell>
        </row>
        <row r="136">
          <cell r="E136" t="str">
            <v>d06</v>
          </cell>
        </row>
        <row r="137">
          <cell r="E137" t="str">
            <v>d06</v>
          </cell>
        </row>
        <row r="138">
          <cell r="E138" t="str">
            <v>d06</v>
          </cell>
        </row>
        <row r="140">
          <cell r="D140">
            <v>15842738050</v>
          </cell>
        </row>
        <row r="141">
          <cell r="D141">
            <v>16494904641.57</v>
          </cell>
        </row>
        <row r="142">
          <cell r="E142" t="str">
            <v>d02</v>
          </cell>
        </row>
        <row r="143">
          <cell r="E143" t="str">
            <v>d04</v>
          </cell>
        </row>
        <row r="144">
          <cell r="E144" t="str">
            <v>g01</v>
          </cell>
        </row>
        <row r="145">
          <cell r="E145" t="str">
            <v>f02</v>
          </cell>
        </row>
        <row r="146">
          <cell r="E146" t="str">
            <v>f02</v>
          </cell>
        </row>
        <row r="147">
          <cell r="E147" t="str">
            <v>f02</v>
          </cell>
        </row>
        <row r="148">
          <cell r="E148" t="str">
            <v>f02</v>
          </cell>
        </row>
        <row r="149">
          <cell r="E149" t="str">
            <v>d05</v>
          </cell>
        </row>
        <row r="150">
          <cell r="E150" t="str">
            <v>d05</v>
          </cell>
        </row>
        <row r="151">
          <cell r="E151" t="str">
            <v>d05</v>
          </cell>
        </row>
        <row r="152">
          <cell r="E152" t="str">
            <v>f02</v>
          </cell>
        </row>
        <row r="154">
          <cell r="D154">
            <v>0</v>
          </cell>
        </row>
        <row r="155">
          <cell r="D155">
            <v>2159792388</v>
          </cell>
        </row>
        <row r="156">
          <cell r="E156" t="str">
            <v>f03</v>
          </cell>
        </row>
        <row r="157">
          <cell r="E157" t="str">
            <v>f03</v>
          </cell>
        </row>
        <row r="158">
          <cell r="E158" t="str">
            <v>f03</v>
          </cell>
        </row>
        <row r="159">
          <cell r="E159" t="str">
            <v>f03</v>
          </cell>
        </row>
        <row r="160">
          <cell r="E160" t="str">
            <v>f03</v>
          </cell>
        </row>
        <row r="161">
          <cell r="E161" t="str">
            <v>e03</v>
          </cell>
        </row>
        <row r="162">
          <cell r="E162" t="str">
            <v>f03</v>
          </cell>
        </row>
        <row r="163">
          <cell r="E163" t="str">
            <v>f03</v>
          </cell>
        </row>
        <row r="164">
          <cell r="E164" t="str">
            <v>e03</v>
          </cell>
        </row>
        <row r="165">
          <cell r="E165" t="str">
            <v>f03</v>
          </cell>
        </row>
        <row r="166">
          <cell r="E166" t="str">
            <v>f03</v>
          </cell>
        </row>
        <row r="167">
          <cell r="E167" t="str">
            <v>f03</v>
          </cell>
        </row>
        <row r="168">
          <cell r="E168" t="str">
            <v>f03</v>
          </cell>
        </row>
        <row r="169">
          <cell r="E169" t="str">
            <v>f03</v>
          </cell>
        </row>
        <row r="170">
          <cell r="E170" t="str">
            <v>e03</v>
          </cell>
        </row>
        <row r="171">
          <cell r="E171" t="str">
            <v>e03</v>
          </cell>
        </row>
        <row r="172">
          <cell r="E172" t="str">
            <v>e03</v>
          </cell>
        </row>
        <row r="173">
          <cell r="E173" t="str">
            <v>f04</v>
          </cell>
        </row>
        <row r="174">
          <cell r="E174" t="str">
            <v>f04</v>
          </cell>
        </row>
        <row r="175">
          <cell r="E175" t="str">
            <v>f04</v>
          </cell>
        </row>
        <row r="176">
          <cell r="E176" t="str">
            <v>d02</v>
          </cell>
        </row>
        <row r="177">
          <cell r="E177" t="str">
            <v>f04</v>
          </cell>
        </row>
        <row r="178">
          <cell r="E178" t="str">
            <v>f04</v>
          </cell>
        </row>
        <row r="179">
          <cell r="E179" t="str">
            <v>f06</v>
          </cell>
        </row>
        <row r="180">
          <cell r="E180" t="str">
            <v>f06</v>
          </cell>
        </row>
        <row r="181">
          <cell r="E181" t="str">
            <v>f05</v>
          </cell>
        </row>
        <row r="182">
          <cell r="E182" t="str">
            <v>e04</v>
          </cell>
        </row>
        <row r="183">
          <cell r="E183" t="str">
            <v>e04</v>
          </cell>
        </row>
        <row r="184">
          <cell r="E184" t="str">
            <v>e04</v>
          </cell>
        </row>
        <row r="185">
          <cell r="E185" t="str">
            <v>e04</v>
          </cell>
        </row>
        <row r="186">
          <cell r="E186" t="str">
            <v>e04</v>
          </cell>
        </row>
        <row r="187">
          <cell r="E187" t="str">
            <v>e04</v>
          </cell>
        </row>
        <row r="188">
          <cell r="E188" t="str">
            <v>e04</v>
          </cell>
        </row>
        <row r="189">
          <cell r="E189" t="str">
            <v>e04</v>
          </cell>
        </row>
        <row r="190">
          <cell r="E190" t="str">
            <v>e04</v>
          </cell>
        </row>
        <row r="191">
          <cell r="E191" t="str">
            <v>e04</v>
          </cell>
        </row>
        <row r="192">
          <cell r="E192" t="str">
            <v>e04</v>
          </cell>
        </row>
        <row r="193">
          <cell r="E193" t="str">
            <v>e04</v>
          </cell>
        </row>
        <row r="194">
          <cell r="E194" t="str">
            <v>e05</v>
          </cell>
        </row>
        <row r="195">
          <cell r="E195" t="str">
            <v>e04</v>
          </cell>
        </row>
        <row r="196">
          <cell r="E196" t="str">
            <v>e04</v>
          </cell>
        </row>
        <row r="197">
          <cell r="E197" t="str">
            <v>e04</v>
          </cell>
        </row>
        <row r="198">
          <cell r="E198" t="str">
            <v>e04</v>
          </cell>
        </row>
        <row r="199">
          <cell r="E199" t="str">
            <v>e04</v>
          </cell>
        </row>
        <row r="200">
          <cell r="E200" t="str">
            <v>e04</v>
          </cell>
        </row>
        <row r="201">
          <cell r="E201" t="str">
            <v>e04</v>
          </cell>
        </row>
        <row r="202">
          <cell r="E202" t="str">
            <v>e04</v>
          </cell>
        </row>
        <row r="203">
          <cell r="E203" t="str">
            <v>e04</v>
          </cell>
        </row>
        <row r="204">
          <cell r="E204" t="str">
            <v>e04</v>
          </cell>
        </row>
        <row r="205">
          <cell r="E205" t="str">
            <v>e04</v>
          </cell>
        </row>
        <row r="206">
          <cell r="E206" t="str">
            <v>e04</v>
          </cell>
        </row>
        <row r="207">
          <cell r="E207" t="str">
            <v>e04</v>
          </cell>
        </row>
        <row r="208">
          <cell r="E208" t="str">
            <v>e04</v>
          </cell>
        </row>
        <row r="209">
          <cell r="E209" t="str">
            <v>f03</v>
          </cell>
        </row>
        <row r="210">
          <cell r="E210" t="str">
            <v>f03</v>
          </cell>
        </row>
        <row r="211">
          <cell r="E211" t="str">
            <v>f03</v>
          </cell>
        </row>
        <row r="213">
          <cell r="D213">
            <v>0</v>
          </cell>
        </row>
        <row r="214">
          <cell r="D214">
            <v>2635502813</v>
          </cell>
        </row>
        <row r="215">
          <cell r="E215" t="str">
            <v>f03</v>
          </cell>
        </row>
        <row r="216">
          <cell r="E216" t="str">
            <v>f03</v>
          </cell>
        </row>
        <row r="217">
          <cell r="E217" t="str">
            <v>f03</v>
          </cell>
        </row>
        <row r="218">
          <cell r="E218" t="str">
            <v>f03</v>
          </cell>
        </row>
        <row r="219">
          <cell r="E219" t="str">
            <v>f03</v>
          </cell>
        </row>
        <row r="220">
          <cell r="E220" t="str">
            <v>f03</v>
          </cell>
        </row>
        <row r="221">
          <cell r="E221" t="str">
            <v>d02</v>
          </cell>
        </row>
        <row r="222">
          <cell r="E222" t="str">
            <v>f03</v>
          </cell>
        </row>
        <row r="223">
          <cell r="E223" t="str">
            <v>f03</v>
          </cell>
        </row>
        <row r="224">
          <cell r="E224" t="str">
            <v>f03</v>
          </cell>
        </row>
        <row r="225">
          <cell r="E225" t="str">
            <v>f03</v>
          </cell>
        </row>
        <row r="226">
          <cell r="E226" t="str">
            <v>f03</v>
          </cell>
        </row>
        <row r="227">
          <cell r="E227" t="str">
            <v>f03</v>
          </cell>
        </row>
        <row r="228">
          <cell r="E228" t="str">
            <v>f03</v>
          </cell>
        </row>
        <row r="229">
          <cell r="E229" t="str">
            <v>e06</v>
          </cell>
        </row>
        <row r="230">
          <cell r="E230" t="str">
            <v>f03</v>
          </cell>
        </row>
        <row r="231">
          <cell r="E231" t="str">
            <v>f03</v>
          </cell>
        </row>
        <row r="232">
          <cell r="E232" t="str">
            <v>f03</v>
          </cell>
        </row>
        <row r="233">
          <cell r="E233" t="str">
            <v>f03</v>
          </cell>
        </row>
        <row r="234">
          <cell r="E234" t="str">
            <v>f03</v>
          </cell>
        </row>
        <row r="235">
          <cell r="E235" t="str">
            <v>f03</v>
          </cell>
        </row>
        <row r="236">
          <cell r="E236" t="str">
            <v>d02</v>
          </cell>
        </row>
        <row r="237">
          <cell r="E237" t="str">
            <v>f03</v>
          </cell>
        </row>
        <row r="238">
          <cell r="E238" t="str">
            <v>f03</v>
          </cell>
        </row>
        <row r="239">
          <cell r="E239" t="str">
            <v>d07</v>
          </cell>
        </row>
        <row r="240">
          <cell r="E240" t="str">
            <v>f05</v>
          </cell>
        </row>
        <row r="241">
          <cell r="E241" t="str">
            <v>f05</v>
          </cell>
        </row>
        <row r="242">
          <cell r="E242" t="str">
            <v>f03</v>
          </cell>
        </row>
        <row r="243">
          <cell r="E243" t="str">
            <v>f06</v>
          </cell>
        </row>
        <row r="244">
          <cell r="E244" t="str">
            <v>f06</v>
          </cell>
        </row>
        <row r="245">
          <cell r="E245" t="str">
            <v>f03</v>
          </cell>
        </row>
        <row r="246">
          <cell r="E246" t="str">
            <v>f03</v>
          </cell>
        </row>
        <row r="247">
          <cell r="E247" t="str">
            <v>f03</v>
          </cell>
        </row>
        <row r="248">
          <cell r="E248" t="str">
            <v>f03</v>
          </cell>
        </row>
        <row r="249">
          <cell r="E249" t="str">
            <v>f03</v>
          </cell>
        </row>
        <row r="250">
          <cell r="E250" t="str">
            <v>f03</v>
          </cell>
        </row>
        <row r="251">
          <cell r="E251" t="str">
            <v>f03</v>
          </cell>
        </row>
        <row r="253">
          <cell r="D253">
            <v>0</v>
          </cell>
        </row>
        <row r="254">
          <cell r="D254">
            <v>2289819424</v>
          </cell>
        </row>
        <row r="255">
          <cell r="E255" t="str">
            <v>f07</v>
          </cell>
        </row>
        <row r="256">
          <cell r="E256" t="str">
            <v>f07</v>
          </cell>
        </row>
        <row r="257">
          <cell r="E257" t="str">
            <v>f07</v>
          </cell>
        </row>
        <row r="258">
          <cell r="E258" t="str">
            <v>f07</v>
          </cell>
        </row>
        <row r="259">
          <cell r="E259" t="str">
            <v>i05</v>
          </cell>
        </row>
        <row r="260">
          <cell r="E260" t="str">
            <v>f07</v>
          </cell>
        </row>
        <row r="261">
          <cell r="E261" t="str">
            <v>b04</v>
          </cell>
        </row>
        <row r="262">
          <cell r="E262" t="str">
            <v>b03</v>
          </cell>
        </row>
        <row r="263">
          <cell r="E263" t="str">
            <v>b05</v>
          </cell>
        </row>
        <row r="264">
          <cell r="E264" t="str">
            <v>f07</v>
          </cell>
        </row>
        <row r="265">
          <cell r="E265" t="str">
            <v>f07</v>
          </cell>
        </row>
        <row r="266">
          <cell r="E266" t="str">
            <v>i05</v>
          </cell>
        </row>
        <row r="267">
          <cell r="E267" t="str">
            <v>f07</v>
          </cell>
        </row>
        <row r="268">
          <cell r="E268" t="str">
            <v>f07</v>
          </cell>
        </row>
        <row r="269">
          <cell r="E269" t="str">
            <v>f07</v>
          </cell>
        </row>
        <row r="270">
          <cell r="E270" t="str">
            <v>f07</v>
          </cell>
        </row>
        <row r="271">
          <cell r="E271" t="str">
            <v>f07</v>
          </cell>
        </row>
        <row r="272">
          <cell r="E272" t="str">
            <v>i05</v>
          </cell>
        </row>
        <row r="273">
          <cell r="E273" t="str">
            <v>i05</v>
          </cell>
        </row>
        <row r="274">
          <cell r="E274" t="str">
            <v>f05</v>
          </cell>
        </row>
        <row r="275">
          <cell r="E275" t="str">
            <v>f05</v>
          </cell>
        </row>
        <row r="276">
          <cell r="E276" t="str">
            <v>i05</v>
          </cell>
        </row>
        <row r="278">
          <cell r="D278">
            <v>0</v>
          </cell>
        </row>
        <row r="279">
          <cell r="D279">
            <v>11041154616.719999</v>
          </cell>
        </row>
        <row r="280">
          <cell r="E280" t="str">
            <v>i05</v>
          </cell>
        </row>
        <row r="281">
          <cell r="E281" t="str">
            <v>f05</v>
          </cell>
        </row>
        <row r="282">
          <cell r="E282" t="str">
            <v>f05</v>
          </cell>
        </row>
        <row r="283">
          <cell r="E283" t="str">
            <v>f05</v>
          </cell>
        </row>
        <row r="284">
          <cell r="E284" t="str">
            <v>f05</v>
          </cell>
        </row>
        <row r="285">
          <cell r="E285" t="str">
            <v>f05</v>
          </cell>
        </row>
        <row r="286">
          <cell r="E286" t="str">
            <v>g03</v>
          </cell>
        </row>
        <row r="287">
          <cell r="E287" t="str">
            <v>g03</v>
          </cell>
        </row>
        <row r="288">
          <cell r="E288" t="str">
            <v>e02</v>
          </cell>
        </row>
        <row r="289">
          <cell r="E289" t="str">
            <v>g03</v>
          </cell>
        </row>
        <row r="290">
          <cell r="E290" t="str">
            <v>g03</v>
          </cell>
        </row>
        <row r="291">
          <cell r="E291" t="str">
            <v>g03</v>
          </cell>
        </row>
        <row r="292">
          <cell r="E292" t="str">
            <v>g03</v>
          </cell>
        </row>
        <row r="294">
          <cell r="D294">
            <v>0</v>
          </cell>
        </row>
        <row r="295">
          <cell r="D295">
            <v>122426974</v>
          </cell>
        </row>
        <row r="296">
          <cell r="E296" t="str">
            <v>f06</v>
          </cell>
        </row>
        <row r="297">
          <cell r="E297" t="str">
            <v>f06</v>
          </cell>
        </row>
        <row r="298">
          <cell r="E298" t="str">
            <v>f06</v>
          </cell>
        </row>
        <row r="299">
          <cell r="E299" t="str">
            <v>f06</v>
          </cell>
        </row>
        <row r="300">
          <cell r="E300" t="str">
            <v>f06</v>
          </cell>
        </row>
        <row r="301">
          <cell r="E301" t="str">
            <v>f06</v>
          </cell>
        </row>
        <row r="302">
          <cell r="E302" t="str">
            <v>f06</v>
          </cell>
        </row>
        <row r="303">
          <cell r="E303" t="str">
            <v>f06</v>
          </cell>
        </row>
        <row r="304">
          <cell r="E304" t="str">
            <v>f06</v>
          </cell>
        </row>
        <row r="305">
          <cell r="E305" t="str">
            <v>f06</v>
          </cell>
        </row>
        <row r="306">
          <cell r="E306" t="str">
            <v>f06</v>
          </cell>
        </row>
        <row r="307">
          <cell r="E307" t="str">
            <v>f06</v>
          </cell>
        </row>
        <row r="308">
          <cell r="E308" t="str">
            <v>f06</v>
          </cell>
        </row>
        <row r="309">
          <cell r="E309" t="str">
            <v>f06</v>
          </cell>
        </row>
        <row r="310">
          <cell r="E310" t="str">
            <v>i05</v>
          </cell>
        </row>
        <row r="311">
          <cell r="E311" t="str">
            <v>f06</v>
          </cell>
        </row>
        <row r="312">
          <cell r="E312" t="str">
            <v>f06</v>
          </cell>
        </row>
        <row r="313">
          <cell r="E313" t="str">
            <v>i05</v>
          </cell>
        </row>
        <row r="314">
          <cell r="E314" t="str">
            <v>f06</v>
          </cell>
        </row>
        <row r="315">
          <cell r="E315" t="str">
            <v>f03</v>
          </cell>
        </row>
        <row r="316">
          <cell r="E316" t="str">
            <v>f03</v>
          </cell>
        </row>
        <row r="317">
          <cell r="E317" t="str">
            <v>f03</v>
          </cell>
        </row>
        <row r="318">
          <cell r="E318" t="str">
            <v>f06</v>
          </cell>
        </row>
        <row r="320">
          <cell r="D320">
            <v>0</v>
          </cell>
        </row>
        <row r="321">
          <cell r="D321">
            <v>2407661011.4499998</v>
          </cell>
        </row>
        <row r="322">
          <cell r="E322" t="str">
            <v>h01</v>
          </cell>
        </row>
        <row r="323">
          <cell r="E323" t="str">
            <v>h01</v>
          </cell>
        </row>
        <row r="324">
          <cell r="E324" t="str">
            <v>h01</v>
          </cell>
        </row>
        <row r="325">
          <cell r="E325" t="str">
            <v>h03</v>
          </cell>
        </row>
        <row r="327">
          <cell r="D327">
            <v>0</v>
          </cell>
        </row>
        <row r="328">
          <cell r="D328">
            <v>128571406</v>
          </cell>
        </row>
        <row r="329">
          <cell r="E329" t="str">
            <v>g02</v>
          </cell>
        </row>
        <row r="330">
          <cell r="E330" t="str">
            <v>g02</v>
          </cell>
        </row>
        <row r="331">
          <cell r="E331" t="str">
            <v>g02</v>
          </cell>
        </row>
        <row r="333">
          <cell r="D333">
            <v>0</v>
          </cell>
        </row>
        <row r="334">
          <cell r="D334">
            <v>3328080882</v>
          </cell>
        </row>
        <row r="335">
          <cell r="E335" t="str">
            <v>i01</v>
          </cell>
        </row>
        <row r="336">
          <cell r="E336" t="str">
            <v>g05</v>
          </cell>
        </row>
        <row r="337">
          <cell r="E337" t="str">
            <v>g03</v>
          </cell>
        </row>
        <row r="339">
          <cell r="D339">
            <v>0</v>
          </cell>
        </row>
        <row r="342">
          <cell r="D342">
            <v>15842738050</v>
          </cell>
        </row>
        <row r="343">
          <cell r="D343">
            <v>40695414156.739998</v>
          </cell>
        </row>
        <row r="344">
          <cell r="D344">
            <v>208892035</v>
          </cell>
          <cell r="E344" t="str">
            <v>g01</v>
          </cell>
        </row>
        <row r="345">
          <cell r="E345" t="str">
            <v>g01</v>
          </cell>
        </row>
        <row r="346">
          <cell r="D346">
            <v>646828481</v>
          </cell>
          <cell r="E346" t="str">
            <v>g01</v>
          </cell>
        </row>
        <row r="347">
          <cell r="E347" t="str">
            <v>g01</v>
          </cell>
        </row>
        <row r="348">
          <cell r="E348" t="str">
            <v>g01</v>
          </cell>
        </row>
        <row r="349">
          <cell r="E349" t="str">
            <v>g01</v>
          </cell>
        </row>
        <row r="350">
          <cell r="D350">
            <v>29645343227</v>
          </cell>
          <cell r="E350" t="str">
            <v>b01</v>
          </cell>
        </row>
        <row r="351">
          <cell r="D351">
            <v>9994997704</v>
          </cell>
          <cell r="E351" t="str">
            <v>b01</v>
          </cell>
        </row>
        <row r="352">
          <cell r="D352">
            <v>1469988057</v>
          </cell>
          <cell r="E352" t="str">
            <v>b01</v>
          </cell>
        </row>
        <row r="353">
          <cell r="E353" t="str">
            <v>b02</v>
          </cell>
        </row>
        <row r="354">
          <cell r="D354">
            <v>0</v>
          </cell>
          <cell r="E354" t="str">
            <v>b02</v>
          </cell>
        </row>
        <row r="355">
          <cell r="D355">
            <v>7399859217.8400002</v>
          </cell>
          <cell r="E355" t="str">
            <v>b01</v>
          </cell>
        </row>
        <row r="356">
          <cell r="D356">
            <v>137674553.75999999</v>
          </cell>
          <cell r="E356" t="str">
            <v>b01</v>
          </cell>
        </row>
        <row r="357">
          <cell r="D357">
            <v>411103289.88</v>
          </cell>
          <cell r="E357" t="str">
            <v>b01</v>
          </cell>
        </row>
        <row r="358">
          <cell r="D358">
            <v>17937214</v>
          </cell>
          <cell r="E358" t="str">
            <v>g01</v>
          </cell>
        </row>
        <row r="359">
          <cell r="D359">
            <v>143750</v>
          </cell>
          <cell r="E359" t="str">
            <v>g01</v>
          </cell>
        </row>
        <row r="360">
          <cell r="D360">
            <v>95399467</v>
          </cell>
          <cell r="E360" t="str">
            <v>g01</v>
          </cell>
        </row>
        <row r="361">
          <cell r="D361">
            <v>15171080</v>
          </cell>
          <cell r="E361" t="str">
            <v>g01</v>
          </cell>
        </row>
        <row r="362">
          <cell r="D362">
            <v>35769980</v>
          </cell>
          <cell r="E362" t="str">
            <v>i03</v>
          </cell>
        </row>
        <row r="363">
          <cell r="D363">
            <v>0</v>
          </cell>
          <cell r="E363" t="str">
            <v>i03</v>
          </cell>
        </row>
        <row r="364">
          <cell r="D364">
            <v>11645188</v>
          </cell>
          <cell r="E364" t="str">
            <v>g01</v>
          </cell>
        </row>
        <row r="366">
          <cell r="D366">
            <v>50090753244.479996</v>
          </cell>
        </row>
        <row r="367">
          <cell r="D367">
            <v>-49188220058.719994</v>
          </cell>
        </row>
        <row r="368">
          <cell r="D368">
            <v>41377167</v>
          </cell>
          <cell r="E368" t="str">
            <v>c01</v>
          </cell>
        </row>
        <row r="369">
          <cell r="D369">
            <v>8261497</v>
          </cell>
          <cell r="E369" t="str">
            <v>c01</v>
          </cell>
        </row>
        <row r="370">
          <cell r="D370">
            <v>52505874</v>
          </cell>
          <cell r="E370" t="str">
            <v>c01</v>
          </cell>
        </row>
        <row r="371">
          <cell r="D371">
            <v>45349364</v>
          </cell>
          <cell r="E371" t="str">
            <v>c01</v>
          </cell>
        </row>
        <row r="373">
          <cell r="D373">
            <v>147493902</v>
          </cell>
        </row>
        <row r="374">
          <cell r="D374">
            <v>-147493902</v>
          </cell>
        </row>
        <row r="375">
          <cell r="D375">
            <v>10918147</v>
          </cell>
          <cell r="E375" t="str">
            <v>f05</v>
          </cell>
        </row>
        <row r="376">
          <cell r="E376" t="str">
            <v>g01</v>
          </cell>
        </row>
        <row r="377">
          <cell r="E377" t="str">
            <v>g01</v>
          </cell>
        </row>
        <row r="378">
          <cell r="E378" t="str">
            <v>g04</v>
          </cell>
        </row>
        <row r="379">
          <cell r="D379">
            <v>0</v>
          </cell>
          <cell r="E379" t="str">
            <v>e02</v>
          </cell>
        </row>
        <row r="380">
          <cell r="E380" t="str">
            <v>i02</v>
          </cell>
        </row>
        <row r="381">
          <cell r="E381" t="str">
            <v>g04</v>
          </cell>
        </row>
        <row r="382">
          <cell r="E382" t="str">
            <v>g04</v>
          </cell>
        </row>
        <row r="383">
          <cell r="E383" t="str">
            <v>g04</v>
          </cell>
        </row>
        <row r="385">
          <cell r="D385">
            <v>10918147</v>
          </cell>
        </row>
        <row r="386">
          <cell r="D386">
            <v>-10918147</v>
          </cell>
        </row>
        <row r="387">
          <cell r="E387" t="str">
            <v>h03</v>
          </cell>
        </row>
        <row r="388">
          <cell r="E388" t="str">
            <v>h02</v>
          </cell>
        </row>
        <row r="389">
          <cell r="D389">
            <v>4342051</v>
          </cell>
          <cell r="E389" t="str">
            <v>h02</v>
          </cell>
        </row>
        <row r="390">
          <cell r="E390" t="str">
            <v>g06</v>
          </cell>
        </row>
        <row r="392">
          <cell r="D392">
            <v>4342051</v>
          </cell>
        </row>
        <row r="393">
          <cell r="D393">
            <v>-4342051</v>
          </cell>
        </row>
        <row r="394">
          <cell r="D394">
            <v>0</v>
          </cell>
          <cell r="E394" t="str">
            <v>g01</v>
          </cell>
        </row>
        <row r="395">
          <cell r="E395" t="str">
            <v>g01</v>
          </cell>
        </row>
        <row r="396">
          <cell r="E396" t="str">
            <v>f03</v>
          </cell>
        </row>
        <row r="397">
          <cell r="E397" t="str">
            <v>g01</v>
          </cell>
        </row>
        <row r="398">
          <cell r="D398">
            <v>9077451.4499999993</v>
          </cell>
          <cell r="E398" t="str">
            <v>f06</v>
          </cell>
        </row>
        <row r="399">
          <cell r="D399">
            <v>0</v>
          </cell>
        </row>
        <row r="401">
          <cell r="D401">
            <v>9077451.4499999993</v>
          </cell>
        </row>
        <row r="402">
          <cell r="D402">
            <v>-9077451.4499999993</v>
          </cell>
        </row>
        <row r="403">
          <cell r="E403" t="str">
            <v>i02</v>
          </cell>
        </row>
        <row r="404">
          <cell r="D404">
            <v>89000000</v>
          </cell>
          <cell r="E404" t="str">
            <v>g06</v>
          </cell>
        </row>
        <row r="405">
          <cell r="E405" t="str">
            <v>g06</v>
          </cell>
        </row>
        <row r="406">
          <cell r="D406">
            <v>0</v>
          </cell>
          <cell r="E406" t="str">
            <v>i02</v>
          </cell>
        </row>
        <row r="408">
          <cell r="D408">
            <v>89000000</v>
          </cell>
        </row>
        <row r="409">
          <cell r="D409">
            <v>-89000000</v>
          </cell>
        </row>
        <row r="410">
          <cell r="D410">
            <v>50351584795.929993</v>
          </cell>
        </row>
        <row r="411">
          <cell r="D411">
            <v>-49449051610.169991</v>
          </cell>
        </row>
        <row r="412">
          <cell r="E412" t="str">
            <v>i03</v>
          </cell>
        </row>
        <row r="413">
          <cell r="E413" t="str">
            <v>i03</v>
          </cell>
        </row>
        <row r="414">
          <cell r="E414" t="str">
            <v>i03</v>
          </cell>
        </row>
        <row r="415">
          <cell r="E415" t="str">
            <v>i03</v>
          </cell>
        </row>
        <row r="416">
          <cell r="E416" t="str">
            <v>i03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E420" t="str">
            <v>i03</v>
          </cell>
        </row>
        <row r="421">
          <cell r="E421" t="str">
            <v>i03</v>
          </cell>
        </row>
        <row r="422">
          <cell r="E422" t="str">
            <v>i03</v>
          </cell>
        </row>
        <row r="423">
          <cell r="E423" t="str">
            <v>i03</v>
          </cell>
        </row>
        <row r="424">
          <cell r="E424" t="str">
            <v>i03</v>
          </cell>
        </row>
        <row r="425">
          <cell r="E425" t="str">
            <v>i03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0</v>
          </cell>
          <cell r="E429" t="str">
            <v>i06</v>
          </cell>
        </row>
        <row r="430">
          <cell r="D430">
            <v>0</v>
          </cell>
          <cell r="E430" t="str">
            <v>i02</v>
          </cell>
        </row>
        <row r="432">
          <cell r="D432">
            <v>0</v>
          </cell>
        </row>
        <row r="433">
          <cell r="D433">
            <v>2188409363.25</v>
          </cell>
        </row>
        <row r="435">
          <cell r="D435">
            <v>0</v>
          </cell>
        </row>
        <row r="436">
          <cell r="D436">
            <v>2188409363.25</v>
          </cell>
        </row>
        <row r="439">
          <cell r="D439">
            <v>66194322845.929993</v>
          </cell>
        </row>
        <row r="440">
          <cell r="D440">
            <v>-6565228090.1799927</v>
          </cell>
          <cell r="E440" t="str">
            <v>i07</v>
          </cell>
        </row>
        <row r="441">
          <cell r="D441">
            <v>-7.62939453125E-6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Ventes"/>
      <sheetName val="SAISIE VIN"/>
      <sheetName val="DETAIL CANAUX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FAX DCB"/>
      <sheetName val="VTE_C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SAISIE VIN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Dec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Liste documents"/>
      <sheetName val="Titre Résultats"/>
      <sheetName val="XMQ_Cumul."/>
      <sheetName val="XMQ_Mensualisé"/>
      <sheetName val="Tréso"/>
      <sheetName val="TER"/>
      <sheetName val="Synth_Act"/>
      <sheetName val="Marge B14 R2_13"/>
      <sheetName val="MargesPdts"/>
      <sheetName val="Titre Volumes"/>
      <sheetName val="Ventes en Hl "/>
      <sheetName val="Gratuits en Hl "/>
      <sheetName val="Ventes+Gratuits en Hl "/>
      <sheetName val="Ventes en Cols"/>
      <sheetName val="Gratuits en Cols"/>
      <sheetName val="Ventes+Gratuits en Col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Non Renouv. Conv. IS 2015"/>
      <sheetName val="Titre Invest. &amp; Cessions"/>
      <sheetName val="Invest NDJ"/>
      <sheetName val="Invest MDN"/>
      <sheetName val="CAPEX_OPEX IT"/>
      <sheetName val="Cessions"/>
      <sheetName val="Achat_Emb"/>
      <sheetName val="Titre Effectifs"/>
      <sheetName val="Effectifs"/>
      <sheetName val="Masse salariale"/>
      <sheetName val="Titre Production"/>
      <sheetName val="Détail Gratuits"/>
      <sheetName val="TARIF "/>
      <sheetName val="Titre Fiches Produits"/>
      <sheetName val="STOCK MPC BDT Jan à Aout "/>
      <sheetName val="PRMP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3TCO_NDJ"/>
      <sheetName val="FP23TCK_NDJ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J"/>
      <sheetName val="FP21TAN_MND"/>
      <sheetName val="FP21TPA_MND"/>
      <sheetName val="FP91MAT_MND"/>
      <sheetName val="Liste des onglets."/>
      <sheetName val="FP91MUP_MND"/>
      <sheetName val="Liste des ongl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G7">
            <v>0</v>
          </cell>
          <cell r="H7">
            <v>1000</v>
          </cell>
          <cell r="I7">
            <v>5</v>
          </cell>
          <cell r="J7">
            <v>1005</v>
          </cell>
          <cell r="K7">
            <v>0</v>
          </cell>
          <cell r="L7">
            <v>0</v>
          </cell>
          <cell r="M7">
            <v>0</v>
          </cell>
          <cell r="N7">
            <v>1005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G8" t="str">
            <v>OUI</v>
          </cell>
          <cell r="H8">
            <v>54600</v>
          </cell>
          <cell r="I8">
            <v>273</v>
          </cell>
          <cell r="J8">
            <v>54873</v>
          </cell>
          <cell r="K8">
            <v>29400</v>
          </cell>
          <cell r="L8">
            <v>147</v>
          </cell>
          <cell r="M8">
            <v>29547</v>
          </cell>
          <cell r="N8">
            <v>84420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F9" t="str">
            <v>OUI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2000</v>
          </cell>
          <cell r="L9">
            <v>10</v>
          </cell>
          <cell r="M9">
            <v>2010</v>
          </cell>
          <cell r="N9">
            <v>2010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97500</v>
          </cell>
          <cell r="I10">
            <v>487.5</v>
          </cell>
          <cell r="J10">
            <v>97987.5</v>
          </cell>
          <cell r="K10">
            <v>52500</v>
          </cell>
          <cell r="L10">
            <v>262.5</v>
          </cell>
          <cell r="M10">
            <v>52762.5</v>
          </cell>
          <cell r="N10">
            <v>150750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G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298999.99999999994</v>
          </cell>
          <cell r="I12">
            <v>1494.9999999999998</v>
          </cell>
          <cell r="J12">
            <v>300494.99999999994</v>
          </cell>
          <cell r="K12">
            <v>161000</v>
          </cell>
          <cell r="L12">
            <v>805</v>
          </cell>
          <cell r="M12">
            <v>161805</v>
          </cell>
          <cell r="N12">
            <v>462299.99999999994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G13">
            <v>0</v>
          </cell>
          <cell r="H13">
            <v>48000</v>
          </cell>
          <cell r="I13">
            <v>240</v>
          </cell>
          <cell r="J13">
            <v>48240</v>
          </cell>
          <cell r="K13">
            <v>0</v>
          </cell>
          <cell r="L13">
            <v>0</v>
          </cell>
          <cell r="M13">
            <v>0</v>
          </cell>
          <cell r="N13">
            <v>48240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G14">
            <v>0</v>
          </cell>
          <cell r="H14">
            <v>500</v>
          </cell>
          <cell r="I14">
            <v>2.5</v>
          </cell>
          <cell r="J14">
            <v>502.5</v>
          </cell>
          <cell r="K14">
            <v>0</v>
          </cell>
          <cell r="L14">
            <v>0</v>
          </cell>
          <cell r="M14">
            <v>0</v>
          </cell>
          <cell r="N14">
            <v>502.5</v>
          </cell>
        </row>
        <row r="15">
          <cell r="A15" t="str">
            <v>Boissons gazeuses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G16">
            <v>0</v>
          </cell>
          <cell r="H16">
            <v>22500</v>
          </cell>
          <cell r="I16">
            <v>112.5</v>
          </cell>
          <cell r="J16">
            <v>22612.5</v>
          </cell>
          <cell r="K16">
            <v>0</v>
          </cell>
          <cell r="L16">
            <v>0</v>
          </cell>
          <cell r="M16">
            <v>0</v>
          </cell>
          <cell r="N16">
            <v>22612.5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>
            <v>0</v>
          </cell>
          <cell r="H17">
            <v>29000</v>
          </cell>
          <cell r="I17">
            <v>145</v>
          </cell>
          <cell r="J17">
            <v>29145</v>
          </cell>
          <cell r="K17">
            <v>0</v>
          </cell>
          <cell r="L17">
            <v>0</v>
          </cell>
          <cell r="M17">
            <v>0</v>
          </cell>
          <cell r="N17">
            <v>29145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G18">
            <v>0</v>
          </cell>
          <cell r="H18">
            <v>4500</v>
          </cell>
          <cell r="I18">
            <v>22.5</v>
          </cell>
          <cell r="J18">
            <v>4522.5</v>
          </cell>
          <cell r="K18">
            <v>0</v>
          </cell>
          <cell r="L18">
            <v>0</v>
          </cell>
          <cell r="M18">
            <v>0</v>
          </cell>
          <cell r="N18">
            <v>4522.5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G19">
            <v>0</v>
          </cell>
          <cell r="H19">
            <v>2000</v>
          </cell>
          <cell r="I19">
            <v>10</v>
          </cell>
          <cell r="J19">
            <v>2010</v>
          </cell>
          <cell r="K19">
            <v>0</v>
          </cell>
          <cell r="L19">
            <v>0</v>
          </cell>
          <cell r="M19">
            <v>0</v>
          </cell>
          <cell r="N19">
            <v>2010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>
            <v>0</v>
          </cell>
          <cell r="H21">
            <v>23999.999999999996</v>
          </cell>
          <cell r="I21">
            <v>119.99999999999999</v>
          </cell>
          <cell r="J21">
            <v>24119.999999999996</v>
          </cell>
          <cell r="K21">
            <v>0</v>
          </cell>
          <cell r="L21">
            <v>0</v>
          </cell>
          <cell r="M21">
            <v>0</v>
          </cell>
          <cell r="N21">
            <v>24119.999999999996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G22">
            <v>0</v>
          </cell>
          <cell r="H22">
            <v>1200</v>
          </cell>
          <cell r="I22">
            <v>6</v>
          </cell>
          <cell r="J22">
            <v>1206</v>
          </cell>
          <cell r="K22">
            <v>0</v>
          </cell>
          <cell r="L22">
            <v>0</v>
          </cell>
          <cell r="M22">
            <v>0</v>
          </cell>
          <cell r="N22">
            <v>1206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G23">
            <v>0</v>
          </cell>
          <cell r="H23">
            <v>200</v>
          </cell>
          <cell r="I23">
            <v>1</v>
          </cell>
          <cell r="J23">
            <v>201</v>
          </cell>
          <cell r="K23">
            <v>0</v>
          </cell>
          <cell r="L23">
            <v>0</v>
          </cell>
          <cell r="M23">
            <v>0</v>
          </cell>
          <cell r="N23">
            <v>201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G24">
            <v>0</v>
          </cell>
          <cell r="H24">
            <v>2400</v>
          </cell>
          <cell r="I24">
            <v>12</v>
          </cell>
          <cell r="J24">
            <v>2412</v>
          </cell>
          <cell r="K24">
            <v>0</v>
          </cell>
          <cell r="L24">
            <v>0</v>
          </cell>
          <cell r="M24">
            <v>0</v>
          </cell>
          <cell r="N24">
            <v>2412</v>
          </cell>
        </row>
        <row r="25">
          <cell r="A25" t="str">
            <v>P23TCO3312</v>
          </cell>
          <cell r="B25" t="str">
            <v>P23TCO</v>
          </cell>
          <cell r="C25">
            <v>33</v>
          </cell>
          <cell r="D25" t="str">
            <v>12</v>
          </cell>
          <cell r="E25" t="str">
            <v>Top Cola</v>
          </cell>
          <cell r="F25" t="str">
            <v>OUI</v>
          </cell>
          <cell r="G25">
            <v>0</v>
          </cell>
          <cell r="H25">
            <v>13999.999999999996</v>
          </cell>
          <cell r="I25">
            <v>69.999999999999986</v>
          </cell>
          <cell r="J25">
            <v>14069.999999999996</v>
          </cell>
          <cell r="K25">
            <v>0</v>
          </cell>
          <cell r="L25">
            <v>0</v>
          </cell>
          <cell r="M25">
            <v>0</v>
          </cell>
          <cell r="N25">
            <v>14069.999999999996</v>
          </cell>
        </row>
        <row r="26">
          <cell r="A26" t="str">
            <v>P23TCK3312</v>
          </cell>
          <cell r="B26" t="str">
            <v>P23TCK</v>
          </cell>
          <cell r="C26">
            <v>33</v>
          </cell>
          <cell r="D26" t="str">
            <v>12</v>
          </cell>
          <cell r="E26" t="str">
            <v>Top Cocktail</v>
          </cell>
          <cell r="F26" t="str">
            <v>OUI</v>
          </cell>
          <cell r="G26">
            <v>0</v>
          </cell>
          <cell r="H26">
            <v>7599.9999999999982</v>
          </cell>
          <cell r="I26">
            <v>37.999999999999993</v>
          </cell>
          <cell r="J26">
            <v>7637.9999999999982</v>
          </cell>
          <cell r="K26">
            <v>0</v>
          </cell>
          <cell r="L26">
            <v>0</v>
          </cell>
          <cell r="M26">
            <v>0</v>
          </cell>
          <cell r="N26">
            <v>7637.9999999999982</v>
          </cell>
        </row>
        <row r="27">
          <cell r="A27" t="str">
            <v>P23TFR3312</v>
          </cell>
          <cell r="B27" t="str">
            <v>P23TFR</v>
          </cell>
          <cell r="C27">
            <v>33</v>
          </cell>
          <cell r="D27">
            <v>12</v>
          </cell>
          <cell r="E27" t="str">
            <v>Top fruit rouge</v>
          </cell>
          <cell r="F27" t="str">
            <v>OUI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P23TFR5012</v>
          </cell>
          <cell r="B28" t="str">
            <v>P23TFR</v>
          </cell>
          <cell r="C28">
            <v>50</v>
          </cell>
          <cell r="D28">
            <v>12</v>
          </cell>
          <cell r="E28" t="str">
            <v>Top fruit rouge</v>
          </cell>
          <cell r="F28" t="str">
            <v>OUI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P23TFR1506</v>
          </cell>
          <cell r="B29" t="str">
            <v>P23TFR</v>
          </cell>
          <cell r="C29">
            <v>150</v>
          </cell>
          <cell r="D29">
            <v>6</v>
          </cell>
          <cell r="E29" t="str">
            <v>Top fruit rouge</v>
          </cell>
          <cell r="F29" t="str">
            <v>OUI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P23TAN3312</v>
          </cell>
          <cell r="B30" t="str">
            <v>P23TAN</v>
          </cell>
          <cell r="C30">
            <v>33</v>
          </cell>
          <cell r="D30">
            <v>12</v>
          </cell>
          <cell r="E30" t="str">
            <v>Top ana.</v>
          </cell>
          <cell r="F30" t="str">
            <v>OUI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P23TAN5012</v>
          </cell>
          <cell r="B31" t="str">
            <v>P23TAN</v>
          </cell>
          <cell r="C31">
            <v>50</v>
          </cell>
          <cell r="D31">
            <v>12</v>
          </cell>
          <cell r="E31" t="str">
            <v>Top ana.</v>
          </cell>
          <cell r="F31" t="str">
            <v>OUI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P23TAN1506</v>
          </cell>
          <cell r="B32" t="str">
            <v>P23TAN</v>
          </cell>
          <cell r="C32">
            <v>150</v>
          </cell>
          <cell r="D32">
            <v>6</v>
          </cell>
          <cell r="E32" t="str">
            <v>Top ana.</v>
          </cell>
          <cell r="F32" t="str">
            <v>OUI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P23TGR3312</v>
          </cell>
          <cell r="B33" t="str">
            <v>P23TGR</v>
          </cell>
          <cell r="C33">
            <v>33</v>
          </cell>
          <cell r="D33" t="str">
            <v>12</v>
          </cell>
          <cell r="E33" t="str">
            <v>Top grena.</v>
          </cell>
          <cell r="F33" t="str">
            <v>OUI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P23TGR5012</v>
          </cell>
          <cell r="B34" t="str">
            <v>P23TGR</v>
          </cell>
          <cell r="C34" t="str">
            <v>50</v>
          </cell>
          <cell r="D34" t="str">
            <v>12</v>
          </cell>
          <cell r="E34" t="str">
            <v>Top grena.</v>
          </cell>
          <cell r="F34" t="str">
            <v>OUI</v>
          </cell>
          <cell r="G34">
            <v>0</v>
          </cell>
          <cell r="H34">
            <v>8200</v>
          </cell>
          <cell r="I34">
            <v>41</v>
          </cell>
          <cell r="J34">
            <v>8241</v>
          </cell>
          <cell r="K34">
            <v>0</v>
          </cell>
          <cell r="L34">
            <v>0</v>
          </cell>
          <cell r="M34">
            <v>0</v>
          </cell>
          <cell r="N34">
            <v>8241</v>
          </cell>
        </row>
        <row r="35">
          <cell r="A35" t="str">
            <v>P23TGR1506</v>
          </cell>
          <cell r="B35" t="str">
            <v>P23TGR</v>
          </cell>
          <cell r="C35">
            <v>150</v>
          </cell>
          <cell r="D35">
            <v>6</v>
          </cell>
          <cell r="E35" t="str">
            <v>Top grena.</v>
          </cell>
          <cell r="F35" t="str">
            <v>OUI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P23TPA3312</v>
          </cell>
          <cell r="B36" t="str">
            <v>P23TPA</v>
          </cell>
          <cell r="C36">
            <v>33</v>
          </cell>
          <cell r="D36" t="str">
            <v>12</v>
          </cell>
          <cell r="E36" t="str">
            <v>Top pampl.</v>
          </cell>
          <cell r="F36" t="str">
            <v>OUI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P23TPA5012</v>
          </cell>
          <cell r="B37" t="str">
            <v>P23TPA</v>
          </cell>
          <cell r="C37" t="str">
            <v>50</v>
          </cell>
          <cell r="D37" t="str">
            <v>12</v>
          </cell>
          <cell r="E37" t="str">
            <v>Top pampl.</v>
          </cell>
          <cell r="F37" t="str">
            <v>OUI</v>
          </cell>
          <cell r="G37">
            <v>0</v>
          </cell>
          <cell r="H37">
            <v>10000</v>
          </cell>
          <cell r="I37">
            <v>50</v>
          </cell>
          <cell r="J37">
            <v>10050</v>
          </cell>
          <cell r="K37">
            <v>0</v>
          </cell>
          <cell r="L37">
            <v>0</v>
          </cell>
          <cell r="M37">
            <v>0</v>
          </cell>
          <cell r="N37">
            <v>10050</v>
          </cell>
        </row>
        <row r="38">
          <cell r="A38" t="str">
            <v>P23TPA1506</v>
          </cell>
          <cell r="B38" t="str">
            <v>P23TPA</v>
          </cell>
          <cell r="C38">
            <v>150</v>
          </cell>
          <cell r="D38">
            <v>6</v>
          </cell>
          <cell r="E38" t="str">
            <v>Top pampl.</v>
          </cell>
          <cell r="F38" t="str">
            <v>OUI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P21COR3024</v>
          </cell>
          <cell r="B39" t="str">
            <v>P21COR</v>
          </cell>
          <cell r="C39" t="str">
            <v>30</v>
          </cell>
          <cell r="D39" t="str">
            <v>24</v>
          </cell>
          <cell r="E39" t="str">
            <v>Coca</v>
          </cell>
          <cell r="F39" t="str">
            <v>OUI</v>
          </cell>
          <cell r="G39">
            <v>0</v>
          </cell>
          <cell r="H39">
            <v>41500.000000000007</v>
          </cell>
          <cell r="I39">
            <v>207.50000000000003</v>
          </cell>
          <cell r="J39">
            <v>41707.500000000007</v>
          </cell>
          <cell r="K39">
            <v>0</v>
          </cell>
          <cell r="L39">
            <v>0</v>
          </cell>
          <cell r="M39">
            <v>0</v>
          </cell>
          <cell r="N39">
            <v>41707.500000000007</v>
          </cell>
        </row>
        <row r="40">
          <cell r="A40" t="str">
            <v>P21COR6012</v>
          </cell>
          <cell r="B40" t="str">
            <v>P21COR</v>
          </cell>
          <cell r="C40" t="str">
            <v>60</v>
          </cell>
          <cell r="D40" t="str">
            <v>12</v>
          </cell>
          <cell r="E40" t="str">
            <v>Coca</v>
          </cell>
          <cell r="F40" t="str">
            <v>OUI</v>
          </cell>
          <cell r="G40">
            <v>0</v>
          </cell>
          <cell r="H40">
            <v>36000</v>
          </cell>
          <cell r="I40">
            <v>180</v>
          </cell>
          <cell r="J40">
            <v>36180</v>
          </cell>
          <cell r="K40">
            <v>0</v>
          </cell>
          <cell r="L40">
            <v>0</v>
          </cell>
          <cell r="M40">
            <v>0</v>
          </cell>
          <cell r="N40">
            <v>36180</v>
          </cell>
        </row>
        <row r="41">
          <cell r="A41" t="str">
            <v>P21FCK3024</v>
          </cell>
          <cell r="B41" t="str">
            <v>P21FCK</v>
          </cell>
          <cell r="C41" t="str">
            <v>30</v>
          </cell>
          <cell r="D41" t="str">
            <v>24</v>
          </cell>
          <cell r="E41" t="str">
            <v>Fanta cok.</v>
          </cell>
          <cell r="F41" t="str">
            <v>OUI</v>
          </cell>
          <cell r="G41">
            <v>0</v>
          </cell>
          <cell r="H41">
            <v>17200</v>
          </cell>
          <cell r="I41">
            <v>86</v>
          </cell>
          <cell r="J41">
            <v>17286</v>
          </cell>
          <cell r="K41">
            <v>0</v>
          </cell>
          <cell r="L41">
            <v>0</v>
          </cell>
          <cell r="M41">
            <v>0</v>
          </cell>
          <cell r="N41">
            <v>17286</v>
          </cell>
        </row>
        <row r="42">
          <cell r="A42" t="str">
            <v>P21FCK6012</v>
          </cell>
          <cell r="B42" t="str">
            <v>P21FCK</v>
          </cell>
          <cell r="C42">
            <v>60</v>
          </cell>
          <cell r="D42">
            <v>12</v>
          </cell>
          <cell r="E42" t="str">
            <v>Fanta cok.</v>
          </cell>
          <cell r="F42" t="str">
            <v>OUI</v>
          </cell>
          <cell r="G42">
            <v>0</v>
          </cell>
          <cell r="H42">
            <v>11000</v>
          </cell>
          <cell r="I42">
            <v>55</v>
          </cell>
          <cell r="J42">
            <v>11055</v>
          </cell>
          <cell r="K42">
            <v>0</v>
          </cell>
          <cell r="L42">
            <v>0</v>
          </cell>
          <cell r="M42">
            <v>0</v>
          </cell>
          <cell r="N42">
            <v>11055</v>
          </cell>
        </row>
        <row r="43">
          <cell r="A43" t="str">
            <v>P21FOR3024</v>
          </cell>
          <cell r="B43" t="str">
            <v>P21FOR</v>
          </cell>
          <cell r="C43" t="str">
            <v>30</v>
          </cell>
          <cell r="D43" t="str">
            <v>24</v>
          </cell>
          <cell r="E43" t="str">
            <v>Fanta or.</v>
          </cell>
          <cell r="F43" t="str">
            <v>OUI</v>
          </cell>
          <cell r="G43">
            <v>0</v>
          </cell>
          <cell r="H43">
            <v>2400</v>
          </cell>
          <cell r="I43">
            <v>12</v>
          </cell>
          <cell r="J43">
            <v>2412</v>
          </cell>
          <cell r="K43">
            <v>0</v>
          </cell>
          <cell r="L43">
            <v>0</v>
          </cell>
          <cell r="M43">
            <v>0</v>
          </cell>
          <cell r="N43">
            <v>2412</v>
          </cell>
        </row>
        <row r="44">
          <cell r="A44" t="str">
            <v>P21FOR6012</v>
          </cell>
          <cell r="B44" t="str">
            <v>P21FOR</v>
          </cell>
          <cell r="C44" t="str">
            <v>60</v>
          </cell>
          <cell r="D44" t="str">
            <v>12</v>
          </cell>
          <cell r="E44" t="str">
            <v>Fanta or.</v>
          </cell>
          <cell r="F44" t="str">
            <v>OUI</v>
          </cell>
          <cell r="G44">
            <v>0</v>
          </cell>
          <cell r="H44">
            <v>1200</v>
          </cell>
          <cell r="I44">
            <v>6</v>
          </cell>
          <cell r="J44">
            <v>1206</v>
          </cell>
          <cell r="K44">
            <v>0</v>
          </cell>
          <cell r="L44">
            <v>0</v>
          </cell>
          <cell r="M44">
            <v>0</v>
          </cell>
          <cell r="N44">
            <v>1206</v>
          </cell>
        </row>
        <row r="45">
          <cell r="A45" t="str">
            <v>P21SPR3024</v>
          </cell>
          <cell r="B45" t="str">
            <v>P21SPR</v>
          </cell>
          <cell r="C45" t="str">
            <v>30</v>
          </cell>
          <cell r="D45" t="str">
            <v>24</v>
          </cell>
          <cell r="E45" t="str">
            <v>Sprite</v>
          </cell>
          <cell r="F45" t="str">
            <v>OUI</v>
          </cell>
          <cell r="G45">
            <v>0</v>
          </cell>
          <cell r="H45">
            <v>2599.9999999999995</v>
          </cell>
          <cell r="I45">
            <v>12.999999999999998</v>
          </cell>
          <cell r="J45">
            <v>2612.9999999999995</v>
          </cell>
          <cell r="K45">
            <v>0</v>
          </cell>
          <cell r="L45">
            <v>0</v>
          </cell>
          <cell r="M45">
            <v>0</v>
          </cell>
          <cell r="N45">
            <v>2612.9999999999995</v>
          </cell>
        </row>
        <row r="46">
          <cell r="A46" t="str">
            <v>P23COR3312</v>
          </cell>
          <cell r="B46" t="str">
            <v>P23COR</v>
          </cell>
          <cell r="C46">
            <v>33</v>
          </cell>
          <cell r="D46">
            <v>12</v>
          </cell>
          <cell r="E46" t="str">
            <v>Coca</v>
          </cell>
          <cell r="F46" t="str">
            <v>OUI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P23COR5012</v>
          </cell>
          <cell r="B47" t="str">
            <v>P23COR</v>
          </cell>
          <cell r="C47">
            <v>50</v>
          </cell>
          <cell r="D47">
            <v>12</v>
          </cell>
          <cell r="E47" t="str">
            <v>Coca</v>
          </cell>
          <cell r="F47" t="str">
            <v>OUI</v>
          </cell>
          <cell r="G47">
            <v>0</v>
          </cell>
          <cell r="H47">
            <v>30999.999999999996</v>
          </cell>
          <cell r="I47">
            <v>154.99999999999997</v>
          </cell>
          <cell r="J47">
            <v>31154.999999999996</v>
          </cell>
          <cell r="K47">
            <v>0</v>
          </cell>
          <cell r="L47">
            <v>0</v>
          </cell>
          <cell r="M47">
            <v>0</v>
          </cell>
          <cell r="N47">
            <v>31154.999999999996</v>
          </cell>
        </row>
        <row r="48">
          <cell r="A48" t="str">
            <v>P23COR1506</v>
          </cell>
          <cell r="B48" t="str">
            <v>P23COR</v>
          </cell>
          <cell r="C48">
            <v>150</v>
          </cell>
          <cell r="D48">
            <v>6</v>
          </cell>
          <cell r="E48" t="str">
            <v>Coca</v>
          </cell>
          <cell r="F48" t="str">
            <v>OUI</v>
          </cell>
          <cell r="G48">
            <v>0</v>
          </cell>
          <cell r="H48">
            <v>5999.9999999999991</v>
          </cell>
          <cell r="I48">
            <v>29.999999999999996</v>
          </cell>
          <cell r="J48">
            <v>6029.9999999999991</v>
          </cell>
          <cell r="K48">
            <v>0</v>
          </cell>
          <cell r="L48">
            <v>0</v>
          </cell>
          <cell r="M48">
            <v>0</v>
          </cell>
          <cell r="N48">
            <v>6029.9999999999991</v>
          </cell>
        </row>
        <row r="49">
          <cell r="A49" t="str">
            <v>P23FCK3312</v>
          </cell>
          <cell r="B49" t="str">
            <v>P23FCK</v>
          </cell>
          <cell r="C49">
            <v>33</v>
          </cell>
          <cell r="D49">
            <v>12</v>
          </cell>
          <cell r="E49" t="str">
            <v>Fanta cok.</v>
          </cell>
          <cell r="F49" t="str">
            <v>OUI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P23FCK5012</v>
          </cell>
          <cell r="B50" t="str">
            <v>P23FCK</v>
          </cell>
          <cell r="C50">
            <v>50</v>
          </cell>
          <cell r="D50">
            <v>12</v>
          </cell>
          <cell r="E50" t="str">
            <v>Fanta cok.</v>
          </cell>
          <cell r="F50" t="str">
            <v>OUI</v>
          </cell>
          <cell r="G50">
            <v>0</v>
          </cell>
          <cell r="H50">
            <v>13999.999999999996</v>
          </cell>
          <cell r="I50">
            <v>69.999999999999986</v>
          </cell>
          <cell r="J50">
            <v>14069.999999999996</v>
          </cell>
          <cell r="K50">
            <v>0</v>
          </cell>
          <cell r="L50">
            <v>0</v>
          </cell>
          <cell r="M50">
            <v>0</v>
          </cell>
          <cell r="N50">
            <v>14069.999999999996</v>
          </cell>
        </row>
        <row r="51">
          <cell r="A51" t="str">
            <v>P23FCK1506</v>
          </cell>
          <cell r="B51" t="str">
            <v>P23FCK</v>
          </cell>
          <cell r="C51">
            <v>150</v>
          </cell>
          <cell r="D51">
            <v>6</v>
          </cell>
          <cell r="E51" t="str">
            <v>Fanta cok.</v>
          </cell>
          <cell r="F51" t="str">
            <v>OUI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P23FOR3312</v>
          </cell>
          <cell r="B52" t="str">
            <v>P23FOR</v>
          </cell>
          <cell r="C52">
            <v>33</v>
          </cell>
          <cell r="D52">
            <v>12</v>
          </cell>
          <cell r="E52" t="str">
            <v>Fanta or.</v>
          </cell>
          <cell r="F52" t="str">
            <v>OUI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P23FOR5012</v>
          </cell>
          <cell r="B53" t="str">
            <v>P23FOR</v>
          </cell>
          <cell r="C53" t="str">
            <v>50</v>
          </cell>
          <cell r="D53" t="str">
            <v>12</v>
          </cell>
          <cell r="E53" t="str">
            <v>Fanta or.</v>
          </cell>
          <cell r="F53" t="str">
            <v>OUI</v>
          </cell>
          <cell r="G53">
            <v>0</v>
          </cell>
          <cell r="H53">
            <v>5500</v>
          </cell>
          <cell r="I53">
            <v>27.5</v>
          </cell>
          <cell r="J53">
            <v>5527.5</v>
          </cell>
          <cell r="K53">
            <v>0</v>
          </cell>
          <cell r="L53">
            <v>0</v>
          </cell>
          <cell r="M53">
            <v>0</v>
          </cell>
          <cell r="N53">
            <v>5527.5</v>
          </cell>
        </row>
        <row r="54">
          <cell r="A54" t="str">
            <v>P23FOR1506</v>
          </cell>
          <cell r="B54" t="str">
            <v>P23FOR</v>
          </cell>
          <cell r="C54">
            <v>150</v>
          </cell>
          <cell r="D54">
            <v>6</v>
          </cell>
          <cell r="E54" t="str">
            <v>Fanta or.</v>
          </cell>
          <cell r="F54" t="str">
            <v>OUI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P23SPR3312</v>
          </cell>
          <cell r="B55" t="str">
            <v>P23SPR</v>
          </cell>
          <cell r="C55">
            <v>33</v>
          </cell>
          <cell r="D55">
            <v>12</v>
          </cell>
          <cell r="E55" t="str">
            <v>Sprite</v>
          </cell>
          <cell r="F55" t="str">
            <v>OUI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P23SPR5012</v>
          </cell>
          <cell r="B56" t="str">
            <v>P23SPR</v>
          </cell>
          <cell r="C56">
            <v>50</v>
          </cell>
          <cell r="D56">
            <v>12</v>
          </cell>
          <cell r="E56" t="str">
            <v>Sprite</v>
          </cell>
          <cell r="F56" t="str">
            <v>OUI</v>
          </cell>
          <cell r="G56">
            <v>0</v>
          </cell>
          <cell r="H56">
            <v>4000</v>
          </cell>
          <cell r="I56">
            <v>20</v>
          </cell>
          <cell r="J56">
            <v>4020</v>
          </cell>
          <cell r="K56">
            <v>0</v>
          </cell>
          <cell r="L56">
            <v>0</v>
          </cell>
          <cell r="M56">
            <v>0</v>
          </cell>
          <cell r="N56">
            <v>4020</v>
          </cell>
        </row>
        <row r="57">
          <cell r="A57" t="str">
            <v>P23SPR1506</v>
          </cell>
          <cell r="B57" t="str">
            <v>P23SPR</v>
          </cell>
          <cell r="C57">
            <v>150</v>
          </cell>
          <cell r="D57" t="str">
            <v>12</v>
          </cell>
          <cell r="E57" t="str">
            <v>Sprite</v>
          </cell>
          <cell r="F57" t="str">
            <v>OUI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Malt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P91MAL2824</v>
          </cell>
          <cell r="B59" t="str">
            <v>P91MAL</v>
          </cell>
          <cell r="C59" t="str">
            <v>28</v>
          </cell>
          <cell r="D59" t="str">
            <v>24</v>
          </cell>
          <cell r="E59" t="str">
            <v>Maltina</v>
          </cell>
          <cell r="F59" t="str">
            <v>OUI</v>
          </cell>
          <cell r="G59">
            <v>0</v>
          </cell>
          <cell r="H59">
            <v>22000.09</v>
          </cell>
          <cell r="I59">
            <v>110.00045</v>
          </cell>
          <cell r="J59">
            <v>22110.09045</v>
          </cell>
          <cell r="K59">
            <v>0</v>
          </cell>
          <cell r="L59">
            <v>0</v>
          </cell>
          <cell r="M59">
            <v>0</v>
          </cell>
          <cell r="N59">
            <v>22110.09045</v>
          </cell>
        </row>
        <row r="60">
          <cell r="A60" t="str">
            <v>P91MUP2824</v>
          </cell>
          <cell r="B60" t="str">
            <v>P91MUP</v>
          </cell>
          <cell r="C60">
            <v>28</v>
          </cell>
          <cell r="D60">
            <v>24</v>
          </cell>
          <cell r="E60" t="str">
            <v>Malta Panther</v>
          </cell>
          <cell r="F60" t="str">
            <v>OUI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P91MAT2824</v>
          </cell>
          <cell r="B61" t="str">
            <v>P91MAT</v>
          </cell>
          <cell r="C61">
            <v>28</v>
          </cell>
          <cell r="D61">
            <v>24</v>
          </cell>
          <cell r="E61" t="str">
            <v>Malta tonic</v>
          </cell>
          <cell r="F61" t="str">
            <v>OUI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Alcoomix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P41GIT3324</v>
          </cell>
          <cell r="B63" t="str">
            <v>P41GIT</v>
          </cell>
          <cell r="C63">
            <v>33</v>
          </cell>
          <cell r="D63">
            <v>24</v>
          </cell>
          <cell r="E63" t="str">
            <v>Gin Tonic</v>
          </cell>
          <cell r="F63" t="str">
            <v>OUI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P41PIC3324</v>
          </cell>
          <cell r="B64" t="str">
            <v>P41PIC</v>
          </cell>
          <cell r="C64">
            <v>33</v>
          </cell>
          <cell r="D64">
            <v>24</v>
          </cell>
          <cell r="E64" t="str">
            <v>Pina &amp; Vodka</v>
          </cell>
          <cell r="F64" t="str">
            <v>OUI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P41WHC3324</v>
          </cell>
          <cell r="B65" t="str">
            <v>P41WHC</v>
          </cell>
          <cell r="C65">
            <v>33</v>
          </cell>
          <cell r="D65">
            <v>24</v>
          </cell>
          <cell r="E65" t="str">
            <v>Whisky coca</v>
          </cell>
          <cell r="F65" t="str">
            <v>OUI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Eau Cristal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P33CTL5012</v>
          </cell>
          <cell r="B67" t="str">
            <v>P33CTL</v>
          </cell>
          <cell r="C67">
            <v>50</v>
          </cell>
          <cell r="D67">
            <v>12</v>
          </cell>
          <cell r="E67" t="str">
            <v>Cristal 50</v>
          </cell>
          <cell r="F67" t="str">
            <v>OUI</v>
          </cell>
          <cell r="G67">
            <v>0</v>
          </cell>
          <cell r="H67">
            <v>42000.12</v>
          </cell>
          <cell r="I67">
            <v>210.00060000000002</v>
          </cell>
          <cell r="J67">
            <v>42210.120600000002</v>
          </cell>
          <cell r="K67">
            <v>0</v>
          </cell>
          <cell r="L67">
            <v>0</v>
          </cell>
          <cell r="M67">
            <v>0</v>
          </cell>
          <cell r="N67">
            <v>42210.120600000002</v>
          </cell>
        </row>
        <row r="68">
          <cell r="A68" t="str">
            <v>P33EVI7512</v>
          </cell>
          <cell r="B68" t="str">
            <v>P33EVI</v>
          </cell>
          <cell r="C68">
            <v>75</v>
          </cell>
          <cell r="D68">
            <v>12</v>
          </cell>
          <cell r="E68" t="str">
            <v>Eau vive 75</v>
          </cell>
          <cell r="F68" t="str">
            <v>OUI</v>
          </cell>
          <cell r="G68">
            <v>0</v>
          </cell>
          <cell r="H68">
            <v>24000</v>
          </cell>
          <cell r="I68">
            <v>120</v>
          </cell>
          <cell r="J68">
            <v>24120</v>
          </cell>
          <cell r="K68">
            <v>0</v>
          </cell>
          <cell r="L68">
            <v>0</v>
          </cell>
          <cell r="M68">
            <v>0</v>
          </cell>
          <cell r="N68">
            <v>24120</v>
          </cell>
        </row>
        <row r="69">
          <cell r="A69" t="str">
            <v>P33CTL1506</v>
          </cell>
          <cell r="B69" t="str">
            <v>P33CTL</v>
          </cell>
          <cell r="C69">
            <v>150</v>
          </cell>
          <cell r="D69">
            <v>6</v>
          </cell>
          <cell r="E69" t="str">
            <v>Cristal 150</v>
          </cell>
          <cell r="F69" t="str">
            <v>OUI</v>
          </cell>
          <cell r="G69">
            <v>0</v>
          </cell>
          <cell r="H69">
            <v>210000.12000000002</v>
          </cell>
          <cell r="I69">
            <v>1050.0006000000001</v>
          </cell>
          <cell r="J69">
            <v>211050.12060000002</v>
          </cell>
          <cell r="K69">
            <v>0</v>
          </cell>
          <cell r="L69">
            <v>0</v>
          </cell>
          <cell r="M69">
            <v>0</v>
          </cell>
          <cell r="N69">
            <v>211050.12060000002</v>
          </cell>
        </row>
        <row r="70">
          <cell r="A70" t="str">
            <v>P33CTL5001</v>
          </cell>
          <cell r="B70" t="str">
            <v>P33CTL</v>
          </cell>
          <cell r="C70">
            <v>500</v>
          </cell>
          <cell r="D70">
            <v>1</v>
          </cell>
          <cell r="E70" t="str">
            <v>Cristal 500</v>
          </cell>
          <cell r="F70" t="str">
            <v>OUI</v>
          </cell>
          <cell r="G70">
            <v>0</v>
          </cell>
          <cell r="H70">
            <v>36000</v>
          </cell>
          <cell r="I70">
            <v>180</v>
          </cell>
          <cell r="J70">
            <v>36180</v>
          </cell>
          <cell r="K70">
            <v>0</v>
          </cell>
          <cell r="L70">
            <v>0</v>
          </cell>
          <cell r="M70">
            <v>0</v>
          </cell>
          <cell r="N70">
            <v>36180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Publicité"/>
      <sheetName val="Emballages"/>
      <sheetName val="TARIF 2013"/>
      <sheetName val="STOCK MPC BDT Jan à Aout 13"/>
      <sheetName val="PRMP"/>
      <sheetName val="Titre Fiches Produits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"/>
      <sheetName val="FP21TAN_MND"/>
      <sheetName val="FP21TPA_MND"/>
      <sheetName val="FP91MAT_MND"/>
      <sheetName val="FP91MUP_MND"/>
      <sheetName val="Liste des onglet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X10">
            <v>572.16083364167832</v>
          </cell>
        </row>
      </sheetData>
      <sheetData sheetId="10"/>
      <sheetData sheetId="11">
        <row r="6">
          <cell r="S6">
            <v>0.02</v>
          </cell>
        </row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H7">
            <v>1237.3167981961669</v>
          </cell>
          <cell r="I7">
            <v>5.6968127583615189</v>
          </cell>
          <cell r="J7">
            <v>1243.0136109545285</v>
          </cell>
          <cell r="K7">
            <v>12.683201803833146</v>
          </cell>
          <cell r="L7">
            <v>6.3416009019165734E-2</v>
          </cell>
          <cell r="M7">
            <v>12.746617812852312</v>
          </cell>
          <cell r="N7">
            <v>1255.7602287673808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H8">
            <v>67131.868280296068</v>
          </cell>
          <cell r="I8">
            <v>335.99501002890486</v>
          </cell>
          <cell r="J8">
            <v>67467.863290324967</v>
          </cell>
          <cell r="K8">
            <v>37868.131719703932</v>
          </cell>
          <cell r="L8">
            <v>189.34065859851964</v>
          </cell>
          <cell r="M8">
            <v>38057.472378302453</v>
          </cell>
          <cell r="N8">
            <v>105525.33566862742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35</v>
          </cell>
          <cell r="M9">
            <v>7035</v>
          </cell>
          <cell r="N9">
            <v>7035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73467.309266163502</v>
          </cell>
          <cell r="I10">
            <v>367.82222424297532</v>
          </cell>
          <cell r="J10">
            <v>73835.131490406478</v>
          </cell>
          <cell r="K10">
            <v>26532.690733836494</v>
          </cell>
          <cell r="L10">
            <v>132.66345366918247</v>
          </cell>
          <cell r="M10">
            <v>26665.354187505676</v>
          </cell>
          <cell r="N10">
            <v>100500.48567791216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271450.27051426034</v>
          </cell>
          <cell r="I12">
            <v>1356.826807648762</v>
          </cell>
          <cell r="J12">
            <v>272807.0973219091</v>
          </cell>
          <cell r="K12">
            <v>128549.72776459745</v>
          </cell>
          <cell r="L12">
            <v>642.74863882298723</v>
          </cell>
          <cell r="M12">
            <v>129192.47640342044</v>
          </cell>
          <cell r="N12">
            <v>401999.57372532954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H13">
            <v>19755.92868270729</v>
          </cell>
          <cell r="I13">
            <v>98.789041313253733</v>
          </cell>
          <cell r="J13">
            <v>19854.717724020546</v>
          </cell>
          <cell r="K13">
            <v>20244.071317292717</v>
          </cell>
          <cell r="L13">
            <v>101.22035658646355</v>
          </cell>
          <cell r="M13">
            <v>20345.291673879179</v>
          </cell>
          <cell r="N13">
            <v>40200.009397899725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H14">
            <v>600</v>
          </cell>
          <cell r="I14">
            <v>2.7624999999999997</v>
          </cell>
          <cell r="J14">
            <v>602.76250000000005</v>
          </cell>
          <cell r="K14">
            <v>0</v>
          </cell>
          <cell r="L14">
            <v>0</v>
          </cell>
          <cell r="M14">
            <v>0</v>
          </cell>
          <cell r="N14">
            <v>602.76250000000005</v>
          </cell>
        </row>
        <row r="15">
          <cell r="A15" t="str">
            <v>Boissons gazeuses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H16">
            <v>17368.715438886415</v>
          </cell>
          <cell r="I16">
            <v>86.843577194432072</v>
          </cell>
          <cell r="J16">
            <v>17455.559016080846</v>
          </cell>
          <cell r="K16">
            <v>4631.2845611135826</v>
          </cell>
          <cell r="L16">
            <v>23.156422805567914</v>
          </cell>
          <cell r="M16">
            <v>4654.4409839191503</v>
          </cell>
          <cell r="N16">
            <v>22109.999999999996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 t="str">
            <v>OUI</v>
          </cell>
          <cell r="H17">
            <v>16586.457252926361</v>
          </cell>
          <cell r="I17">
            <v>82.932286264631784</v>
          </cell>
          <cell r="J17">
            <v>16669.389539190994</v>
          </cell>
          <cell r="K17">
            <v>15813.542747073639</v>
          </cell>
          <cell r="L17">
            <v>79.067713735368216</v>
          </cell>
          <cell r="M17">
            <v>15892.610460809008</v>
          </cell>
          <cell r="N17">
            <v>32562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H18">
            <v>4811.9942196531783</v>
          </cell>
          <cell r="I18">
            <v>24.059971098265898</v>
          </cell>
          <cell r="J18">
            <v>4836.0541907514444</v>
          </cell>
          <cell r="K18">
            <v>1888.0057803468205</v>
          </cell>
          <cell r="L18">
            <v>9.4400289017341024</v>
          </cell>
          <cell r="M18">
            <v>1897.4458092485547</v>
          </cell>
          <cell r="N18">
            <v>6733.4999999999991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H19">
            <v>2585.5491329479769</v>
          </cell>
          <cell r="I19">
            <v>12.927745664739884</v>
          </cell>
          <cell r="J19">
            <v>2598.476878612717</v>
          </cell>
          <cell r="K19">
            <v>1014.4508670520229</v>
          </cell>
          <cell r="L19">
            <v>5.0722543352601157</v>
          </cell>
          <cell r="M19">
            <v>1019.523121387283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 t="str">
            <v>OUI</v>
          </cell>
          <cell r="H21">
            <v>14583.406113537119</v>
          </cell>
          <cell r="I21">
            <v>72.917030567685572</v>
          </cell>
          <cell r="J21">
            <v>14656.323144104805</v>
          </cell>
          <cell r="K21">
            <v>1416.5938864628824</v>
          </cell>
          <cell r="L21">
            <v>7.0829694323144121</v>
          </cell>
          <cell r="M21">
            <v>1423.6768558951969</v>
          </cell>
          <cell r="N21">
            <v>16080.000000000002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H22">
            <v>1277.7777777777778</v>
          </cell>
          <cell r="I22">
            <v>6.3888888888888893</v>
          </cell>
          <cell r="J22">
            <v>1284.1666666666667</v>
          </cell>
          <cell r="K22">
            <v>222.22222222222223</v>
          </cell>
          <cell r="L22">
            <v>1.1111111111111112</v>
          </cell>
          <cell r="M22">
            <v>223.33333333333334</v>
          </cell>
          <cell r="N22">
            <v>1507.5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H23">
            <v>130.37383177570092</v>
          </cell>
          <cell r="I23">
            <v>0.65484534935469507</v>
          </cell>
          <cell r="J23">
            <v>131.02867712505562</v>
          </cell>
          <cell r="K23">
            <v>19.626168224299064</v>
          </cell>
          <cell r="L23">
            <v>9.813084112149531E-2</v>
          </cell>
          <cell r="M23">
            <v>19.72429906542056</v>
          </cell>
          <cell r="N23">
            <v>150.75297619047618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H24">
            <v>2827.6457883369326</v>
          </cell>
          <cell r="I24">
            <v>14.141205132160856</v>
          </cell>
          <cell r="J24">
            <v>2841.7869934690934</v>
          </cell>
          <cell r="K24">
            <v>172.35421166306696</v>
          </cell>
          <cell r="L24">
            <v>0.86177105831533474</v>
          </cell>
          <cell r="M24">
            <v>173.21598272138229</v>
          </cell>
        </row>
        <row r="25">
          <cell r="A25" t="str">
            <v>P23TFR3312</v>
          </cell>
          <cell r="B25" t="str">
            <v>P23TFR</v>
          </cell>
          <cell r="C25">
            <v>33</v>
          </cell>
          <cell r="D25">
            <v>12</v>
          </cell>
          <cell r="E25" t="str">
            <v>Top fruit rouge</v>
          </cell>
          <cell r="F25" t="str">
            <v>OUI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P23TFR5012</v>
          </cell>
          <cell r="B26" t="str">
            <v>P23TFR</v>
          </cell>
          <cell r="C26">
            <v>50</v>
          </cell>
          <cell r="D26">
            <v>12</v>
          </cell>
          <cell r="E26" t="str">
            <v>Top fruit rouge</v>
          </cell>
          <cell r="F26" t="str">
            <v>OUI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P23TFR1506</v>
          </cell>
          <cell r="B27" t="str">
            <v>P23TFR</v>
          </cell>
          <cell r="C27">
            <v>150</v>
          </cell>
          <cell r="D27">
            <v>6</v>
          </cell>
          <cell r="E27" t="str">
            <v>Top fruit rouge</v>
          </cell>
          <cell r="F27" t="str">
            <v>OUI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P23TAN3312</v>
          </cell>
          <cell r="B28" t="str">
            <v>P23TAN</v>
          </cell>
          <cell r="C28">
            <v>33</v>
          </cell>
          <cell r="D28">
            <v>12</v>
          </cell>
          <cell r="E28" t="str">
            <v>Top ana.</v>
          </cell>
          <cell r="F28" t="str">
            <v>OUI</v>
          </cell>
          <cell r="H28">
            <v>0</v>
          </cell>
          <cell r="I28">
            <v>2.976190476190476E-3</v>
          </cell>
          <cell r="J28">
            <v>2.976190476190476E-3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P23TAN5012</v>
          </cell>
          <cell r="B29" t="str">
            <v>P23TAN</v>
          </cell>
          <cell r="C29">
            <v>50</v>
          </cell>
          <cell r="D29">
            <v>12</v>
          </cell>
          <cell r="E29" t="str">
            <v>Top ana.</v>
          </cell>
          <cell r="F29" t="str">
            <v>OUI</v>
          </cell>
          <cell r="H29">
            <v>3000</v>
          </cell>
          <cell r="I29">
            <v>15.00297619047619</v>
          </cell>
          <cell r="J29">
            <v>3015.0029761904761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P23TAN1506</v>
          </cell>
          <cell r="B30" t="str">
            <v>P23TAN</v>
          </cell>
          <cell r="C30">
            <v>150</v>
          </cell>
          <cell r="D30">
            <v>6</v>
          </cell>
          <cell r="E30" t="str">
            <v>Top ana.</v>
          </cell>
          <cell r="F30" t="str">
            <v>OUI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P23TGR3312</v>
          </cell>
          <cell r="B31" t="str">
            <v>P23TGR</v>
          </cell>
          <cell r="C31">
            <v>33</v>
          </cell>
          <cell r="D31" t="str">
            <v>12</v>
          </cell>
          <cell r="E31" t="str">
            <v>Top grena.</v>
          </cell>
          <cell r="F31" t="str">
            <v>OUI</v>
          </cell>
          <cell r="H31">
            <v>0</v>
          </cell>
          <cell r="I31">
            <v>2.976190476190476E-3</v>
          </cell>
          <cell r="J31">
            <v>2.976190476190476E-3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P23TGR5012</v>
          </cell>
          <cell r="B32" t="str">
            <v>P23TGR</v>
          </cell>
          <cell r="C32" t="str">
            <v>50</v>
          </cell>
          <cell r="D32" t="str">
            <v>12</v>
          </cell>
          <cell r="E32" t="str">
            <v>Top grena.</v>
          </cell>
          <cell r="F32" t="str">
            <v>OUI</v>
          </cell>
          <cell r="H32">
            <v>5920.7054388799143</v>
          </cell>
          <cell r="I32">
            <v>29.606503384875765</v>
          </cell>
          <cell r="J32">
            <v>5950.3119422647896</v>
          </cell>
          <cell r="K32">
            <v>579.2945611200862</v>
          </cell>
          <cell r="L32">
            <v>2.8964728056004314</v>
          </cell>
          <cell r="M32">
            <v>582.19103392568661</v>
          </cell>
          <cell r="N32">
            <v>6532.5029761904761</v>
          </cell>
        </row>
        <row r="33">
          <cell r="A33" t="str">
            <v>P23TGR1506</v>
          </cell>
          <cell r="B33" t="str">
            <v>P23TGR</v>
          </cell>
          <cell r="C33">
            <v>150</v>
          </cell>
          <cell r="D33">
            <v>6</v>
          </cell>
          <cell r="E33" t="str">
            <v>Top grena.</v>
          </cell>
          <cell r="F33" t="str">
            <v>OUI</v>
          </cell>
          <cell r="H33">
            <v>0</v>
          </cell>
          <cell r="I33">
            <v>2.976190476190476E-3</v>
          </cell>
          <cell r="J33">
            <v>2.976190476190476E-3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P23TPA3312</v>
          </cell>
          <cell r="B34" t="str">
            <v>P23TPA</v>
          </cell>
          <cell r="C34">
            <v>33</v>
          </cell>
          <cell r="D34" t="str">
            <v>12</v>
          </cell>
          <cell r="E34" t="str">
            <v>Top pampl.</v>
          </cell>
          <cell r="F34" t="str">
            <v>OUI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P23TPA5012</v>
          </cell>
          <cell r="B35" t="str">
            <v>P23TPA</v>
          </cell>
          <cell r="C35" t="str">
            <v>50</v>
          </cell>
          <cell r="D35" t="str">
            <v>12</v>
          </cell>
          <cell r="E35" t="str">
            <v>Top pampl.</v>
          </cell>
          <cell r="F35" t="str">
            <v>OUI</v>
          </cell>
          <cell r="H35">
            <v>6115.2039090396556</v>
          </cell>
          <cell r="I35">
            <v>30.578995735674464</v>
          </cell>
          <cell r="J35">
            <v>6145.7829047753303</v>
          </cell>
          <cell r="K35">
            <v>384.79609096034574</v>
          </cell>
          <cell r="L35">
            <v>1.923980454801729</v>
          </cell>
          <cell r="M35">
            <v>386.72007141514746</v>
          </cell>
          <cell r="N35">
            <v>6532.502976190478</v>
          </cell>
        </row>
        <row r="36">
          <cell r="A36" t="str">
            <v>P23TPA1506</v>
          </cell>
          <cell r="B36" t="str">
            <v>P23TPA</v>
          </cell>
          <cell r="C36">
            <v>150</v>
          </cell>
          <cell r="D36">
            <v>6</v>
          </cell>
          <cell r="E36" t="str">
            <v>Top pampl.</v>
          </cell>
          <cell r="F36" t="str">
            <v>OUI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P21COR3024</v>
          </cell>
          <cell r="B37" t="str">
            <v>P21COR</v>
          </cell>
          <cell r="C37" t="str">
            <v>30</v>
          </cell>
          <cell r="D37" t="str">
            <v>24</v>
          </cell>
          <cell r="E37" t="str">
            <v>Coca</v>
          </cell>
          <cell r="F37" t="str">
            <v>OUI</v>
          </cell>
          <cell r="H37">
            <v>41221.328135876378</v>
          </cell>
          <cell r="I37">
            <v>206.10664067938185</v>
          </cell>
          <cell r="J37">
            <v>41427.434776555761</v>
          </cell>
          <cell r="K37">
            <v>12778.671864123626</v>
          </cell>
          <cell r="L37">
            <v>63.893359320618131</v>
          </cell>
          <cell r="M37">
            <v>12842.565223444244</v>
          </cell>
          <cell r="N37">
            <v>54270.000000000007</v>
          </cell>
        </row>
        <row r="38">
          <cell r="A38" t="str">
            <v>P21COR6012</v>
          </cell>
          <cell r="B38" t="str">
            <v>P21COR</v>
          </cell>
          <cell r="C38" t="str">
            <v>60</v>
          </cell>
          <cell r="D38" t="str">
            <v>12</v>
          </cell>
          <cell r="E38" t="str">
            <v>Coca</v>
          </cell>
          <cell r="F38" t="str">
            <v>OUI</v>
          </cell>
          <cell r="H38">
            <v>16412.870159453305</v>
          </cell>
          <cell r="I38">
            <v>82.064350797266513</v>
          </cell>
          <cell r="J38">
            <v>16494.934510250572</v>
          </cell>
          <cell r="K38">
            <v>19587.129840546699</v>
          </cell>
          <cell r="L38">
            <v>97.935649202733487</v>
          </cell>
          <cell r="M38">
            <v>19685.065489749431</v>
          </cell>
          <cell r="N38">
            <v>36180</v>
          </cell>
        </row>
        <row r="39">
          <cell r="A39" t="str">
            <v>P21FCK3024</v>
          </cell>
          <cell r="B39" t="str">
            <v>P21FCK</v>
          </cell>
          <cell r="C39" t="str">
            <v>30</v>
          </cell>
          <cell r="D39" t="str">
            <v>24</v>
          </cell>
          <cell r="E39" t="str">
            <v>Fanta cok.</v>
          </cell>
          <cell r="F39" t="str">
            <v>OUI</v>
          </cell>
          <cell r="H39">
            <v>12156.068118128904</v>
          </cell>
          <cell r="I39">
            <v>60.780340590644542</v>
          </cell>
          <cell r="J39">
            <v>12216.848458719549</v>
          </cell>
          <cell r="K39">
            <v>1843.9318818710926</v>
          </cell>
          <cell r="L39">
            <v>9.2196594093554651</v>
          </cell>
          <cell r="M39">
            <v>1853.1515412804481</v>
          </cell>
          <cell r="N39">
            <v>14069.999999999996</v>
          </cell>
        </row>
        <row r="40">
          <cell r="A40" t="str">
            <v>P21FCK6012</v>
          </cell>
          <cell r="B40" t="str">
            <v>P21FCK</v>
          </cell>
          <cell r="C40">
            <v>60</v>
          </cell>
          <cell r="D40">
            <v>12</v>
          </cell>
          <cell r="E40" t="str">
            <v>Fanta cok.</v>
          </cell>
          <cell r="F40" t="str">
            <v>OUI</v>
          </cell>
          <cell r="H40">
            <v>4579.8969072164955</v>
          </cell>
          <cell r="I40">
            <v>22.899484536082475</v>
          </cell>
          <cell r="J40">
            <v>4602.7963917525776</v>
          </cell>
          <cell r="K40">
            <v>1420.1030927835054</v>
          </cell>
          <cell r="L40">
            <v>7.1005154639175254</v>
          </cell>
          <cell r="M40">
            <v>1427.2036082474228</v>
          </cell>
        </row>
        <row r="41">
          <cell r="A41" t="str">
            <v>P21FOR3024</v>
          </cell>
          <cell r="B41" t="str">
            <v>P21FOR</v>
          </cell>
          <cell r="C41" t="str">
            <v>30</v>
          </cell>
          <cell r="D41" t="str">
            <v>24</v>
          </cell>
          <cell r="E41" t="str">
            <v>Fanta or.</v>
          </cell>
          <cell r="F41" t="str">
            <v>OUI</v>
          </cell>
          <cell r="H41">
            <v>3934.3910806174963</v>
          </cell>
          <cell r="I41">
            <v>19.67195540308748</v>
          </cell>
          <cell r="J41">
            <v>3954.0630360205837</v>
          </cell>
          <cell r="K41">
            <v>1065.6089193825044</v>
          </cell>
          <cell r="L41">
            <v>5.3280445969125232</v>
          </cell>
          <cell r="M41">
            <v>1070.936963979417</v>
          </cell>
          <cell r="N41">
            <v>5025.0000000000009</v>
          </cell>
        </row>
        <row r="42">
          <cell r="A42" t="str">
            <v>P21FOR6012</v>
          </cell>
          <cell r="B42" t="str">
            <v>P21FOR</v>
          </cell>
          <cell r="C42" t="str">
            <v>60</v>
          </cell>
          <cell r="D42" t="str">
            <v>12</v>
          </cell>
          <cell r="E42" t="str">
            <v>Fanta or.</v>
          </cell>
          <cell r="F42" t="str">
            <v>OUI</v>
          </cell>
          <cell r="H42">
            <v>839.31078493937446</v>
          </cell>
          <cell r="I42">
            <v>4.1965539246968735</v>
          </cell>
          <cell r="J42">
            <v>843.50733886407136</v>
          </cell>
          <cell r="K42">
            <v>360.68921506062543</v>
          </cell>
          <cell r="L42">
            <v>1.8034460753031274</v>
          </cell>
          <cell r="M42">
            <v>362.49266113592853</v>
          </cell>
          <cell r="N42">
            <v>1206</v>
          </cell>
        </row>
        <row r="43">
          <cell r="A43" t="str">
            <v>P21SPR3024</v>
          </cell>
          <cell r="B43" t="str">
            <v>P21SPR</v>
          </cell>
          <cell r="C43" t="str">
            <v>30</v>
          </cell>
          <cell r="D43" t="str">
            <v>24</v>
          </cell>
          <cell r="E43" t="str">
            <v>Sprite</v>
          </cell>
          <cell r="F43" t="str">
            <v>OUI</v>
          </cell>
          <cell r="H43">
            <v>1994.8387096774195</v>
          </cell>
          <cell r="I43">
            <v>9.9741935483870989</v>
          </cell>
          <cell r="J43">
            <v>2004.8129032258066</v>
          </cell>
          <cell r="K43">
            <v>205.16129032258061</v>
          </cell>
          <cell r="L43">
            <v>1.0258064516129031</v>
          </cell>
          <cell r="M43">
            <v>206.18709677419352</v>
          </cell>
          <cell r="N43">
            <v>2211</v>
          </cell>
        </row>
        <row r="44">
          <cell r="A44" t="str">
            <v>P23COR3312</v>
          </cell>
          <cell r="B44" t="str">
            <v>P23COR</v>
          </cell>
          <cell r="C44">
            <v>33</v>
          </cell>
          <cell r="D44">
            <v>12</v>
          </cell>
          <cell r="E44" t="str">
            <v>Coca</v>
          </cell>
          <cell r="F44" t="str">
            <v>OUI</v>
          </cell>
          <cell r="H44">
            <v>5454.5454545454559</v>
          </cell>
          <cell r="I44">
            <v>27.272727272727273</v>
          </cell>
          <cell r="J44">
            <v>5481.8181818181829</v>
          </cell>
          <cell r="K44">
            <v>4545.454545454546</v>
          </cell>
          <cell r="L44">
            <v>22.727272727272727</v>
          </cell>
          <cell r="M44">
            <v>4568.1818181818189</v>
          </cell>
        </row>
        <row r="45">
          <cell r="A45" t="str">
            <v>P23COR5012</v>
          </cell>
          <cell r="B45" t="str">
            <v>P23COR</v>
          </cell>
          <cell r="C45">
            <v>50</v>
          </cell>
          <cell r="D45">
            <v>12</v>
          </cell>
          <cell r="E45" t="str">
            <v>Coca</v>
          </cell>
          <cell r="F45" t="str">
            <v>OUI</v>
          </cell>
          <cell r="H45">
            <v>13950.921487882264</v>
          </cell>
          <cell r="I45">
            <v>69.75460743941133</v>
          </cell>
          <cell r="J45">
            <v>14020.676095321676</v>
          </cell>
          <cell r="K45">
            <v>1049.0785121177344</v>
          </cell>
          <cell r="L45">
            <v>5.2453925605886722</v>
          </cell>
          <cell r="M45">
            <v>1054.3239046783231</v>
          </cell>
          <cell r="N45">
            <v>15075</v>
          </cell>
        </row>
        <row r="46">
          <cell r="A46" t="str">
            <v>P23COR1506</v>
          </cell>
          <cell r="B46" t="str">
            <v>P23COR</v>
          </cell>
          <cell r="C46">
            <v>150</v>
          </cell>
          <cell r="D46">
            <v>6</v>
          </cell>
          <cell r="E46" t="str">
            <v>Coca</v>
          </cell>
          <cell r="F46" t="str">
            <v>OUI</v>
          </cell>
          <cell r="H46">
            <v>1272.6036709721279</v>
          </cell>
          <cell r="I46">
            <v>6.3630183548606389</v>
          </cell>
          <cell r="J46">
            <v>1278.9666893269887</v>
          </cell>
          <cell r="K46">
            <v>1727.3963290278721</v>
          </cell>
          <cell r="L46">
            <v>8.6369816451393611</v>
          </cell>
          <cell r="M46">
            <v>1736.0333106730113</v>
          </cell>
          <cell r="N46">
            <v>3015</v>
          </cell>
        </row>
        <row r="47">
          <cell r="A47" t="str">
            <v>P23FCK3312</v>
          </cell>
          <cell r="B47" t="str">
            <v>P23FCK</v>
          </cell>
          <cell r="C47">
            <v>33</v>
          </cell>
          <cell r="D47">
            <v>12</v>
          </cell>
          <cell r="E47" t="str">
            <v>Fanta cok.</v>
          </cell>
          <cell r="F47" t="str">
            <v>OUI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P23FC5012</v>
          </cell>
          <cell r="B48" t="str">
            <v>P23FCK</v>
          </cell>
          <cell r="C48">
            <v>50</v>
          </cell>
          <cell r="D48">
            <v>12</v>
          </cell>
          <cell r="E48" t="str">
            <v>Fanta cok.</v>
          </cell>
          <cell r="F48" t="str">
            <v>OUI</v>
          </cell>
          <cell r="H48">
            <v>4937.7224199288257</v>
          </cell>
          <cell r="I48">
            <v>24.688612099644129</v>
          </cell>
          <cell r="J48">
            <v>4962.4110320284699</v>
          </cell>
          <cell r="K48">
            <v>62.277580071174377</v>
          </cell>
          <cell r="L48">
            <v>0.31138790035587188</v>
          </cell>
          <cell r="M48">
            <v>62.588967971530252</v>
          </cell>
        </row>
        <row r="49">
          <cell r="A49" t="str">
            <v>P23FCK1506</v>
          </cell>
          <cell r="B49" t="str">
            <v>P23FCK</v>
          </cell>
          <cell r="C49">
            <v>150</v>
          </cell>
          <cell r="D49">
            <v>6</v>
          </cell>
          <cell r="E49" t="str">
            <v>Fanta cok.</v>
          </cell>
          <cell r="F49" t="str">
            <v>OUI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P23FOR3312</v>
          </cell>
          <cell r="B50" t="str">
            <v>P23FOR</v>
          </cell>
          <cell r="C50">
            <v>33</v>
          </cell>
          <cell r="D50">
            <v>12</v>
          </cell>
          <cell r="E50" t="str">
            <v>Fanta or.</v>
          </cell>
          <cell r="F50" t="str">
            <v>OUI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>P23FOR5012</v>
          </cell>
          <cell r="B51" t="str">
            <v>P23FOR</v>
          </cell>
          <cell r="C51" t="str">
            <v>50</v>
          </cell>
          <cell r="D51" t="str">
            <v>12</v>
          </cell>
          <cell r="E51" t="str">
            <v>Fanta or.</v>
          </cell>
          <cell r="F51" t="str">
            <v>OUI</v>
          </cell>
          <cell r="H51">
            <v>4688.3245382585765</v>
          </cell>
          <cell r="I51">
            <v>23.441622691292881</v>
          </cell>
          <cell r="J51">
            <v>4711.7661609498691</v>
          </cell>
          <cell r="K51">
            <v>311.67546174142484</v>
          </cell>
          <cell r="L51">
            <v>1.5583773087071242</v>
          </cell>
          <cell r="M51">
            <v>313.23383905013196</v>
          </cell>
          <cell r="N51">
            <v>5025.0000000000009</v>
          </cell>
        </row>
        <row r="52">
          <cell r="A52" t="str">
            <v>P23FOR1506</v>
          </cell>
          <cell r="B52" t="str">
            <v>P23FOR</v>
          </cell>
          <cell r="C52">
            <v>150</v>
          </cell>
          <cell r="D52">
            <v>6</v>
          </cell>
          <cell r="E52" t="str">
            <v>Fanta or.</v>
          </cell>
          <cell r="F52" t="str">
            <v>OUI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 t="str">
            <v>P23SPR3312</v>
          </cell>
          <cell r="B53" t="str">
            <v>P23SPR</v>
          </cell>
          <cell r="C53">
            <v>33</v>
          </cell>
          <cell r="D53">
            <v>12</v>
          </cell>
          <cell r="E53" t="str">
            <v>Sprite</v>
          </cell>
          <cell r="F53" t="str">
            <v>OUI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 t="str">
            <v>P23SPR5012</v>
          </cell>
          <cell r="B54" t="str">
            <v>P23SPR</v>
          </cell>
          <cell r="C54">
            <v>50</v>
          </cell>
          <cell r="D54">
            <v>12</v>
          </cell>
          <cell r="E54" t="str">
            <v>Sprite</v>
          </cell>
          <cell r="F54" t="str">
            <v>OUI</v>
          </cell>
          <cell r="H54">
            <v>2818.6577820085677</v>
          </cell>
          <cell r="I54">
            <v>13.801404093288909</v>
          </cell>
          <cell r="J54">
            <v>2832.4591861018566</v>
          </cell>
          <cell r="K54">
            <v>181.34221799143265</v>
          </cell>
          <cell r="L54">
            <v>0.90671108995716321</v>
          </cell>
          <cell r="M54">
            <v>182.2489290813898</v>
          </cell>
        </row>
        <row r="55">
          <cell r="A55" t="str">
            <v>P23SPR1506</v>
          </cell>
          <cell r="B55" t="str">
            <v>P23SPR</v>
          </cell>
          <cell r="C55">
            <v>150</v>
          </cell>
          <cell r="D55" t="str">
            <v>12</v>
          </cell>
          <cell r="E55" t="str">
            <v>Sprite</v>
          </cell>
          <cell r="F55" t="str">
            <v>OUI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Malt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 t="str">
            <v>P91MAL2824</v>
          </cell>
          <cell r="B57" t="str">
            <v>P91MAL</v>
          </cell>
          <cell r="C57" t="str">
            <v>28</v>
          </cell>
          <cell r="D57" t="str">
            <v>24</v>
          </cell>
          <cell r="E57" t="str">
            <v>Maltina</v>
          </cell>
          <cell r="F57" t="str">
            <v>OUI</v>
          </cell>
          <cell r="G57" t="str">
            <v>OUI</v>
          </cell>
          <cell r="H57">
            <v>12076</v>
          </cell>
          <cell r="I57">
            <v>56</v>
          </cell>
          <cell r="J57">
            <v>12132</v>
          </cell>
          <cell r="K57">
            <v>5924</v>
          </cell>
          <cell r="L57">
            <v>30</v>
          </cell>
          <cell r="M57">
            <v>5954</v>
          </cell>
          <cell r="N57">
            <v>18086</v>
          </cell>
        </row>
        <row r="58">
          <cell r="A58" t="str">
            <v>P91MUP2824</v>
          </cell>
          <cell r="B58" t="str">
            <v>P91MUP</v>
          </cell>
          <cell r="C58">
            <v>28</v>
          </cell>
          <cell r="D58">
            <v>24</v>
          </cell>
          <cell r="E58" t="str">
            <v>Malta Panther</v>
          </cell>
          <cell r="F58" t="str">
            <v>OUI</v>
          </cell>
          <cell r="G58" t="str">
            <v>OUI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P91MAT2824</v>
          </cell>
          <cell r="B59" t="str">
            <v>P91MAT</v>
          </cell>
          <cell r="C59">
            <v>28</v>
          </cell>
          <cell r="D59">
            <v>24</v>
          </cell>
          <cell r="E59" t="str">
            <v>Malta tonic</v>
          </cell>
          <cell r="F59" t="str">
            <v>OUI</v>
          </cell>
          <cell r="G59" t="str">
            <v>OUI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Alcoomix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P41GIT3324</v>
          </cell>
          <cell r="B61" t="str">
            <v>P41GIT</v>
          </cell>
          <cell r="C61">
            <v>33</v>
          </cell>
          <cell r="D61">
            <v>24</v>
          </cell>
          <cell r="E61" t="str">
            <v>Gin Tonic</v>
          </cell>
          <cell r="F61" t="str">
            <v>OUI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P41PIC3324</v>
          </cell>
          <cell r="B62" t="str">
            <v>P41PIC</v>
          </cell>
          <cell r="C62">
            <v>33</v>
          </cell>
          <cell r="D62">
            <v>24</v>
          </cell>
          <cell r="E62" t="str">
            <v>Pina &amp; Vodka</v>
          </cell>
          <cell r="F62" t="str">
            <v>OUI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P41WHC3324</v>
          </cell>
          <cell r="B63" t="str">
            <v>P41WHC</v>
          </cell>
          <cell r="C63">
            <v>33</v>
          </cell>
          <cell r="D63">
            <v>24</v>
          </cell>
          <cell r="E63" t="str">
            <v>Whisky coca</v>
          </cell>
          <cell r="F63" t="str">
            <v>OUI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Eau Cristal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P33CTL5012</v>
          </cell>
          <cell r="B65" t="str">
            <v>P33CTL</v>
          </cell>
          <cell r="C65">
            <v>50</v>
          </cell>
          <cell r="D65">
            <v>12</v>
          </cell>
          <cell r="E65" t="str">
            <v>Cristal 50</v>
          </cell>
          <cell r="F65" t="str">
            <v>OUI</v>
          </cell>
          <cell r="H65">
            <v>21281.223497820672</v>
          </cell>
          <cell r="I65">
            <v>106.10371264009963</v>
          </cell>
          <cell r="J65">
            <v>21387.327210460771</v>
          </cell>
          <cell r="K65">
            <v>1219.5632004981321</v>
          </cell>
          <cell r="L65">
            <v>2.9148505603985058</v>
          </cell>
          <cell r="M65">
            <v>1222.4780510585306</v>
          </cell>
          <cell r="N65">
            <v>22609.805261519301</v>
          </cell>
        </row>
        <row r="66">
          <cell r="A66" t="str">
            <v>P33EVI7512</v>
          </cell>
          <cell r="B66" t="str">
            <v>P33EVI</v>
          </cell>
          <cell r="C66">
            <v>75</v>
          </cell>
          <cell r="D66">
            <v>12</v>
          </cell>
          <cell r="E66" t="str">
            <v>Eau vive 75</v>
          </cell>
          <cell r="F66" t="str">
            <v>OUI</v>
          </cell>
          <cell r="H66">
            <v>22499.75</v>
          </cell>
          <cell r="I66">
            <v>113.8125</v>
          </cell>
          <cell r="J66">
            <v>22613.5625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P33CTL1506</v>
          </cell>
          <cell r="B67" t="str">
            <v>P33CTL</v>
          </cell>
          <cell r="C67">
            <v>150</v>
          </cell>
          <cell r="D67" t="str">
            <v>12</v>
          </cell>
          <cell r="E67" t="str">
            <v>Cristal 150</v>
          </cell>
          <cell r="F67" t="str">
            <v>OUI</v>
          </cell>
          <cell r="H67">
            <v>165278.38613828615</v>
          </cell>
          <cell r="I67">
            <v>827.57693790617418</v>
          </cell>
          <cell r="J67">
            <v>166105.96307619233</v>
          </cell>
          <cell r="K67">
            <v>24728.537940549355</v>
          </cell>
          <cell r="L67">
            <v>127.54603035243949</v>
          </cell>
          <cell r="M67">
            <v>24856.083970901793</v>
          </cell>
          <cell r="N67">
            <v>190962.04704709412</v>
          </cell>
        </row>
      </sheetData>
      <sheetData sheetId="12"/>
      <sheetData sheetId="13"/>
      <sheetData sheetId="14"/>
      <sheetData sheetId="15"/>
      <sheetData sheetId="16">
        <row r="2">
          <cell r="S2">
            <v>1073705.9327979474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26">
          <cell r="S126">
            <v>28085311.175502911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96%"/>
      <sheetName val="0000000"/>
      <sheetName val="1998"/>
      <sheetName val="1999"/>
      <sheetName val="97%"/>
      <sheetName val="Month"/>
      <sheetName val="Branded"/>
      <sheetName val="Ub"/>
      <sheetName val="WeekAbp"/>
      <sheetName val="Week96"/>
      <sheetName val="Week97%"/>
      <sheetName val="FFE"/>
      <sheetName val="Week2000"/>
      <sheetName val="Week2000%"/>
      <sheetName val="Week99"/>
      <sheetName val="PreRE"/>
      <sheetName val="2000"/>
      <sheetName val="2000%"/>
      <sheetName val="MTD96"/>
      <sheetName val="MTD99"/>
      <sheetName val="MTD2000"/>
      <sheetName val="Abp2000"/>
      <sheetName val="MTDAbp"/>
      <sheetName val="98%Abp"/>
      <sheetName val="Obp99"/>
      <sheetName val="01%"/>
      <sheetName val="Obp2000"/>
      <sheetName val="02%"/>
      <sheetName val="vtes_année_2000"/>
      <sheetName val="vtes_année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3">
          <cell r="B213">
            <v>36891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"/>
      <sheetName val="Bilan"/>
      <sheetName val="TER"/>
      <sheetName val="Bal_Bilan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C4">
            <v>0</v>
          </cell>
          <cell r="D4">
            <v>316223260</v>
          </cell>
        </row>
        <row r="5">
          <cell r="C5">
            <v>141954371</v>
          </cell>
          <cell r="D5">
            <v>0</v>
          </cell>
        </row>
        <row r="6">
          <cell r="C6">
            <v>6897504100</v>
          </cell>
          <cell r="D6">
            <v>0</v>
          </cell>
        </row>
        <row r="7">
          <cell r="C7">
            <v>1227419</v>
          </cell>
          <cell r="D7">
            <v>0</v>
          </cell>
        </row>
        <row r="8">
          <cell r="C8">
            <v>13656217</v>
          </cell>
          <cell r="D8">
            <v>0</v>
          </cell>
        </row>
        <row r="9">
          <cell r="C9">
            <v>0</v>
          </cell>
          <cell r="D9">
            <v>3945055</v>
          </cell>
        </row>
        <row r="10">
          <cell r="C10">
            <v>50765279836</v>
          </cell>
          <cell r="D10">
            <v>0</v>
          </cell>
        </row>
        <row r="11">
          <cell r="C11">
            <v>106401866</v>
          </cell>
          <cell r="D11">
            <v>0</v>
          </cell>
        </row>
        <row r="12">
          <cell r="C12">
            <v>19178121302</v>
          </cell>
          <cell r="D12">
            <v>0</v>
          </cell>
        </row>
        <row r="13">
          <cell r="C13">
            <v>3758497215</v>
          </cell>
          <cell r="D13">
            <v>0</v>
          </cell>
        </row>
        <row r="14">
          <cell r="C14">
            <v>852252511</v>
          </cell>
          <cell r="D14">
            <v>0</v>
          </cell>
        </row>
        <row r="15">
          <cell r="C15">
            <v>87449040</v>
          </cell>
          <cell r="D15">
            <v>0</v>
          </cell>
        </row>
        <row r="16">
          <cell r="C16">
            <v>2622617538</v>
          </cell>
          <cell r="D16">
            <v>0</v>
          </cell>
        </row>
        <row r="17">
          <cell r="C17">
            <v>117585125</v>
          </cell>
          <cell r="D17">
            <v>0</v>
          </cell>
        </row>
        <row r="18">
          <cell r="C18">
            <v>40190595</v>
          </cell>
          <cell r="D18">
            <v>0</v>
          </cell>
        </row>
        <row r="19">
          <cell r="C19">
            <v>114288381</v>
          </cell>
          <cell r="D19">
            <v>0</v>
          </cell>
        </row>
        <row r="20">
          <cell r="C20">
            <v>47937975</v>
          </cell>
          <cell r="D20">
            <v>0</v>
          </cell>
        </row>
        <row r="21">
          <cell r="C21">
            <v>0</v>
          </cell>
          <cell r="D21">
            <v>32885832</v>
          </cell>
        </row>
        <row r="22">
          <cell r="C22">
            <v>2955584738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0</v>
          </cell>
          <cell r="D24">
            <v>0</v>
          </cell>
        </row>
        <row r="25">
          <cell r="C25">
            <v>0</v>
          </cell>
          <cell r="D25">
            <v>24757000</v>
          </cell>
        </row>
        <row r="26">
          <cell r="C26">
            <v>147639000</v>
          </cell>
          <cell r="D26">
            <v>0</v>
          </cell>
        </row>
        <row r="27">
          <cell r="C27">
            <v>40438800</v>
          </cell>
          <cell r="D27">
            <v>0</v>
          </cell>
        </row>
        <row r="28">
          <cell r="C28">
            <v>0</v>
          </cell>
          <cell r="D28">
            <v>64897200</v>
          </cell>
        </row>
        <row r="29">
          <cell r="C29">
            <v>528469050</v>
          </cell>
          <cell r="D29">
            <v>0</v>
          </cell>
        </row>
        <row r="30">
          <cell r="C30">
            <v>0</v>
          </cell>
          <cell r="D30">
            <v>66114000</v>
          </cell>
        </row>
        <row r="31">
          <cell r="C31">
            <v>1162878000</v>
          </cell>
          <cell r="D31">
            <v>0</v>
          </cell>
        </row>
        <row r="32">
          <cell r="C32">
            <v>112038000</v>
          </cell>
          <cell r="D32">
            <v>0</v>
          </cell>
        </row>
        <row r="33">
          <cell r="C33">
            <v>1571866200</v>
          </cell>
          <cell r="D33">
            <v>0</v>
          </cell>
        </row>
        <row r="34">
          <cell r="C34">
            <v>173390400</v>
          </cell>
          <cell r="D34">
            <v>0</v>
          </cell>
        </row>
        <row r="35">
          <cell r="C35">
            <v>0</v>
          </cell>
          <cell r="D35">
            <v>183160057</v>
          </cell>
        </row>
        <row r="36">
          <cell r="C36">
            <v>1465499281</v>
          </cell>
          <cell r="D36">
            <v>0</v>
          </cell>
        </row>
        <row r="37">
          <cell r="C37">
            <v>40000</v>
          </cell>
          <cell r="D37">
            <v>0</v>
          </cell>
        </row>
        <row r="38">
          <cell r="C38">
            <v>0</v>
          </cell>
          <cell r="D38">
            <v>0</v>
          </cell>
        </row>
        <row r="39">
          <cell r="C39">
            <v>0</v>
          </cell>
          <cell r="D39">
            <v>128520</v>
          </cell>
        </row>
        <row r="40">
          <cell r="C40">
            <v>256000</v>
          </cell>
          <cell r="D40">
            <v>0</v>
          </cell>
        </row>
        <row r="41">
          <cell r="C41">
            <v>0</v>
          </cell>
          <cell r="D41">
            <v>0</v>
          </cell>
        </row>
        <row r="42">
          <cell r="C42">
            <v>0</v>
          </cell>
          <cell r="D42">
            <v>137490000</v>
          </cell>
        </row>
        <row r="43">
          <cell r="C43">
            <v>165711000</v>
          </cell>
          <cell r="D43">
            <v>0</v>
          </cell>
        </row>
        <row r="44">
          <cell r="C44">
            <v>0</v>
          </cell>
          <cell r="D44">
            <v>3882000</v>
          </cell>
        </row>
        <row r="45">
          <cell r="C45">
            <v>0</v>
          </cell>
          <cell r="D45">
            <v>942000</v>
          </cell>
        </row>
        <row r="46">
          <cell r="C46">
            <v>0</v>
          </cell>
          <cell r="D46">
            <v>634200</v>
          </cell>
        </row>
        <row r="47">
          <cell r="C47">
            <v>244192000</v>
          </cell>
          <cell r="D47">
            <v>0</v>
          </cell>
        </row>
        <row r="48">
          <cell r="C48">
            <v>173208771000</v>
          </cell>
          <cell r="D48">
            <v>0</v>
          </cell>
        </row>
        <row r="49">
          <cell r="C49">
            <v>11170122000</v>
          </cell>
          <cell r="D49">
            <v>0</v>
          </cell>
        </row>
        <row r="50">
          <cell r="C50">
            <v>35498400</v>
          </cell>
          <cell r="D50">
            <v>0</v>
          </cell>
        </row>
        <row r="51">
          <cell r="C51">
            <v>4662000</v>
          </cell>
          <cell r="D51">
            <v>0</v>
          </cell>
        </row>
        <row r="52">
          <cell r="C52">
            <v>6966000</v>
          </cell>
          <cell r="D52">
            <v>0</v>
          </cell>
        </row>
        <row r="53">
          <cell r="C53">
            <v>6507000</v>
          </cell>
          <cell r="D53">
            <v>0</v>
          </cell>
        </row>
        <row r="54">
          <cell r="C54">
            <v>46080000</v>
          </cell>
          <cell r="D54">
            <v>0</v>
          </cell>
        </row>
        <row r="55">
          <cell r="C55">
            <v>6780000</v>
          </cell>
          <cell r="D55">
            <v>0</v>
          </cell>
        </row>
        <row r="56">
          <cell r="C56">
            <v>33546258</v>
          </cell>
          <cell r="D56">
            <v>0</v>
          </cell>
        </row>
        <row r="57">
          <cell r="C57">
            <v>21680304</v>
          </cell>
          <cell r="D57">
            <v>0</v>
          </cell>
        </row>
        <row r="58">
          <cell r="C58">
            <v>1476000</v>
          </cell>
          <cell r="D58">
            <v>0</v>
          </cell>
        </row>
        <row r="59">
          <cell r="C59">
            <v>0</v>
          </cell>
          <cell r="D59">
            <v>244952000</v>
          </cell>
        </row>
        <row r="60">
          <cell r="C60">
            <v>0</v>
          </cell>
          <cell r="D60">
            <v>169309695000</v>
          </cell>
        </row>
        <row r="61">
          <cell r="C61">
            <v>0</v>
          </cell>
          <cell r="D61">
            <v>11178852000</v>
          </cell>
        </row>
        <row r="62">
          <cell r="C62">
            <v>0</v>
          </cell>
          <cell r="D62">
            <v>219805200</v>
          </cell>
        </row>
        <row r="63">
          <cell r="C63">
            <v>0</v>
          </cell>
          <cell r="D63">
            <v>21165600</v>
          </cell>
        </row>
        <row r="64">
          <cell r="C64">
            <v>0</v>
          </cell>
          <cell r="D64">
            <v>473400</v>
          </cell>
        </row>
        <row r="65">
          <cell r="C65">
            <v>0</v>
          </cell>
          <cell r="D65">
            <v>30600</v>
          </cell>
        </row>
        <row r="66">
          <cell r="C66">
            <v>0</v>
          </cell>
          <cell r="D66">
            <v>0</v>
          </cell>
        </row>
        <row r="67">
          <cell r="C67">
            <v>0</v>
          </cell>
          <cell r="D67">
            <v>353790</v>
          </cell>
        </row>
        <row r="68">
          <cell r="C68">
            <v>23000</v>
          </cell>
          <cell r="D68">
            <v>0</v>
          </cell>
        </row>
        <row r="69">
          <cell r="C69">
            <v>354200</v>
          </cell>
          <cell r="D69">
            <v>0</v>
          </cell>
        </row>
        <row r="70">
          <cell r="C70">
            <v>157229354</v>
          </cell>
          <cell r="D70">
            <v>0</v>
          </cell>
        </row>
        <row r="71">
          <cell r="C71">
            <v>102704523</v>
          </cell>
          <cell r="D71">
            <v>0</v>
          </cell>
        </row>
        <row r="72">
          <cell r="C72">
            <v>2054871</v>
          </cell>
          <cell r="D72">
            <v>0</v>
          </cell>
        </row>
        <row r="73">
          <cell r="C73">
            <v>507068909</v>
          </cell>
          <cell r="D73">
            <v>0</v>
          </cell>
        </row>
        <row r="74">
          <cell r="C74">
            <v>22383421</v>
          </cell>
          <cell r="D74">
            <v>0</v>
          </cell>
        </row>
        <row r="75">
          <cell r="C75">
            <v>6754849</v>
          </cell>
          <cell r="D75">
            <v>0</v>
          </cell>
        </row>
        <row r="76">
          <cell r="C76">
            <v>437155</v>
          </cell>
          <cell r="D76">
            <v>0</v>
          </cell>
        </row>
        <row r="77">
          <cell r="C77">
            <v>3043271368</v>
          </cell>
          <cell r="D77">
            <v>0</v>
          </cell>
        </row>
        <row r="78">
          <cell r="C78">
            <v>212512053</v>
          </cell>
          <cell r="D78">
            <v>0</v>
          </cell>
        </row>
        <row r="79">
          <cell r="C79">
            <v>49488577</v>
          </cell>
          <cell r="D79">
            <v>0</v>
          </cell>
        </row>
        <row r="80">
          <cell r="C80">
            <v>769235</v>
          </cell>
          <cell r="D80">
            <v>0</v>
          </cell>
        </row>
        <row r="81">
          <cell r="C81">
            <v>396541638</v>
          </cell>
          <cell r="D81">
            <v>0</v>
          </cell>
        </row>
        <row r="82">
          <cell r="C82">
            <v>14100</v>
          </cell>
          <cell r="D82">
            <v>0</v>
          </cell>
        </row>
        <row r="83">
          <cell r="C83">
            <v>67214782</v>
          </cell>
          <cell r="D83">
            <v>0</v>
          </cell>
        </row>
        <row r="84">
          <cell r="C84">
            <v>464062719</v>
          </cell>
          <cell r="D84">
            <v>0</v>
          </cell>
        </row>
        <row r="85">
          <cell r="C85">
            <v>22878894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405584027</v>
          </cell>
          <cell r="D87">
            <v>0</v>
          </cell>
        </row>
        <row r="88">
          <cell r="C88">
            <v>128263819</v>
          </cell>
          <cell r="D88">
            <v>0</v>
          </cell>
        </row>
        <row r="89">
          <cell r="C89">
            <v>71764970</v>
          </cell>
          <cell r="D89">
            <v>0</v>
          </cell>
        </row>
        <row r="90">
          <cell r="C90">
            <v>29067433</v>
          </cell>
          <cell r="D90">
            <v>0</v>
          </cell>
        </row>
        <row r="91">
          <cell r="C91">
            <v>3420797</v>
          </cell>
          <cell r="D91">
            <v>0</v>
          </cell>
        </row>
        <row r="92">
          <cell r="C92">
            <v>2180974415</v>
          </cell>
          <cell r="D92">
            <v>0</v>
          </cell>
        </row>
        <row r="93">
          <cell r="C93">
            <v>21012005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91728885</v>
          </cell>
          <cell r="D95">
            <v>0</v>
          </cell>
        </row>
        <row r="96">
          <cell r="C96">
            <v>35511747</v>
          </cell>
          <cell r="D96">
            <v>0</v>
          </cell>
        </row>
        <row r="97">
          <cell r="C97">
            <v>3017467</v>
          </cell>
          <cell r="D97">
            <v>0</v>
          </cell>
        </row>
        <row r="98">
          <cell r="C98">
            <v>90758835</v>
          </cell>
          <cell r="D98">
            <v>0</v>
          </cell>
        </row>
        <row r="99">
          <cell r="C99">
            <v>122031760</v>
          </cell>
          <cell r="D99">
            <v>0</v>
          </cell>
        </row>
        <row r="100">
          <cell r="C100">
            <v>8381185</v>
          </cell>
          <cell r="D100">
            <v>0</v>
          </cell>
        </row>
        <row r="101">
          <cell r="C101">
            <v>4694643562</v>
          </cell>
          <cell r="D101">
            <v>0</v>
          </cell>
        </row>
        <row r="102">
          <cell r="C102">
            <v>20135944</v>
          </cell>
          <cell r="D102">
            <v>0</v>
          </cell>
        </row>
        <row r="103">
          <cell r="C103">
            <v>301438407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280357681</v>
          </cell>
          <cell r="D105">
            <v>0</v>
          </cell>
        </row>
        <row r="106">
          <cell r="C106">
            <v>35820065</v>
          </cell>
          <cell r="D106">
            <v>0</v>
          </cell>
        </row>
        <row r="107">
          <cell r="C107">
            <v>50000</v>
          </cell>
          <cell r="D107">
            <v>0</v>
          </cell>
        </row>
        <row r="108">
          <cell r="C108">
            <v>222011507</v>
          </cell>
          <cell r="D108">
            <v>0</v>
          </cell>
        </row>
        <row r="109">
          <cell r="C109">
            <v>17820</v>
          </cell>
          <cell r="D109">
            <v>0</v>
          </cell>
        </row>
        <row r="110">
          <cell r="C110">
            <v>392743</v>
          </cell>
          <cell r="D110">
            <v>0</v>
          </cell>
        </row>
        <row r="111">
          <cell r="C111">
            <v>65632166</v>
          </cell>
          <cell r="D111">
            <v>0</v>
          </cell>
        </row>
        <row r="112">
          <cell r="C112">
            <v>141644032</v>
          </cell>
          <cell r="D112">
            <v>0</v>
          </cell>
        </row>
        <row r="113">
          <cell r="C113">
            <v>26910939</v>
          </cell>
          <cell r="D113">
            <v>0</v>
          </cell>
        </row>
        <row r="114">
          <cell r="C114">
            <v>97093377</v>
          </cell>
          <cell r="D114">
            <v>0</v>
          </cell>
        </row>
        <row r="115">
          <cell r="C115">
            <v>1084484590</v>
          </cell>
          <cell r="D115">
            <v>0</v>
          </cell>
        </row>
        <row r="116">
          <cell r="C116">
            <v>11956175</v>
          </cell>
          <cell r="D116">
            <v>0</v>
          </cell>
        </row>
        <row r="117">
          <cell r="C117">
            <v>100336704</v>
          </cell>
          <cell r="D117">
            <v>0</v>
          </cell>
        </row>
        <row r="118">
          <cell r="C118">
            <v>133748234</v>
          </cell>
          <cell r="D118">
            <v>0</v>
          </cell>
        </row>
        <row r="119">
          <cell r="C119">
            <v>7109243847</v>
          </cell>
          <cell r="D119">
            <v>0</v>
          </cell>
        </row>
        <row r="120">
          <cell r="C120">
            <v>0</v>
          </cell>
          <cell r="D120">
            <v>0</v>
          </cell>
        </row>
        <row r="121">
          <cell r="C121">
            <v>137052055</v>
          </cell>
          <cell r="D121">
            <v>0</v>
          </cell>
        </row>
        <row r="122">
          <cell r="C122">
            <v>3708550</v>
          </cell>
          <cell r="D122">
            <v>0</v>
          </cell>
        </row>
        <row r="123">
          <cell r="C123">
            <v>108628761</v>
          </cell>
          <cell r="D123">
            <v>0</v>
          </cell>
        </row>
        <row r="124">
          <cell r="C124">
            <v>965250</v>
          </cell>
          <cell r="D124">
            <v>0</v>
          </cell>
        </row>
        <row r="125">
          <cell r="C125">
            <v>15568146</v>
          </cell>
          <cell r="D125">
            <v>0</v>
          </cell>
        </row>
        <row r="126">
          <cell r="C126">
            <v>24460403</v>
          </cell>
          <cell r="D126">
            <v>0</v>
          </cell>
        </row>
        <row r="127">
          <cell r="C127">
            <v>59141795</v>
          </cell>
          <cell r="D127">
            <v>0</v>
          </cell>
        </row>
        <row r="128">
          <cell r="C128">
            <v>2516000</v>
          </cell>
          <cell r="D128">
            <v>0</v>
          </cell>
        </row>
        <row r="129">
          <cell r="C129">
            <v>0</v>
          </cell>
          <cell r="D129">
            <v>0</v>
          </cell>
        </row>
        <row r="130">
          <cell r="C130">
            <v>11102699</v>
          </cell>
          <cell r="D130">
            <v>0</v>
          </cell>
        </row>
        <row r="131">
          <cell r="C131">
            <v>7724867</v>
          </cell>
          <cell r="D131">
            <v>0</v>
          </cell>
        </row>
        <row r="132">
          <cell r="C132">
            <v>5594786</v>
          </cell>
          <cell r="D132">
            <v>0</v>
          </cell>
        </row>
        <row r="133">
          <cell r="C133">
            <v>8082705</v>
          </cell>
          <cell r="D133">
            <v>0</v>
          </cell>
        </row>
        <row r="134">
          <cell r="C134">
            <v>61192405</v>
          </cell>
          <cell r="D134">
            <v>0</v>
          </cell>
        </row>
        <row r="135">
          <cell r="C135">
            <v>17388840</v>
          </cell>
          <cell r="D135">
            <v>0</v>
          </cell>
        </row>
        <row r="136">
          <cell r="C136">
            <v>5737332</v>
          </cell>
          <cell r="D136">
            <v>0</v>
          </cell>
        </row>
        <row r="137">
          <cell r="C137">
            <v>3563400</v>
          </cell>
          <cell r="D137">
            <v>0</v>
          </cell>
        </row>
        <row r="138">
          <cell r="C138">
            <v>20278680</v>
          </cell>
          <cell r="D138">
            <v>0</v>
          </cell>
        </row>
        <row r="139">
          <cell r="C139">
            <v>1721659</v>
          </cell>
          <cell r="D139">
            <v>0</v>
          </cell>
        </row>
        <row r="140">
          <cell r="C140">
            <v>102692032</v>
          </cell>
          <cell r="D140">
            <v>0</v>
          </cell>
        </row>
        <row r="141">
          <cell r="C141">
            <v>656293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7492371</v>
          </cell>
          <cell r="D143">
            <v>0</v>
          </cell>
        </row>
        <row r="144">
          <cell r="C144">
            <v>359200</v>
          </cell>
          <cell r="D144">
            <v>0</v>
          </cell>
        </row>
        <row r="145">
          <cell r="C145">
            <v>335833953</v>
          </cell>
          <cell r="D145">
            <v>0</v>
          </cell>
        </row>
        <row r="146">
          <cell r="C146">
            <v>640809917</v>
          </cell>
          <cell r="D146">
            <v>0</v>
          </cell>
        </row>
        <row r="147">
          <cell r="C147">
            <v>1337900</v>
          </cell>
          <cell r="D147">
            <v>0</v>
          </cell>
        </row>
        <row r="148">
          <cell r="C148">
            <v>99257432</v>
          </cell>
          <cell r="D148">
            <v>0</v>
          </cell>
        </row>
        <row r="149">
          <cell r="C149">
            <v>738230</v>
          </cell>
          <cell r="D149">
            <v>0</v>
          </cell>
        </row>
        <row r="150">
          <cell r="C150">
            <v>819218105</v>
          </cell>
          <cell r="D150">
            <v>0</v>
          </cell>
        </row>
        <row r="151">
          <cell r="C151">
            <v>648365476</v>
          </cell>
          <cell r="D151">
            <v>0</v>
          </cell>
        </row>
        <row r="152">
          <cell r="C152">
            <v>288529056</v>
          </cell>
          <cell r="D152">
            <v>0</v>
          </cell>
        </row>
        <row r="153">
          <cell r="C153">
            <v>86987801</v>
          </cell>
          <cell r="D153">
            <v>0</v>
          </cell>
        </row>
        <row r="154">
          <cell r="C154">
            <v>94201391</v>
          </cell>
          <cell r="D154">
            <v>0</v>
          </cell>
        </row>
        <row r="155">
          <cell r="C155">
            <v>30662037</v>
          </cell>
          <cell r="D155">
            <v>0</v>
          </cell>
        </row>
        <row r="156">
          <cell r="C156">
            <v>15247102</v>
          </cell>
          <cell r="D156">
            <v>0</v>
          </cell>
        </row>
        <row r="157">
          <cell r="C157">
            <v>179683096</v>
          </cell>
          <cell r="D157">
            <v>0</v>
          </cell>
        </row>
        <row r="158">
          <cell r="C158">
            <v>0</v>
          </cell>
          <cell r="D158">
            <v>0</v>
          </cell>
        </row>
        <row r="159">
          <cell r="C159">
            <v>226353093</v>
          </cell>
          <cell r="D159">
            <v>0</v>
          </cell>
        </row>
        <row r="160">
          <cell r="C160">
            <v>8719360</v>
          </cell>
          <cell r="D160">
            <v>0</v>
          </cell>
        </row>
        <row r="161">
          <cell r="C161">
            <v>228964248</v>
          </cell>
          <cell r="D161">
            <v>0</v>
          </cell>
        </row>
        <row r="162">
          <cell r="C162">
            <v>0</v>
          </cell>
          <cell r="D162">
            <v>1815431</v>
          </cell>
        </row>
        <row r="163">
          <cell r="C163">
            <v>2925658</v>
          </cell>
          <cell r="D163">
            <v>0</v>
          </cell>
        </row>
        <row r="164">
          <cell r="C164">
            <v>6788511</v>
          </cell>
          <cell r="D164">
            <v>0</v>
          </cell>
        </row>
        <row r="165">
          <cell r="C165">
            <v>24664575</v>
          </cell>
          <cell r="D165">
            <v>0</v>
          </cell>
        </row>
        <row r="166">
          <cell r="C166">
            <v>11919747</v>
          </cell>
          <cell r="D166">
            <v>0</v>
          </cell>
        </row>
        <row r="167">
          <cell r="C167">
            <v>14784685</v>
          </cell>
          <cell r="D167">
            <v>0</v>
          </cell>
        </row>
        <row r="168">
          <cell r="C168">
            <v>1822877612</v>
          </cell>
          <cell r="D168">
            <v>0</v>
          </cell>
        </row>
        <row r="169">
          <cell r="C169">
            <v>1142419515</v>
          </cell>
          <cell r="D169">
            <v>0</v>
          </cell>
        </row>
        <row r="170">
          <cell r="C170">
            <v>81356488</v>
          </cell>
          <cell r="D170">
            <v>0</v>
          </cell>
        </row>
        <row r="171">
          <cell r="C171">
            <v>4799258</v>
          </cell>
          <cell r="D171">
            <v>0</v>
          </cell>
        </row>
        <row r="172">
          <cell r="C172">
            <v>420213518</v>
          </cell>
          <cell r="D172">
            <v>0</v>
          </cell>
        </row>
        <row r="173">
          <cell r="C173">
            <v>454658792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165300704</v>
          </cell>
          <cell r="D175">
            <v>0</v>
          </cell>
        </row>
        <row r="176">
          <cell r="C176">
            <v>0</v>
          </cell>
          <cell r="D176">
            <v>19197550</v>
          </cell>
        </row>
        <row r="177">
          <cell r="C177">
            <v>918180969</v>
          </cell>
          <cell r="D177">
            <v>0</v>
          </cell>
        </row>
        <row r="178">
          <cell r="C178">
            <v>926320438</v>
          </cell>
          <cell r="D178">
            <v>0</v>
          </cell>
        </row>
        <row r="179">
          <cell r="C179">
            <v>4706870</v>
          </cell>
          <cell r="D179">
            <v>0</v>
          </cell>
        </row>
        <row r="180">
          <cell r="C180">
            <v>6582530</v>
          </cell>
          <cell r="D180">
            <v>0</v>
          </cell>
        </row>
        <row r="181">
          <cell r="C181">
            <v>835310</v>
          </cell>
          <cell r="D181">
            <v>0</v>
          </cell>
        </row>
        <row r="182">
          <cell r="C182">
            <v>9256000</v>
          </cell>
          <cell r="D182">
            <v>0</v>
          </cell>
        </row>
        <row r="183">
          <cell r="C183">
            <v>47007961</v>
          </cell>
          <cell r="D183">
            <v>0</v>
          </cell>
        </row>
        <row r="184">
          <cell r="C184">
            <v>500723287</v>
          </cell>
          <cell r="D184">
            <v>0</v>
          </cell>
        </row>
        <row r="185">
          <cell r="C185">
            <v>71122647</v>
          </cell>
          <cell r="D185">
            <v>0</v>
          </cell>
        </row>
        <row r="186">
          <cell r="C186">
            <v>33005575</v>
          </cell>
          <cell r="D186">
            <v>0</v>
          </cell>
        </row>
        <row r="187">
          <cell r="C187">
            <v>6915008</v>
          </cell>
          <cell r="D187">
            <v>0</v>
          </cell>
        </row>
        <row r="188">
          <cell r="C188">
            <v>108407</v>
          </cell>
          <cell r="D188">
            <v>0</v>
          </cell>
        </row>
        <row r="189">
          <cell r="C189">
            <v>490855</v>
          </cell>
          <cell r="D189">
            <v>0</v>
          </cell>
        </row>
        <row r="190">
          <cell r="C190">
            <v>1249593</v>
          </cell>
          <cell r="D190">
            <v>0</v>
          </cell>
        </row>
        <row r="191">
          <cell r="C191">
            <v>9157607</v>
          </cell>
          <cell r="D191">
            <v>0</v>
          </cell>
        </row>
        <row r="192">
          <cell r="C192">
            <v>181248717</v>
          </cell>
          <cell r="D192">
            <v>0</v>
          </cell>
        </row>
        <row r="193">
          <cell r="C193">
            <v>220941866</v>
          </cell>
          <cell r="D193">
            <v>0</v>
          </cell>
        </row>
        <row r="194">
          <cell r="C194">
            <v>79572903</v>
          </cell>
          <cell r="D194">
            <v>0</v>
          </cell>
        </row>
        <row r="195">
          <cell r="C195">
            <v>85695040</v>
          </cell>
          <cell r="D195">
            <v>0</v>
          </cell>
        </row>
        <row r="196">
          <cell r="C196">
            <v>824597</v>
          </cell>
          <cell r="D196">
            <v>0</v>
          </cell>
        </row>
        <row r="197">
          <cell r="C197">
            <v>18222248</v>
          </cell>
          <cell r="D197">
            <v>0</v>
          </cell>
        </row>
        <row r="198">
          <cell r="C198">
            <v>3482481</v>
          </cell>
          <cell r="D198">
            <v>0</v>
          </cell>
        </row>
        <row r="199">
          <cell r="C199">
            <v>30376871</v>
          </cell>
          <cell r="D199">
            <v>0</v>
          </cell>
        </row>
        <row r="200">
          <cell r="C200">
            <v>2516597</v>
          </cell>
          <cell r="D200">
            <v>0</v>
          </cell>
        </row>
        <row r="201">
          <cell r="C201">
            <v>104502030</v>
          </cell>
          <cell r="D201">
            <v>0</v>
          </cell>
        </row>
        <row r="202">
          <cell r="C202">
            <v>50994</v>
          </cell>
          <cell r="D202">
            <v>0</v>
          </cell>
        </row>
        <row r="203">
          <cell r="C203">
            <v>87918654</v>
          </cell>
          <cell r="D203">
            <v>0</v>
          </cell>
        </row>
        <row r="204">
          <cell r="C204">
            <v>55728666</v>
          </cell>
          <cell r="D204">
            <v>0</v>
          </cell>
        </row>
        <row r="205">
          <cell r="C205">
            <v>3914403</v>
          </cell>
          <cell r="D205">
            <v>0</v>
          </cell>
        </row>
        <row r="206">
          <cell r="C206">
            <v>11064510</v>
          </cell>
          <cell r="D206">
            <v>0</v>
          </cell>
        </row>
        <row r="207">
          <cell r="C207">
            <v>547000</v>
          </cell>
          <cell r="D207">
            <v>0</v>
          </cell>
        </row>
        <row r="208">
          <cell r="C208">
            <v>34811630</v>
          </cell>
          <cell r="D208">
            <v>0</v>
          </cell>
        </row>
        <row r="209">
          <cell r="C209">
            <v>81900000</v>
          </cell>
          <cell r="D209">
            <v>0</v>
          </cell>
        </row>
        <row r="210">
          <cell r="C210">
            <v>573000</v>
          </cell>
          <cell r="D210">
            <v>0</v>
          </cell>
        </row>
        <row r="211">
          <cell r="C211">
            <v>0</v>
          </cell>
          <cell r="D211">
            <v>0</v>
          </cell>
        </row>
        <row r="212">
          <cell r="C212">
            <v>22230</v>
          </cell>
          <cell r="D212">
            <v>0</v>
          </cell>
        </row>
        <row r="213">
          <cell r="C213">
            <v>35884655</v>
          </cell>
          <cell r="D213">
            <v>0</v>
          </cell>
        </row>
        <row r="214">
          <cell r="C214">
            <v>26690846</v>
          </cell>
          <cell r="D214">
            <v>0</v>
          </cell>
        </row>
        <row r="215">
          <cell r="C215">
            <v>2139430</v>
          </cell>
          <cell r="D215">
            <v>0</v>
          </cell>
        </row>
        <row r="216">
          <cell r="C216">
            <v>7601570</v>
          </cell>
          <cell r="D216">
            <v>0</v>
          </cell>
        </row>
        <row r="217">
          <cell r="C217">
            <v>64111802</v>
          </cell>
          <cell r="D217">
            <v>0</v>
          </cell>
        </row>
        <row r="218">
          <cell r="C218">
            <v>233756615</v>
          </cell>
          <cell r="D218">
            <v>0</v>
          </cell>
        </row>
        <row r="219">
          <cell r="C219">
            <v>836476317</v>
          </cell>
          <cell r="D219">
            <v>0</v>
          </cell>
        </row>
        <row r="220">
          <cell r="C220">
            <v>331591996</v>
          </cell>
          <cell r="D220">
            <v>0</v>
          </cell>
        </row>
        <row r="221">
          <cell r="C221">
            <v>4198125</v>
          </cell>
          <cell r="D221">
            <v>0</v>
          </cell>
        </row>
        <row r="222">
          <cell r="C222">
            <v>3268707</v>
          </cell>
          <cell r="D222">
            <v>0</v>
          </cell>
        </row>
        <row r="223">
          <cell r="C223">
            <v>923276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434083984</v>
          </cell>
          <cell r="D225">
            <v>0</v>
          </cell>
        </row>
        <row r="226">
          <cell r="C226">
            <v>40974483</v>
          </cell>
          <cell r="D226">
            <v>0</v>
          </cell>
        </row>
        <row r="227">
          <cell r="C227">
            <v>0</v>
          </cell>
          <cell r="D227">
            <v>0</v>
          </cell>
        </row>
        <row r="228">
          <cell r="C228">
            <v>1467739070</v>
          </cell>
          <cell r="D228">
            <v>0</v>
          </cell>
        </row>
        <row r="229">
          <cell r="C229">
            <v>0</v>
          </cell>
          <cell r="D229">
            <v>0</v>
          </cell>
        </row>
        <row r="230">
          <cell r="C230">
            <v>0</v>
          </cell>
          <cell r="D230">
            <v>0</v>
          </cell>
        </row>
        <row r="231">
          <cell r="C231">
            <v>12275496</v>
          </cell>
          <cell r="D231">
            <v>0</v>
          </cell>
        </row>
        <row r="232">
          <cell r="C232">
            <v>29492217</v>
          </cell>
          <cell r="D232">
            <v>0</v>
          </cell>
        </row>
        <row r="233">
          <cell r="C233">
            <v>206937421</v>
          </cell>
          <cell r="D233">
            <v>0</v>
          </cell>
        </row>
        <row r="234">
          <cell r="C234">
            <v>36172069</v>
          </cell>
          <cell r="D234">
            <v>0</v>
          </cell>
        </row>
        <row r="235">
          <cell r="C235">
            <v>58108676</v>
          </cell>
          <cell r="D235">
            <v>0</v>
          </cell>
        </row>
        <row r="236">
          <cell r="C236">
            <v>291894608</v>
          </cell>
          <cell r="D236">
            <v>0</v>
          </cell>
        </row>
        <row r="237">
          <cell r="C237">
            <v>850293528</v>
          </cell>
          <cell r="D237">
            <v>0</v>
          </cell>
        </row>
        <row r="238">
          <cell r="C238">
            <v>104742581</v>
          </cell>
          <cell r="D238">
            <v>0</v>
          </cell>
        </row>
        <row r="239">
          <cell r="C239">
            <v>34229396</v>
          </cell>
          <cell r="D239">
            <v>0</v>
          </cell>
        </row>
        <row r="240">
          <cell r="C240">
            <v>3025011333</v>
          </cell>
          <cell r="D240">
            <v>0</v>
          </cell>
        </row>
        <row r="241">
          <cell r="C241">
            <v>913479506</v>
          </cell>
          <cell r="D241">
            <v>0</v>
          </cell>
        </row>
        <row r="242">
          <cell r="C242">
            <v>536045020</v>
          </cell>
          <cell r="D242">
            <v>0</v>
          </cell>
        </row>
        <row r="243">
          <cell r="C243">
            <v>202170569</v>
          </cell>
          <cell r="D243">
            <v>0</v>
          </cell>
        </row>
        <row r="244">
          <cell r="C244">
            <v>1800000</v>
          </cell>
          <cell r="D244">
            <v>0</v>
          </cell>
        </row>
        <row r="245">
          <cell r="C245">
            <v>2600000</v>
          </cell>
          <cell r="D245">
            <v>0</v>
          </cell>
        </row>
        <row r="246">
          <cell r="C246">
            <v>0</v>
          </cell>
          <cell r="D246">
            <v>0</v>
          </cell>
        </row>
        <row r="247">
          <cell r="C247">
            <v>0</v>
          </cell>
          <cell r="D247">
            <v>0</v>
          </cell>
        </row>
        <row r="248">
          <cell r="C248">
            <v>22127000</v>
          </cell>
          <cell r="D248">
            <v>0</v>
          </cell>
        </row>
        <row r="249">
          <cell r="C249">
            <v>51518599</v>
          </cell>
          <cell r="D249">
            <v>0</v>
          </cell>
        </row>
        <row r="250">
          <cell r="C250">
            <v>13887843</v>
          </cell>
          <cell r="D250">
            <v>0</v>
          </cell>
        </row>
        <row r="251">
          <cell r="C251">
            <v>16095850</v>
          </cell>
          <cell r="D251">
            <v>0</v>
          </cell>
        </row>
        <row r="252">
          <cell r="C252">
            <v>7571146</v>
          </cell>
          <cell r="D252">
            <v>0</v>
          </cell>
        </row>
        <row r="253">
          <cell r="C253">
            <v>228692384</v>
          </cell>
          <cell r="D253">
            <v>0</v>
          </cell>
        </row>
        <row r="254">
          <cell r="C254">
            <v>28769683</v>
          </cell>
          <cell r="D254">
            <v>0</v>
          </cell>
        </row>
        <row r="255">
          <cell r="C255">
            <v>445041</v>
          </cell>
          <cell r="D255">
            <v>0</v>
          </cell>
        </row>
        <row r="256">
          <cell r="C256">
            <v>4514529</v>
          </cell>
          <cell r="D256">
            <v>0</v>
          </cell>
        </row>
        <row r="257">
          <cell r="C257">
            <v>34326207</v>
          </cell>
          <cell r="D257">
            <v>0</v>
          </cell>
        </row>
        <row r="258">
          <cell r="C258">
            <v>393904740</v>
          </cell>
          <cell r="D258">
            <v>0</v>
          </cell>
        </row>
        <row r="259">
          <cell r="C259">
            <v>7566910</v>
          </cell>
          <cell r="D259">
            <v>0</v>
          </cell>
        </row>
        <row r="260">
          <cell r="C260">
            <v>656288764</v>
          </cell>
          <cell r="D260">
            <v>0</v>
          </cell>
        </row>
        <row r="261">
          <cell r="C261">
            <v>67650974</v>
          </cell>
          <cell r="D261">
            <v>0</v>
          </cell>
        </row>
        <row r="262">
          <cell r="C262">
            <v>43578899</v>
          </cell>
          <cell r="D262">
            <v>0</v>
          </cell>
        </row>
        <row r="263">
          <cell r="C263">
            <v>34764403</v>
          </cell>
          <cell r="D263">
            <v>0</v>
          </cell>
        </row>
        <row r="264">
          <cell r="C264">
            <v>17806855</v>
          </cell>
          <cell r="D264">
            <v>0</v>
          </cell>
        </row>
        <row r="265">
          <cell r="C265">
            <v>45100648</v>
          </cell>
          <cell r="D265">
            <v>0</v>
          </cell>
        </row>
        <row r="266">
          <cell r="C266">
            <v>29052651</v>
          </cell>
          <cell r="D266">
            <v>0</v>
          </cell>
        </row>
        <row r="267">
          <cell r="C267">
            <v>23176230</v>
          </cell>
          <cell r="D267">
            <v>0</v>
          </cell>
        </row>
        <row r="268">
          <cell r="C268">
            <v>11871224</v>
          </cell>
          <cell r="D268">
            <v>0</v>
          </cell>
        </row>
        <row r="269">
          <cell r="C269">
            <v>1089500</v>
          </cell>
          <cell r="D269">
            <v>0</v>
          </cell>
        </row>
        <row r="270">
          <cell r="C270">
            <v>929089</v>
          </cell>
          <cell r="D270">
            <v>0</v>
          </cell>
        </row>
        <row r="271">
          <cell r="C271">
            <v>8250460</v>
          </cell>
          <cell r="D271">
            <v>0</v>
          </cell>
        </row>
        <row r="272">
          <cell r="C272">
            <v>7393244</v>
          </cell>
          <cell r="D272">
            <v>0</v>
          </cell>
        </row>
        <row r="273">
          <cell r="C273">
            <v>7384750</v>
          </cell>
          <cell r="D273">
            <v>0</v>
          </cell>
        </row>
        <row r="274">
          <cell r="C274">
            <v>31098925</v>
          </cell>
          <cell r="D274">
            <v>0</v>
          </cell>
        </row>
        <row r="275">
          <cell r="C275">
            <v>11067106</v>
          </cell>
          <cell r="D275">
            <v>0</v>
          </cell>
        </row>
        <row r="276">
          <cell r="C276">
            <v>4407478</v>
          </cell>
          <cell r="D276">
            <v>0</v>
          </cell>
        </row>
        <row r="277">
          <cell r="C277">
            <v>8043856</v>
          </cell>
          <cell r="D277">
            <v>0</v>
          </cell>
        </row>
        <row r="278">
          <cell r="C278">
            <v>8582492</v>
          </cell>
          <cell r="D278">
            <v>0</v>
          </cell>
        </row>
        <row r="279">
          <cell r="C279">
            <v>15553491</v>
          </cell>
          <cell r="D279">
            <v>0</v>
          </cell>
        </row>
        <row r="280">
          <cell r="C280">
            <v>18750</v>
          </cell>
          <cell r="D280">
            <v>0</v>
          </cell>
        </row>
        <row r="281">
          <cell r="C281">
            <v>48604337</v>
          </cell>
          <cell r="D281">
            <v>0</v>
          </cell>
        </row>
        <row r="282">
          <cell r="C282">
            <v>10000000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29348445</v>
          </cell>
          <cell r="D284">
            <v>0</v>
          </cell>
        </row>
        <row r="285">
          <cell r="C285">
            <v>143000000</v>
          </cell>
          <cell r="D285">
            <v>0</v>
          </cell>
        </row>
        <row r="286">
          <cell r="C286">
            <v>2211449</v>
          </cell>
          <cell r="D286">
            <v>0</v>
          </cell>
        </row>
        <row r="287">
          <cell r="C287">
            <v>32000000</v>
          </cell>
          <cell r="D287">
            <v>0</v>
          </cell>
        </row>
        <row r="288">
          <cell r="C288">
            <v>550951794</v>
          </cell>
          <cell r="D288">
            <v>0</v>
          </cell>
        </row>
        <row r="289">
          <cell r="C289">
            <v>921351164</v>
          </cell>
          <cell r="D289">
            <v>0</v>
          </cell>
        </row>
        <row r="290">
          <cell r="C290">
            <v>3096746</v>
          </cell>
          <cell r="D290">
            <v>0</v>
          </cell>
        </row>
        <row r="291">
          <cell r="C291">
            <v>46038032</v>
          </cell>
          <cell r="D291">
            <v>0</v>
          </cell>
        </row>
        <row r="292">
          <cell r="C292">
            <v>9299219</v>
          </cell>
          <cell r="D292">
            <v>0</v>
          </cell>
        </row>
        <row r="293">
          <cell r="C293">
            <v>79522067</v>
          </cell>
          <cell r="D293">
            <v>0</v>
          </cell>
        </row>
        <row r="294">
          <cell r="C294">
            <v>10151</v>
          </cell>
          <cell r="D294">
            <v>0</v>
          </cell>
        </row>
        <row r="295">
          <cell r="C295">
            <v>0</v>
          </cell>
          <cell r="D295">
            <v>2104</v>
          </cell>
        </row>
        <row r="296">
          <cell r="C296">
            <v>434679</v>
          </cell>
          <cell r="D296">
            <v>0</v>
          </cell>
        </row>
        <row r="297">
          <cell r="C297">
            <v>22881917</v>
          </cell>
          <cell r="D297">
            <v>0</v>
          </cell>
        </row>
        <row r="298">
          <cell r="C298">
            <v>3313766</v>
          </cell>
          <cell r="D298">
            <v>0</v>
          </cell>
        </row>
        <row r="299">
          <cell r="C299">
            <v>472269</v>
          </cell>
          <cell r="D299">
            <v>0</v>
          </cell>
        </row>
        <row r="300">
          <cell r="C300">
            <v>1066120</v>
          </cell>
          <cell r="D300">
            <v>0</v>
          </cell>
        </row>
        <row r="301">
          <cell r="C301">
            <v>177706919</v>
          </cell>
          <cell r="D301">
            <v>0</v>
          </cell>
        </row>
        <row r="302">
          <cell r="C302">
            <v>10496038</v>
          </cell>
          <cell r="D302">
            <v>0</v>
          </cell>
        </row>
        <row r="303">
          <cell r="C303">
            <v>7943942</v>
          </cell>
          <cell r="D303">
            <v>0</v>
          </cell>
        </row>
        <row r="304">
          <cell r="C304">
            <v>0</v>
          </cell>
          <cell r="D304">
            <v>0</v>
          </cell>
        </row>
        <row r="305">
          <cell r="C305">
            <v>183902686</v>
          </cell>
          <cell r="D305">
            <v>0</v>
          </cell>
        </row>
        <row r="306">
          <cell r="C306">
            <v>12817584</v>
          </cell>
          <cell r="D306">
            <v>0</v>
          </cell>
        </row>
        <row r="307">
          <cell r="C307">
            <v>5950000</v>
          </cell>
          <cell r="D307">
            <v>0</v>
          </cell>
        </row>
        <row r="308">
          <cell r="C308">
            <v>0</v>
          </cell>
          <cell r="D308">
            <v>0</v>
          </cell>
        </row>
        <row r="309">
          <cell r="C309">
            <v>0</v>
          </cell>
          <cell r="D309">
            <v>0</v>
          </cell>
        </row>
        <row r="310">
          <cell r="C310">
            <v>363966820</v>
          </cell>
          <cell r="D310">
            <v>0</v>
          </cell>
        </row>
        <row r="311">
          <cell r="C311">
            <v>212270400</v>
          </cell>
          <cell r="D311">
            <v>0</v>
          </cell>
        </row>
        <row r="312">
          <cell r="C312">
            <v>72300000</v>
          </cell>
          <cell r="D312">
            <v>0</v>
          </cell>
        </row>
        <row r="313">
          <cell r="C313">
            <v>116174840</v>
          </cell>
          <cell r="D313">
            <v>0</v>
          </cell>
        </row>
        <row r="314">
          <cell r="C314">
            <v>0</v>
          </cell>
          <cell r="D314">
            <v>0</v>
          </cell>
        </row>
        <row r="315">
          <cell r="C315">
            <v>4020360</v>
          </cell>
          <cell r="D315">
            <v>0</v>
          </cell>
        </row>
        <row r="316">
          <cell r="C316">
            <v>28168860</v>
          </cell>
          <cell r="D316">
            <v>0</v>
          </cell>
        </row>
        <row r="317">
          <cell r="C317">
            <v>86919370</v>
          </cell>
          <cell r="D317">
            <v>0</v>
          </cell>
        </row>
        <row r="318">
          <cell r="C318">
            <v>2805003</v>
          </cell>
          <cell r="D318">
            <v>0</v>
          </cell>
        </row>
        <row r="319">
          <cell r="C319">
            <v>895942</v>
          </cell>
          <cell r="D319">
            <v>0</v>
          </cell>
        </row>
        <row r="320">
          <cell r="C320">
            <v>67411581</v>
          </cell>
          <cell r="D320">
            <v>0</v>
          </cell>
        </row>
        <row r="321">
          <cell r="C321">
            <v>6574000</v>
          </cell>
          <cell r="D321">
            <v>0</v>
          </cell>
        </row>
        <row r="322">
          <cell r="C322">
            <v>0</v>
          </cell>
          <cell r="D322">
            <v>0</v>
          </cell>
        </row>
        <row r="323">
          <cell r="C323">
            <v>98831996</v>
          </cell>
          <cell r="D323">
            <v>0</v>
          </cell>
        </row>
        <row r="324">
          <cell r="C324">
            <v>2591411180</v>
          </cell>
          <cell r="D324">
            <v>0</v>
          </cell>
        </row>
        <row r="325">
          <cell r="C325">
            <v>1575549824</v>
          </cell>
          <cell r="D325">
            <v>0</v>
          </cell>
        </row>
        <row r="326">
          <cell r="C326">
            <v>1309432854</v>
          </cell>
          <cell r="D326">
            <v>0</v>
          </cell>
        </row>
        <row r="327">
          <cell r="C327">
            <v>13688242</v>
          </cell>
          <cell r="D327">
            <v>0</v>
          </cell>
        </row>
        <row r="328">
          <cell r="C328">
            <v>277980701</v>
          </cell>
          <cell r="D328">
            <v>0</v>
          </cell>
        </row>
        <row r="329">
          <cell r="C329">
            <v>238259244</v>
          </cell>
          <cell r="D329">
            <v>0</v>
          </cell>
        </row>
        <row r="330">
          <cell r="C330">
            <v>7073791</v>
          </cell>
          <cell r="D330">
            <v>0</v>
          </cell>
        </row>
        <row r="331">
          <cell r="C331">
            <v>285919817</v>
          </cell>
          <cell r="D331">
            <v>0</v>
          </cell>
        </row>
        <row r="332">
          <cell r="C332">
            <v>199661582</v>
          </cell>
          <cell r="D332">
            <v>0</v>
          </cell>
        </row>
        <row r="333">
          <cell r="C333">
            <v>188102868</v>
          </cell>
          <cell r="D333">
            <v>0</v>
          </cell>
        </row>
        <row r="334">
          <cell r="C334">
            <v>8731890</v>
          </cell>
          <cell r="D334">
            <v>0</v>
          </cell>
        </row>
        <row r="335">
          <cell r="C335">
            <v>8650629</v>
          </cell>
          <cell r="D335">
            <v>0</v>
          </cell>
        </row>
        <row r="336">
          <cell r="C336">
            <v>3480484</v>
          </cell>
          <cell r="D336">
            <v>0</v>
          </cell>
        </row>
        <row r="337">
          <cell r="C337">
            <v>268854867</v>
          </cell>
          <cell r="D337">
            <v>0</v>
          </cell>
        </row>
        <row r="338">
          <cell r="C338">
            <v>201958524</v>
          </cell>
          <cell r="D338">
            <v>0</v>
          </cell>
        </row>
        <row r="339">
          <cell r="C339">
            <v>225017139</v>
          </cell>
          <cell r="D339">
            <v>0</v>
          </cell>
        </row>
        <row r="340">
          <cell r="C340">
            <v>40367185</v>
          </cell>
          <cell r="D340">
            <v>0</v>
          </cell>
        </row>
        <row r="341">
          <cell r="C341">
            <v>6764954</v>
          </cell>
          <cell r="D341">
            <v>0</v>
          </cell>
        </row>
        <row r="342">
          <cell r="C342">
            <v>848155492</v>
          </cell>
          <cell r="D342">
            <v>0</v>
          </cell>
        </row>
        <row r="343">
          <cell r="C343">
            <v>142760828</v>
          </cell>
          <cell r="D343">
            <v>0</v>
          </cell>
        </row>
        <row r="344">
          <cell r="C344">
            <v>158254652</v>
          </cell>
          <cell r="D344">
            <v>0</v>
          </cell>
        </row>
        <row r="345">
          <cell r="C345">
            <v>376119346</v>
          </cell>
          <cell r="D345">
            <v>0</v>
          </cell>
        </row>
        <row r="346">
          <cell r="C346">
            <v>297136646</v>
          </cell>
          <cell r="D346">
            <v>0</v>
          </cell>
        </row>
        <row r="347">
          <cell r="C347">
            <v>431443268</v>
          </cell>
          <cell r="D347">
            <v>0</v>
          </cell>
        </row>
        <row r="348">
          <cell r="C348">
            <v>10920000</v>
          </cell>
          <cell r="D348">
            <v>0</v>
          </cell>
        </row>
        <row r="349">
          <cell r="C349">
            <v>10798000</v>
          </cell>
          <cell r="D349">
            <v>0</v>
          </cell>
        </row>
        <row r="350">
          <cell r="C350">
            <v>214588301</v>
          </cell>
          <cell r="D350">
            <v>0</v>
          </cell>
        </row>
        <row r="351">
          <cell r="C351">
            <v>73079950</v>
          </cell>
          <cell r="D351">
            <v>0</v>
          </cell>
        </row>
        <row r="352">
          <cell r="C352">
            <v>111407006</v>
          </cell>
          <cell r="D352">
            <v>0</v>
          </cell>
        </row>
        <row r="353">
          <cell r="C353">
            <v>18032000</v>
          </cell>
          <cell r="D353">
            <v>0</v>
          </cell>
        </row>
        <row r="354">
          <cell r="C354">
            <v>234399298</v>
          </cell>
          <cell r="D354">
            <v>0</v>
          </cell>
        </row>
        <row r="355">
          <cell r="C355">
            <v>222947686</v>
          </cell>
          <cell r="D355">
            <v>0</v>
          </cell>
        </row>
        <row r="356">
          <cell r="C356">
            <v>6438400</v>
          </cell>
          <cell r="D356">
            <v>0</v>
          </cell>
        </row>
        <row r="357">
          <cell r="C357">
            <v>11658310</v>
          </cell>
          <cell r="D357">
            <v>0</v>
          </cell>
        </row>
        <row r="358">
          <cell r="C358">
            <v>45247845</v>
          </cell>
          <cell r="D358">
            <v>0</v>
          </cell>
        </row>
        <row r="359">
          <cell r="C359">
            <v>34743682</v>
          </cell>
          <cell r="D359">
            <v>0</v>
          </cell>
        </row>
        <row r="360">
          <cell r="C360">
            <v>44348530</v>
          </cell>
          <cell r="D360">
            <v>0</v>
          </cell>
        </row>
        <row r="361">
          <cell r="C361">
            <v>0</v>
          </cell>
          <cell r="D361">
            <v>0</v>
          </cell>
        </row>
        <row r="362">
          <cell r="C362">
            <v>131311022</v>
          </cell>
          <cell r="D362">
            <v>0</v>
          </cell>
        </row>
        <row r="363">
          <cell r="C363">
            <v>100491319</v>
          </cell>
          <cell r="D363">
            <v>0</v>
          </cell>
        </row>
        <row r="364">
          <cell r="C364">
            <v>13870961</v>
          </cell>
          <cell r="D364">
            <v>0</v>
          </cell>
        </row>
        <row r="365">
          <cell r="C365">
            <v>0</v>
          </cell>
          <cell r="D365">
            <v>0</v>
          </cell>
        </row>
        <row r="366">
          <cell r="C366">
            <v>118417331</v>
          </cell>
          <cell r="D366">
            <v>0</v>
          </cell>
        </row>
        <row r="367">
          <cell r="C367">
            <v>70545755</v>
          </cell>
          <cell r="D367">
            <v>0</v>
          </cell>
        </row>
        <row r="368">
          <cell r="C368">
            <v>55864181</v>
          </cell>
          <cell r="D368">
            <v>0</v>
          </cell>
        </row>
        <row r="369">
          <cell r="C369">
            <v>244132083</v>
          </cell>
          <cell r="D369">
            <v>0</v>
          </cell>
        </row>
        <row r="370">
          <cell r="C370">
            <v>98874634</v>
          </cell>
          <cell r="D370">
            <v>0</v>
          </cell>
        </row>
        <row r="371">
          <cell r="C371">
            <v>28959525</v>
          </cell>
          <cell r="D371">
            <v>0</v>
          </cell>
        </row>
        <row r="372">
          <cell r="C372">
            <v>163074311</v>
          </cell>
          <cell r="D372">
            <v>0</v>
          </cell>
        </row>
        <row r="373">
          <cell r="C373">
            <v>69543556</v>
          </cell>
          <cell r="D373">
            <v>0</v>
          </cell>
        </row>
        <row r="374">
          <cell r="C374">
            <v>24356235</v>
          </cell>
          <cell r="D374">
            <v>0</v>
          </cell>
        </row>
        <row r="375">
          <cell r="C375">
            <v>34522044</v>
          </cell>
          <cell r="D375">
            <v>0</v>
          </cell>
        </row>
        <row r="376">
          <cell r="C376">
            <v>7627200</v>
          </cell>
          <cell r="D376">
            <v>0</v>
          </cell>
        </row>
        <row r="377">
          <cell r="C377">
            <v>58080740</v>
          </cell>
          <cell r="D377">
            <v>0</v>
          </cell>
        </row>
        <row r="378">
          <cell r="C378">
            <v>1600000</v>
          </cell>
          <cell r="D378">
            <v>0</v>
          </cell>
        </row>
        <row r="379">
          <cell r="C379">
            <v>52507725</v>
          </cell>
          <cell r="D379">
            <v>0</v>
          </cell>
        </row>
        <row r="380">
          <cell r="C380">
            <v>8084880</v>
          </cell>
          <cell r="D380">
            <v>0</v>
          </cell>
        </row>
        <row r="381">
          <cell r="C381">
            <v>3360565</v>
          </cell>
          <cell r="D381">
            <v>0</v>
          </cell>
        </row>
        <row r="382">
          <cell r="C382">
            <v>0</v>
          </cell>
          <cell r="D382">
            <v>563674</v>
          </cell>
        </row>
        <row r="383">
          <cell r="C383">
            <v>67965697</v>
          </cell>
          <cell r="D383">
            <v>0</v>
          </cell>
        </row>
        <row r="384">
          <cell r="C384">
            <v>137817060</v>
          </cell>
          <cell r="D384">
            <v>0</v>
          </cell>
        </row>
        <row r="385">
          <cell r="C385">
            <v>27769643</v>
          </cell>
          <cell r="D385">
            <v>0</v>
          </cell>
        </row>
        <row r="386">
          <cell r="C386">
            <v>28539650</v>
          </cell>
          <cell r="D386">
            <v>0</v>
          </cell>
        </row>
        <row r="387">
          <cell r="C387">
            <v>226236874</v>
          </cell>
          <cell r="D387">
            <v>0</v>
          </cell>
        </row>
        <row r="388">
          <cell r="C388">
            <v>60271800</v>
          </cell>
          <cell r="D388">
            <v>0</v>
          </cell>
        </row>
        <row r="389">
          <cell r="C389">
            <v>15864845</v>
          </cell>
          <cell r="D389">
            <v>0</v>
          </cell>
        </row>
        <row r="390">
          <cell r="C390">
            <v>504207313</v>
          </cell>
          <cell r="D390">
            <v>0</v>
          </cell>
        </row>
        <row r="391">
          <cell r="C391">
            <v>106888000</v>
          </cell>
          <cell r="D391">
            <v>0</v>
          </cell>
        </row>
        <row r="392">
          <cell r="C392">
            <v>79097335</v>
          </cell>
          <cell r="D392">
            <v>0</v>
          </cell>
        </row>
        <row r="393">
          <cell r="C393">
            <v>10266760</v>
          </cell>
          <cell r="D393">
            <v>0</v>
          </cell>
        </row>
        <row r="394">
          <cell r="C394">
            <v>29135178</v>
          </cell>
          <cell r="D394">
            <v>0</v>
          </cell>
        </row>
        <row r="395">
          <cell r="C395">
            <v>87453901</v>
          </cell>
          <cell r="D395">
            <v>0</v>
          </cell>
        </row>
        <row r="396">
          <cell r="C396">
            <v>112902279</v>
          </cell>
          <cell r="D396">
            <v>0</v>
          </cell>
        </row>
        <row r="397">
          <cell r="C397">
            <v>2580000</v>
          </cell>
          <cell r="D397">
            <v>0</v>
          </cell>
        </row>
        <row r="398">
          <cell r="C398">
            <v>556558</v>
          </cell>
          <cell r="D398">
            <v>0</v>
          </cell>
        </row>
        <row r="399">
          <cell r="C399">
            <v>24958951</v>
          </cell>
          <cell r="D399">
            <v>0</v>
          </cell>
        </row>
        <row r="400">
          <cell r="C400">
            <v>0</v>
          </cell>
          <cell r="D400">
            <v>702044</v>
          </cell>
        </row>
        <row r="401">
          <cell r="C401">
            <v>0</v>
          </cell>
          <cell r="D401">
            <v>0</v>
          </cell>
        </row>
        <row r="402">
          <cell r="C402">
            <v>0</v>
          </cell>
          <cell r="D402">
            <v>0</v>
          </cell>
        </row>
        <row r="403">
          <cell r="C403">
            <v>0</v>
          </cell>
          <cell r="D403">
            <v>0</v>
          </cell>
        </row>
        <row r="404">
          <cell r="C404">
            <v>911337</v>
          </cell>
          <cell r="D404">
            <v>0</v>
          </cell>
        </row>
        <row r="405">
          <cell r="C405">
            <v>653012</v>
          </cell>
          <cell r="D405">
            <v>0</v>
          </cell>
        </row>
        <row r="406">
          <cell r="C406">
            <v>1085177</v>
          </cell>
          <cell r="D406">
            <v>0</v>
          </cell>
        </row>
        <row r="407">
          <cell r="C407">
            <v>0</v>
          </cell>
          <cell r="D407">
            <v>0</v>
          </cell>
        </row>
        <row r="408">
          <cell r="C408">
            <v>48335939</v>
          </cell>
          <cell r="D408">
            <v>0</v>
          </cell>
        </row>
        <row r="409">
          <cell r="C409">
            <v>23069455</v>
          </cell>
          <cell r="D409">
            <v>0</v>
          </cell>
        </row>
        <row r="410">
          <cell r="C410">
            <v>0</v>
          </cell>
          <cell r="D410">
            <v>34178824</v>
          </cell>
        </row>
        <row r="411">
          <cell r="C411">
            <v>6555395</v>
          </cell>
          <cell r="D411">
            <v>0</v>
          </cell>
        </row>
        <row r="412">
          <cell r="C412">
            <v>0</v>
          </cell>
          <cell r="D412">
            <v>3331982</v>
          </cell>
        </row>
        <row r="413">
          <cell r="C413">
            <v>0</v>
          </cell>
          <cell r="D413">
            <v>15667478</v>
          </cell>
        </row>
        <row r="414">
          <cell r="C414">
            <v>0</v>
          </cell>
          <cell r="D414">
            <v>12700191</v>
          </cell>
        </row>
        <row r="415">
          <cell r="C415">
            <v>0</v>
          </cell>
          <cell r="D415">
            <v>1051042</v>
          </cell>
        </row>
        <row r="416">
          <cell r="C416">
            <v>0</v>
          </cell>
          <cell r="D416">
            <v>5776995</v>
          </cell>
        </row>
        <row r="417">
          <cell r="C417">
            <v>3788097</v>
          </cell>
          <cell r="D417">
            <v>0</v>
          </cell>
        </row>
        <row r="418">
          <cell r="C418">
            <v>3308019</v>
          </cell>
          <cell r="D418">
            <v>0</v>
          </cell>
        </row>
        <row r="419">
          <cell r="C419">
            <v>0</v>
          </cell>
          <cell r="D419">
            <v>76278</v>
          </cell>
        </row>
        <row r="420">
          <cell r="C420">
            <v>390003</v>
          </cell>
          <cell r="D420">
            <v>0</v>
          </cell>
        </row>
        <row r="421">
          <cell r="C421">
            <v>719087</v>
          </cell>
          <cell r="D421">
            <v>0</v>
          </cell>
        </row>
        <row r="422">
          <cell r="C422">
            <v>0</v>
          </cell>
          <cell r="D422">
            <v>306235</v>
          </cell>
        </row>
        <row r="423">
          <cell r="C423">
            <v>24677700</v>
          </cell>
          <cell r="D423">
            <v>0</v>
          </cell>
        </row>
        <row r="424">
          <cell r="C424">
            <v>24333200</v>
          </cell>
          <cell r="D424">
            <v>0</v>
          </cell>
        </row>
        <row r="425">
          <cell r="C425">
            <v>43869305</v>
          </cell>
          <cell r="D425">
            <v>0</v>
          </cell>
        </row>
        <row r="426">
          <cell r="C426">
            <v>3498845</v>
          </cell>
          <cell r="D426">
            <v>0</v>
          </cell>
        </row>
        <row r="427">
          <cell r="C427">
            <v>1887318</v>
          </cell>
          <cell r="D427">
            <v>0</v>
          </cell>
        </row>
        <row r="428">
          <cell r="C428">
            <v>3073769</v>
          </cell>
          <cell r="D428">
            <v>0</v>
          </cell>
        </row>
        <row r="429">
          <cell r="C429">
            <v>0</v>
          </cell>
          <cell r="D429">
            <v>479296</v>
          </cell>
        </row>
        <row r="430">
          <cell r="C430">
            <v>2624000</v>
          </cell>
          <cell r="D430">
            <v>0</v>
          </cell>
        </row>
        <row r="431">
          <cell r="C431">
            <v>1032230</v>
          </cell>
          <cell r="D431">
            <v>0</v>
          </cell>
        </row>
        <row r="432">
          <cell r="C432">
            <v>45200000</v>
          </cell>
          <cell r="D432">
            <v>0</v>
          </cell>
        </row>
        <row r="433">
          <cell r="C433">
            <v>77742604</v>
          </cell>
          <cell r="D433">
            <v>0</v>
          </cell>
        </row>
        <row r="434">
          <cell r="C434">
            <v>0</v>
          </cell>
          <cell r="D434">
            <v>0</v>
          </cell>
        </row>
        <row r="435">
          <cell r="C435">
            <v>19702841</v>
          </cell>
          <cell r="D435">
            <v>0</v>
          </cell>
        </row>
        <row r="436">
          <cell r="C436">
            <v>7525909</v>
          </cell>
          <cell r="D436">
            <v>0</v>
          </cell>
        </row>
        <row r="437">
          <cell r="C437">
            <v>8460960715</v>
          </cell>
          <cell r="D437">
            <v>0</v>
          </cell>
        </row>
        <row r="438">
          <cell r="C438">
            <v>47836172</v>
          </cell>
          <cell r="D438">
            <v>0</v>
          </cell>
        </row>
        <row r="439">
          <cell r="C439">
            <v>51831824</v>
          </cell>
          <cell r="D439">
            <v>0</v>
          </cell>
        </row>
        <row r="440">
          <cell r="C440">
            <v>25960998</v>
          </cell>
          <cell r="D440">
            <v>0</v>
          </cell>
        </row>
        <row r="441">
          <cell r="C441">
            <v>0</v>
          </cell>
          <cell r="D441">
            <v>0</v>
          </cell>
        </row>
        <row r="442">
          <cell r="C442">
            <v>532246291</v>
          </cell>
          <cell r="D442">
            <v>0</v>
          </cell>
        </row>
        <row r="443">
          <cell r="C443">
            <v>5503932</v>
          </cell>
          <cell r="D443">
            <v>0</v>
          </cell>
        </row>
        <row r="444">
          <cell r="C444">
            <v>3176116</v>
          </cell>
          <cell r="D444">
            <v>0</v>
          </cell>
        </row>
        <row r="445">
          <cell r="C445">
            <v>11084074</v>
          </cell>
          <cell r="D445">
            <v>0</v>
          </cell>
        </row>
        <row r="446">
          <cell r="C446">
            <v>27993</v>
          </cell>
          <cell r="D446">
            <v>0</v>
          </cell>
        </row>
        <row r="447">
          <cell r="C447">
            <v>0</v>
          </cell>
          <cell r="D447">
            <v>0</v>
          </cell>
        </row>
        <row r="448">
          <cell r="C448">
            <v>101032692</v>
          </cell>
          <cell r="D448">
            <v>0</v>
          </cell>
        </row>
        <row r="449">
          <cell r="C449">
            <v>0</v>
          </cell>
          <cell r="D449">
            <v>125343126</v>
          </cell>
        </row>
        <row r="450">
          <cell r="C450">
            <v>0</v>
          </cell>
          <cell r="D450">
            <v>21221998</v>
          </cell>
        </row>
        <row r="451">
          <cell r="C451">
            <v>0</v>
          </cell>
          <cell r="D451">
            <v>0</v>
          </cell>
        </row>
        <row r="452">
          <cell r="C452">
            <v>0</v>
          </cell>
          <cell r="D452">
            <v>811774789</v>
          </cell>
        </row>
        <row r="453">
          <cell r="C453">
            <v>0</v>
          </cell>
          <cell r="D453">
            <v>8015599421</v>
          </cell>
        </row>
        <row r="454">
          <cell r="C454">
            <v>0</v>
          </cell>
          <cell r="D454">
            <v>10569</v>
          </cell>
        </row>
        <row r="455">
          <cell r="C455">
            <v>34366013</v>
          </cell>
          <cell r="D455">
            <v>0</v>
          </cell>
        </row>
        <row r="456">
          <cell r="C456">
            <v>175510046</v>
          </cell>
          <cell r="D456">
            <v>0</v>
          </cell>
        </row>
        <row r="457">
          <cell r="C457">
            <v>0</v>
          </cell>
          <cell r="D457">
            <v>449790</v>
          </cell>
        </row>
        <row r="458">
          <cell r="C458">
            <v>0</v>
          </cell>
          <cell r="D458">
            <v>29783000</v>
          </cell>
        </row>
        <row r="459">
          <cell r="C459">
            <v>0</v>
          </cell>
          <cell r="D459">
            <v>72068750</v>
          </cell>
        </row>
        <row r="460">
          <cell r="C460">
            <v>0</v>
          </cell>
          <cell r="D460">
            <v>734860475</v>
          </cell>
        </row>
        <row r="461">
          <cell r="C461">
            <v>0</v>
          </cell>
          <cell r="D461">
            <v>498477255</v>
          </cell>
        </row>
        <row r="462">
          <cell r="C462">
            <v>0</v>
          </cell>
          <cell r="D462">
            <v>1779580</v>
          </cell>
        </row>
        <row r="463">
          <cell r="C463">
            <v>0</v>
          </cell>
          <cell r="D463">
            <v>171618125</v>
          </cell>
        </row>
        <row r="464">
          <cell r="C464">
            <v>0</v>
          </cell>
          <cell r="D464">
            <v>393525</v>
          </cell>
        </row>
        <row r="465">
          <cell r="C465">
            <v>0</v>
          </cell>
          <cell r="D465">
            <v>3723000</v>
          </cell>
        </row>
        <row r="466">
          <cell r="C466">
            <v>0</v>
          </cell>
          <cell r="D466">
            <v>242714120</v>
          </cell>
        </row>
        <row r="467">
          <cell r="C467">
            <v>0</v>
          </cell>
          <cell r="D467">
            <v>560480</v>
          </cell>
        </row>
        <row r="468">
          <cell r="C468">
            <v>0</v>
          </cell>
          <cell r="D468">
            <v>45717835</v>
          </cell>
        </row>
        <row r="469">
          <cell r="C469">
            <v>0</v>
          </cell>
          <cell r="D469">
            <v>0</v>
          </cell>
        </row>
        <row r="470">
          <cell r="C470">
            <v>0</v>
          </cell>
          <cell r="D470">
            <v>36369190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4040235612</v>
          </cell>
        </row>
        <row r="473">
          <cell r="C473">
            <v>0</v>
          </cell>
          <cell r="D473">
            <v>177223669</v>
          </cell>
        </row>
        <row r="474">
          <cell r="C474">
            <v>0</v>
          </cell>
          <cell r="D474">
            <v>22824076183</v>
          </cell>
        </row>
        <row r="475">
          <cell r="C475">
            <v>0</v>
          </cell>
          <cell r="D475">
            <v>1739296071</v>
          </cell>
        </row>
        <row r="476">
          <cell r="C476">
            <v>0</v>
          </cell>
          <cell r="D476">
            <v>16474444229</v>
          </cell>
        </row>
        <row r="477">
          <cell r="C477">
            <v>0</v>
          </cell>
          <cell r="D477">
            <v>36393809912</v>
          </cell>
        </row>
        <row r="478">
          <cell r="C478">
            <v>0</v>
          </cell>
          <cell r="D478">
            <v>6124739880</v>
          </cell>
        </row>
        <row r="479">
          <cell r="C479">
            <v>0</v>
          </cell>
          <cell r="D479">
            <v>3004837514</v>
          </cell>
        </row>
        <row r="480">
          <cell r="C480">
            <v>0</v>
          </cell>
          <cell r="D480">
            <v>754990206</v>
          </cell>
        </row>
        <row r="481">
          <cell r="C481">
            <v>0</v>
          </cell>
          <cell r="D481">
            <v>46850990</v>
          </cell>
        </row>
        <row r="482">
          <cell r="C482">
            <v>0</v>
          </cell>
          <cell r="D482">
            <v>1382058358</v>
          </cell>
        </row>
        <row r="483">
          <cell r="C483">
            <v>0</v>
          </cell>
          <cell r="D483">
            <v>12673254785</v>
          </cell>
        </row>
        <row r="484">
          <cell r="C484">
            <v>0</v>
          </cell>
          <cell r="D484">
            <v>1684465082</v>
          </cell>
        </row>
        <row r="485">
          <cell r="C485">
            <v>0</v>
          </cell>
          <cell r="D485">
            <v>27102128984</v>
          </cell>
        </row>
        <row r="486">
          <cell r="C486">
            <v>0</v>
          </cell>
          <cell r="D486">
            <v>16347469452</v>
          </cell>
        </row>
        <row r="487">
          <cell r="C487">
            <v>0</v>
          </cell>
          <cell r="D487">
            <v>3636820</v>
          </cell>
        </row>
        <row r="488">
          <cell r="C488">
            <v>0</v>
          </cell>
          <cell r="D488">
            <v>5832102365</v>
          </cell>
        </row>
        <row r="489">
          <cell r="C489">
            <v>0</v>
          </cell>
          <cell r="D489">
            <v>3184749039</v>
          </cell>
        </row>
        <row r="490">
          <cell r="C490">
            <v>0</v>
          </cell>
          <cell r="D490">
            <v>3814446201</v>
          </cell>
        </row>
        <row r="491">
          <cell r="C491">
            <v>0</v>
          </cell>
          <cell r="D491">
            <v>625956881</v>
          </cell>
        </row>
        <row r="492">
          <cell r="C492">
            <v>0</v>
          </cell>
          <cell r="D492">
            <v>96081722</v>
          </cell>
        </row>
        <row r="493">
          <cell r="C493">
            <v>18325425535</v>
          </cell>
          <cell r="D493">
            <v>0</v>
          </cell>
        </row>
        <row r="494">
          <cell r="C494">
            <v>13420703749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697063301</v>
          </cell>
        </row>
        <row r="498">
          <cell r="C498">
            <v>0</v>
          </cell>
          <cell r="D498">
            <v>15949829631</v>
          </cell>
        </row>
        <row r="499">
          <cell r="C499">
            <v>0</v>
          </cell>
          <cell r="D499">
            <v>11694603616</v>
          </cell>
        </row>
        <row r="500">
          <cell r="C500">
            <v>0</v>
          </cell>
          <cell r="D500">
            <v>488507515</v>
          </cell>
        </row>
        <row r="501">
          <cell r="C501">
            <v>0</v>
          </cell>
          <cell r="D501">
            <v>274568532</v>
          </cell>
        </row>
        <row r="502">
          <cell r="C502">
            <v>0</v>
          </cell>
          <cell r="D502">
            <v>3290759671</v>
          </cell>
        </row>
        <row r="503">
          <cell r="C503">
            <v>0</v>
          </cell>
          <cell r="D503">
            <v>142464545</v>
          </cell>
        </row>
        <row r="504">
          <cell r="C504">
            <v>0</v>
          </cell>
          <cell r="D504">
            <v>704681742</v>
          </cell>
        </row>
        <row r="505">
          <cell r="C505">
            <v>0</v>
          </cell>
          <cell r="D505">
            <v>12319706488</v>
          </cell>
        </row>
        <row r="506">
          <cell r="C506">
            <v>0</v>
          </cell>
          <cell r="D506">
            <v>8235349706</v>
          </cell>
        </row>
        <row r="507">
          <cell r="C507">
            <v>0</v>
          </cell>
          <cell r="D507">
            <v>535784798</v>
          </cell>
        </row>
        <row r="508">
          <cell r="C508">
            <v>0</v>
          </cell>
          <cell r="D508">
            <v>11738617</v>
          </cell>
        </row>
        <row r="509">
          <cell r="C509">
            <v>0</v>
          </cell>
          <cell r="D509">
            <v>2223932655</v>
          </cell>
        </row>
        <row r="510">
          <cell r="C510">
            <v>0</v>
          </cell>
          <cell r="D510">
            <v>42811057</v>
          </cell>
        </row>
        <row r="511">
          <cell r="C511">
            <v>0</v>
          </cell>
          <cell r="D511">
            <v>0</v>
          </cell>
        </row>
        <row r="512">
          <cell r="C512">
            <v>6297994552</v>
          </cell>
          <cell r="D512">
            <v>0</v>
          </cell>
        </row>
        <row r="513">
          <cell r="C513">
            <v>4683706413</v>
          </cell>
          <cell r="D513">
            <v>0</v>
          </cell>
        </row>
        <row r="514">
          <cell r="C514">
            <v>5112998</v>
          </cell>
          <cell r="D514">
            <v>0</v>
          </cell>
        </row>
        <row r="515">
          <cell r="C515">
            <v>0</v>
          </cell>
          <cell r="D515">
            <v>91432</v>
          </cell>
        </row>
        <row r="516">
          <cell r="C516">
            <v>0</v>
          </cell>
          <cell r="D516">
            <v>151563461</v>
          </cell>
        </row>
        <row r="517">
          <cell r="C517">
            <v>0</v>
          </cell>
          <cell r="D517">
            <v>239756</v>
          </cell>
        </row>
        <row r="518">
          <cell r="C518">
            <v>0</v>
          </cell>
          <cell r="D518">
            <v>72710</v>
          </cell>
        </row>
        <row r="519">
          <cell r="C519">
            <v>98252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3150620225</v>
          </cell>
          <cell r="D521">
            <v>0</v>
          </cell>
        </row>
        <row r="522">
          <cell r="C522">
            <v>1105482147</v>
          </cell>
          <cell r="D522">
            <v>0</v>
          </cell>
        </row>
        <row r="523">
          <cell r="C523">
            <v>299503554</v>
          </cell>
          <cell r="D523">
            <v>0</v>
          </cell>
        </row>
        <row r="524">
          <cell r="C524">
            <v>289255</v>
          </cell>
          <cell r="D524">
            <v>0</v>
          </cell>
        </row>
        <row r="525">
          <cell r="C525">
            <v>1615911020</v>
          </cell>
          <cell r="D525">
            <v>0</v>
          </cell>
        </row>
        <row r="526">
          <cell r="C526">
            <v>0</v>
          </cell>
          <cell r="D526">
            <v>0</v>
          </cell>
        </row>
        <row r="527">
          <cell r="C527">
            <v>9356591</v>
          </cell>
          <cell r="D527">
            <v>0</v>
          </cell>
        </row>
        <row r="528">
          <cell r="C528">
            <v>0</v>
          </cell>
          <cell r="D528">
            <v>0</v>
          </cell>
        </row>
        <row r="529">
          <cell r="C529">
            <v>3268849306</v>
          </cell>
          <cell r="D529">
            <v>0</v>
          </cell>
        </row>
        <row r="530">
          <cell r="C530">
            <v>984132193</v>
          </cell>
          <cell r="D530">
            <v>0</v>
          </cell>
        </row>
        <row r="531">
          <cell r="C531">
            <v>0</v>
          </cell>
          <cell r="D531">
            <v>1239225056</v>
          </cell>
        </row>
        <row r="532">
          <cell r="C532">
            <v>0</v>
          </cell>
          <cell r="D532">
            <v>57858747</v>
          </cell>
        </row>
        <row r="533">
          <cell r="C533">
            <v>0</v>
          </cell>
          <cell r="D533">
            <v>2357379255</v>
          </cell>
        </row>
        <row r="534">
          <cell r="C534">
            <v>0</v>
          </cell>
          <cell r="D534">
            <v>4825990</v>
          </cell>
        </row>
        <row r="535">
          <cell r="C535">
            <v>2801267</v>
          </cell>
          <cell r="D535">
            <v>0</v>
          </cell>
        </row>
        <row r="536">
          <cell r="C536">
            <v>0</v>
          </cell>
          <cell r="D536">
            <v>0</v>
          </cell>
        </row>
        <row r="537">
          <cell r="C537">
            <v>0</v>
          </cell>
          <cell r="D537">
            <v>0</v>
          </cell>
        </row>
        <row r="538">
          <cell r="C538">
            <v>0</v>
          </cell>
          <cell r="D538">
            <v>29994090</v>
          </cell>
        </row>
        <row r="539">
          <cell r="C539">
            <v>0</v>
          </cell>
          <cell r="D539">
            <v>119909725</v>
          </cell>
        </row>
        <row r="540">
          <cell r="C540">
            <v>0</v>
          </cell>
          <cell r="D540">
            <v>36226093</v>
          </cell>
        </row>
        <row r="541">
          <cell r="C541">
            <v>0</v>
          </cell>
          <cell r="D541">
            <v>85299386</v>
          </cell>
        </row>
        <row r="542">
          <cell r="C542">
            <v>0</v>
          </cell>
          <cell r="D542">
            <v>0</v>
          </cell>
        </row>
        <row r="543">
          <cell r="C543">
            <v>0</v>
          </cell>
          <cell r="D543">
            <v>15184481</v>
          </cell>
        </row>
        <row r="544">
          <cell r="C544">
            <v>0</v>
          </cell>
          <cell r="D544">
            <v>46525232</v>
          </cell>
        </row>
        <row r="545">
          <cell r="C545">
            <v>0</v>
          </cell>
          <cell r="D545">
            <v>431146972</v>
          </cell>
        </row>
        <row r="546">
          <cell r="C546">
            <v>0</v>
          </cell>
          <cell r="D546">
            <v>22239288</v>
          </cell>
        </row>
        <row r="547">
          <cell r="C547">
            <v>0</v>
          </cell>
          <cell r="D547">
            <v>176890581</v>
          </cell>
        </row>
        <row r="548">
          <cell r="C548">
            <v>0</v>
          </cell>
          <cell r="D548">
            <v>46290522</v>
          </cell>
        </row>
        <row r="549">
          <cell r="C549">
            <v>0</v>
          </cell>
          <cell r="D549">
            <v>79500</v>
          </cell>
        </row>
        <row r="550">
          <cell r="C550">
            <v>0</v>
          </cell>
          <cell r="D550">
            <v>1257195</v>
          </cell>
        </row>
        <row r="551">
          <cell r="C551">
            <v>0</v>
          </cell>
          <cell r="D551">
            <v>681297390</v>
          </cell>
        </row>
        <row r="552">
          <cell r="C552">
            <v>0</v>
          </cell>
          <cell r="D552">
            <v>288000000</v>
          </cell>
        </row>
        <row r="553">
          <cell r="C553">
            <v>0</v>
          </cell>
          <cell r="D553">
            <v>10882075</v>
          </cell>
        </row>
        <row r="554">
          <cell r="C554">
            <v>0</v>
          </cell>
          <cell r="D554">
            <v>29150000</v>
          </cell>
        </row>
        <row r="555">
          <cell r="C555">
            <v>0</v>
          </cell>
          <cell r="D555">
            <v>70800</v>
          </cell>
        </row>
        <row r="556">
          <cell r="C556">
            <v>0</v>
          </cell>
          <cell r="D556">
            <v>413979</v>
          </cell>
        </row>
        <row r="557">
          <cell r="C557">
            <v>0</v>
          </cell>
          <cell r="D557">
            <v>557115</v>
          </cell>
        </row>
        <row r="558">
          <cell r="C558">
            <v>0</v>
          </cell>
          <cell r="D558">
            <v>571545327</v>
          </cell>
        </row>
        <row r="559">
          <cell r="C559">
            <v>0</v>
          </cell>
          <cell r="D559">
            <v>0</v>
          </cell>
        </row>
        <row r="560">
          <cell r="C560">
            <v>0</v>
          </cell>
          <cell r="D560">
            <v>0</v>
          </cell>
        </row>
        <row r="561">
          <cell r="C561">
            <v>0</v>
          </cell>
          <cell r="D561">
            <v>46080000</v>
          </cell>
        </row>
        <row r="562">
          <cell r="C562">
            <v>0</v>
          </cell>
          <cell r="D562">
            <v>6780000</v>
          </cell>
        </row>
        <row r="563">
          <cell r="C563">
            <v>0</v>
          </cell>
          <cell r="D563">
            <v>0</v>
          </cell>
        </row>
        <row r="564">
          <cell r="C564">
            <v>0</v>
          </cell>
          <cell r="D564">
            <v>33546258</v>
          </cell>
        </row>
        <row r="565">
          <cell r="C565">
            <v>0</v>
          </cell>
          <cell r="D565">
            <v>21680304</v>
          </cell>
        </row>
        <row r="566">
          <cell r="C566">
            <v>0</v>
          </cell>
          <cell r="D566">
            <v>1476000</v>
          </cell>
        </row>
        <row r="567">
          <cell r="C567">
            <v>0</v>
          </cell>
          <cell r="D567">
            <v>173208771000</v>
          </cell>
        </row>
        <row r="568">
          <cell r="C568">
            <v>0</v>
          </cell>
          <cell r="D568">
            <v>11170122000</v>
          </cell>
        </row>
        <row r="569">
          <cell r="C569">
            <v>0</v>
          </cell>
          <cell r="D569">
            <v>35498400</v>
          </cell>
        </row>
        <row r="570">
          <cell r="C570">
            <v>0</v>
          </cell>
          <cell r="D570">
            <v>4662000</v>
          </cell>
        </row>
        <row r="571">
          <cell r="C571">
            <v>0</v>
          </cell>
          <cell r="D571">
            <v>6966000</v>
          </cell>
        </row>
        <row r="572">
          <cell r="C572">
            <v>0</v>
          </cell>
          <cell r="D572">
            <v>6507000</v>
          </cell>
        </row>
        <row r="573">
          <cell r="C573">
            <v>0</v>
          </cell>
          <cell r="D573">
            <v>244192000</v>
          </cell>
        </row>
        <row r="574">
          <cell r="C574">
            <v>244952000</v>
          </cell>
          <cell r="D574">
            <v>0</v>
          </cell>
        </row>
        <row r="575">
          <cell r="C575">
            <v>169309695000</v>
          </cell>
          <cell r="D575">
            <v>0</v>
          </cell>
        </row>
        <row r="576">
          <cell r="C576">
            <v>11178852000</v>
          </cell>
          <cell r="D576">
            <v>0</v>
          </cell>
        </row>
        <row r="577">
          <cell r="C577">
            <v>219805200</v>
          </cell>
          <cell r="D577">
            <v>0</v>
          </cell>
        </row>
        <row r="578">
          <cell r="C578">
            <v>21165600</v>
          </cell>
          <cell r="D578">
            <v>0</v>
          </cell>
        </row>
        <row r="579">
          <cell r="C579">
            <v>473400</v>
          </cell>
          <cell r="D579">
            <v>0</v>
          </cell>
        </row>
        <row r="580">
          <cell r="C580">
            <v>30600</v>
          </cell>
          <cell r="D580">
            <v>0</v>
          </cell>
        </row>
        <row r="581">
          <cell r="C581">
            <v>0</v>
          </cell>
          <cell r="D581">
            <v>24551664</v>
          </cell>
        </row>
        <row r="582">
          <cell r="C582">
            <v>0</v>
          </cell>
          <cell r="D582">
            <v>63091416</v>
          </cell>
        </row>
        <row r="583">
          <cell r="C583">
            <v>0</v>
          </cell>
          <cell r="D583">
            <v>702542814</v>
          </cell>
        </row>
        <row r="584">
          <cell r="C584">
            <v>0</v>
          </cell>
          <cell r="D584">
            <v>2317819541</v>
          </cell>
        </row>
        <row r="585">
          <cell r="C585">
            <v>0</v>
          </cell>
          <cell r="D585">
            <v>70344058</v>
          </cell>
        </row>
        <row r="586">
          <cell r="C586">
            <v>60880945098</v>
          </cell>
          <cell r="D586">
            <v>0</v>
          </cell>
        </row>
        <row r="587">
          <cell r="C587">
            <v>0</v>
          </cell>
          <cell r="D587">
            <v>109858045</v>
          </cell>
        </row>
        <row r="588">
          <cell r="C588">
            <v>32752180780</v>
          </cell>
          <cell r="D588">
            <v>0</v>
          </cell>
        </row>
        <row r="589">
          <cell r="C589">
            <v>0</v>
          </cell>
          <cell r="D589">
            <v>56234570</v>
          </cell>
        </row>
        <row r="590">
          <cell r="C590">
            <v>2070805938</v>
          </cell>
          <cell r="D590">
            <v>0</v>
          </cell>
        </row>
        <row r="591">
          <cell r="C591">
            <v>312112593</v>
          </cell>
          <cell r="D591">
            <v>0</v>
          </cell>
        </row>
        <row r="592">
          <cell r="C592">
            <v>0</v>
          </cell>
          <cell r="D592">
            <v>61055701544</v>
          </cell>
        </row>
        <row r="593">
          <cell r="C593">
            <v>0</v>
          </cell>
          <cell r="D593">
            <v>32249590776</v>
          </cell>
        </row>
        <row r="594">
          <cell r="C594">
            <v>0</v>
          </cell>
          <cell r="D594">
            <v>297684595</v>
          </cell>
        </row>
        <row r="595">
          <cell r="C595">
            <v>0</v>
          </cell>
          <cell r="D595">
            <v>492418157</v>
          </cell>
        </row>
        <row r="596">
          <cell r="C596">
            <v>0</v>
          </cell>
          <cell r="D596">
            <v>2298956832</v>
          </cell>
        </row>
        <row r="597">
          <cell r="C597">
            <v>0</v>
          </cell>
          <cell r="D597">
            <v>265521750</v>
          </cell>
        </row>
        <row r="598">
          <cell r="C598">
            <v>0</v>
          </cell>
          <cell r="D598">
            <v>40051531</v>
          </cell>
        </row>
        <row r="599">
          <cell r="C599">
            <v>0</v>
          </cell>
          <cell r="D599">
            <v>15257078</v>
          </cell>
        </row>
        <row r="600">
          <cell r="C600">
            <v>0</v>
          </cell>
          <cell r="D600">
            <v>32704630</v>
          </cell>
        </row>
        <row r="601">
          <cell r="C601">
            <v>0</v>
          </cell>
          <cell r="D601">
            <v>800608</v>
          </cell>
        </row>
        <row r="602">
          <cell r="C602">
            <v>0</v>
          </cell>
          <cell r="D602">
            <v>32850702</v>
          </cell>
        </row>
        <row r="603">
          <cell r="C603">
            <v>0</v>
          </cell>
          <cell r="D603">
            <v>135211029</v>
          </cell>
        </row>
        <row r="604">
          <cell r="C604">
            <v>0</v>
          </cell>
          <cell r="D604">
            <v>65034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374757164</v>
          </cell>
        </row>
        <row r="607">
          <cell r="C607">
            <v>0</v>
          </cell>
          <cell r="D607">
            <v>165163458</v>
          </cell>
        </row>
        <row r="608">
          <cell r="C608">
            <v>0</v>
          </cell>
          <cell r="D608">
            <v>470300588</v>
          </cell>
        </row>
        <row r="609">
          <cell r="C609">
            <v>0</v>
          </cell>
          <cell r="D609">
            <v>9912973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348636632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12425388</v>
          </cell>
        </row>
        <row r="614">
          <cell r="C614">
            <v>0</v>
          </cell>
          <cell r="D614">
            <v>16677249</v>
          </cell>
        </row>
        <row r="615">
          <cell r="C615">
            <v>0</v>
          </cell>
          <cell r="D615">
            <v>123114946</v>
          </cell>
        </row>
        <row r="616">
          <cell r="C616">
            <v>0</v>
          </cell>
          <cell r="D616">
            <v>128910202</v>
          </cell>
        </row>
        <row r="617">
          <cell r="C617">
            <v>0</v>
          </cell>
          <cell r="D617">
            <v>92703186</v>
          </cell>
        </row>
        <row r="618">
          <cell r="C618">
            <v>0</v>
          </cell>
          <cell r="D618">
            <v>122311499</v>
          </cell>
        </row>
        <row r="619">
          <cell r="C619">
            <v>0</v>
          </cell>
          <cell r="D619">
            <v>883265686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11993527</v>
          </cell>
        </row>
        <row r="622">
          <cell r="C622">
            <v>0</v>
          </cell>
          <cell r="D622">
            <v>93363162</v>
          </cell>
        </row>
        <row r="623">
          <cell r="C623">
            <v>0</v>
          </cell>
          <cell r="D623">
            <v>684178545</v>
          </cell>
        </row>
        <row r="624">
          <cell r="C624">
            <v>0</v>
          </cell>
          <cell r="D624">
            <v>497637300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4481475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13471496</v>
          </cell>
        </row>
        <row r="629">
          <cell r="C629">
            <v>0</v>
          </cell>
          <cell r="D629">
            <v>16795454</v>
          </cell>
        </row>
        <row r="630">
          <cell r="C630">
            <v>0</v>
          </cell>
          <cell r="D630">
            <v>56453285</v>
          </cell>
        </row>
        <row r="631">
          <cell r="C631">
            <v>0</v>
          </cell>
          <cell r="D631">
            <v>2346205</v>
          </cell>
        </row>
        <row r="632">
          <cell r="C632">
            <v>0</v>
          </cell>
          <cell r="D632">
            <v>9468524</v>
          </cell>
        </row>
        <row r="633">
          <cell r="C633">
            <v>0</v>
          </cell>
          <cell r="D633">
            <v>33482448</v>
          </cell>
        </row>
        <row r="634">
          <cell r="C634">
            <v>0</v>
          </cell>
          <cell r="D634">
            <v>150805645</v>
          </cell>
        </row>
        <row r="635">
          <cell r="C635">
            <v>0</v>
          </cell>
          <cell r="D635">
            <v>71560071</v>
          </cell>
        </row>
        <row r="636">
          <cell r="C636">
            <v>0</v>
          </cell>
          <cell r="D636">
            <v>47639732</v>
          </cell>
        </row>
        <row r="637">
          <cell r="C637">
            <v>0</v>
          </cell>
          <cell r="D637">
            <v>98839605</v>
          </cell>
        </row>
        <row r="638">
          <cell r="C638">
            <v>0</v>
          </cell>
          <cell r="D638">
            <v>0</v>
          </cell>
        </row>
        <row r="639">
          <cell r="C639">
            <v>0</v>
          </cell>
          <cell r="D639">
            <v>921351164</v>
          </cell>
        </row>
        <row r="640">
          <cell r="C640">
            <v>0</v>
          </cell>
          <cell r="D640">
            <v>32056111</v>
          </cell>
        </row>
        <row r="641">
          <cell r="C641">
            <v>0</v>
          </cell>
          <cell r="D641">
            <v>68696030</v>
          </cell>
        </row>
        <row r="642">
          <cell r="C642">
            <v>0</v>
          </cell>
          <cell r="D642">
            <v>550951794</v>
          </cell>
        </row>
        <row r="643">
          <cell r="C643">
            <v>0</v>
          </cell>
          <cell r="D643">
            <v>105805367</v>
          </cell>
        </row>
        <row r="644">
          <cell r="C644">
            <v>0</v>
          </cell>
          <cell r="D644">
            <v>35536965</v>
          </cell>
        </row>
        <row r="645">
          <cell r="C645">
            <v>0</v>
          </cell>
          <cell r="D645">
            <v>0</v>
          </cell>
        </row>
        <row r="646">
          <cell r="C646">
            <v>0</v>
          </cell>
          <cell r="D646">
            <v>61205245</v>
          </cell>
        </row>
        <row r="647">
          <cell r="C647">
            <v>0</v>
          </cell>
          <cell r="D647">
            <v>50259579</v>
          </cell>
        </row>
        <row r="648">
          <cell r="C648">
            <v>0</v>
          </cell>
          <cell r="D648">
            <v>219279262</v>
          </cell>
        </row>
        <row r="649">
          <cell r="C649">
            <v>0</v>
          </cell>
          <cell r="D649">
            <v>2714489</v>
          </cell>
        </row>
        <row r="650">
          <cell r="C650">
            <v>0</v>
          </cell>
          <cell r="D650">
            <v>3854251</v>
          </cell>
        </row>
        <row r="651">
          <cell r="C651">
            <v>0</v>
          </cell>
          <cell r="D651">
            <v>11819186</v>
          </cell>
        </row>
        <row r="652">
          <cell r="C652">
            <v>0</v>
          </cell>
          <cell r="D652">
            <v>0</v>
          </cell>
        </row>
        <row r="653">
          <cell r="C653">
            <v>46362003</v>
          </cell>
          <cell r="D653">
            <v>0</v>
          </cell>
        </row>
        <row r="654">
          <cell r="C654">
            <v>0</v>
          </cell>
          <cell r="D654">
            <v>195000000</v>
          </cell>
        </row>
        <row r="655">
          <cell r="C655">
            <v>4322560</v>
          </cell>
          <cell r="D655">
            <v>0</v>
          </cell>
        </row>
        <row r="949">
          <cell r="D949">
            <v>30920946010</v>
          </cell>
        </row>
        <row r="950">
          <cell r="D950">
            <v>30920946010</v>
          </cell>
        </row>
        <row r="951">
          <cell r="D951">
            <v>0</v>
          </cell>
        </row>
        <row r="955">
          <cell r="D955">
            <v>42565906102.527496</v>
          </cell>
        </row>
        <row r="956">
          <cell r="C956">
            <v>2581174935</v>
          </cell>
        </row>
        <row r="957">
          <cell r="D957">
            <v>0</v>
          </cell>
        </row>
        <row r="958">
          <cell r="D958">
            <v>2140638246</v>
          </cell>
        </row>
        <row r="959">
          <cell r="D959">
            <v>1014135231</v>
          </cell>
        </row>
        <row r="960">
          <cell r="D960">
            <v>8981649247.5</v>
          </cell>
        </row>
        <row r="963">
          <cell r="C963">
            <v>0</v>
          </cell>
          <cell r="D963">
            <v>0</v>
          </cell>
        </row>
        <row r="964">
          <cell r="C964">
            <v>0</v>
          </cell>
          <cell r="D964">
            <v>-1939890500</v>
          </cell>
        </row>
        <row r="965">
          <cell r="C965">
            <v>0</v>
          </cell>
        </row>
        <row r="966">
          <cell r="C966">
            <v>-1939890500</v>
          </cell>
        </row>
        <row r="970">
          <cell r="C970">
            <v>42565906102.527496</v>
          </cell>
        </row>
        <row r="971">
          <cell r="D971">
            <v>2581174935</v>
          </cell>
        </row>
        <row r="972">
          <cell r="C972">
            <v>0</v>
          </cell>
        </row>
        <row r="973">
          <cell r="C973">
            <v>2140638246</v>
          </cell>
        </row>
        <row r="974">
          <cell r="C974">
            <v>1014135231</v>
          </cell>
        </row>
        <row r="975">
          <cell r="C975">
            <v>8981649247.5</v>
          </cell>
        </row>
        <row r="977">
          <cell r="C977">
            <v>12313687031</v>
          </cell>
        </row>
        <row r="982">
          <cell r="C982">
            <v>0</v>
          </cell>
          <cell r="D982">
            <v>0</v>
          </cell>
        </row>
        <row r="983">
          <cell r="C983">
            <v>0</v>
          </cell>
          <cell r="D983">
            <v>0</v>
          </cell>
        </row>
        <row r="984">
          <cell r="C984">
            <v>0</v>
          </cell>
        </row>
        <row r="985">
          <cell r="C985">
            <v>0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7FE9E-8F02-4112-9CA6-E81B11E7616A}" name="Tableau1" displayName="Tableau1" ref="A1:C234" totalsRowShown="0">
  <autoFilter ref="A1:C234" xr:uid="{2137FE9E-8F02-4112-9CA6-E81B11E7616A}"/>
  <tableColumns count="3">
    <tableColumn id="1" xr3:uid="{D51C7A31-FC7C-4031-B227-5724831E461A}" name="COMPTE" dataDxfId="25"/>
    <tableColumn id="2" xr3:uid="{C6863E4A-B272-4F42-A474-B571E279635F}" name="INTITULÉ" dataDxfId="24"/>
    <tableColumn id="3" xr3:uid="{70F05D36-E311-4AFA-BED0-63677C571AF5}" name="TYPE 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FBAA98-D989-4EE8-BAF4-EAA7F23BBF05}" name="Tableau10" displayName="Tableau10" ref="A2:D14" totalsRowShown="0" headerRowCellStyle="Normal 2" dataCellStyle="Normal 2">
  <autoFilter ref="A2:D14" xr:uid="{52FBAA98-D989-4EE8-BAF4-EAA7F23BBF05}"/>
  <tableColumns count="4">
    <tableColumn id="1" xr3:uid="{6D651B1F-F78A-4668-B432-C8896277EC86}" name="CODE" dataCellStyle="Normal 2"/>
    <tableColumn id="2" xr3:uid="{CBC598CF-ED90-4B18-8134-799271D527E3}" name="INTITULÉ" dataCellStyle="Normal 2"/>
    <tableColumn id="3" xr3:uid="{2C9E1712-19BA-4B02-AD27-5336CD4E8EB1}" name="TYPE" dataCellStyle="Normal 2"/>
    <tableColumn id="4" xr3:uid="{B34FF256-49EE-4F83-AD57-6FEB6B8A2CEC}" name="COMPTE" dataCellStyle="Normal 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0A70AD-B056-40D1-BC0F-42387CE08338}" name="Tableau3" displayName="Tableau3" ref="B4:E15" totalsRowShown="0" headerRowCellStyle="Normal 2" dataCellStyle="Normal 2">
  <autoFilter ref="B4:E15" xr:uid="{2A0A70AD-B056-40D1-BC0F-42387CE08338}"/>
  <tableColumns count="4">
    <tableColumn id="1" xr3:uid="{A52D74E7-D371-4BC2-A322-07042505C505}" name="INTITULE" dataCellStyle="Normal 2"/>
    <tableColumn id="2" xr3:uid="{C91550D3-C828-4AC9-9E9A-88797DADE8A4}" name="NUM_CT" dataCellStyle="Normal 2">
      <calculatedColumnFormula>+"4111"&amp;B5</calculatedColumnFormula>
    </tableColumn>
    <tableColumn id="3" xr3:uid="{540C91B9-BC04-41C2-A681-15BCB2CD48F8}" name="NUM_CG" dataCellStyle="Normal 2"/>
    <tableColumn id="4" xr3:uid="{6C722553-CDE2-4138-8732-F66B8170D82B}" name="TYPE" dataCellStyle="Normal 2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B0FE32-0484-4ED5-AF4B-CAEDF46D5A42}" name="Tableau4" displayName="Tableau4" ref="B4:E32" totalsRowShown="0" headerRowCellStyle="Normal 2" dataCellStyle="Normal 2">
  <autoFilter ref="B4:E32" xr:uid="{65B0FE32-0484-4ED5-AF4B-CAEDF46D5A42}"/>
  <tableColumns count="4">
    <tableColumn id="1" xr3:uid="{A79A74EF-E268-4521-8B6B-EC215E784764}" name="INTITULE" dataCellStyle="Normal 2"/>
    <tableColumn id="2" xr3:uid="{4A20E5FF-CCC2-40DE-91B5-6D1F174D1057}" name="NUM_CT" dataDxfId="23" dataCellStyle="Normal 2">
      <calculatedColumnFormula>+"4011"&amp;B5</calculatedColumnFormula>
    </tableColumn>
    <tableColumn id="3" xr3:uid="{DB821EE3-4797-4F5A-8A2B-C77B0E64A6E4}" name="NUM_CG" dataCellStyle="Normal 2"/>
    <tableColumn id="4" xr3:uid="{BA80D895-8262-46D3-95B9-158B7D2D0682}" name="TYPE" dataCellStyle="Normal 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AC5AEA-1947-4EC5-A262-20465BE387B6}" name="Tableau13" displayName="Tableau13" ref="A2:B6" totalsRowShown="0">
  <autoFilter ref="A2:B6" xr:uid="{00000000-0009-0000-0100-000001000000}"/>
  <tableColumns count="2">
    <tableColumn id="1" xr3:uid="{36803E8E-9A47-43C6-9ED1-5F483B13CC13}" name="PLAN ANALYTIQUE"/>
    <tableColumn id="2" xr3:uid="{34A4178F-2928-4DDD-9961-18AF3AAE1625}" name="ACTIVI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B44527-0166-4446-997C-7361C321E0EA}" name="Tableau24" displayName="Tableau24" ref="D2:E63" totalsRowCount="1">
  <autoFilter ref="D2:E62" xr:uid="{0DB44527-0166-4446-997C-7361C321E0EA}"/>
  <sortState xmlns:xlrd2="http://schemas.microsoft.com/office/spreadsheetml/2017/richdata2" ref="D3:E52">
    <sortCondition ref="D3:D53"/>
  </sortState>
  <tableColumns count="2">
    <tableColumn id="1" xr3:uid="{E241A2BF-AD27-4775-8397-9F81E0D3A7F2}" name="CODE PROJET" totalsRowLabel="Total" dataDxfId="22" totalsRowDxfId="21"/>
    <tableColumn id="2" xr3:uid="{2031F1E4-A6D6-4ECB-B968-5F8582B2B353}" name="PROJET/CHANTIER" totalsRowFunction="count" dataDxfId="20" totalsRowDxfId="1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906EF9-F5C9-45AB-B7F7-29E3C56D5674}" name="Tableau8" displayName="Tableau8" ref="G2:H6" totalsRowShown="0" headerRowCellStyle="Normal 2" dataCellStyle="Normal 2">
  <autoFilter ref="G2:H6" xr:uid="{20906EF9-F5C9-45AB-B7F7-29E3C56D5674}"/>
  <tableColumns count="2">
    <tableColumn id="1" xr3:uid="{58CEC613-E984-4E70-9AD5-40B4AE2EFE91}" name="FAMILLE" dataCellStyle="Normal 2"/>
    <tableColumn id="2" xr3:uid="{A6664FA9-4A52-4B96-88BC-74691F94F64E}" name="DESIGNATION" dataCellStyle="Normal 2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B8E5F2-953B-42B2-A551-7C131DD4B141}" name="Tableau9" displayName="Tableau9" ref="J2:N46" totalsRowShown="0" headerRowCellStyle="Normal 2" dataCellStyle="Normal 2">
  <autoFilter ref="J2:N46" xr:uid="{9CB8E5F2-953B-42B2-A551-7C131DD4B141}"/>
  <tableColumns count="5">
    <tableColumn id="1" xr3:uid="{8229AF96-D028-459F-8ADF-831D5799F9E7}" name="FAMILLE" dataCellStyle="Normal 2"/>
    <tableColumn id="2" xr3:uid="{D9509E5B-1E5C-4E74-91FD-7FB925B056FE}" name="MATERIEL/ENGIN" dataCellStyle="Normal 2"/>
    <tableColumn id="3" xr3:uid="{44D98544-5594-4EE6-AE5A-629E7EA97199}" name="TYPE" dataCellStyle="Normal 2"/>
    <tableColumn id="4" xr3:uid="{08880797-AE6E-430D-94B3-6E61ED6056B4}" name="MARQUE" dataCellStyle="Normal 2"/>
    <tableColumn id="5" xr3:uid="{76AE2947-8714-4DB4-95A5-8CE619FD9453}" name="IMMATRICULATION" dataCellStyle="Normal 2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D16CEC-9370-495C-8B17-8EA8CE12EE3B}" name="Tableau16" displayName="Tableau16" ref="A2:I44" totalsRowShown="0">
  <autoFilter ref="A2:I44" xr:uid="{89DE91D5-97B9-4104-B0D5-713E3032CCFD}"/>
  <tableColumns count="9">
    <tableColumn id="9" xr3:uid="{B9E97E59-A253-4748-9F83-296A3C690301}" name="N°" dataDxfId="18">
      <calculatedColumnFormula>ROW(Tableau16[[#This Row],[MATERIEL/ENGIN/VEHICULE]])-ROW(Tableau16[[#Headers],[MATERIEL/ENGIN/VEHICULE]])</calculatedColumnFormula>
    </tableColumn>
    <tableColumn id="1" xr3:uid="{AA948234-D810-47FF-8288-A22E7C4BC68B}" name="MATERIEL/ENGIN/VEHICULE" dataDxfId="17"/>
    <tableColumn id="2" xr3:uid="{55ACB606-09E4-487F-9803-2F5A9530CA55}" name="TYPE" dataDxfId="16"/>
    <tableColumn id="3" xr3:uid="{CE04F185-71A7-4026-87F8-E795D7C649EC}" name="MARQUE " dataDxfId="15"/>
    <tableColumn id="4" xr3:uid="{4E55753F-BC00-46CA-830A-650E628FE614}" name="IMMATRICULATION" dataDxfId="14"/>
    <tableColumn id="5" xr3:uid="{91AF23D7-F69A-40FF-83AD-83A91A598EAE}" name="CHAUFFEUR_x000a_NOM-PRENOM" dataDxfId="13"/>
    <tableColumn id="6" xr3:uid="{94B50151-3FB2-4B69-A25F-4F8AB763EADE}" name="CONTACT" dataDxfId="12"/>
    <tableColumn id="7" xr3:uid="{18DD2AF1-1905-43F6-9C74-F88732E2B774}" name="AFFECTATION" dataDxfId="11"/>
    <tableColumn id="8" xr3:uid="{C1A88E96-CD0C-4307-A5FA-B5B1F1E17330}" name="STATUT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1D1D-99EE-4093-B851-9F0E573464B2}">
  <dimension ref="A1:B5"/>
  <sheetViews>
    <sheetView workbookViewId="0">
      <selection activeCell="A5" sqref="A5"/>
    </sheetView>
  </sheetViews>
  <sheetFormatPr baseColWidth="10" defaultRowHeight="14.4" x14ac:dyDescent="0.3"/>
  <cols>
    <col min="1" max="1" width="12.21875" bestFit="1" customWidth="1"/>
    <col min="2" max="2" width="15.109375" bestFit="1" customWidth="1"/>
  </cols>
  <sheetData>
    <row r="1" spans="1:2" x14ac:dyDescent="0.3">
      <c r="A1" t="s">
        <v>137</v>
      </c>
      <c r="B1" t="s">
        <v>138</v>
      </c>
    </row>
    <row r="3" spans="1:2" x14ac:dyDescent="0.3">
      <c r="A3" t="s">
        <v>839</v>
      </c>
    </row>
    <row r="4" spans="1:2" x14ac:dyDescent="0.3">
      <c r="A4" t="s">
        <v>139</v>
      </c>
    </row>
    <row r="5" spans="1:2" x14ac:dyDescent="0.3">
      <c r="A5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E222-DFD0-43E4-84E3-02D9A1092535}">
  <sheetPr>
    <tabColor theme="6" tint="0.39997558519241921"/>
    <pageSetUpPr fitToPage="1"/>
  </sheetPr>
  <dimension ref="A1:E234"/>
  <sheetViews>
    <sheetView topLeftCell="A202" workbookViewId="0">
      <selection activeCell="A2" sqref="A2:C234"/>
    </sheetView>
  </sheetViews>
  <sheetFormatPr baseColWidth="10" defaultRowHeight="14.4" x14ac:dyDescent="0.3"/>
  <cols>
    <col min="2" max="2" width="64.44140625" bestFit="1" customWidth="1"/>
    <col min="3" max="3" width="7.21875" customWidth="1"/>
    <col min="4" max="4" width="33.109375" bestFit="1" customWidth="1"/>
    <col min="6" max="6" width="56.77734375" bestFit="1" customWidth="1"/>
    <col min="7" max="7" width="35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101100</v>
      </c>
      <c r="B2" t="s">
        <v>3</v>
      </c>
      <c r="C2" t="s">
        <v>4</v>
      </c>
    </row>
    <row r="3" spans="1:3" x14ac:dyDescent="0.3">
      <c r="A3">
        <v>101300</v>
      </c>
      <c r="B3" t="s">
        <v>5</v>
      </c>
      <c r="C3" t="s">
        <v>4</v>
      </c>
    </row>
    <row r="4" spans="1:3" x14ac:dyDescent="0.3">
      <c r="A4">
        <v>105100</v>
      </c>
      <c r="B4" t="s">
        <v>6</v>
      </c>
      <c r="C4" t="s">
        <v>4</v>
      </c>
    </row>
    <row r="5" spans="1:3" x14ac:dyDescent="0.3">
      <c r="A5">
        <v>106100</v>
      </c>
      <c r="B5" t="s">
        <v>7</v>
      </c>
      <c r="C5" t="s">
        <v>4</v>
      </c>
    </row>
    <row r="6" spans="1:3" x14ac:dyDescent="0.3">
      <c r="A6">
        <v>111100</v>
      </c>
      <c r="B6" t="s">
        <v>8</v>
      </c>
      <c r="C6" t="s">
        <v>4</v>
      </c>
    </row>
    <row r="7" spans="1:3" x14ac:dyDescent="0.3">
      <c r="A7">
        <v>129100</v>
      </c>
      <c r="B7" t="s">
        <v>9</v>
      </c>
      <c r="C7" t="s">
        <v>4</v>
      </c>
    </row>
    <row r="8" spans="1:3" x14ac:dyDescent="0.3">
      <c r="A8">
        <v>130100</v>
      </c>
      <c r="B8" t="s">
        <v>10</v>
      </c>
      <c r="C8" t="s">
        <v>4</v>
      </c>
    </row>
    <row r="9" spans="1:3" x14ac:dyDescent="0.3">
      <c r="A9">
        <v>130900</v>
      </c>
      <c r="B9" t="s">
        <v>11</v>
      </c>
      <c r="C9" t="s">
        <v>4</v>
      </c>
    </row>
    <row r="10" spans="1:3" x14ac:dyDescent="0.3">
      <c r="A10">
        <v>141100</v>
      </c>
      <c r="B10" t="s">
        <v>12</v>
      </c>
      <c r="C10" t="s">
        <v>4</v>
      </c>
    </row>
    <row r="11" spans="1:3" x14ac:dyDescent="0.3">
      <c r="A11">
        <v>161100</v>
      </c>
      <c r="B11" t="s">
        <v>13</v>
      </c>
      <c r="C11" t="s">
        <v>4</v>
      </c>
    </row>
    <row r="12" spans="1:3" x14ac:dyDescent="0.3">
      <c r="A12">
        <v>162000</v>
      </c>
      <c r="B12" t="s">
        <v>14</v>
      </c>
      <c r="C12" t="s">
        <v>4</v>
      </c>
    </row>
    <row r="13" spans="1:3" x14ac:dyDescent="0.3">
      <c r="A13">
        <v>165100</v>
      </c>
      <c r="B13" t="s">
        <v>15</v>
      </c>
      <c r="C13" t="s">
        <v>4</v>
      </c>
    </row>
    <row r="14" spans="1:3" s="1" customFormat="1" x14ac:dyDescent="0.3">
      <c r="A14" s="1">
        <v>196100</v>
      </c>
      <c r="B14" s="1" t="s">
        <v>16</v>
      </c>
      <c r="C14" t="s">
        <v>4</v>
      </c>
    </row>
    <row r="15" spans="1:3" x14ac:dyDescent="0.3">
      <c r="A15">
        <v>213100</v>
      </c>
      <c r="B15" t="s">
        <v>17</v>
      </c>
      <c r="C15" t="s">
        <v>4</v>
      </c>
    </row>
    <row r="16" spans="1:3" x14ac:dyDescent="0.3">
      <c r="A16">
        <v>223100</v>
      </c>
      <c r="B16" t="s">
        <v>18</v>
      </c>
      <c r="C16" t="s">
        <v>4</v>
      </c>
    </row>
    <row r="17" spans="1:3" x14ac:dyDescent="0.3">
      <c r="A17">
        <v>222100</v>
      </c>
      <c r="B17" t="s">
        <v>19</v>
      </c>
      <c r="C17" t="s">
        <v>4</v>
      </c>
    </row>
    <row r="18" spans="1:3" x14ac:dyDescent="0.3">
      <c r="A18">
        <v>231300</v>
      </c>
      <c r="B18" t="s">
        <v>20</v>
      </c>
      <c r="C18" t="s">
        <v>4</v>
      </c>
    </row>
    <row r="19" spans="1:3" s="1" customFormat="1" x14ac:dyDescent="0.3">
      <c r="A19" s="1">
        <v>235800</v>
      </c>
      <c r="B19" s="1" t="s">
        <v>21</v>
      </c>
      <c r="C19" t="s">
        <v>4</v>
      </c>
    </row>
    <row r="20" spans="1:3" x14ac:dyDescent="0.3">
      <c r="A20">
        <v>241100</v>
      </c>
      <c r="B20" t="s">
        <v>22</v>
      </c>
      <c r="C20" t="s">
        <v>4</v>
      </c>
    </row>
    <row r="21" spans="1:3" s="1" customFormat="1" x14ac:dyDescent="0.3">
      <c r="A21" s="1">
        <v>241200</v>
      </c>
      <c r="B21" s="1" t="s">
        <v>23</v>
      </c>
      <c r="C21" t="s">
        <v>4</v>
      </c>
    </row>
    <row r="22" spans="1:3" x14ac:dyDescent="0.3">
      <c r="A22">
        <v>244100</v>
      </c>
      <c r="B22" t="s">
        <v>24</v>
      </c>
      <c r="C22" t="s">
        <v>4</v>
      </c>
    </row>
    <row r="23" spans="1:3" x14ac:dyDescent="0.3">
      <c r="A23">
        <v>244400</v>
      </c>
      <c r="B23" t="s">
        <v>25</v>
      </c>
      <c r="C23" t="s">
        <v>4</v>
      </c>
    </row>
    <row r="24" spans="1:3" s="1" customFormat="1" x14ac:dyDescent="0.3">
      <c r="A24" s="1">
        <v>245110</v>
      </c>
      <c r="B24" s="1" t="s">
        <v>26</v>
      </c>
      <c r="C24" t="s">
        <v>4</v>
      </c>
    </row>
    <row r="25" spans="1:3" s="1" customFormat="1" x14ac:dyDescent="0.3">
      <c r="A25" s="1">
        <v>245120</v>
      </c>
      <c r="B25" s="1" t="s">
        <v>27</v>
      </c>
      <c r="C25" t="s">
        <v>4</v>
      </c>
    </row>
    <row r="26" spans="1:3" s="1" customFormat="1" x14ac:dyDescent="0.3">
      <c r="A26" s="1">
        <v>245130</v>
      </c>
      <c r="B26" s="1" t="s">
        <v>28</v>
      </c>
      <c r="C26" t="s">
        <v>4</v>
      </c>
    </row>
    <row r="27" spans="1:3" x14ac:dyDescent="0.3">
      <c r="A27">
        <v>275100</v>
      </c>
      <c r="B27" t="s">
        <v>29</v>
      </c>
      <c r="C27" t="s">
        <v>4</v>
      </c>
    </row>
    <row r="28" spans="1:3" x14ac:dyDescent="0.3">
      <c r="A28">
        <v>275500</v>
      </c>
      <c r="B28" t="s">
        <v>30</v>
      </c>
      <c r="C28" t="s">
        <v>4</v>
      </c>
    </row>
    <row r="29" spans="1:3" x14ac:dyDescent="0.3">
      <c r="A29">
        <v>321100</v>
      </c>
      <c r="B29" t="s">
        <v>31</v>
      </c>
      <c r="C29" t="s">
        <v>4</v>
      </c>
    </row>
    <row r="30" spans="1:3" x14ac:dyDescent="0.3">
      <c r="A30">
        <v>322100</v>
      </c>
      <c r="B30" t="s">
        <v>32</v>
      </c>
      <c r="C30" t="s">
        <v>4</v>
      </c>
    </row>
    <row r="31" spans="1:3" x14ac:dyDescent="0.3">
      <c r="A31">
        <v>322200</v>
      </c>
      <c r="B31" t="s">
        <v>33</v>
      </c>
      <c r="C31" t="s">
        <v>4</v>
      </c>
    </row>
    <row r="32" spans="1:3" x14ac:dyDescent="0.3">
      <c r="A32">
        <v>391100</v>
      </c>
      <c r="B32" t="s">
        <v>34</v>
      </c>
      <c r="C32" t="s">
        <v>4</v>
      </c>
    </row>
    <row r="33" spans="1:3" x14ac:dyDescent="0.3">
      <c r="A33">
        <v>401100</v>
      </c>
      <c r="B33" t="s">
        <v>35</v>
      </c>
      <c r="C33" t="s">
        <v>4</v>
      </c>
    </row>
    <row r="34" spans="1:3" s="1" customFormat="1" x14ac:dyDescent="0.3">
      <c r="A34" s="1">
        <v>401300</v>
      </c>
      <c r="B34" s="1" t="s">
        <v>36</v>
      </c>
      <c r="C34" t="s">
        <v>4</v>
      </c>
    </row>
    <row r="35" spans="1:3" s="1" customFormat="1" x14ac:dyDescent="0.3">
      <c r="A35" s="1">
        <v>401300</v>
      </c>
      <c r="B35" s="1" t="s">
        <v>37</v>
      </c>
      <c r="C35" t="s">
        <v>4</v>
      </c>
    </row>
    <row r="36" spans="1:3" x14ac:dyDescent="0.3">
      <c r="A36">
        <v>408100</v>
      </c>
      <c r="B36" t="s">
        <v>38</v>
      </c>
      <c r="C36" t="s">
        <v>4</v>
      </c>
    </row>
    <row r="37" spans="1:3" x14ac:dyDescent="0.3">
      <c r="A37">
        <v>409100</v>
      </c>
      <c r="B37" t="s">
        <v>39</v>
      </c>
      <c r="C37" t="s">
        <v>4</v>
      </c>
    </row>
    <row r="38" spans="1:3" x14ac:dyDescent="0.3">
      <c r="A38">
        <v>411100</v>
      </c>
      <c r="B38" t="s">
        <v>40</v>
      </c>
      <c r="C38" t="s">
        <v>4</v>
      </c>
    </row>
    <row r="39" spans="1:3" x14ac:dyDescent="0.3">
      <c r="A39">
        <v>416100</v>
      </c>
      <c r="B39" t="s">
        <v>41</v>
      </c>
      <c r="C39" t="s">
        <v>4</v>
      </c>
    </row>
    <row r="40" spans="1:3" x14ac:dyDescent="0.3">
      <c r="A40">
        <v>421100</v>
      </c>
      <c r="B40" t="s">
        <v>847</v>
      </c>
      <c r="C40" t="s">
        <v>4</v>
      </c>
    </row>
    <row r="41" spans="1:3" x14ac:dyDescent="0.3">
      <c r="A41">
        <v>421200</v>
      </c>
      <c r="B41" t="s">
        <v>848</v>
      </c>
      <c r="C41" t="s">
        <v>4</v>
      </c>
    </row>
    <row r="42" spans="1:3" x14ac:dyDescent="0.3">
      <c r="A42" s="2">
        <v>421300</v>
      </c>
      <c r="B42" s="2" t="s">
        <v>849</v>
      </c>
      <c r="C42" s="2" t="s">
        <v>4</v>
      </c>
    </row>
    <row r="43" spans="1:3" x14ac:dyDescent="0.3">
      <c r="A43">
        <v>422000</v>
      </c>
      <c r="B43" t="s">
        <v>42</v>
      </c>
      <c r="C43" t="s">
        <v>4</v>
      </c>
    </row>
    <row r="44" spans="1:3" s="1" customFormat="1" x14ac:dyDescent="0.3">
      <c r="A44">
        <v>425100</v>
      </c>
      <c r="B44" t="s">
        <v>850</v>
      </c>
      <c r="C44" t="s">
        <v>4</v>
      </c>
    </row>
    <row r="45" spans="1:3" s="1" customFormat="1" x14ac:dyDescent="0.3">
      <c r="A45" s="1">
        <v>431100</v>
      </c>
      <c r="B45" s="1" t="s">
        <v>43</v>
      </c>
      <c r="C45" t="s">
        <v>4</v>
      </c>
    </row>
    <row r="46" spans="1:3" s="1" customFormat="1" x14ac:dyDescent="0.3">
      <c r="A46" s="1">
        <v>431200</v>
      </c>
      <c r="B46" s="1" t="s">
        <v>44</v>
      </c>
      <c r="C46" t="s">
        <v>4</v>
      </c>
    </row>
    <row r="47" spans="1:3" x14ac:dyDescent="0.3">
      <c r="A47" s="1">
        <v>431300</v>
      </c>
      <c r="B47" s="1" t="s">
        <v>45</v>
      </c>
      <c r="C47" t="s">
        <v>4</v>
      </c>
    </row>
    <row r="48" spans="1:3" x14ac:dyDescent="0.3">
      <c r="A48" s="1">
        <v>431810</v>
      </c>
      <c r="B48" s="1" t="s">
        <v>840</v>
      </c>
      <c r="C48" t="s">
        <v>4</v>
      </c>
    </row>
    <row r="49" spans="1:3" x14ac:dyDescent="0.3">
      <c r="A49">
        <v>441100</v>
      </c>
      <c r="B49" t="s">
        <v>46</v>
      </c>
      <c r="C49" t="s">
        <v>4</v>
      </c>
    </row>
    <row r="50" spans="1:3" x14ac:dyDescent="0.3">
      <c r="A50" s="1">
        <v>442100</v>
      </c>
      <c r="B50" s="1" t="s">
        <v>843</v>
      </c>
      <c r="C50" t="s">
        <v>4</v>
      </c>
    </row>
    <row r="51" spans="1:3" x14ac:dyDescent="0.3">
      <c r="A51" s="1">
        <v>442600</v>
      </c>
      <c r="B51" s="1" t="s">
        <v>851</v>
      </c>
      <c r="C51" t="s">
        <v>4</v>
      </c>
    </row>
    <row r="52" spans="1:3" ht="12.6" customHeight="1" x14ac:dyDescent="0.3">
      <c r="A52" s="1">
        <v>442800</v>
      </c>
      <c r="B52" s="1" t="s">
        <v>852</v>
      </c>
      <c r="C52" t="s">
        <v>4</v>
      </c>
    </row>
    <row r="53" spans="1:3" ht="12.6" customHeight="1" x14ac:dyDescent="0.3">
      <c r="A53">
        <v>443100</v>
      </c>
      <c r="B53" t="s">
        <v>47</v>
      </c>
      <c r="C53" t="s">
        <v>4</v>
      </c>
    </row>
    <row r="54" spans="1:3" ht="12.6" customHeight="1" x14ac:dyDescent="0.3">
      <c r="A54">
        <v>444100</v>
      </c>
      <c r="B54" t="s">
        <v>48</v>
      </c>
      <c r="C54" t="s">
        <v>4</v>
      </c>
    </row>
    <row r="55" spans="1:3" ht="12.6" customHeight="1" x14ac:dyDescent="0.3">
      <c r="A55" s="1">
        <v>445100</v>
      </c>
      <c r="B55" t="s">
        <v>853</v>
      </c>
    </row>
    <row r="56" spans="1:3" ht="12.6" customHeight="1" x14ac:dyDescent="0.3">
      <c r="A56">
        <v>445200</v>
      </c>
      <c r="B56" t="s">
        <v>49</v>
      </c>
      <c r="C56" t="s">
        <v>4</v>
      </c>
    </row>
    <row r="57" spans="1:3" s="2" customFormat="1" ht="12.6" customHeight="1" x14ac:dyDescent="0.3">
      <c r="A57">
        <v>445300</v>
      </c>
      <c r="B57" t="s">
        <v>50</v>
      </c>
      <c r="C57" t="s">
        <v>4</v>
      </c>
    </row>
    <row r="58" spans="1:3" x14ac:dyDescent="0.3">
      <c r="A58">
        <v>445400</v>
      </c>
      <c r="B58" t="s">
        <v>51</v>
      </c>
      <c r="C58" t="s">
        <v>4</v>
      </c>
    </row>
    <row r="59" spans="1:3" x14ac:dyDescent="0.3">
      <c r="A59">
        <v>445500</v>
      </c>
      <c r="B59" t="s">
        <v>52</v>
      </c>
      <c r="C59" t="s">
        <v>4</v>
      </c>
    </row>
    <row r="60" spans="1:3" x14ac:dyDescent="0.3">
      <c r="A60">
        <v>445600</v>
      </c>
      <c r="B60" t="s">
        <v>53</v>
      </c>
      <c r="C60" t="s">
        <v>4</v>
      </c>
    </row>
    <row r="61" spans="1:3" x14ac:dyDescent="0.3">
      <c r="A61" s="2">
        <v>446000</v>
      </c>
      <c r="B61" s="2" t="s">
        <v>54</v>
      </c>
      <c r="C61" t="s">
        <v>4</v>
      </c>
    </row>
    <row r="62" spans="1:3" x14ac:dyDescent="0.3">
      <c r="A62">
        <v>462100</v>
      </c>
      <c r="B62" t="s">
        <v>55</v>
      </c>
      <c r="C62" t="s">
        <v>4</v>
      </c>
    </row>
    <row r="63" spans="1:3" x14ac:dyDescent="0.3">
      <c r="A63">
        <v>462200</v>
      </c>
      <c r="B63" t="s">
        <v>56</v>
      </c>
      <c r="C63" t="s">
        <v>4</v>
      </c>
    </row>
    <row r="64" spans="1:3" x14ac:dyDescent="0.3">
      <c r="A64">
        <v>447100</v>
      </c>
      <c r="B64" t="s">
        <v>854</v>
      </c>
      <c r="C64" t="s">
        <v>4</v>
      </c>
    </row>
    <row r="65" spans="1:3" x14ac:dyDescent="0.3">
      <c r="A65">
        <v>447200</v>
      </c>
      <c r="B65" t="s">
        <v>855</v>
      </c>
      <c r="C65" t="s">
        <v>4</v>
      </c>
    </row>
    <row r="66" spans="1:3" x14ac:dyDescent="0.3">
      <c r="A66">
        <v>447300</v>
      </c>
      <c r="B66" t="s">
        <v>856</v>
      </c>
      <c r="C66" t="s">
        <v>4</v>
      </c>
    </row>
    <row r="67" spans="1:3" x14ac:dyDescent="0.3">
      <c r="A67">
        <v>447800</v>
      </c>
      <c r="B67" t="s">
        <v>857</v>
      </c>
      <c r="C67" t="s">
        <v>4</v>
      </c>
    </row>
    <row r="68" spans="1:3" s="1" customFormat="1" x14ac:dyDescent="0.3">
      <c r="A68">
        <v>471100</v>
      </c>
      <c r="B68" t="s">
        <v>859</v>
      </c>
      <c r="C68" t="s">
        <v>4</v>
      </c>
    </row>
    <row r="69" spans="1:3" s="1" customFormat="1" x14ac:dyDescent="0.3">
      <c r="A69">
        <v>471200</v>
      </c>
      <c r="B69" t="s">
        <v>858</v>
      </c>
      <c r="C69" t="s">
        <v>4</v>
      </c>
    </row>
    <row r="70" spans="1:3" s="1" customFormat="1" x14ac:dyDescent="0.3">
      <c r="A70">
        <v>521100</v>
      </c>
      <c r="B70" t="s">
        <v>57</v>
      </c>
      <c r="C70" t="s">
        <v>4</v>
      </c>
    </row>
    <row r="71" spans="1:3" x14ac:dyDescent="0.3">
      <c r="A71">
        <v>521200</v>
      </c>
      <c r="B71" t="s">
        <v>58</v>
      </c>
      <c r="C71" t="s">
        <v>4</v>
      </c>
    </row>
    <row r="72" spans="1:3" x14ac:dyDescent="0.3">
      <c r="A72">
        <v>571100</v>
      </c>
      <c r="B72" t="s">
        <v>860</v>
      </c>
      <c r="C72" t="s">
        <v>4</v>
      </c>
    </row>
    <row r="73" spans="1:3" x14ac:dyDescent="0.3">
      <c r="A73" s="1">
        <v>585000</v>
      </c>
      <c r="B73" s="1" t="s">
        <v>59</v>
      </c>
      <c r="C73" t="s">
        <v>4</v>
      </c>
    </row>
    <row r="74" spans="1:3" x14ac:dyDescent="0.3">
      <c r="A74" s="1">
        <v>588000</v>
      </c>
      <c r="B74" s="1" t="s">
        <v>60</v>
      </c>
      <c r="C74" t="s">
        <v>4</v>
      </c>
    </row>
    <row r="75" spans="1:3" x14ac:dyDescent="0.3">
      <c r="A75">
        <v>601100</v>
      </c>
      <c r="B75" t="s">
        <v>61</v>
      </c>
      <c r="C75" t="s">
        <v>4</v>
      </c>
    </row>
    <row r="76" spans="1:3" s="2" customFormat="1" x14ac:dyDescent="0.3">
      <c r="A76">
        <v>602100</v>
      </c>
      <c r="B76" t="s">
        <v>62</v>
      </c>
      <c r="C76" t="s">
        <v>4</v>
      </c>
    </row>
    <row r="77" spans="1:3" x14ac:dyDescent="0.3">
      <c r="A77">
        <v>603100</v>
      </c>
      <c r="B77" t="s">
        <v>63</v>
      </c>
      <c r="C77" t="s">
        <v>4</v>
      </c>
    </row>
    <row r="78" spans="1:3" x14ac:dyDescent="0.3">
      <c r="A78" s="18" t="s">
        <v>930</v>
      </c>
      <c r="B78" t="s">
        <v>866</v>
      </c>
      <c r="C78" t="s">
        <v>4</v>
      </c>
    </row>
    <row r="79" spans="1:3" x14ac:dyDescent="0.3">
      <c r="A79" s="18" t="s">
        <v>931</v>
      </c>
      <c r="B79" t="s">
        <v>867</v>
      </c>
      <c r="C79" t="s">
        <v>4</v>
      </c>
    </row>
    <row r="80" spans="1:3" x14ac:dyDescent="0.3">
      <c r="A80" s="18" t="s">
        <v>932</v>
      </c>
      <c r="B80" t="s">
        <v>64</v>
      </c>
      <c r="C80" t="s">
        <v>4</v>
      </c>
    </row>
    <row r="81" spans="1:3" x14ac:dyDescent="0.3">
      <c r="A81" s="18">
        <v>605310</v>
      </c>
      <c r="B81" t="s">
        <v>65</v>
      </c>
      <c r="C81" t="s">
        <v>4</v>
      </c>
    </row>
    <row r="82" spans="1:3" x14ac:dyDescent="0.3">
      <c r="A82" s="18" t="s">
        <v>933</v>
      </c>
      <c r="B82" t="s">
        <v>868</v>
      </c>
      <c r="C82" t="s">
        <v>4</v>
      </c>
    </row>
    <row r="83" spans="1:3" x14ac:dyDescent="0.3">
      <c r="A83" s="18" t="s">
        <v>934</v>
      </c>
      <c r="B83" t="s">
        <v>869</v>
      </c>
      <c r="C83" t="s">
        <v>4</v>
      </c>
    </row>
    <row r="84" spans="1:3" x14ac:dyDescent="0.3">
      <c r="A84" s="18" t="s">
        <v>935</v>
      </c>
      <c r="B84" t="s">
        <v>870</v>
      </c>
      <c r="C84" t="s">
        <v>4</v>
      </c>
    </row>
    <row r="85" spans="1:3" x14ac:dyDescent="0.3">
      <c r="A85" s="18" t="s">
        <v>936</v>
      </c>
      <c r="B85" t="s">
        <v>871</v>
      </c>
      <c r="C85" t="s">
        <v>4</v>
      </c>
    </row>
    <row r="86" spans="1:3" x14ac:dyDescent="0.3">
      <c r="A86" s="2">
        <v>605800</v>
      </c>
      <c r="B86" s="2" t="s">
        <v>66</v>
      </c>
      <c r="C86" t="s">
        <v>4</v>
      </c>
    </row>
    <row r="87" spans="1:3" x14ac:dyDescent="0.3">
      <c r="A87" s="18" t="s">
        <v>937</v>
      </c>
      <c r="B87" t="s">
        <v>872</v>
      </c>
      <c r="C87" t="s">
        <v>4</v>
      </c>
    </row>
    <row r="88" spans="1:3" x14ac:dyDescent="0.3">
      <c r="A88" s="18">
        <v>608500</v>
      </c>
      <c r="B88" t="s">
        <v>67</v>
      </c>
      <c r="C88" t="s">
        <v>4</v>
      </c>
    </row>
    <row r="89" spans="1:3" x14ac:dyDescent="0.3">
      <c r="A89" s="18" t="s">
        <v>938</v>
      </c>
      <c r="B89" t="s">
        <v>873</v>
      </c>
      <c r="C89" t="s">
        <v>4</v>
      </c>
    </row>
    <row r="90" spans="1:3" x14ac:dyDescent="0.3">
      <c r="A90" s="18" t="s">
        <v>939</v>
      </c>
      <c r="B90" t="s">
        <v>874</v>
      </c>
      <c r="C90" t="s">
        <v>4</v>
      </c>
    </row>
    <row r="91" spans="1:3" x14ac:dyDescent="0.3">
      <c r="A91" s="18" t="s">
        <v>940</v>
      </c>
      <c r="B91" t="s">
        <v>872</v>
      </c>
      <c r="C91" t="s">
        <v>4</v>
      </c>
    </row>
    <row r="92" spans="1:3" x14ac:dyDescent="0.3">
      <c r="A92" s="18" t="s">
        <v>941</v>
      </c>
      <c r="B92" t="s">
        <v>68</v>
      </c>
      <c r="C92" t="s">
        <v>4</v>
      </c>
    </row>
    <row r="93" spans="1:3" x14ac:dyDescent="0.3">
      <c r="A93" s="18" t="s">
        <v>942</v>
      </c>
      <c r="B93" t="s">
        <v>875</v>
      </c>
      <c r="C93" t="s">
        <v>4</v>
      </c>
    </row>
    <row r="94" spans="1:3" x14ac:dyDescent="0.3">
      <c r="A94" s="18" t="s">
        <v>943</v>
      </c>
      <c r="B94" t="s">
        <v>861</v>
      </c>
      <c r="C94" t="s">
        <v>4</v>
      </c>
    </row>
    <row r="95" spans="1:3" x14ac:dyDescent="0.3">
      <c r="A95" s="18" t="s">
        <v>944</v>
      </c>
      <c r="B95" t="s">
        <v>876</v>
      </c>
      <c r="C95" t="s">
        <v>4</v>
      </c>
    </row>
    <row r="96" spans="1:3" x14ac:dyDescent="0.3">
      <c r="A96" s="18" t="s">
        <v>945</v>
      </c>
      <c r="B96" t="s">
        <v>877</v>
      </c>
      <c r="C96" t="s">
        <v>4</v>
      </c>
    </row>
    <row r="97" spans="1:3" x14ac:dyDescent="0.3">
      <c r="A97" s="18" t="s">
        <v>946</v>
      </c>
      <c r="B97" t="s">
        <v>878</v>
      </c>
      <c r="C97" t="s">
        <v>4</v>
      </c>
    </row>
    <row r="98" spans="1:3" x14ac:dyDescent="0.3">
      <c r="A98" s="18" t="s">
        <v>947</v>
      </c>
      <c r="B98" t="s">
        <v>879</v>
      </c>
      <c r="C98" t="s">
        <v>4</v>
      </c>
    </row>
    <row r="99" spans="1:3" x14ac:dyDescent="0.3">
      <c r="A99" s="18" t="s">
        <v>948</v>
      </c>
      <c r="B99" t="s">
        <v>880</v>
      </c>
      <c r="C99" t="s">
        <v>4</v>
      </c>
    </row>
    <row r="100" spans="1:3" x14ac:dyDescent="0.3">
      <c r="A100" s="18" t="s">
        <v>949</v>
      </c>
      <c r="B100" t="s">
        <v>881</v>
      </c>
      <c r="C100" t="s">
        <v>4</v>
      </c>
    </row>
    <row r="101" spans="1:3" x14ac:dyDescent="0.3">
      <c r="A101" s="18" t="s">
        <v>950</v>
      </c>
      <c r="B101" t="s">
        <v>882</v>
      </c>
      <c r="C101" t="s">
        <v>4</v>
      </c>
    </row>
    <row r="102" spans="1:3" x14ac:dyDescent="0.3">
      <c r="A102" s="18" t="s">
        <v>951</v>
      </c>
      <c r="B102" t="s">
        <v>883</v>
      </c>
      <c r="C102" t="s">
        <v>4</v>
      </c>
    </row>
    <row r="103" spans="1:3" x14ac:dyDescent="0.3">
      <c r="A103" s="18" t="s">
        <v>952</v>
      </c>
      <c r="B103" t="s">
        <v>884</v>
      </c>
      <c r="C103" t="s">
        <v>4</v>
      </c>
    </row>
    <row r="104" spans="1:3" x14ac:dyDescent="0.3">
      <c r="A104" s="18" t="s">
        <v>953</v>
      </c>
      <c r="B104" t="s">
        <v>885</v>
      </c>
      <c r="C104" t="s">
        <v>4</v>
      </c>
    </row>
    <row r="105" spans="1:3" x14ac:dyDescent="0.3">
      <c r="A105" s="18" t="s">
        <v>954</v>
      </c>
      <c r="B105" t="s">
        <v>886</v>
      </c>
      <c r="C105" t="s">
        <v>4</v>
      </c>
    </row>
    <row r="106" spans="1:3" x14ac:dyDescent="0.3">
      <c r="A106" s="18" t="s">
        <v>955</v>
      </c>
      <c r="B106" t="s">
        <v>887</v>
      </c>
      <c r="C106" t="s">
        <v>4</v>
      </c>
    </row>
    <row r="107" spans="1:3" x14ac:dyDescent="0.3">
      <c r="A107" s="18" t="s">
        <v>956</v>
      </c>
      <c r="B107" t="s">
        <v>1012</v>
      </c>
      <c r="C107" t="s">
        <v>4</v>
      </c>
    </row>
    <row r="108" spans="1:3" x14ac:dyDescent="0.3">
      <c r="A108" s="18" t="s">
        <v>957</v>
      </c>
      <c r="B108" t="s">
        <v>69</v>
      </c>
      <c r="C108" t="s">
        <v>4</v>
      </c>
    </row>
    <row r="109" spans="1:3" x14ac:dyDescent="0.3">
      <c r="A109" s="18" t="s">
        <v>958</v>
      </c>
      <c r="B109" t="s">
        <v>888</v>
      </c>
      <c r="C109" t="s">
        <v>4</v>
      </c>
    </row>
    <row r="110" spans="1:3" x14ac:dyDescent="0.3">
      <c r="A110" s="18" t="s">
        <v>959</v>
      </c>
      <c r="B110" t="s">
        <v>889</v>
      </c>
      <c r="C110" t="s">
        <v>4</v>
      </c>
    </row>
    <row r="111" spans="1:3" x14ac:dyDescent="0.3">
      <c r="A111" s="18" t="s">
        <v>960</v>
      </c>
      <c r="B111" t="s">
        <v>890</v>
      </c>
      <c r="C111" t="s">
        <v>4</v>
      </c>
    </row>
    <row r="112" spans="1:3" x14ac:dyDescent="0.3">
      <c r="A112" s="18" t="s">
        <v>961</v>
      </c>
      <c r="B112" t="s">
        <v>865</v>
      </c>
      <c r="C112" t="s">
        <v>4</v>
      </c>
    </row>
    <row r="113" spans="1:3" x14ac:dyDescent="0.3">
      <c r="A113" s="18" t="s">
        <v>962</v>
      </c>
      <c r="B113" t="s">
        <v>891</v>
      </c>
      <c r="C113" t="s">
        <v>4</v>
      </c>
    </row>
    <row r="114" spans="1:3" x14ac:dyDescent="0.3">
      <c r="A114" s="18" t="s">
        <v>963</v>
      </c>
      <c r="B114" t="s">
        <v>892</v>
      </c>
      <c r="C114" t="s">
        <v>4</v>
      </c>
    </row>
    <row r="115" spans="1:3" x14ac:dyDescent="0.3">
      <c r="A115" s="18" t="s">
        <v>964</v>
      </c>
      <c r="B115" t="s">
        <v>893</v>
      </c>
      <c r="C115" t="s">
        <v>4</v>
      </c>
    </row>
    <row r="116" spans="1:3" x14ac:dyDescent="0.3">
      <c r="A116" s="18" t="s">
        <v>965</v>
      </c>
      <c r="B116" t="s">
        <v>894</v>
      </c>
      <c r="C116" t="s">
        <v>4</v>
      </c>
    </row>
    <row r="117" spans="1:3" x14ac:dyDescent="0.3">
      <c r="A117" s="18" t="s">
        <v>966</v>
      </c>
      <c r="B117" t="s">
        <v>895</v>
      </c>
      <c r="C117" t="s">
        <v>4</v>
      </c>
    </row>
    <row r="118" spans="1:3" x14ac:dyDescent="0.3">
      <c r="A118" s="18" t="s">
        <v>967</v>
      </c>
      <c r="B118" t="s">
        <v>896</v>
      </c>
      <c r="C118" t="s">
        <v>4</v>
      </c>
    </row>
    <row r="119" spans="1:3" x14ac:dyDescent="0.3">
      <c r="A119" s="18" t="s">
        <v>968</v>
      </c>
      <c r="B119" t="s">
        <v>897</v>
      </c>
      <c r="C119" t="s">
        <v>4</v>
      </c>
    </row>
    <row r="120" spans="1:3" x14ac:dyDescent="0.3">
      <c r="A120" s="18" t="s">
        <v>969</v>
      </c>
      <c r="B120" t="s">
        <v>898</v>
      </c>
      <c r="C120" t="s">
        <v>4</v>
      </c>
    </row>
    <row r="121" spans="1:3" x14ac:dyDescent="0.3">
      <c r="A121" s="18" t="s">
        <v>970</v>
      </c>
      <c r="B121" t="s">
        <v>899</v>
      </c>
      <c r="C121" t="s">
        <v>4</v>
      </c>
    </row>
    <row r="122" spans="1:3" x14ac:dyDescent="0.3">
      <c r="A122" s="18" t="s">
        <v>971</v>
      </c>
      <c r="B122" t="s">
        <v>900</v>
      </c>
      <c r="C122" t="s">
        <v>4</v>
      </c>
    </row>
    <row r="123" spans="1:3" x14ac:dyDescent="0.3">
      <c r="A123" s="18" t="s">
        <v>972</v>
      </c>
      <c r="B123" t="s">
        <v>901</v>
      </c>
      <c r="C123" t="s">
        <v>4</v>
      </c>
    </row>
    <row r="124" spans="1:3" x14ac:dyDescent="0.3">
      <c r="A124" s="18" t="s">
        <v>973</v>
      </c>
      <c r="B124" t="s">
        <v>902</v>
      </c>
      <c r="C124" t="s">
        <v>4</v>
      </c>
    </row>
    <row r="125" spans="1:3" x14ac:dyDescent="0.3">
      <c r="A125" s="18" t="s">
        <v>974</v>
      </c>
      <c r="B125" t="s">
        <v>903</v>
      </c>
      <c r="C125" t="s">
        <v>4</v>
      </c>
    </row>
    <row r="126" spans="1:3" x14ac:dyDescent="0.3">
      <c r="A126" s="18" t="s">
        <v>975</v>
      </c>
      <c r="B126" t="s">
        <v>904</v>
      </c>
      <c r="C126" t="s">
        <v>4</v>
      </c>
    </row>
    <row r="127" spans="1:3" x14ac:dyDescent="0.3">
      <c r="A127" s="18" t="s">
        <v>976</v>
      </c>
      <c r="B127" t="s">
        <v>905</v>
      </c>
      <c r="C127" t="s">
        <v>4</v>
      </c>
    </row>
    <row r="128" spans="1:3" x14ac:dyDescent="0.3">
      <c r="A128" s="18" t="s">
        <v>977</v>
      </c>
      <c r="B128" t="s">
        <v>906</v>
      </c>
      <c r="C128" t="s">
        <v>4</v>
      </c>
    </row>
    <row r="129" spans="1:3" x14ac:dyDescent="0.3">
      <c r="A129" s="18" t="s">
        <v>978</v>
      </c>
      <c r="B129" t="s">
        <v>907</v>
      </c>
      <c r="C129" t="s">
        <v>4</v>
      </c>
    </row>
    <row r="130" spans="1:3" x14ac:dyDescent="0.3">
      <c r="A130" s="18" t="s">
        <v>979</v>
      </c>
      <c r="B130" t="s">
        <v>908</v>
      </c>
      <c r="C130" t="s">
        <v>4</v>
      </c>
    </row>
    <row r="131" spans="1:3" x14ac:dyDescent="0.3">
      <c r="A131" s="18" t="s">
        <v>980</v>
      </c>
      <c r="B131" t="s">
        <v>909</v>
      </c>
      <c r="C131" t="s">
        <v>4</v>
      </c>
    </row>
    <row r="132" spans="1:3" x14ac:dyDescent="0.3">
      <c r="A132" s="18" t="s">
        <v>981</v>
      </c>
      <c r="B132" t="s">
        <v>910</v>
      </c>
      <c r="C132" t="s">
        <v>4</v>
      </c>
    </row>
    <row r="133" spans="1:3" x14ac:dyDescent="0.3">
      <c r="A133" s="18" t="s">
        <v>982</v>
      </c>
      <c r="B133" t="s">
        <v>911</v>
      </c>
      <c r="C133" t="s">
        <v>4</v>
      </c>
    </row>
    <row r="134" spans="1:3" x14ac:dyDescent="0.3">
      <c r="A134" s="18" t="s">
        <v>983</v>
      </c>
      <c r="B134" t="s">
        <v>912</v>
      </c>
      <c r="C134" t="s">
        <v>4</v>
      </c>
    </row>
    <row r="135" spans="1:3" x14ac:dyDescent="0.3">
      <c r="A135" s="18" t="s">
        <v>984</v>
      </c>
      <c r="B135" t="s">
        <v>913</v>
      </c>
      <c r="C135" t="s">
        <v>4</v>
      </c>
    </row>
    <row r="136" spans="1:3" x14ac:dyDescent="0.3">
      <c r="A136" s="18" t="s">
        <v>985</v>
      </c>
      <c r="B136" t="s">
        <v>914</v>
      </c>
      <c r="C136" t="s">
        <v>4</v>
      </c>
    </row>
    <row r="137" spans="1:3" x14ac:dyDescent="0.3">
      <c r="A137" s="18" t="s">
        <v>986</v>
      </c>
      <c r="B137" t="s">
        <v>915</v>
      </c>
      <c r="C137" t="s">
        <v>4</v>
      </c>
    </row>
    <row r="138" spans="1:3" x14ac:dyDescent="0.3">
      <c r="A138" s="18" t="s">
        <v>987</v>
      </c>
      <c r="B138" t="s">
        <v>916</v>
      </c>
      <c r="C138" t="s">
        <v>4</v>
      </c>
    </row>
    <row r="139" spans="1:3" x14ac:dyDescent="0.3">
      <c r="A139" s="18" t="s">
        <v>988</v>
      </c>
      <c r="B139" t="s">
        <v>70</v>
      </c>
      <c r="C139" t="s">
        <v>4</v>
      </c>
    </row>
    <row r="140" spans="1:3" x14ac:dyDescent="0.3">
      <c r="A140" s="18" t="s">
        <v>989</v>
      </c>
      <c r="B140" t="s">
        <v>917</v>
      </c>
      <c r="C140" t="s">
        <v>4</v>
      </c>
    </row>
    <row r="141" spans="1:3" x14ac:dyDescent="0.3">
      <c r="A141" s="18" t="s">
        <v>990</v>
      </c>
      <c r="B141" t="s">
        <v>918</v>
      </c>
      <c r="C141" t="s">
        <v>4</v>
      </c>
    </row>
    <row r="142" spans="1:3" x14ac:dyDescent="0.3">
      <c r="A142" s="18" t="s">
        <v>991</v>
      </c>
      <c r="B142" t="s">
        <v>919</v>
      </c>
      <c r="C142" t="s">
        <v>4</v>
      </c>
    </row>
    <row r="143" spans="1:3" x14ac:dyDescent="0.3">
      <c r="A143" s="18" t="s">
        <v>992</v>
      </c>
      <c r="B143" t="s">
        <v>920</v>
      </c>
      <c r="C143" t="s">
        <v>4</v>
      </c>
    </row>
    <row r="144" spans="1:3" x14ac:dyDescent="0.3">
      <c r="A144" s="18" t="s">
        <v>993</v>
      </c>
      <c r="B144" t="s">
        <v>921</v>
      </c>
      <c r="C144" t="s">
        <v>4</v>
      </c>
    </row>
    <row r="145" spans="1:3" x14ac:dyDescent="0.3">
      <c r="A145" s="18" t="s">
        <v>994</v>
      </c>
      <c r="B145" t="s">
        <v>922</v>
      </c>
      <c r="C145" t="s">
        <v>4</v>
      </c>
    </row>
    <row r="146" spans="1:3" x14ac:dyDescent="0.3">
      <c r="A146" s="18" t="s">
        <v>995</v>
      </c>
      <c r="B146" t="s">
        <v>923</v>
      </c>
      <c r="C146" t="s">
        <v>4</v>
      </c>
    </row>
    <row r="147" spans="1:3" x14ac:dyDescent="0.3">
      <c r="A147" s="18" t="s">
        <v>996</v>
      </c>
      <c r="B147" t="s">
        <v>924</v>
      </c>
      <c r="C147" t="s">
        <v>4</v>
      </c>
    </row>
    <row r="148" spans="1:3" x14ac:dyDescent="0.3">
      <c r="A148" s="18" t="s">
        <v>997</v>
      </c>
      <c r="B148" t="s">
        <v>925</v>
      </c>
      <c r="C148" t="s">
        <v>4</v>
      </c>
    </row>
    <row r="149" spans="1:3" x14ac:dyDescent="0.3">
      <c r="A149" s="18" t="s">
        <v>998</v>
      </c>
      <c r="B149" t="s">
        <v>926</v>
      </c>
      <c r="C149" t="s">
        <v>4</v>
      </c>
    </row>
    <row r="150" spans="1:3" x14ac:dyDescent="0.3">
      <c r="A150" s="18" t="s">
        <v>999</v>
      </c>
      <c r="B150" t="s">
        <v>927</v>
      </c>
      <c r="C150" t="s">
        <v>4</v>
      </c>
    </row>
    <row r="151" spans="1:3" x14ac:dyDescent="0.3">
      <c r="A151" s="19" t="s">
        <v>1000</v>
      </c>
      <c r="B151" s="1" t="s">
        <v>928</v>
      </c>
      <c r="C151" t="s">
        <v>4</v>
      </c>
    </row>
    <row r="152" spans="1:3" x14ac:dyDescent="0.3">
      <c r="A152" s="18" t="s">
        <v>1001</v>
      </c>
      <c r="B152" t="s">
        <v>929</v>
      </c>
      <c r="C152" t="s">
        <v>4</v>
      </c>
    </row>
    <row r="153" spans="1:3" x14ac:dyDescent="0.3">
      <c r="A153">
        <v>608100</v>
      </c>
      <c r="B153" t="s">
        <v>67</v>
      </c>
      <c r="C153" t="s">
        <v>4</v>
      </c>
    </row>
    <row r="154" spans="1:3" x14ac:dyDescent="0.3">
      <c r="A154" s="1">
        <v>633000</v>
      </c>
      <c r="B154" s="1" t="s">
        <v>71</v>
      </c>
      <c r="C154" t="s">
        <v>4</v>
      </c>
    </row>
    <row r="155" spans="1:3" x14ac:dyDescent="0.3">
      <c r="A155" s="1">
        <v>637100</v>
      </c>
      <c r="B155" s="1" t="s">
        <v>862</v>
      </c>
      <c r="C155" s="1" t="s">
        <v>4</v>
      </c>
    </row>
    <row r="156" spans="1:3" s="1" customFormat="1" x14ac:dyDescent="0.3">
      <c r="A156" s="1">
        <v>637200</v>
      </c>
      <c r="B156" s="1" t="s">
        <v>863</v>
      </c>
      <c r="C156" s="1" t="s">
        <v>4</v>
      </c>
    </row>
    <row r="157" spans="1:3" s="1" customFormat="1" x14ac:dyDescent="0.3">
      <c r="A157" s="1">
        <v>638400</v>
      </c>
      <c r="B157" s="1" t="s">
        <v>72</v>
      </c>
      <c r="C157" t="s">
        <v>4</v>
      </c>
    </row>
    <row r="158" spans="1:3" s="1" customFormat="1" x14ac:dyDescent="0.3">
      <c r="A158" s="1">
        <v>641100</v>
      </c>
      <c r="B158" s="1" t="s">
        <v>864</v>
      </c>
      <c r="C158" t="s">
        <v>4</v>
      </c>
    </row>
    <row r="159" spans="1:3" s="1" customFormat="1" x14ac:dyDescent="0.3">
      <c r="A159" s="1">
        <v>641200</v>
      </c>
      <c r="B159" s="1" t="s">
        <v>73</v>
      </c>
      <c r="C159" t="s">
        <v>4</v>
      </c>
    </row>
    <row r="160" spans="1:3" s="1" customFormat="1" x14ac:dyDescent="0.3">
      <c r="A160" s="1">
        <v>641300</v>
      </c>
      <c r="B160" s="1" t="s">
        <v>844</v>
      </c>
      <c r="C160" t="s">
        <v>4</v>
      </c>
    </row>
    <row r="161" spans="1:5" s="1" customFormat="1" x14ac:dyDescent="0.3">
      <c r="A161" s="1">
        <v>641400</v>
      </c>
      <c r="B161" s="1" t="s">
        <v>845</v>
      </c>
      <c r="C161" t="s">
        <v>4</v>
      </c>
    </row>
    <row r="162" spans="1:5" s="1" customFormat="1" x14ac:dyDescent="0.3">
      <c r="A162" s="1">
        <v>641500</v>
      </c>
      <c r="B162" s="1" t="s">
        <v>846</v>
      </c>
      <c r="C162" t="s">
        <v>4</v>
      </c>
    </row>
    <row r="163" spans="1:5" s="1" customFormat="1" x14ac:dyDescent="0.3">
      <c r="A163" s="1">
        <v>641800</v>
      </c>
      <c r="B163" s="1" t="s">
        <v>74</v>
      </c>
      <c r="C163" t="s">
        <v>4</v>
      </c>
    </row>
    <row r="164" spans="1:5" s="1" customFormat="1" x14ac:dyDescent="0.3">
      <c r="A164" s="1">
        <v>645000</v>
      </c>
      <c r="B164" s="1" t="s">
        <v>75</v>
      </c>
      <c r="C164" t="s">
        <v>4</v>
      </c>
    </row>
    <row r="165" spans="1:5" s="1" customFormat="1" x14ac:dyDescent="0.3">
      <c r="A165" s="19" t="s">
        <v>1007</v>
      </c>
      <c r="B165" t="s">
        <v>1002</v>
      </c>
      <c r="C165" t="s">
        <v>4</v>
      </c>
    </row>
    <row r="166" spans="1:5" s="1" customFormat="1" x14ac:dyDescent="0.3">
      <c r="A166" s="19" t="s">
        <v>1008</v>
      </c>
      <c r="B166" t="s">
        <v>1003</v>
      </c>
      <c r="C166" t="s">
        <v>4</v>
      </c>
    </row>
    <row r="167" spans="1:5" s="1" customFormat="1" x14ac:dyDescent="0.3">
      <c r="A167" s="19" t="s">
        <v>1009</v>
      </c>
      <c r="B167" t="s">
        <v>1004</v>
      </c>
      <c r="C167" t="s">
        <v>4</v>
      </c>
    </row>
    <row r="168" spans="1:5" s="1" customFormat="1" x14ac:dyDescent="0.3">
      <c r="A168" s="19" t="s">
        <v>1010</v>
      </c>
      <c r="B168" t="s">
        <v>1005</v>
      </c>
      <c r="C168" t="s">
        <v>4</v>
      </c>
    </row>
    <row r="169" spans="1:5" s="1" customFormat="1" x14ac:dyDescent="0.3">
      <c r="A169" s="19" t="s">
        <v>1011</v>
      </c>
      <c r="B169" t="s">
        <v>1006</v>
      </c>
      <c r="C169" t="s">
        <v>4</v>
      </c>
    </row>
    <row r="170" spans="1:5" s="1" customFormat="1" x14ac:dyDescent="0.3">
      <c r="A170" s="1">
        <v>647100</v>
      </c>
      <c r="B170" s="1" t="s">
        <v>76</v>
      </c>
      <c r="C170" t="s">
        <v>4</v>
      </c>
    </row>
    <row r="171" spans="1:5" s="1" customFormat="1" x14ac:dyDescent="0.3">
      <c r="A171" s="1">
        <v>647200</v>
      </c>
      <c r="B171" s="1" t="s">
        <v>77</v>
      </c>
      <c r="C171" t="s">
        <v>4</v>
      </c>
    </row>
    <row r="172" spans="1:5" s="1" customFormat="1" x14ac:dyDescent="0.3">
      <c r="A172" s="1">
        <v>647300</v>
      </c>
      <c r="B172" s="1" t="s">
        <v>78</v>
      </c>
      <c r="C172" t="s">
        <v>4</v>
      </c>
    </row>
    <row r="173" spans="1:5" s="1" customFormat="1" x14ac:dyDescent="0.3">
      <c r="A173" s="1">
        <v>647400</v>
      </c>
      <c r="B173" s="1" t="s">
        <v>79</v>
      </c>
      <c r="C173" t="s">
        <v>4</v>
      </c>
      <c r="E173"/>
    </row>
    <row r="174" spans="1:5" x14ac:dyDescent="0.3">
      <c r="A174" s="1">
        <v>647800</v>
      </c>
      <c r="B174" s="1" t="s">
        <v>80</v>
      </c>
      <c r="C174" t="s">
        <v>4</v>
      </c>
      <c r="E174" s="1"/>
    </row>
    <row r="175" spans="1:5" s="1" customFormat="1" x14ac:dyDescent="0.3">
      <c r="A175" s="1">
        <v>654100</v>
      </c>
      <c r="B175" s="1" t="s">
        <v>81</v>
      </c>
      <c r="C175" t="s">
        <v>4</v>
      </c>
      <c r="E175"/>
    </row>
    <row r="176" spans="1:5" x14ac:dyDescent="0.3">
      <c r="A176" s="1">
        <v>654200</v>
      </c>
      <c r="B176" s="1" t="s">
        <v>82</v>
      </c>
      <c r="C176" t="s">
        <v>4</v>
      </c>
    </row>
    <row r="177" spans="1:3" x14ac:dyDescent="0.3">
      <c r="A177" s="1">
        <v>656000</v>
      </c>
      <c r="B177" s="1" t="s">
        <v>83</v>
      </c>
      <c r="C177" t="s">
        <v>4</v>
      </c>
    </row>
    <row r="178" spans="1:3" x14ac:dyDescent="0.3">
      <c r="A178" s="1">
        <v>657000</v>
      </c>
      <c r="B178" s="1" t="s">
        <v>84</v>
      </c>
      <c r="C178" t="s">
        <v>4</v>
      </c>
    </row>
    <row r="179" spans="1:3" x14ac:dyDescent="0.3">
      <c r="A179" s="1">
        <v>658100</v>
      </c>
      <c r="B179" s="1" t="s">
        <v>85</v>
      </c>
      <c r="C179" t="s">
        <v>4</v>
      </c>
    </row>
    <row r="180" spans="1:3" x14ac:dyDescent="0.3">
      <c r="A180" s="1">
        <v>658200</v>
      </c>
      <c r="B180" s="1" t="s">
        <v>86</v>
      </c>
      <c r="C180" t="s">
        <v>4</v>
      </c>
    </row>
    <row r="181" spans="1:3" x14ac:dyDescent="0.3">
      <c r="A181" s="1">
        <v>658300</v>
      </c>
      <c r="B181" s="1" t="s">
        <v>87</v>
      </c>
      <c r="C181" t="s">
        <v>4</v>
      </c>
    </row>
    <row r="182" spans="1:3" x14ac:dyDescent="0.3">
      <c r="A182">
        <v>658800</v>
      </c>
      <c r="B182" t="s">
        <v>88</v>
      </c>
      <c r="C182" t="s">
        <v>4</v>
      </c>
    </row>
    <row r="183" spans="1:3" x14ac:dyDescent="0.3">
      <c r="A183" s="1">
        <v>659400</v>
      </c>
      <c r="B183" s="1" t="s">
        <v>89</v>
      </c>
      <c r="C183" t="s">
        <v>4</v>
      </c>
    </row>
    <row r="184" spans="1:3" x14ac:dyDescent="0.3">
      <c r="A184" s="1">
        <v>661100</v>
      </c>
      <c r="B184" s="1" t="s">
        <v>90</v>
      </c>
      <c r="C184" t="s">
        <v>4</v>
      </c>
    </row>
    <row r="185" spans="1:3" x14ac:dyDescent="0.3">
      <c r="A185">
        <v>661200</v>
      </c>
      <c r="B185" t="s">
        <v>91</v>
      </c>
      <c r="C185" t="s">
        <v>4</v>
      </c>
    </row>
    <row r="186" spans="1:3" x14ac:dyDescent="0.3">
      <c r="A186" s="1">
        <v>661300</v>
      </c>
      <c r="B186" s="1" t="s">
        <v>92</v>
      </c>
      <c r="C186" t="s">
        <v>4</v>
      </c>
    </row>
    <row r="187" spans="1:3" x14ac:dyDescent="0.3">
      <c r="A187">
        <v>661400</v>
      </c>
      <c r="B187" t="s">
        <v>93</v>
      </c>
      <c r="C187" t="s">
        <v>4</v>
      </c>
    </row>
    <row r="188" spans="1:3" x14ac:dyDescent="0.3">
      <c r="A188" s="1">
        <v>661500</v>
      </c>
      <c r="B188" s="1" t="s">
        <v>94</v>
      </c>
      <c r="C188" t="s">
        <v>4</v>
      </c>
    </row>
    <row r="189" spans="1:3" x14ac:dyDescent="0.3">
      <c r="A189">
        <v>661600</v>
      </c>
      <c r="B189" t="s">
        <v>95</v>
      </c>
      <c r="C189" t="s">
        <v>4</v>
      </c>
    </row>
    <row r="190" spans="1:3" x14ac:dyDescent="0.3">
      <c r="A190" s="1">
        <v>661700</v>
      </c>
      <c r="B190" s="1" t="s">
        <v>96</v>
      </c>
      <c r="C190" t="s">
        <v>4</v>
      </c>
    </row>
    <row r="191" spans="1:3" x14ac:dyDescent="0.3">
      <c r="A191">
        <v>661800</v>
      </c>
      <c r="B191" t="s">
        <v>97</v>
      </c>
      <c r="C191" t="s">
        <v>4</v>
      </c>
    </row>
    <row r="192" spans="1:3" x14ac:dyDescent="0.3">
      <c r="A192" s="1">
        <v>663100</v>
      </c>
      <c r="B192" s="1" t="s">
        <v>98</v>
      </c>
      <c r="C192" t="s">
        <v>4</v>
      </c>
    </row>
    <row r="193" spans="1:3" x14ac:dyDescent="0.3">
      <c r="A193" s="1">
        <v>663200</v>
      </c>
      <c r="B193" s="1" t="s">
        <v>99</v>
      </c>
      <c r="C193" t="s">
        <v>4</v>
      </c>
    </row>
    <row r="194" spans="1:3" x14ac:dyDescent="0.3">
      <c r="A194" s="1">
        <v>663300</v>
      </c>
      <c r="B194" s="1" t="s">
        <v>100</v>
      </c>
      <c r="C194" t="s">
        <v>4</v>
      </c>
    </row>
    <row r="195" spans="1:3" x14ac:dyDescent="0.3">
      <c r="A195" s="1">
        <v>663400</v>
      </c>
      <c r="B195" s="1" t="s">
        <v>101</v>
      </c>
      <c r="C195" t="s">
        <v>4</v>
      </c>
    </row>
    <row r="196" spans="1:3" x14ac:dyDescent="0.3">
      <c r="A196" s="1">
        <v>663800</v>
      </c>
      <c r="B196" s="1" t="s">
        <v>102</v>
      </c>
      <c r="C196" t="s">
        <v>4</v>
      </c>
    </row>
    <row r="197" spans="1:3" x14ac:dyDescent="0.3">
      <c r="A197" s="1">
        <v>664100</v>
      </c>
      <c r="B197" s="1" t="s">
        <v>841</v>
      </c>
      <c r="C197" t="s">
        <v>4</v>
      </c>
    </row>
    <row r="198" spans="1:3" x14ac:dyDescent="0.3">
      <c r="A198" s="1">
        <v>664110</v>
      </c>
      <c r="B198" s="1" t="s">
        <v>842</v>
      </c>
      <c r="C198" t="s">
        <v>4</v>
      </c>
    </row>
    <row r="199" spans="1:3" x14ac:dyDescent="0.3">
      <c r="A199" s="1">
        <v>671200</v>
      </c>
      <c r="B199" s="1" t="s">
        <v>103</v>
      </c>
      <c r="C199" t="s">
        <v>4</v>
      </c>
    </row>
    <row r="200" spans="1:3" x14ac:dyDescent="0.3">
      <c r="A200" s="1">
        <v>672300</v>
      </c>
      <c r="B200" s="1" t="s">
        <v>104</v>
      </c>
      <c r="C200" t="s">
        <v>4</v>
      </c>
    </row>
    <row r="201" spans="1:3" x14ac:dyDescent="0.3">
      <c r="A201" s="1">
        <v>674500</v>
      </c>
      <c r="B201" s="1" t="s">
        <v>105</v>
      </c>
      <c r="C201" t="s">
        <v>4</v>
      </c>
    </row>
    <row r="202" spans="1:3" x14ac:dyDescent="0.3">
      <c r="A202" s="1">
        <v>675000</v>
      </c>
      <c r="B202" s="1" t="s">
        <v>106</v>
      </c>
      <c r="C202" t="s">
        <v>4</v>
      </c>
    </row>
    <row r="203" spans="1:3" x14ac:dyDescent="0.3">
      <c r="A203" s="1">
        <v>676000</v>
      </c>
      <c r="B203" s="1" t="s">
        <v>107</v>
      </c>
      <c r="C203" t="s">
        <v>4</v>
      </c>
    </row>
    <row r="204" spans="1:3" x14ac:dyDescent="0.3">
      <c r="A204">
        <v>677100</v>
      </c>
      <c r="B204" t="s">
        <v>108</v>
      </c>
      <c r="C204" t="s">
        <v>4</v>
      </c>
    </row>
    <row r="205" spans="1:3" x14ac:dyDescent="0.3">
      <c r="A205">
        <v>681200</v>
      </c>
      <c r="B205" t="s">
        <v>109</v>
      </c>
      <c r="C205" t="s">
        <v>4</v>
      </c>
    </row>
    <row r="206" spans="1:3" x14ac:dyDescent="0.3">
      <c r="A206">
        <v>681300</v>
      </c>
      <c r="B206" t="s">
        <v>110</v>
      </c>
      <c r="C206" t="s">
        <v>4</v>
      </c>
    </row>
    <row r="207" spans="1:3" x14ac:dyDescent="0.3">
      <c r="A207" s="1">
        <v>691100</v>
      </c>
      <c r="B207" s="1" t="s">
        <v>111</v>
      </c>
      <c r="C207" t="s">
        <v>4</v>
      </c>
    </row>
    <row r="208" spans="1:3" x14ac:dyDescent="0.3">
      <c r="A208" s="1">
        <v>691300</v>
      </c>
      <c r="B208" s="1" t="s">
        <v>112</v>
      </c>
      <c r="C208" t="s">
        <v>4</v>
      </c>
    </row>
    <row r="209" spans="1:3" x14ac:dyDescent="0.3">
      <c r="A209" s="1">
        <v>691400</v>
      </c>
      <c r="B209" s="1" t="s">
        <v>113</v>
      </c>
      <c r="C209" t="s">
        <v>4</v>
      </c>
    </row>
    <row r="210" spans="1:3" x14ac:dyDescent="0.3">
      <c r="A210" s="1">
        <v>697100</v>
      </c>
      <c r="B210" s="1" t="s">
        <v>111</v>
      </c>
      <c r="C210" t="s">
        <v>4</v>
      </c>
    </row>
    <row r="211" spans="1:3" x14ac:dyDescent="0.3">
      <c r="A211" s="1">
        <v>697200</v>
      </c>
      <c r="B211" s="1" t="s">
        <v>114</v>
      </c>
      <c r="C211" t="s">
        <v>4</v>
      </c>
    </row>
    <row r="212" spans="1:3" x14ac:dyDescent="0.3">
      <c r="A212">
        <v>706100</v>
      </c>
      <c r="B212" t="s">
        <v>115</v>
      </c>
      <c r="C212" t="s">
        <v>4</v>
      </c>
    </row>
    <row r="213" spans="1:3" x14ac:dyDescent="0.3">
      <c r="A213">
        <v>706200</v>
      </c>
      <c r="B213" t="s">
        <v>116</v>
      </c>
      <c r="C213" t="s">
        <v>4</v>
      </c>
    </row>
    <row r="214" spans="1:3" x14ac:dyDescent="0.3">
      <c r="A214">
        <v>707800</v>
      </c>
      <c r="B214" t="s">
        <v>117</v>
      </c>
      <c r="C214" t="s">
        <v>4</v>
      </c>
    </row>
    <row r="215" spans="1:3" x14ac:dyDescent="0.3">
      <c r="A215">
        <v>734100</v>
      </c>
      <c r="B215" t="s">
        <v>118</v>
      </c>
      <c r="C215" t="s">
        <v>4</v>
      </c>
    </row>
    <row r="216" spans="1:3" x14ac:dyDescent="0.3">
      <c r="A216">
        <v>758800</v>
      </c>
      <c r="B216" t="s">
        <v>119</v>
      </c>
      <c r="C216" t="s">
        <v>4</v>
      </c>
    </row>
    <row r="217" spans="1:3" x14ac:dyDescent="0.3">
      <c r="A217" s="1">
        <v>771200</v>
      </c>
      <c r="B217" s="1" t="s">
        <v>120</v>
      </c>
      <c r="C217" t="s">
        <v>4</v>
      </c>
    </row>
    <row r="218" spans="1:3" x14ac:dyDescent="0.3">
      <c r="A218" s="1">
        <v>771300</v>
      </c>
      <c r="B218" s="1" t="s">
        <v>121</v>
      </c>
      <c r="C218" t="s">
        <v>4</v>
      </c>
    </row>
    <row r="219" spans="1:3" x14ac:dyDescent="0.3">
      <c r="A219" s="1">
        <v>773000</v>
      </c>
      <c r="B219" s="1" t="s">
        <v>122</v>
      </c>
      <c r="C219" t="s">
        <v>4</v>
      </c>
    </row>
    <row r="220" spans="1:3" x14ac:dyDescent="0.3">
      <c r="A220" s="1">
        <v>775000</v>
      </c>
      <c r="B220" s="1" t="s">
        <v>123</v>
      </c>
      <c r="C220" t="s">
        <v>4</v>
      </c>
    </row>
    <row r="221" spans="1:3" x14ac:dyDescent="0.3">
      <c r="A221" s="1">
        <v>776000</v>
      </c>
      <c r="B221" s="1" t="s">
        <v>124</v>
      </c>
      <c r="C221" t="s">
        <v>4</v>
      </c>
    </row>
    <row r="222" spans="1:3" x14ac:dyDescent="0.3">
      <c r="A222" s="1">
        <v>779100</v>
      </c>
      <c r="B222" s="1" t="s">
        <v>125</v>
      </c>
      <c r="C222" t="s">
        <v>4</v>
      </c>
    </row>
    <row r="223" spans="1:3" x14ac:dyDescent="0.3">
      <c r="A223" s="1">
        <v>779500</v>
      </c>
      <c r="B223" s="1" t="s">
        <v>126</v>
      </c>
      <c r="C223" t="s">
        <v>4</v>
      </c>
    </row>
    <row r="224" spans="1:3" x14ac:dyDescent="0.3">
      <c r="A224" s="1">
        <v>779800</v>
      </c>
      <c r="B224" s="1" t="s">
        <v>126</v>
      </c>
      <c r="C224" t="s">
        <v>4</v>
      </c>
    </row>
    <row r="225" spans="1:3" x14ac:dyDescent="0.3">
      <c r="A225" s="1">
        <v>781000</v>
      </c>
      <c r="B225" s="1" t="s">
        <v>127</v>
      </c>
      <c r="C225" t="s">
        <v>4</v>
      </c>
    </row>
    <row r="226" spans="1:3" x14ac:dyDescent="0.3">
      <c r="A226" s="1">
        <v>787000</v>
      </c>
      <c r="B226" s="1" t="s">
        <v>128</v>
      </c>
      <c r="C226" t="s">
        <v>4</v>
      </c>
    </row>
    <row r="227" spans="1:3" x14ac:dyDescent="0.3">
      <c r="A227">
        <v>812000</v>
      </c>
      <c r="B227" t="s">
        <v>129</v>
      </c>
      <c r="C227" t="s">
        <v>4</v>
      </c>
    </row>
    <row r="228" spans="1:3" x14ac:dyDescent="0.3">
      <c r="A228">
        <v>822000</v>
      </c>
      <c r="B228" t="s">
        <v>130</v>
      </c>
      <c r="C228" t="s">
        <v>4</v>
      </c>
    </row>
    <row r="229" spans="1:3" x14ac:dyDescent="0.3">
      <c r="A229">
        <v>831000</v>
      </c>
      <c r="B229" t="s">
        <v>131</v>
      </c>
      <c r="C229" t="s">
        <v>4</v>
      </c>
    </row>
    <row r="230" spans="1:3" x14ac:dyDescent="0.3">
      <c r="A230">
        <v>841000</v>
      </c>
      <c r="B230" t="s">
        <v>132</v>
      </c>
      <c r="C230" t="s">
        <v>4</v>
      </c>
    </row>
    <row r="231" spans="1:3" x14ac:dyDescent="0.3">
      <c r="A231" s="1">
        <v>891100</v>
      </c>
      <c r="B231" s="1" t="s">
        <v>133</v>
      </c>
      <c r="C231" t="s">
        <v>4</v>
      </c>
    </row>
    <row r="232" spans="1:3" x14ac:dyDescent="0.3">
      <c r="A232" s="1">
        <v>892000</v>
      </c>
      <c r="B232" s="1" t="s">
        <v>134</v>
      </c>
      <c r="C232" t="s">
        <v>4</v>
      </c>
    </row>
    <row r="233" spans="1:3" x14ac:dyDescent="0.3">
      <c r="A233" s="1">
        <v>895000</v>
      </c>
      <c r="B233" s="1" t="s">
        <v>135</v>
      </c>
      <c r="C233" t="s">
        <v>4</v>
      </c>
    </row>
    <row r="234" spans="1:3" x14ac:dyDescent="0.3">
      <c r="A234" s="1">
        <v>899000</v>
      </c>
      <c r="B234" s="1" t="s">
        <v>136</v>
      </c>
      <c r="C234" t="s">
        <v>4</v>
      </c>
    </row>
  </sheetData>
  <conditionalFormatting sqref="A2:A234">
    <cfRule type="duplicateValues" dxfId="10" priority="17"/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&amp;C&amp;P/&amp;N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DCB5-EA81-45D4-99F3-E52A9059AF8B}">
  <sheetPr>
    <tabColor theme="6" tint="0.39997558519241921"/>
  </sheetPr>
  <dimension ref="A2:D14"/>
  <sheetViews>
    <sheetView tabSelected="1" workbookViewId="0">
      <selection activeCell="E21" sqref="E21"/>
    </sheetView>
  </sheetViews>
  <sheetFormatPr baseColWidth="10" defaultRowHeight="13.2" x14ac:dyDescent="0.25"/>
  <cols>
    <col min="1" max="1" width="11.5546875" style="3"/>
    <col min="2" max="2" width="27.21875" style="3" bestFit="1" customWidth="1"/>
    <col min="3" max="3" width="7.5546875" style="3" customWidth="1"/>
    <col min="4" max="16384" width="11.5546875" style="3"/>
  </cols>
  <sheetData>
    <row r="2" spans="1:4" x14ac:dyDescent="0.25">
      <c r="A2" s="3" t="s">
        <v>470</v>
      </c>
      <c r="B2" s="3" t="s">
        <v>1</v>
      </c>
      <c r="C2" s="3" t="s">
        <v>471</v>
      </c>
      <c r="D2" s="3" t="s">
        <v>0</v>
      </c>
    </row>
    <row r="3" spans="1:4" x14ac:dyDescent="0.25">
      <c r="A3" s="3" t="s">
        <v>472</v>
      </c>
      <c r="B3" s="3" t="s">
        <v>473</v>
      </c>
      <c r="C3" s="3">
        <v>0</v>
      </c>
    </row>
    <row r="4" spans="1:4" x14ac:dyDescent="0.25">
      <c r="A4" s="3" t="s">
        <v>474</v>
      </c>
      <c r="B4" s="3" t="s">
        <v>475</v>
      </c>
      <c r="C4" s="3">
        <v>0</v>
      </c>
    </row>
    <row r="5" spans="1:4" x14ac:dyDescent="0.25">
      <c r="A5" s="3" t="s">
        <v>476</v>
      </c>
      <c r="B5" s="3" t="s">
        <v>477</v>
      </c>
      <c r="C5" s="3">
        <v>1</v>
      </c>
    </row>
    <row r="6" spans="1:4" x14ac:dyDescent="0.25">
      <c r="A6" s="3" t="s">
        <v>478</v>
      </c>
      <c r="B6" s="3" t="s">
        <v>479</v>
      </c>
      <c r="C6" s="3">
        <v>2</v>
      </c>
      <c r="D6" s="3">
        <v>571100</v>
      </c>
    </row>
    <row r="7" spans="1:4" x14ac:dyDescent="0.25">
      <c r="A7" s="3" t="s">
        <v>57</v>
      </c>
      <c r="B7" s="3" t="s">
        <v>57</v>
      </c>
      <c r="C7" s="3">
        <v>2</v>
      </c>
      <c r="D7" s="3">
        <v>521110</v>
      </c>
    </row>
    <row r="8" spans="1:4" x14ac:dyDescent="0.25">
      <c r="A8" s="3" t="s">
        <v>58</v>
      </c>
      <c r="B8" s="3" t="s">
        <v>58</v>
      </c>
      <c r="C8" s="3">
        <v>2</v>
      </c>
      <c r="D8" s="3">
        <v>521120</v>
      </c>
    </row>
    <row r="9" spans="1:4" x14ac:dyDescent="0.25">
      <c r="A9" s="3" t="s">
        <v>480</v>
      </c>
      <c r="B9" s="3" t="s">
        <v>481</v>
      </c>
      <c r="C9" s="3">
        <v>3</v>
      </c>
    </row>
    <row r="10" spans="1:4" s="20" customFormat="1" x14ac:dyDescent="0.25">
      <c r="A10" s="20" t="s">
        <v>1016</v>
      </c>
      <c r="B10" s="20" t="s">
        <v>1017</v>
      </c>
      <c r="C10" s="20">
        <v>3</v>
      </c>
    </row>
    <row r="11" spans="1:4" x14ac:dyDescent="0.25">
      <c r="A11" s="3" t="s">
        <v>1014</v>
      </c>
      <c r="B11" s="3" t="s">
        <v>1015</v>
      </c>
      <c r="C11" s="3">
        <v>3</v>
      </c>
    </row>
    <row r="12" spans="1:4" s="20" customFormat="1" x14ac:dyDescent="0.25">
      <c r="A12" s="20" t="s">
        <v>482</v>
      </c>
      <c r="B12" s="20" t="s">
        <v>483</v>
      </c>
      <c r="C12" s="20">
        <v>3</v>
      </c>
    </row>
    <row r="13" spans="1:4" x14ac:dyDescent="0.25">
      <c r="A13" s="3" t="s">
        <v>1013</v>
      </c>
      <c r="B13" s="3" t="s">
        <v>484</v>
      </c>
      <c r="C13" s="3">
        <v>3</v>
      </c>
    </row>
    <row r="14" spans="1:4" x14ac:dyDescent="0.25">
      <c r="A14" s="3" t="s">
        <v>485</v>
      </c>
      <c r="B14" s="3" t="s">
        <v>486</v>
      </c>
      <c r="C14" s="3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16D0-824D-4924-A1EE-66C4C74E734F}">
  <sheetPr>
    <tabColor theme="6" tint="0.39997558519241921"/>
  </sheetPr>
  <dimension ref="B2:E15"/>
  <sheetViews>
    <sheetView workbookViewId="0">
      <selection activeCell="D1" sqref="D1:E1048576"/>
    </sheetView>
  </sheetViews>
  <sheetFormatPr baseColWidth="10" defaultRowHeight="13.2" outlineLevelCol="1" x14ac:dyDescent="0.25"/>
  <cols>
    <col min="1" max="1" width="11.5546875" style="3"/>
    <col min="2" max="2" width="19.5546875" style="3" bestFit="1" customWidth="1"/>
    <col min="3" max="3" width="23.44140625" style="3" bestFit="1" customWidth="1"/>
    <col min="4" max="4" width="10.77734375" style="3" customWidth="1" outlineLevel="1"/>
    <col min="5" max="5" width="7.88671875" style="3" bestFit="1" customWidth="1"/>
    <col min="6" max="16384" width="11.5546875" style="3"/>
  </cols>
  <sheetData>
    <row r="2" spans="2:5" s="5" customFormat="1" ht="17.399999999999999" x14ac:dyDescent="0.3">
      <c r="B2" s="5" t="s">
        <v>487</v>
      </c>
    </row>
    <row r="4" spans="2:5" x14ac:dyDescent="0.25">
      <c r="B4" s="3" t="s">
        <v>488</v>
      </c>
      <c r="C4" s="3" t="s">
        <v>489</v>
      </c>
      <c r="D4" s="3" t="s">
        <v>490</v>
      </c>
      <c r="E4" s="3" t="s">
        <v>471</v>
      </c>
    </row>
    <row r="5" spans="2:5" x14ac:dyDescent="0.25">
      <c r="B5" s="3" t="s">
        <v>491</v>
      </c>
      <c r="C5" s="3" t="str">
        <f>+"4111"&amp;B5</f>
        <v>4111PFO CONSTRUCTION</v>
      </c>
      <c r="D5" s="3">
        <v>411100</v>
      </c>
      <c r="E5" s="3">
        <v>0</v>
      </c>
    </row>
    <row r="6" spans="2:5" x14ac:dyDescent="0.25">
      <c r="B6" s="3" t="s">
        <v>492</v>
      </c>
      <c r="C6" s="3" t="str">
        <f t="shared" ref="C6:C14" si="0">+"4111"&amp;B6</f>
        <v>4111KOIRA BTP</v>
      </c>
      <c r="D6" s="3">
        <v>411100</v>
      </c>
      <c r="E6" s="3">
        <v>0</v>
      </c>
    </row>
    <row r="7" spans="2:5" x14ac:dyDescent="0.25">
      <c r="B7" s="3" t="s">
        <v>493</v>
      </c>
      <c r="C7" s="3" t="str">
        <f t="shared" si="0"/>
        <v>4111KOIRA SA</v>
      </c>
      <c r="D7" s="3">
        <v>411100</v>
      </c>
      <c r="E7" s="3">
        <v>0</v>
      </c>
    </row>
    <row r="8" spans="2:5" x14ac:dyDescent="0.25">
      <c r="B8" s="3" t="s">
        <v>500</v>
      </c>
      <c r="C8" s="3" t="str">
        <f t="shared" si="0"/>
        <v>4111AFRIK BETON</v>
      </c>
      <c r="D8" s="3">
        <v>411100</v>
      </c>
      <c r="E8" s="3">
        <v>0</v>
      </c>
    </row>
    <row r="9" spans="2:5" x14ac:dyDescent="0.25">
      <c r="B9" s="3" t="s">
        <v>501</v>
      </c>
      <c r="C9" s="3" t="str">
        <f t="shared" si="0"/>
        <v>4111BETEC-CI</v>
      </c>
      <c r="D9" s="3">
        <v>411100</v>
      </c>
      <c r="E9" s="3">
        <v>0</v>
      </c>
    </row>
    <row r="10" spans="2:5" x14ac:dyDescent="0.25">
      <c r="B10" s="3" t="s">
        <v>502</v>
      </c>
      <c r="C10" s="3" t="str">
        <f t="shared" si="0"/>
        <v>4111SCORE</v>
      </c>
      <c r="D10" s="3">
        <v>411100</v>
      </c>
      <c r="E10" s="3">
        <v>0</v>
      </c>
    </row>
    <row r="11" spans="2:5" x14ac:dyDescent="0.25">
      <c r="B11" s="3" t="s">
        <v>504</v>
      </c>
      <c r="C11" s="3" t="str">
        <f t="shared" si="0"/>
        <v>4111ETS. MSSZ</v>
      </c>
      <c r="D11" s="3">
        <v>411100</v>
      </c>
      <c r="E11" s="3">
        <v>0</v>
      </c>
    </row>
    <row r="12" spans="2:5" x14ac:dyDescent="0.25">
      <c r="B12" s="3" t="s">
        <v>505</v>
      </c>
      <c r="C12" s="3" t="str">
        <f t="shared" si="0"/>
        <v>4111KHALIF INGENIERIE</v>
      </c>
      <c r="D12" s="3">
        <v>411100</v>
      </c>
      <c r="E12" s="3">
        <v>0</v>
      </c>
    </row>
    <row r="13" spans="2:5" x14ac:dyDescent="0.25">
      <c r="B13" s="3" t="s">
        <v>506</v>
      </c>
      <c r="C13" s="3" t="str">
        <f t="shared" si="0"/>
        <v>4111KEDA CERAMIC</v>
      </c>
      <c r="D13" s="3">
        <v>411100</v>
      </c>
      <c r="E13" s="3">
        <v>0</v>
      </c>
    </row>
    <row r="14" spans="2:5" x14ac:dyDescent="0.25">
      <c r="B14" s="3" t="s">
        <v>507</v>
      </c>
      <c r="C14" s="3" t="str">
        <f t="shared" si="0"/>
        <v>4111CLIENTS DIVERS</v>
      </c>
      <c r="D14" s="3">
        <v>411100</v>
      </c>
      <c r="E14" s="3">
        <v>0</v>
      </c>
    </row>
    <row r="15" spans="2:5" x14ac:dyDescent="0.25">
      <c r="B15" s="3" t="s">
        <v>503</v>
      </c>
      <c r="C15" s="3" t="str">
        <f>+"4111"&amp;B15</f>
        <v>4111SOGENA</v>
      </c>
      <c r="D15" s="3">
        <v>411100</v>
      </c>
      <c r="E15" s="3"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3E21-D556-4596-9914-E7D0BB377B10}">
  <sheetPr>
    <tabColor theme="6" tint="0.39997558519241921"/>
  </sheetPr>
  <dimension ref="B2:J332"/>
  <sheetViews>
    <sheetView topLeftCell="B1" workbookViewId="0">
      <selection activeCell="C22" sqref="C22"/>
    </sheetView>
  </sheetViews>
  <sheetFormatPr baseColWidth="10" defaultRowHeight="13.2" x14ac:dyDescent="0.25"/>
  <cols>
    <col min="1" max="1" width="11.5546875" style="3"/>
    <col min="2" max="2" width="45.44140625" style="3" bestFit="1" customWidth="1"/>
    <col min="3" max="3" width="49.5546875" style="3" bestFit="1" customWidth="1"/>
    <col min="4" max="4" width="11.5546875" style="3"/>
    <col min="5" max="5" width="7.5546875" style="3" customWidth="1"/>
    <col min="6" max="9" width="11.5546875" style="3"/>
    <col min="10" max="10" width="45.44140625" style="3" bestFit="1" customWidth="1"/>
    <col min="11" max="16384" width="11.5546875" style="3"/>
  </cols>
  <sheetData>
    <row r="2" spans="2:5" s="5" customFormat="1" ht="17.399999999999999" x14ac:dyDescent="0.3">
      <c r="B2" s="5" t="s">
        <v>494</v>
      </c>
    </row>
    <row r="4" spans="2:5" x14ac:dyDescent="0.25">
      <c r="B4" s="3" t="s">
        <v>488</v>
      </c>
      <c r="C4" s="3" t="s">
        <v>489</v>
      </c>
      <c r="D4" s="3" t="s">
        <v>490</v>
      </c>
      <c r="E4" s="3" t="s">
        <v>471</v>
      </c>
    </row>
    <row r="5" spans="2:5" x14ac:dyDescent="0.25">
      <c r="B5" s="3" t="s">
        <v>495</v>
      </c>
      <c r="C5" s="4" t="str">
        <f>+"4011"&amp;B5</f>
        <v>4011CIE</v>
      </c>
      <c r="D5" s="3">
        <v>401100</v>
      </c>
      <c r="E5" s="3">
        <v>1</v>
      </c>
    </row>
    <row r="6" spans="2:5" x14ac:dyDescent="0.25">
      <c r="B6" s="3" t="s">
        <v>496</v>
      </c>
      <c r="C6" s="4" t="str">
        <f t="shared" ref="C6:C25" si="0">+"4011"&amp;B6</f>
        <v>4011SODECI</v>
      </c>
      <c r="D6" s="3">
        <v>401100</v>
      </c>
      <c r="E6" s="3">
        <v>1</v>
      </c>
    </row>
    <row r="7" spans="2:5" x14ac:dyDescent="0.25">
      <c r="B7" s="3" t="s">
        <v>497</v>
      </c>
      <c r="C7" s="4" t="str">
        <f t="shared" si="0"/>
        <v>4011FOURNISSEURS DIVERS</v>
      </c>
      <c r="D7" s="3">
        <v>401100</v>
      </c>
      <c r="E7" s="3">
        <v>1</v>
      </c>
    </row>
    <row r="8" spans="2:5" x14ac:dyDescent="0.25">
      <c r="B8" s="3" t="s">
        <v>819</v>
      </c>
      <c r="C8" s="4" t="str">
        <f t="shared" si="0"/>
        <v>4011PETRO IVOIRE SA</v>
      </c>
      <c r="D8" s="3">
        <v>401100</v>
      </c>
      <c r="E8" s="3">
        <v>1</v>
      </c>
    </row>
    <row r="9" spans="2:5" x14ac:dyDescent="0.25">
      <c r="B9" s="3" t="s">
        <v>818</v>
      </c>
      <c r="C9" s="4" t="str">
        <f t="shared" si="0"/>
        <v>4011ISIS</v>
      </c>
      <c r="D9" s="3">
        <v>401100</v>
      </c>
      <c r="E9" s="3">
        <v>1</v>
      </c>
    </row>
    <row r="10" spans="2:5" x14ac:dyDescent="0.25">
      <c r="B10" s="3" t="s">
        <v>821</v>
      </c>
      <c r="C10" s="4" t="str">
        <f t="shared" si="0"/>
        <v>4011BUREAU VERITAS</v>
      </c>
      <c r="D10" s="3">
        <v>401100</v>
      </c>
      <c r="E10" s="3">
        <v>1</v>
      </c>
    </row>
    <row r="11" spans="2:5" x14ac:dyDescent="0.25">
      <c r="B11" s="3" t="s">
        <v>822</v>
      </c>
      <c r="C11" s="4" t="str">
        <f t="shared" si="0"/>
        <v>4011ETUDE ME COULIBALY EDITH-SYLVIANE-NOTAIRE</v>
      </c>
      <c r="D11" s="3">
        <v>401100</v>
      </c>
      <c r="E11" s="3">
        <v>1</v>
      </c>
    </row>
    <row r="12" spans="2:5" x14ac:dyDescent="0.25">
      <c r="B12" s="3" t="s">
        <v>825</v>
      </c>
      <c r="C12" s="4" t="str">
        <f t="shared" si="0"/>
        <v>4011JEAN-PIERRE CONSULTING CONTINENTAL</v>
      </c>
      <c r="D12" s="3">
        <v>401100</v>
      </c>
      <c r="E12" s="3">
        <v>1</v>
      </c>
    </row>
    <row r="13" spans="2:5" x14ac:dyDescent="0.25">
      <c r="B13" s="3" t="s">
        <v>823</v>
      </c>
      <c r="C13" s="4" t="str">
        <f t="shared" si="0"/>
        <v>4011HONDA</v>
      </c>
      <c r="D13" s="3">
        <v>401100</v>
      </c>
      <c r="E13" s="3">
        <v>1</v>
      </c>
    </row>
    <row r="14" spans="2:5" x14ac:dyDescent="0.25">
      <c r="B14" s="3" t="s">
        <v>579</v>
      </c>
      <c r="C14" s="4" t="str">
        <f t="shared" si="0"/>
        <v>4011TATA</v>
      </c>
      <c r="D14" s="3">
        <v>401100</v>
      </c>
      <c r="E14" s="3">
        <v>1</v>
      </c>
    </row>
    <row r="15" spans="2:5" x14ac:dyDescent="0.25">
      <c r="B15" s="3" t="s">
        <v>827</v>
      </c>
      <c r="C15" s="4" t="str">
        <f t="shared" si="0"/>
        <v>4011E.BAAG</v>
      </c>
      <c r="D15" s="3">
        <v>401100</v>
      </c>
      <c r="E15" s="3">
        <v>1</v>
      </c>
    </row>
    <row r="16" spans="2:5" x14ac:dyDescent="0.25">
      <c r="B16" s="3" t="s">
        <v>824</v>
      </c>
      <c r="C16" s="4" t="str">
        <f t="shared" si="0"/>
        <v>4011GEOLOSYST</v>
      </c>
      <c r="D16" s="3">
        <v>401100</v>
      </c>
      <c r="E16" s="3">
        <v>1</v>
      </c>
    </row>
    <row r="17" spans="2:5" x14ac:dyDescent="0.25">
      <c r="B17" s="3" t="s">
        <v>829</v>
      </c>
      <c r="C17" s="4" t="str">
        <f t="shared" si="0"/>
        <v>4011AFRICAUTO</v>
      </c>
      <c r="D17" s="3">
        <v>401100</v>
      </c>
      <c r="E17" s="3">
        <v>1</v>
      </c>
    </row>
    <row r="18" spans="2:5" x14ac:dyDescent="0.25">
      <c r="B18" s="3" t="s">
        <v>828</v>
      </c>
      <c r="C18" s="4" t="str">
        <f t="shared" si="0"/>
        <v>4011AKWABA TRANSPORT</v>
      </c>
      <c r="D18" s="3">
        <v>401100</v>
      </c>
      <c r="E18" s="3">
        <v>1</v>
      </c>
    </row>
    <row r="19" spans="2:5" x14ac:dyDescent="0.25">
      <c r="B19" s="3" t="s">
        <v>833</v>
      </c>
      <c r="C19" s="4" t="str">
        <f t="shared" si="0"/>
        <v>4011GAP</v>
      </c>
      <c r="D19" s="3">
        <v>401100</v>
      </c>
      <c r="E19" s="3">
        <v>1</v>
      </c>
    </row>
    <row r="20" spans="2:5" x14ac:dyDescent="0.25">
      <c r="B20" s="3" t="s">
        <v>834</v>
      </c>
      <c r="C20" s="4" t="str">
        <f t="shared" si="0"/>
        <v xml:space="preserve">4011CFAO </v>
      </c>
      <c r="D20" s="3">
        <v>401100</v>
      </c>
      <c r="E20" s="3">
        <v>1</v>
      </c>
    </row>
    <row r="21" spans="2:5" x14ac:dyDescent="0.25">
      <c r="B21" s="3" t="s">
        <v>835</v>
      </c>
      <c r="C21" s="4" t="str">
        <f t="shared" si="0"/>
        <v>4011ANDA GONG CHENG JI XIE SARL</v>
      </c>
      <c r="D21" s="3">
        <v>401100</v>
      </c>
      <c r="E21" s="3">
        <v>1</v>
      </c>
    </row>
    <row r="22" spans="2:5" x14ac:dyDescent="0.25">
      <c r="B22" s="3" t="s">
        <v>836</v>
      </c>
      <c r="C22" s="4" t="str">
        <f t="shared" si="0"/>
        <v>4011XUGONG COTE D' IVOIRE SARL</v>
      </c>
      <c r="D22" s="3">
        <v>401100</v>
      </c>
      <c r="E22" s="3">
        <v>1</v>
      </c>
    </row>
    <row r="23" spans="2:5" x14ac:dyDescent="0.25">
      <c r="B23" s="3" t="s">
        <v>817</v>
      </c>
      <c r="C23" s="4" t="str">
        <f t="shared" si="0"/>
        <v>4011RIMCO-SETACI</v>
      </c>
      <c r="D23" s="3">
        <v>401100</v>
      </c>
      <c r="E23" s="3">
        <v>1</v>
      </c>
    </row>
    <row r="24" spans="2:5" x14ac:dyDescent="0.25">
      <c r="B24" s="3" t="s">
        <v>816</v>
      </c>
      <c r="C24" s="4" t="str">
        <f t="shared" si="0"/>
        <v>4011SPRIINT TECH</v>
      </c>
      <c r="D24" s="3">
        <v>401100</v>
      </c>
      <c r="E24" s="3">
        <v>1</v>
      </c>
    </row>
    <row r="25" spans="2:5" x14ac:dyDescent="0.25">
      <c r="B25" s="3" t="s">
        <v>815</v>
      </c>
      <c r="C25" s="4" t="str">
        <f t="shared" si="0"/>
        <v>4011INDUSTRAP</v>
      </c>
      <c r="D25" s="3">
        <v>401100</v>
      </c>
      <c r="E25" s="3">
        <v>1</v>
      </c>
    </row>
    <row r="26" spans="2:5" x14ac:dyDescent="0.25">
      <c r="B26" s="3" t="s">
        <v>830</v>
      </c>
      <c r="C26" s="4" t="str">
        <f t="shared" ref="C26:C32" si="1">+"4011"&amp;B26</f>
        <v>4011TRACTAFRIC MOTORS</v>
      </c>
      <c r="D26" s="3">
        <v>401100</v>
      </c>
      <c r="E26" s="3">
        <v>1</v>
      </c>
    </row>
    <row r="27" spans="2:5" x14ac:dyDescent="0.25">
      <c r="B27" s="3" t="s">
        <v>832</v>
      </c>
      <c r="C27" s="4" t="str">
        <f t="shared" si="1"/>
        <v>4011MTN</v>
      </c>
      <c r="D27" s="3">
        <v>401100</v>
      </c>
      <c r="E27" s="3">
        <v>1</v>
      </c>
    </row>
    <row r="28" spans="2:5" x14ac:dyDescent="0.25">
      <c r="B28" s="3" t="s">
        <v>826</v>
      </c>
      <c r="C28" s="4" t="str">
        <f t="shared" si="1"/>
        <v>4011BATILUXE PLUS</v>
      </c>
      <c r="D28" s="3">
        <v>401100</v>
      </c>
      <c r="E28" s="3">
        <v>1</v>
      </c>
    </row>
    <row r="29" spans="2:5" x14ac:dyDescent="0.25">
      <c r="B29" s="3" t="s">
        <v>837</v>
      </c>
      <c r="C29" s="4" t="str">
        <f t="shared" si="1"/>
        <v>4011YDOIA SARL</v>
      </c>
      <c r="D29" s="3">
        <v>401100</v>
      </c>
      <c r="E29" s="3">
        <v>1</v>
      </c>
    </row>
    <row r="30" spans="2:5" x14ac:dyDescent="0.25">
      <c r="B30" s="3" t="s">
        <v>838</v>
      </c>
      <c r="C30" s="4" t="str">
        <f t="shared" si="1"/>
        <v>4011SINAI SERVICES</v>
      </c>
      <c r="D30" s="3">
        <v>401100</v>
      </c>
      <c r="E30" s="3">
        <v>1</v>
      </c>
    </row>
    <row r="31" spans="2:5" x14ac:dyDescent="0.25">
      <c r="B31" s="3" t="s">
        <v>831</v>
      </c>
      <c r="C31" s="4" t="str">
        <f t="shared" si="1"/>
        <v>4011SAKO B. MAMADOU</v>
      </c>
      <c r="D31" s="3">
        <v>401100</v>
      </c>
      <c r="E31" s="3">
        <v>1</v>
      </c>
    </row>
    <row r="32" spans="2:5" x14ac:dyDescent="0.25">
      <c r="B32" s="3" t="s">
        <v>820</v>
      </c>
      <c r="C32" s="4" t="str">
        <f t="shared" si="1"/>
        <v>4011SBEM-CI</v>
      </c>
      <c r="D32" s="3">
        <v>401100</v>
      </c>
      <c r="E32" s="3">
        <v>1</v>
      </c>
    </row>
    <row r="131" spans="10:10" ht="14.4" x14ac:dyDescent="0.3">
      <c r="J131"/>
    </row>
    <row r="132" spans="10:10" ht="14.4" x14ac:dyDescent="0.3">
      <c r="J132"/>
    </row>
    <row r="133" spans="10:10" ht="14.4" x14ac:dyDescent="0.3">
      <c r="J133"/>
    </row>
    <row r="134" spans="10:10" ht="14.4" x14ac:dyDescent="0.3">
      <c r="J134"/>
    </row>
    <row r="135" spans="10:10" ht="14.4" x14ac:dyDescent="0.3">
      <c r="J135"/>
    </row>
    <row r="136" spans="10:10" ht="14.4" x14ac:dyDescent="0.3">
      <c r="J136"/>
    </row>
    <row r="137" spans="10:10" ht="14.4" x14ac:dyDescent="0.3">
      <c r="J137"/>
    </row>
    <row r="138" spans="10:10" ht="14.4" x14ac:dyDescent="0.3">
      <c r="J138"/>
    </row>
    <row r="139" spans="10:10" ht="14.4" x14ac:dyDescent="0.3">
      <c r="J139"/>
    </row>
    <row r="140" spans="10:10" ht="14.4" x14ac:dyDescent="0.3">
      <c r="J140"/>
    </row>
    <row r="141" spans="10:10" ht="14.4" x14ac:dyDescent="0.3">
      <c r="J141"/>
    </row>
    <row r="142" spans="10:10" ht="14.4" x14ac:dyDescent="0.3">
      <c r="J142"/>
    </row>
    <row r="143" spans="10:10" ht="14.4" x14ac:dyDescent="0.3">
      <c r="J143"/>
    </row>
    <row r="144" spans="10:10" ht="14.4" x14ac:dyDescent="0.3">
      <c r="J144"/>
    </row>
    <row r="145" spans="10:10" ht="14.4" x14ac:dyDescent="0.3">
      <c r="J145"/>
    </row>
    <row r="146" spans="10:10" ht="14.4" x14ac:dyDescent="0.3">
      <c r="J146"/>
    </row>
    <row r="147" spans="10:10" ht="14.4" x14ac:dyDescent="0.3">
      <c r="J147"/>
    </row>
    <row r="148" spans="10:10" ht="14.4" x14ac:dyDescent="0.3">
      <c r="J148"/>
    </row>
    <row r="149" spans="10:10" ht="14.4" x14ac:dyDescent="0.3">
      <c r="J149"/>
    </row>
    <row r="150" spans="10:10" ht="14.4" x14ac:dyDescent="0.3">
      <c r="J150"/>
    </row>
    <row r="151" spans="10:10" ht="14.4" x14ac:dyDescent="0.3">
      <c r="J151"/>
    </row>
    <row r="152" spans="10:10" ht="14.4" x14ac:dyDescent="0.3">
      <c r="J152"/>
    </row>
    <row r="153" spans="10:10" ht="14.4" x14ac:dyDescent="0.3">
      <c r="J153"/>
    </row>
    <row r="154" spans="10:10" ht="14.4" x14ac:dyDescent="0.3">
      <c r="J154"/>
    </row>
    <row r="155" spans="10:10" ht="14.4" x14ac:dyDescent="0.3">
      <c r="J155"/>
    </row>
    <row r="156" spans="10:10" ht="14.4" x14ac:dyDescent="0.3">
      <c r="J156"/>
    </row>
    <row r="157" spans="10:10" ht="14.4" x14ac:dyDescent="0.3">
      <c r="J157"/>
    </row>
    <row r="158" spans="10:10" ht="14.4" x14ac:dyDescent="0.3">
      <c r="J158"/>
    </row>
    <row r="159" spans="10:10" ht="14.4" x14ac:dyDescent="0.3">
      <c r="J159"/>
    </row>
    <row r="160" spans="10:10" ht="14.4" x14ac:dyDescent="0.3">
      <c r="J160"/>
    </row>
    <row r="161" spans="10:10" ht="14.4" x14ac:dyDescent="0.3">
      <c r="J161"/>
    </row>
    <row r="162" spans="10:10" ht="14.4" x14ac:dyDescent="0.3">
      <c r="J162"/>
    </row>
    <row r="163" spans="10:10" ht="14.4" x14ac:dyDescent="0.3">
      <c r="J163"/>
    </row>
    <row r="164" spans="10:10" ht="14.4" x14ac:dyDescent="0.3">
      <c r="J164"/>
    </row>
    <row r="165" spans="10:10" ht="14.4" x14ac:dyDescent="0.3">
      <c r="J165"/>
    </row>
    <row r="166" spans="10:10" ht="14.4" x14ac:dyDescent="0.3">
      <c r="J166"/>
    </row>
    <row r="167" spans="10:10" ht="14.4" x14ac:dyDescent="0.3">
      <c r="J167"/>
    </row>
    <row r="168" spans="10:10" ht="14.4" x14ac:dyDescent="0.3">
      <c r="J168"/>
    </row>
    <row r="169" spans="10:10" ht="14.4" x14ac:dyDescent="0.3">
      <c r="J169"/>
    </row>
    <row r="170" spans="10:10" ht="14.4" x14ac:dyDescent="0.3">
      <c r="J170"/>
    </row>
    <row r="171" spans="10:10" ht="14.4" x14ac:dyDescent="0.3">
      <c r="J171"/>
    </row>
    <row r="172" spans="10:10" ht="14.4" x14ac:dyDescent="0.3">
      <c r="J172"/>
    </row>
    <row r="173" spans="10:10" ht="14.4" x14ac:dyDescent="0.3">
      <c r="J173"/>
    </row>
    <row r="174" spans="10:10" ht="14.4" x14ac:dyDescent="0.3">
      <c r="J174"/>
    </row>
    <row r="175" spans="10:10" ht="14.4" x14ac:dyDescent="0.3">
      <c r="J175"/>
    </row>
    <row r="176" spans="10:10" ht="14.4" x14ac:dyDescent="0.3">
      <c r="J176"/>
    </row>
    <row r="177" spans="10:10" ht="14.4" x14ac:dyDescent="0.3">
      <c r="J177"/>
    </row>
    <row r="178" spans="10:10" ht="14.4" x14ac:dyDescent="0.3">
      <c r="J178"/>
    </row>
    <row r="179" spans="10:10" ht="14.4" x14ac:dyDescent="0.3">
      <c r="J179"/>
    </row>
    <row r="180" spans="10:10" ht="14.4" x14ac:dyDescent="0.3">
      <c r="J180"/>
    </row>
    <row r="181" spans="10:10" ht="14.4" x14ac:dyDescent="0.3">
      <c r="J181"/>
    </row>
    <row r="182" spans="10:10" ht="14.4" x14ac:dyDescent="0.3">
      <c r="J182"/>
    </row>
    <row r="183" spans="10:10" ht="14.4" x14ac:dyDescent="0.3">
      <c r="J183"/>
    </row>
    <row r="184" spans="10:10" ht="14.4" x14ac:dyDescent="0.3">
      <c r="J184"/>
    </row>
    <row r="185" spans="10:10" ht="14.4" x14ac:dyDescent="0.3">
      <c r="J185"/>
    </row>
    <row r="186" spans="10:10" ht="14.4" x14ac:dyDescent="0.3">
      <c r="J186"/>
    </row>
    <row r="187" spans="10:10" ht="14.4" x14ac:dyDescent="0.3">
      <c r="J187"/>
    </row>
    <row r="188" spans="10:10" ht="14.4" x14ac:dyDescent="0.3">
      <c r="J188"/>
    </row>
    <row r="189" spans="10:10" ht="14.4" x14ac:dyDescent="0.3">
      <c r="J189"/>
    </row>
    <row r="190" spans="10:10" ht="14.4" x14ac:dyDescent="0.3">
      <c r="J190"/>
    </row>
    <row r="191" spans="10:10" ht="14.4" x14ac:dyDescent="0.3">
      <c r="J191"/>
    </row>
    <row r="192" spans="10:10" ht="14.4" x14ac:dyDescent="0.3">
      <c r="J192"/>
    </row>
    <row r="193" spans="10:10" ht="14.4" x14ac:dyDescent="0.3">
      <c r="J193"/>
    </row>
    <row r="194" spans="10:10" ht="14.4" x14ac:dyDescent="0.3">
      <c r="J194"/>
    </row>
    <row r="195" spans="10:10" ht="14.4" x14ac:dyDescent="0.3">
      <c r="J195"/>
    </row>
    <row r="196" spans="10:10" ht="14.4" x14ac:dyDescent="0.3">
      <c r="J196"/>
    </row>
    <row r="197" spans="10:10" ht="14.4" x14ac:dyDescent="0.3">
      <c r="J197"/>
    </row>
    <row r="198" spans="10:10" ht="14.4" x14ac:dyDescent="0.3">
      <c r="J198"/>
    </row>
    <row r="199" spans="10:10" ht="14.4" x14ac:dyDescent="0.3">
      <c r="J199"/>
    </row>
    <row r="200" spans="10:10" ht="14.4" x14ac:dyDescent="0.3">
      <c r="J200"/>
    </row>
    <row r="201" spans="10:10" ht="14.4" x14ac:dyDescent="0.3">
      <c r="J201"/>
    </row>
    <row r="202" spans="10:10" ht="14.4" x14ac:dyDescent="0.3">
      <c r="J202"/>
    </row>
    <row r="203" spans="10:10" ht="14.4" x14ac:dyDescent="0.3">
      <c r="J203"/>
    </row>
    <row r="204" spans="10:10" ht="14.4" x14ac:dyDescent="0.3">
      <c r="J204"/>
    </row>
    <row r="205" spans="10:10" ht="14.4" x14ac:dyDescent="0.3">
      <c r="J205"/>
    </row>
    <row r="206" spans="10:10" ht="14.4" x14ac:dyDescent="0.3">
      <c r="J206"/>
    </row>
    <row r="207" spans="10:10" ht="14.4" x14ac:dyDescent="0.3">
      <c r="J207"/>
    </row>
    <row r="208" spans="10:10" ht="14.4" x14ac:dyDescent="0.3">
      <c r="J208"/>
    </row>
    <row r="209" spans="10:10" ht="14.4" x14ac:dyDescent="0.3">
      <c r="J209"/>
    </row>
    <row r="210" spans="10:10" ht="14.4" x14ac:dyDescent="0.3">
      <c r="J210"/>
    </row>
    <row r="211" spans="10:10" ht="14.4" x14ac:dyDescent="0.3">
      <c r="J211"/>
    </row>
    <row r="212" spans="10:10" ht="14.4" x14ac:dyDescent="0.3">
      <c r="J212"/>
    </row>
    <row r="213" spans="10:10" ht="14.4" x14ac:dyDescent="0.3">
      <c r="J213"/>
    </row>
    <row r="214" spans="10:10" ht="14.4" x14ac:dyDescent="0.3">
      <c r="J214"/>
    </row>
    <row r="215" spans="10:10" ht="14.4" x14ac:dyDescent="0.3">
      <c r="J215"/>
    </row>
    <row r="216" spans="10:10" ht="14.4" x14ac:dyDescent="0.3">
      <c r="J216"/>
    </row>
    <row r="217" spans="10:10" ht="14.4" x14ac:dyDescent="0.3">
      <c r="J217"/>
    </row>
    <row r="218" spans="10:10" ht="14.4" x14ac:dyDescent="0.3">
      <c r="J218"/>
    </row>
    <row r="219" spans="10:10" ht="14.4" x14ac:dyDescent="0.3">
      <c r="J219"/>
    </row>
    <row r="220" spans="10:10" ht="14.4" x14ac:dyDescent="0.3">
      <c r="J220"/>
    </row>
    <row r="221" spans="10:10" ht="14.4" x14ac:dyDescent="0.3">
      <c r="J221"/>
    </row>
    <row r="222" spans="10:10" ht="14.4" x14ac:dyDescent="0.3">
      <c r="J222"/>
    </row>
    <row r="223" spans="10:10" ht="14.4" x14ac:dyDescent="0.3">
      <c r="J223"/>
    </row>
    <row r="224" spans="10:10" ht="14.4" x14ac:dyDescent="0.3">
      <c r="J224"/>
    </row>
    <row r="225" spans="10:10" ht="14.4" x14ac:dyDescent="0.3">
      <c r="J225"/>
    </row>
    <row r="226" spans="10:10" ht="14.4" x14ac:dyDescent="0.3">
      <c r="J226"/>
    </row>
    <row r="227" spans="10:10" ht="14.4" x14ac:dyDescent="0.3">
      <c r="J227"/>
    </row>
    <row r="228" spans="10:10" ht="14.4" x14ac:dyDescent="0.3">
      <c r="J228"/>
    </row>
    <row r="229" spans="10:10" ht="14.4" x14ac:dyDescent="0.3">
      <c r="J229"/>
    </row>
    <row r="230" spans="10:10" ht="14.4" x14ac:dyDescent="0.3">
      <c r="J230"/>
    </row>
    <row r="231" spans="10:10" ht="14.4" x14ac:dyDescent="0.3">
      <c r="J231"/>
    </row>
    <row r="232" spans="10:10" ht="14.4" x14ac:dyDescent="0.3">
      <c r="J232"/>
    </row>
    <row r="233" spans="10:10" ht="14.4" x14ac:dyDescent="0.3">
      <c r="J233"/>
    </row>
    <row r="234" spans="10:10" ht="14.4" x14ac:dyDescent="0.3">
      <c r="J234"/>
    </row>
    <row r="235" spans="10:10" ht="14.4" x14ac:dyDescent="0.3">
      <c r="J235"/>
    </row>
    <row r="236" spans="10:10" ht="14.4" x14ac:dyDescent="0.3">
      <c r="J236"/>
    </row>
    <row r="237" spans="10:10" ht="14.4" x14ac:dyDescent="0.3">
      <c r="J237"/>
    </row>
    <row r="238" spans="10:10" ht="14.4" x14ac:dyDescent="0.3">
      <c r="J238"/>
    </row>
    <row r="239" spans="10:10" ht="14.4" x14ac:dyDescent="0.3">
      <c r="J239"/>
    </row>
    <row r="240" spans="10:10" ht="14.4" x14ac:dyDescent="0.3">
      <c r="J240"/>
    </row>
    <row r="241" spans="10:10" ht="14.4" x14ac:dyDescent="0.3">
      <c r="J241"/>
    </row>
    <row r="242" spans="10:10" ht="14.4" x14ac:dyDescent="0.3">
      <c r="J242"/>
    </row>
    <row r="243" spans="10:10" ht="14.4" x14ac:dyDescent="0.3">
      <c r="J243"/>
    </row>
    <row r="244" spans="10:10" ht="14.4" x14ac:dyDescent="0.3">
      <c r="J244"/>
    </row>
    <row r="245" spans="10:10" ht="14.4" x14ac:dyDescent="0.3">
      <c r="J245"/>
    </row>
    <row r="246" spans="10:10" ht="14.4" x14ac:dyDescent="0.3">
      <c r="J246"/>
    </row>
    <row r="247" spans="10:10" ht="14.4" x14ac:dyDescent="0.3">
      <c r="J247"/>
    </row>
    <row r="248" spans="10:10" ht="14.4" x14ac:dyDescent="0.3">
      <c r="J248"/>
    </row>
    <row r="249" spans="10:10" ht="14.4" x14ac:dyDescent="0.3">
      <c r="J249"/>
    </row>
    <row r="250" spans="10:10" ht="14.4" x14ac:dyDescent="0.3">
      <c r="J250"/>
    </row>
    <row r="251" spans="10:10" ht="14.4" x14ac:dyDescent="0.3">
      <c r="J251"/>
    </row>
    <row r="252" spans="10:10" ht="14.4" x14ac:dyDescent="0.3">
      <c r="J252"/>
    </row>
    <row r="253" spans="10:10" ht="14.4" x14ac:dyDescent="0.3">
      <c r="J253"/>
    </row>
    <row r="254" spans="10:10" ht="14.4" x14ac:dyDescent="0.3">
      <c r="J254"/>
    </row>
    <row r="255" spans="10:10" ht="14.4" x14ac:dyDescent="0.3">
      <c r="J255"/>
    </row>
    <row r="256" spans="10:10" ht="14.4" x14ac:dyDescent="0.3">
      <c r="J256"/>
    </row>
    <row r="257" spans="10:10" ht="14.4" x14ac:dyDescent="0.3">
      <c r="J257"/>
    </row>
    <row r="258" spans="10:10" ht="14.4" x14ac:dyDescent="0.3">
      <c r="J258"/>
    </row>
    <row r="259" spans="10:10" ht="14.4" x14ac:dyDescent="0.3">
      <c r="J259"/>
    </row>
    <row r="260" spans="10:10" ht="14.4" x14ac:dyDescent="0.3">
      <c r="J260"/>
    </row>
    <row r="261" spans="10:10" ht="14.4" x14ac:dyDescent="0.3">
      <c r="J261"/>
    </row>
    <row r="262" spans="10:10" ht="14.4" x14ac:dyDescent="0.3">
      <c r="J262"/>
    </row>
    <row r="263" spans="10:10" ht="14.4" x14ac:dyDescent="0.3">
      <c r="J263"/>
    </row>
    <row r="264" spans="10:10" ht="14.4" x14ac:dyDescent="0.3">
      <c r="J264"/>
    </row>
    <row r="265" spans="10:10" ht="14.4" x14ac:dyDescent="0.3">
      <c r="J265"/>
    </row>
    <row r="266" spans="10:10" ht="14.4" x14ac:dyDescent="0.3">
      <c r="J266"/>
    </row>
    <row r="267" spans="10:10" ht="14.4" x14ac:dyDescent="0.3">
      <c r="J267"/>
    </row>
    <row r="268" spans="10:10" ht="14.4" x14ac:dyDescent="0.3">
      <c r="J268"/>
    </row>
    <row r="269" spans="10:10" ht="14.4" x14ac:dyDescent="0.3">
      <c r="J269"/>
    </row>
    <row r="270" spans="10:10" ht="14.4" x14ac:dyDescent="0.3">
      <c r="J270"/>
    </row>
    <row r="271" spans="10:10" ht="14.4" x14ac:dyDescent="0.3">
      <c r="J271"/>
    </row>
    <row r="272" spans="10:10" ht="14.4" x14ac:dyDescent="0.3">
      <c r="J272"/>
    </row>
    <row r="273" spans="10:10" ht="14.4" x14ac:dyDescent="0.3">
      <c r="J273"/>
    </row>
    <row r="274" spans="10:10" ht="14.4" x14ac:dyDescent="0.3">
      <c r="J274"/>
    </row>
    <row r="275" spans="10:10" ht="14.4" x14ac:dyDescent="0.3">
      <c r="J275"/>
    </row>
    <row r="276" spans="10:10" ht="14.4" x14ac:dyDescent="0.3">
      <c r="J276"/>
    </row>
    <row r="277" spans="10:10" ht="14.4" x14ac:dyDescent="0.3">
      <c r="J277"/>
    </row>
    <row r="278" spans="10:10" ht="14.4" x14ac:dyDescent="0.3">
      <c r="J278"/>
    </row>
    <row r="279" spans="10:10" ht="14.4" x14ac:dyDescent="0.3">
      <c r="J279"/>
    </row>
    <row r="280" spans="10:10" ht="14.4" x14ac:dyDescent="0.3">
      <c r="J280"/>
    </row>
    <row r="281" spans="10:10" ht="14.4" x14ac:dyDescent="0.3">
      <c r="J281"/>
    </row>
    <row r="282" spans="10:10" ht="14.4" x14ac:dyDescent="0.3">
      <c r="J282"/>
    </row>
    <row r="283" spans="10:10" ht="14.4" x14ac:dyDescent="0.3">
      <c r="J283"/>
    </row>
    <row r="284" spans="10:10" ht="14.4" x14ac:dyDescent="0.3">
      <c r="J284"/>
    </row>
    <row r="285" spans="10:10" ht="14.4" x14ac:dyDescent="0.3">
      <c r="J285"/>
    </row>
    <row r="286" spans="10:10" ht="14.4" x14ac:dyDescent="0.3">
      <c r="J286"/>
    </row>
    <row r="287" spans="10:10" ht="14.4" x14ac:dyDescent="0.3">
      <c r="J287"/>
    </row>
    <row r="288" spans="10:10" ht="14.4" x14ac:dyDescent="0.3">
      <c r="J288"/>
    </row>
    <row r="289" spans="10:10" ht="14.4" x14ac:dyDescent="0.3">
      <c r="J289"/>
    </row>
    <row r="290" spans="10:10" ht="14.4" x14ac:dyDescent="0.3">
      <c r="J290"/>
    </row>
    <row r="291" spans="10:10" ht="14.4" x14ac:dyDescent="0.3">
      <c r="J291"/>
    </row>
    <row r="292" spans="10:10" ht="14.4" x14ac:dyDescent="0.3">
      <c r="J292"/>
    </row>
    <row r="293" spans="10:10" ht="14.4" x14ac:dyDescent="0.3">
      <c r="J293"/>
    </row>
    <row r="294" spans="10:10" ht="14.4" x14ac:dyDescent="0.3">
      <c r="J294"/>
    </row>
    <row r="295" spans="10:10" ht="14.4" x14ac:dyDescent="0.3">
      <c r="J295"/>
    </row>
    <row r="296" spans="10:10" ht="14.4" x14ac:dyDescent="0.3">
      <c r="J296"/>
    </row>
    <row r="297" spans="10:10" ht="14.4" x14ac:dyDescent="0.3">
      <c r="J297"/>
    </row>
    <row r="298" spans="10:10" ht="14.4" x14ac:dyDescent="0.3">
      <c r="J298"/>
    </row>
    <row r="299" spans="10:10" ht="14.4" x14ac:dyDescent="0.3">
      <c r="J299"/>
    </row>
    <row r="300" spans="10:10" ht="14.4" x14ac:dyDescent="0.3">
      <c r="J300"/>
    </row>
    <row r="301" spans="10:10" ht="14.4" x14ac:dyDescent="0.3">
      <c r="J301"/>
    </row>
    <row r="302" spans="10:10" ht="14.4" x14ac:dyDescent="0.3">
      <c r="J302"/>
    </row>
    <row r="303" spans="10:10" ht="14.4" x14ac:dyDescent="0.3">
      <c r="J303"/>
    </row>
    <row r="304" spans="10:10" ht="14.4" x14ac:dyDescent="0.3">
      <c r="J304"/>
    </row>
    <row r="305" spans="10:10" ht="14.4" x14ac:dyDescent="0.3">
      <c r="J305"/>
    </row>
    <row r="306" spans="10:10" ht="14.4" x14ac:dyDescent="0.3">
      <c r="J306"/>
    </row>
    <row r="307" spans="10:10" ht="14.4" x14ac:dyDescent="0.3">
      <c r="J307"/>
    </row>
    <row r="308" spans="10:10" ht="14.4" x14ac:dyDescent="0.3">
      <c r="J308"/>
    </row>
    <row r="309" spans="10:10" ht="14.4" x14ac:dyDescent="0.3">
      <c r="J309"/>
    </row>
    <row r="310" spans="10:10" ht="14.4" x14ac:dyDescent="0.3">
      <c r="J310"/>
    </row>
    <row r="311" spans="10:10" ht="14.4" x14ac:dyDescent="0.3">
      <c r="J311"/>
    </row>
    <row r="312" spans="10:10" ht="14.4" x14ac:dyDescent="0.3">
      <c r="J312"/>
    </row>
    <row r="313" spans="10:10" ht="14.4" x14ac:dyDescent="0.3">
      <c r="J313"/>
    </row>
    <row r="314" spans="10:10" ht="14.4" x14ac:dyDescent="0.3">
      <c r="J314"/>
    </row>
    <row r="315" spans="10:10" ht="14.4" x14ac:dyDescent="0.3">
      <c r="J315"/>
    </row>
    <row r="316" spans="10:10" ht="14.4" x14ac:dyDescent="0.3">
      <c r="J316"/>
    </row>
    <row r="317" spans="10:10" ht="14.4" x14ac:dyDescent="0.3">
      <c r="J317"/>
    </row>
    <row r="318" spans="10:10" ht="14.4" x14ac:dyDescent="0.3">
      <c r="J318"/>
    </row>
    <row r="319" spans="10:10" ht="14.4" x14ac:dyDescent="0.3">
      <c r="J319"/>
    </row>
    <row r="320" spans="10:10" ht="14.4" x14ac:dyDescent="0.3">
      <c r="J320"/>
    </row>
    <row r="321" spans="10:10" ht="14.4" x14ac:dyDescent="0.3">
      <c r="J321"/>
    </row>
    <row r="322" spans="10:10" ht="14.4" x14ac:dyDescent="0.3">
      <c r="J322"/>
    </row>
    <row r="323" spans="10:10" ht="14.4" x14ac:dyDescent="0.3">
      <c r="J323"/>
    </row>
    <row r="324" spans="10:10" ht="14.4" x14ac:dyDescent="0.3">
      <c r="J324"/>
    </row>
    <row r="325" spans="10:10" ht="14.4" x14ac:dyDescent="0.3">
      <c r="J325"/>
    </row>
    <row r="326" spans="10:10" ht="14.4" x14ac:dyDescent="0.3">
      <c r="J326"/>
    </row>
    <row r="327" spans="10:10" ht="14.4" x14ac:dyDescent="0.3">
      <c r="J327"/>
    </row>
    <row r="328" spans="10:10" ht="14.4" x14ac:dyDescent="0.3">
      <c r="J328"/>
    </row>
    <row r="329" spans="10:10" ht="14.4" x14ac:dyDescent="0.3">
      <c r="J329"/>
    </row>
    <row r="330" spans="10:10" ht="14.4" x14ac:dyDescent="0.3">
      <c r="J330"/>
    </row>
    <row r="331" spans="10:10" ht="14.4" x14ac:dyDescent="0.3">
      <c r="J331"/>
    </row>
    <row r="332" spans="10:10" ht="14.4" x14ac:dyDescent="0.3">
      <c r="J33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4BD9-6C77-42D9-9862-364268E53BCC}">
  <sheetPr>
    <tabColor theme="5" tint="0.59999389629810485"/>
  </sheetPr>
  <dimension ref="A2:N63"/>
  <sheetViews>
    <sheetView workbookViewId="0">
      <selection activeCell="J47" sqref="J47:N47"/>
    </sheetView>
  </sheetViews>
  <sheetFormatPr baseColWidth="10" defaultRowHeight="13.2" x14ac:dyDescent="0.25"/>
  <cols>
    <col min="1" max="1" width="19.5546875" style="3" customWidth="1"/>
    <col min="2" max="2" width="17.21875" style="3" bestFit="1" customWidth="1"/>
    <col min="3" max="3" width="11.5546875" style="3"/>
    <col min="4" max="4" width="14.44140625" style="3" bestFit="1" customWidth="1"/>
    <col min="5" max="5" width="69.33203125" style="3" bestFit="1" customWidth="1"/>
    <col min="6" max="7" width="11.5546875" style="3"/>
    <col min="8" max="8" width="62.21875" style="3" bestFit="1" customWidth="1"/>
    <col min="9" max="10" width="11.5546875" style="3"/>
    <col min="11" max="11" width="19.88671875" style="3" bestFit="1" customWidth="1"/>
    <col min="12" max="12" width="20.33203125" style="3" bestFit="1" customWidth="1"/>
    <col min="13" max="13" width="13.21875" style="3" bestFit="1" customWidth="1"/>
    <col min="14" max="14" width="19.6640625" style="3" customWidth="1"/>
    <col min="15" max="16384" width="11.5546875" style="3"/>
  </cols>
  <sheetData>
    <row r="2" spans="1:14" ht="14.4" x14ac:dyDescent="0.3">
      <c r="A2" s="3" t="s">
        <v>498</v>
      </c>
      <c r="B2" s="3" t="s">
        <v>508</v>
      </c>
      <c r="D2" t="s">
        <v>680</v>
      </c>
      <c r="E2" t="s">
        <v>681</v>
      </c>
      <c r="G2" s="3" t="s">
        <v>803</v>
      </c>
      <c r="H2" s="3" t="s">
        <v>804</v>
      </c>
      <c r="J2" s="3" t="s">
        <v>803</v>
      </c>
      <c r="K2" s="3" t="s">
        <v>805</v>
      </c>
      <c r="L2" s="3" t="s">
        <v>471</v>
      </c>
      <c r="M2" s="3" t="s">
        <v>806</v>
      </c>
      <c r="N2" s="3" t="s">
        <v>514</v>
      </c>
    </row>
    <row r="3" spans="1:14" ht="14.4" x14ac:dyDescent="0.25">
      <c r="A3" s="3" t="s">
        <v>499</v>
      </c>
      <c r="B3" s="3" t="s">
        <v>509</v>
      </c>
      <c r="D3" s="8" t="s">
        <v>682</v>
      </c>
      <c r="E3" s="8" t="s">
        <v>683</v>
      </c>
      <c r="G3" s="3" t="s">
        <v>797</v>
      </c>
      <c r="H3" s="3" t="s">
        <v>798</v>
      </c>
      <c r="J3" s="3" t="s">
        <v>797</v>
      </c>
      <c r="K3" s="3" t="s">
        <v>519</v>
      </c>
      <c r="L3" s="3" t="s">
        <v>807</v>
      </c>
      <c r="M3" s="3" t="s">
        <v>521</v>
      </c>
      <c r="N3" s="3" t="s">
        <v>522</v>
      </c>
    </row>
    <row r="4" spans="1:14" ht="14.4" x14ac:dyDescent="0.25">
      <c r="B4" s="3" t="s">
        <v>510</v>
      </c>
      <c r="D4" s="8" t="s">
        <v>684</v>
      </c>
      <c r="E4" s="8" t="s">
        <v>685</v>
      </c>
      <c r="G4" s="3" t="s">
        <v>799</v>
      </c>
      <c r="H4" s="3" t="s">
        <v>814</v>
      </c>
      <c r="J4" s="3" t="s">
        <v>797</v>
      </c>
      <c r="K4" s="3" t="s">
        <v>559</v>
      </c>
      <c r="L4" s="3" t="s">
        <v>560</v>
      </c>
      <c r="M4" s="3" t="s">
        <v>561</v>
      </c>
      <c r="N4" s="3" t="s">
        <v>562</v>
      </c>
    </row>
    <row r="5" spans="1:14" ht="14.4" x14ac:dyDescent="0.25">
      <c r="D5" s="17" t="s">
        <v>686</v>
      </c>
      <c r="E5" s="17" t="s">
        <v>687</v>
      </c>
      <c r="G5" s="3" t="s">
        <v>800</v>
      </c>
      <c r="H5" s="3" t="s">
        <v>813</v>
      </c>
      <c r="J5" s="3" t="s">
        <v>797</v>
      </c>
      <c r="K5" s="3" t="s">
        <v>559</v>
      </c>
      <c r="L5" s="3" t="s">
        <v>560</v>
      </c>
      <c r="M5" s="3" t="s">
        <v>561</v>
      </c>
      <c r="N5" s="3" t="s">
        <v>564</v>
      </c>
    </row>
    <row r="6" spans="1:14" ht="14.4" x14ac:dyDescent="0.25">
      <c r="D6" s="17" t="s">
        <v>688</v>
      </c>
      <c r="E6" s="17" t="s">
        <v>689</v>
      </c>
      <c r="G6" s="3" t="s">
        <v>801</v>
      </c>
      <c r="H6" s="3" t="s">
        <v>802</v>
      </c>
      <c r="J6" s="3" t="s">
        <v>797</v>
      </c>
      <c r="K6" s="3" t="s">
        <v>519</v>
      </c>
      <c r="L6" s="3" t="s">
        <v>568</v>
      </c>
      <c r="M6" s="3" t="s">
        <v>569</v>
      </c>
      <c r="N6" s="3" t="s">
        <v>570</v>
      </c>
    </row>
    <row r="7" spans="1:14" ht="14.4" x14ac:dyDescent="0.25">
      <c r="D7" s="17" t="s">
        <v>690</v>
      </c>
      <c r="E7" s="17" t="s">
        <v>691</v>
      </c>
      <c r="J7" s="3" t="s">
        <v>797</v>
      </c>
      <c r="K7" s="3" t="s">
        <v>519</v>
      </c>
      <c r="L7" s="3" t="s">
        <v>568</v>
      </c>
      <c r="M7" s="3" t="s">
        <v>808</v>
      </c>
      <c r="N7" s="3" t="s">
        <v>573</v>
      </c>
    </row>
    <row r="8" spans="1:14" ht="14.4" x14ac:dyDescent="0.25">
      <c r="D8" s="8" t="s">
        <v>692</v>
      </c>
      <c r="E8" s="8" t="s">
        <v>693</v>
      </c>
      <c r="J8" s="3" t="s">
        <v>797</v>
      </c>
      <c r="K8" s="3" t="s">
        <v>559</v>
      </c>
      <c r="L8" s="3" t="s">
        <v>586</v>
      </c>
      <c r="M8" s="3" t="s">
        <v>561</v>
      </c>
      <c r="N8" s="3" t="s">
        <v>587</v>
      </c>
    </row>
    <row r="9" spans="1:14" ht="14.4" x14ac:dyDescent="0.25">
      <c r="D9" s="17" t="s">
        <v>694</v>
      </c>
      <c r="E9" s="17" t="s">
        <v>695</v>
      </c>
      <c r="J9" s="3" t="s">
        <v>797</v>
      </c>
      <c r="K9" s="3" t="s">
        <v>559</v>
      </c>
      <c r="L9" s="3" t="s">
        <v>586</v>
      </c>
      <c r="M9" s="3" t="s">
        <v>561</v>
      </c>
      <c r="N9" s="3">
        <v>950</v>
      </c>
    </row>
    <row r="10" spans="1:14" ht="14.4" x14ac:dyDescent="0.25">
      <c r="D10" s="8" t="s">
        <v>696</v>
      </c>
      <c r="E10" s="8" t="s">
        <v>697</v>
      </c>
      <c r="J10" s="3" t="s">
        <v>797</v>
      </c>
      <c r="K10" s="3" t="s">
        <v>559</v>
      </c>
      <c r="L10" s="3" t="s">
        <v>608</v>
      </c>
      <c r="M10" s="3" t="s">
        <v>609</v>
      </c>
      <c r="N10" s="3" t="s">
        <v>610</v>
      </c>
    </row>
    <row r="11" spans="1:14" ht="14.4" x14ac:dyDescent="0.25">
      <c r="D11" s="8" t="s">
        <v>698</v>
      </c>
      <c r="E11" s="8" t="s">
        <v>699</v>
      </c>
      <c r="J11" s="3" t="s">
        <v>797</v>
      </c>
      <c r="K11" s="3" t="s">
        <v>559</v>
      </c>
      <c r="L11" s="3" t="s">
        <v>626</v>
      </c>
      <c r="M11" s="3" t="s">
        <v>561</v>
      </c>
      <c r="N11" s="3" t="s">
        <v>627</v>
      </c>
    </row>
    <row r="12" spans="1:14" ht="14.4" x14ac:dyDescent="0.25">
      <c r="D12" s="8" t="s">
        <v>700</v>
      </c>
      <c r="E12" s="8" t="s">
        <v>701</v>
      </c>
      <c r="J12" s="3" t="s">
        <v>797</v>
      </c>
      <c r="K12" s="3" t="s">
        <v>559</v>
      </c>
      <c r="L12" s="3" t="s">
        <v>634</v>
      </c>
      <c r="M12" s="3" t="s">
        <v>561</v>
      </c>
      <c r="N12" s="3" t="s">
        <v>809</v>
      </c>
    </row>
    <row r="13" spans="1:14" ht="14.4" x14ac:dyDescent="0.25">
      <c r="D13" s="8" t="s">
        <v>702</v>
      </c>
      <c r="E13" s="8" t="s">
        <v>703</v>
      </c>
      <c r="J13" s="3" t="s">
        <v>797</v>
      </c>
      <c r="K13" s="3" t="s">
        <v>559</v>
      </c>
      <c r="L13" s="3" t="s">
        <v>634</v>
      </c>
      <c r="M13" s="3" t="s">
        <v>561</v>
      </c>
      <c r="N13" s="3" t="s">
        <v>636</v>
      </c>
    </row>
    <row r="14" spans="1:14" ht="14.4" x14ac:dyDescent="0.25">
      <c r="D14" s="17" t="s">
        <v>704</v>
      </c>
      <c r="E14" s="8" t="s">
        <v>705</v>
      </c>
      <c r="J14" s="3" t="s">
        <v>797</v>
      </c>
      <c r="K14" s="3" t="s">
        <v>559</v>
      </c>
      <c r="L14" s="3" t="s">
        <v>634</v>
      </c>
      <c r="M14" s="3" t="s">
        <v>561</v>
      </c>
      <c r="N14" s="3" t="s">
        <v>637</v>
      </c>
    </row>
    <row r="15" spans="1:14" ht="14.4" x14ac:dyDescent="0.25">
      <c r="D15" s="8" t="s">
        <v>706</v>
      </c>
      <c r="E15" s="8" t="s">
        <v>707</v>
      </c>
      <c r="J15" s="3" t="s">
        <v>797</v>
      </c>
      <c r="K15" s="3" t="s">
        <v>559</v>
      </c>
      <c r="L15" s="3" t="s">
        <v>634</v>
      </c>
      <c r="M15" s="3" t="s">
        <v>561</v>
      </c>
      <c r="N15" s="3" t="s">
        <v>638</v>
      </c>
    </row>
    <row r="16" spans="1:14" ht="14.4" x14ac:dyDescent="0.25">
      <c r="D16" s="17" t="s">
        <v>708</v>
      </c>
      <c r="E16" s="17" t="s">
        <v>707</v>
      </c>
      <c r="J16" s="3" t="s">
        <v>797</v>
      </c>
      <c r="K16" s="3" t="s">
        <v>559</v>
      </c>
      <c r="L16" s="3" t="s">
        <v>662</v>
      </c>
      <c r="M16" s="3" t="s">
        <v>561</v>
      </c>
      <c r="N16" s="3" t="s">
        <v>663</v>
      </c>
    </row>
    <row r="17" spans="4:14" ht="14.4" x14ac:dyDescent="0.25">
      <c r="D17" s="17" t="s">
        <v>709</v>
      </c>
      <c r="E17" s="8" t="s">
        <v>710</v>
      </c>
      <c r="J17" s="3" t="s">
        <v>797</v>
      </c>
      <c r="K17" s="3" t="s">
        <v>559</v>
      </c>
      <c r="L17" s="3" t="s">
        <v>608</v>
      </c>
      <c r="M17" s="3" t="s">
        <v>609</v>
      </c>
      <c r="N17" s="3" t="s">
        <v>673</v>
      </c>
    </row>
    <row r="18" spans="4:14" ht="14.4" x14ac:dyDescent="0.25">
      <c r="D18" s="17" t="s">
        <v>711</v>
      </c>
      <c r="E18" s="8" t="s">
        <v>712</v>
      </c>
      <c r="J18" s="3" t="s">
        <v>797</v>
      </c>
      <c r="K18" s="3" t="s">
        <v>559</v>
      </c>
      <c r="L18" s="3" t="s">
        <v>608</v>
      </c>
      <c r="M18" s="3" t="s">
        <v>674</v>
      </c>
      <c r="N18" s="3" t="s">
        <v>673</v>
      </c>
    </row>
    <row r="19" spans="4:14" ht="14.4" x14ac:dyDescent="0.25">
      <c r="D19" s="8" t="s">
        <v>713</v>
      </c>
      <c r="E19" s="8" t="s">
        <v>714</v>
      </c>
    </row>
    <row r="20" spans="4:14" ht="14.4" x14ac:dyDescent="0.25">
      <c r="D20" s="8" t="s">
        <v>715</v>
      </c>
      <c r="E20" s="8" t="s">
        <v>716</v>
      </c>
      <c r="J20" s="3" t="s">
        <v>799</v>
      </c>
      <c r="K20" s="3" t="s">
        <v>519</v>
      </c>
      <c r="L20" s="3" t="s">
        <v>527</v>
      </c>
      <c r="M20" s="3" t="s">
        <v>528</v>
      </c>
      <c r="N20" s="3" t="s">
        <v>529</v>
      </c>
    </row>
    <row r="21" spans="4:14" ht="14.4" x14ac:dyDescent="0.25">
      <c r="D21" s="8" t="s">
        <v>717</v>
      </c>
      <c r="E21" s="8" t="s">
        <v>718</v>
      </c>
      <c r="J21" s="3" t="s">
        <v>799</v>
      </c>
      <c r="K21" s="3" t="s">
        <v>519</v>
      </c>
      <c r="L21" s="3" t="s">
        <v>527</v>
      </c>
      <c r="M21" s="3" t="s">
        <v>528</v>
      </c>
      <c r="N21" s="3" t="s">
        <v>534</v>
      </c>
    </row>
    <row r="22" spans="4:14" ht="14.4" x14ac:dyDescent="0.25">
      <c r="D22" s="8" t="s">
        <v>719</v>
      </c>
      <c r="E22" s="8" t="s">
        <v>720</v>
      </c>
      <c r="J22" s="3" t="s">
        <v>799</v>
      </c>
      <c r="K22" s="3" t="s">
        <v>519</v>
      </c>
      <c r="L22" s="3" t="s">
        <v>527</v>
      </c>
      <c r="M22" s="3" t="s">
        <v>528</v>
      </c>
      <c r="N22" s="3" t="s">
        <v>537</v>
      </c>
    </row>
    <row r="23" spans="4:14" ht="14.4" x14ac:dyDescent="0.25">
      <c r="D23" s="8" t="s">
        <v>721</v>
      </c>
      <c r="E23" s="8" t="s">
        <v>722</v>
      </c>
      <c r="J23" s="3" t="s">
        <v>799</v>
      </c>
      <c r="K23" s="3" t="s">
        <v>519</v>
      </c>
      <c r="L23" s="3" t="s">
        <v>527</v>
      </c>
      <c r="M23" s="3" t="s">
        <v>528</v>
      </c>
      <c r="N23" s="3" t="s">
        <v>540</v>
      </c>
    </row>
    <row r="24" spans="4:14" ht="14.4" x14ac:dyDescent="0.25">
      <c r="D24" s="8" t="s">
        <v>723</v>
      </c>
      <c r="E24" s="8" t="s">
        <v>724</v>
      </c>
      <c r="J24" s="3" t="s">
        <v>799</v>
      </c>
      <c r="K24" s="3" t="s">
        <v>519</v>
      </c>
      <c r="L24" s="3" t="s">
        <v>527</v>
      </c>
      <c r="M24" s="3" t="s">
        <v>528</v>
      </c>
      <c r="N24" s="3" t="s">
        <v>543</v>
      </c>
    </row>
    <row r="25" spans="4:14" ht="14.4" x14ac:dyDescent="0.25">
      <c r="D25" s="8" t="s">
        <v>725</v>
      </c>
      <c r="E25" s="8" t="s">
        <v>726</v>
      </c>
      <c r="J25" s="3" t="s">
        <v>799</v>
      </c>
      <c r="K25" s="3" t="s">
        <v>519</v>
      </c>
      <c r="L25" s="3" t="s">
        <v>527</v>
      </c>
      <c r="M25" s="3" t="s">
        <v>528</v>
      </c>
      <c r="N25" s="3" t="s">
        <v>547</v>
      </c>
    </row>
    <row r="26" spans="4:14" ht="14.4" x14ac:dyDescent="0.25">
      <c r="D26" s="17" t="s">
        <v>727</v>
      </c>
      <c r="E26" s="17" t="s">
        <v>728</v>
      </c>
      <c r="J26" s="3" t="s">
        <v>799</v>
      </c>
      <c r="K26" s="3" t="s">
        <v>519</v>
      </c>
      <c r="L26" s="3" t="s">
        <v>527</v>
      </c>
      <c r="M26" s="3" t="s">
        <v>550</v>
      </c>
      <c r="N26" s="3" t="s">
        <v>551</v>
      </c>
    </row>
    <row r="27" spans="4:14" ht="14.4" x14ac:dyDescent="0.25">
      <c r="D27" s="8" t="s">
        <v>729</v>
      </c>
      <c r="E27" s="8" t="s">
        <v>730</v>
      </c>
      <c r="J27" s="3" t="s">
        <v>799</v>
      </c>
      <c r="K27" s="3" t="s">
        <v>519</v>
      </c>
      <c r="L27" s="3" t="s">
        <v>554</v>
      </c>
      <c r="M27" s="3" t="s">
        <v>555</v>
      </c>
      <c r="N27" s="3" t="s">
        <v>556</v>
      </c>
    </row>
    <row r="28" spans="4:14" ht="14.4" x14ac:dyDescent="0.25">
      <c r="D28" s="8" t="s">
        <v>731</v>
      </c>
      <c r="E28" s="8" t="s">
        <v>732</v>
      </c>
      <c r="J28" s="3" t="s">
        <v>799</v>
      </c>
      <c r="K28" s="3" t="s">
        <v>519</v>
      </c>
      <c r="L28" s="3" t="s">
        <v>591</v>
      </c>
      <c r="M28" s="3" t="s">
        <v>569</v>
      </c>
      <c r="N28" s="3" t="s">
        <v>592</v>
      </c>
    </row>
    <row r="29" spans="4:14" ht="14.4" x14ac:dyDescent="0.25">
      <c r="D29" s="8" t="s">
        <v>733</v>
      </c>
      <c r="E29" s="8" t="s">
        <v>734</v>
      </c>
      <c r="J29" s="3" t="s">
        <v>799</v>
      </c>
      <c r="K29" s="3" t="s">
        <v>519</v>
      </c>
      <c r="L29" s="3" t="s">
        <v>591</v>
      </c>
      <c r="M29" s="3" t="s">
        <v>595</v>
      </c>
      <c r="N29" s="3" t="s">
        <v>596</v>
      </c>
    </row>
    <row r="30" spans="4:14" ht="14.4" x14ac:dyDescent="0.25">
      <c r="D30" s="8" t="s">
        <v>735</v>
      </c>
      <c r="E30" s="8" t="s">
        <v>736</v>
      </c>
      <c r="J30" s="3" t="s">
        <v>799</v>
      </c>
      <c r="K30" s="3" t="s">
        <v>519</v>
      </c>
      <c r="L30" s="3" t="s">
        <v>591</v>
      </c>
      <c r="M30" s="3" t="s">
        <v>550</v>
      </c>
      <c r="N30" s="3" t="s">
        <v>599</v>
      </c>
    </row>
    <row r="31" spans="4:14" ht="14.4" x14ac:dyDescent="0.25">
      <c r="D31" s="8" t="s">
        <v>737</v>
      </c>
      <c r="E31" s="8" t="s">
        <v>738</v>
      </c>
      <c r="J31" s="3" t="s">
        <v>799</v>
      </c>
      <c r="K31" s="3" t="s">
        <v>519</v>
      </c>
      <c r="L31" s="3" t="s">
        <v>591</v>
      </c>
      <c r="M31" s="3" t="s">
        <v>603</v>
      </c>
      <c r="N31" s="3" t="s">
        <v>604</v>
      </c>
    </row>
    <row r="32" spans="4:14" ht="14.4" x14ac:dyDescent="0.25">
      <c r="D32" s="8" t="s">
        <v>739</v>
      </c>
      <c r="E32" s="8" t="s">
        <v>740</v>
      </c>
      <c r="J32" s="3" t="s">
        <v>799</v>
      </c>
      <c r="K32" s="3" t="s">
        <v>519</v>
      </c>
      <c r="L32" s="3" t="s">
        <v>639</v>
      </c>
      <c r="M32" s="3" t="s">
        <v>808</v>
      </c>
      <c r="N32" s="3" t="s">
        <v>640</v>
      </c>
    </row>
    <row r="33" spans="4:14" ht="14.4" x14ac:dyDescent="0.25">
      <c r="D33" s="8" t="s">
        <v>741</v>
      </c>
      <c r="E33" s="8" t="s">
        <v>742</v>
      </c>
      <c r="J33" s="3" t="s">
        <v>799</v>
      </c>
      <c r="K33" s="3" t="s">
        <v>519</v>
      </c>
      <c r="L33" s="3" t="s">
        <v>639</v>
      </c>
      <c r="M33" s="3" t="s">
        <v>808</v>
      </c>
      <c r="N33" s="3" t="s">
        <v>643</v>
      </c>
    </row>
    <row r="34" spans="4:14" ht="14.4" x14ac:dyDescent="0.25">
      <c r="D34" s="8" t="s">
        <v>743</v>
      </c>
      <c r="E34" s="8" t="s">
        <v>744</v>
      </c>
      <c r="J34" s="3" t="s">
        <v>799</v>
      </c>
      <c r="K34" s="3" t="s">
        <v>519</v>
      </c>
      <c r="L34" s="3" t="s">
        <v>639</v>
      </c>
      <c r="M34" s="3" t="s">
        <v>808</v>
      </c>
      <c r="N34" s="3" t="s">
        <v>646</v>
      </c>
    </row>
    <row r="35" spans="4:14" ht="14.4" x14ac:dyDescent="0.25">
      <c r="D35" s="8" t="s">
        <v>745</v>
      </c>
      <c r="E35" s="8" t="s">
        <v>746</v>
      </c>
      <c r="J35" s="3" t="s">
        <v>799</v>
      </c>
      <c r="K35" s="3" t="s">
        <v>519</v>
      </c>
      <c r="L35" s="3" t="s">
        <v>639</v>
      </c>
      <c r="M35" s="3" t="s">
        <v>808</v>
      </c>
      <c r="N35" s="3" t="s">
        <v>647</v>
      </c>
    </row>
    <row r="36" spans="4:14" ht="14.4" x14ac:dyDescent="0.25">
      <c r="D36" s="8" t="s">
        <v>747</v>
      </c>
      <c r="E36" s="8" t="s">
        <v>748</v>
      </c>
      <c r="J36" s="3" t="s">
        <v>799</v>
      </c>
      <c r="K36" s="3" t="s">
        <v>519</v>
      </c>
      <c r="L36" s="3" t="s">
        <v>639</v>
      </c>
      <c r="M36" s="3" t="s">
        <v>808</v>
      </c>
      <c r="N36" s="3" t="s">
        <v>651</v>
      </c>
    </row>
    <row r="37" spans="4:14" ht="14.4" x14ac:dyDescent="0.25">
      <c r="D37" s="8" t="s">
        <v>749</v>
      </c>
      <c r="E37" s="8" t="s">
        <v>750</v>
      </c>
      <c r="J37" s="3" t="s">
        <v>799</v>
      </c>
      <c r="K37" s="3" t="s">
        <v>577</v>
      </c>
      <c r="L37" s="3" t="s">
        <v>810</v>
      </c>
      <c r="M37" s="3" t="s">
        <v>579</v>
      </c>
      <c r="N37" s="3" t="s">
        <v>580</v>
      </c>
    </row>
    <row r="38" spans="4:14" ht="14.4" x14ac:dyDescent="0.25">
      <c r="D38" s="8" t="s">
        <v>751</v>
      </c>
      <c r="E38" s="8" t="s">
        <v>752</v>
      </c>
      <c r="J38" s="3" t="s">
        <v>799</v>
      </c>
      <c r="K38" s="3" t="s">
        <v>577</v>
      </c>
      <c r="L38" s="3" t="s">
        <v>810</v>
      </c>
      <c r="M38" s="3" t="s">
        <v>579</v>
      </c>
      <c r="N38" s="3" t="s">
        <v>583</v>
      </c>
    </row>
    <row r="39" spans="4:14" ht="14.4" x14ac:dyDescent="0.25">
      <c r="D39" s="8" t="s">
        <v>753</v>
      </c>
      <c r="E39" s="8" t="s">
        <v>754</v>
      </c>
      <c r="J39" s="3" t="s">
        <v>799</v>
      </c>
      <c r="K39" s="3" t="s">
        <v>577</v>
      </c>
      <c r="L39" s="3" t="s">
        <v>629</v>
      </c>
      <c r="M39" s="3" t="s">
        <v>630</v>
      </c>
      <c r="N39" s="3" t="s">
        <v>631</v>
      </c>
    </row>
    <row r="40" spans="4:14" ht="14.4" x14ac:dyDescent="0.25">
      <c r="D40" s="8" t="s">
        <v>755</v>
      </c>
      <c r="E40" s="8" t="s">
        <v>756</v>
      </c>
      <c r="J40" s="3" t="s">
        <v>799</v>
      </c>
      <c r="K40" s="3" t="s">
        <v>612</v>
      </c>
      <c r="L40" s="3" t="s">
        <v>613</v>
      </c>
      <c r="M40" s="3" t="s">
        <v>614</v>
      </c>
      <c r="N40" s="3" t="s">
        <v>615</v>
      </c>
    </row>
    <row r="41" spans="4:14" ht="14.4" x14ac:dyDescent="0.25">
      <c r="D41" s="8" t="s">
        <v>757</v>
      </c>
      <c r="E41" s="8" t="s">
        <v>758</v>
      </c>
      <c r="J41" s="3" t="s">
        <v>799</v>
      </c>
      <c r="K41" s="3" t="s">
        <v>612</v>
      </c>
      <c r="L41" s="3" t="s">
        <v>613</v>
      </c>
      <c r="M41" s="3" t="s">
        <v>614</v>
      </c>
      <c r="N41" s="3" t="s">
        <v>619</v>
      </c>
    </row>
    <row r="42" spans="4:14" ht="14.4" x14ac:dyDescent="0.25">
      <c r="D42" s="8" t="s">
        <v>759</v>
      </c>
      <c r="E42" s="8" t="s">
        <v>760</v>
      </c>
      <c r="J42" s="3" t="s">
        <v>799</v>
      </c>
      <c r="K42" s="3" t="s">
        <v>612</v>
      </c>
      <c r="L42" s="3" t="s">
        <v>613</v>
      </c>
      <c r="M42" s="3" t="s">
        <v>622</v>
      </c>
      <c r="N42" s="3" t="s">
        <v>623</v>
      </c>
    </row>
    <row r="43" spans="4:14" ht="14.4" x14ac:dyDescent="0.25">
      <c r="D43" s="8" t="s">
        <v>761</v>
      </c>
      <c r="E43" s="8" t="s">
        <v>762</v>
      </c>
    </row>
    <row r="44" spans="4:14" ht="14.4" x14ac:dyDescent="0.25">
      <c r="D44" s="17" t="s">
        <v>763</v>
      </c>
      <c r="E44" s="17" t="s">
        <v>764</v>
      </c>
      <c r="J44" s="3" t="s">
        <v>800</v>
      </c>
      <c r="K44" s="3" t="s">
        <v>654</v>
      </c>
      <c r="L44" s="3" t="s">
        <v>655</v>
      </c>
      <c r="M44" s="3" t="s">
        <v>811</v>
      </c>
      <c r="N44" s="3" t="s">
        <v>657</v>
      </c>
    </row>
    <row r="45" spans="4:14" ht="14.4" x14ac:dyDescent="0.25">
      <c r="D45" s="8" t="s">
        <v>765</v>
      </c>
      <c r="E45" s="8" t="s">
        <v>766</v>
      </c>
      <c r="J45" s="3" t="s">
        <v>800</v>
      </c>
      <c r="K45" s="3" t="s">
        <v>666</v>
      </c>
      <c r="L45" s="3" t="s">
        <v>667</v>
      </c>
      <c r="M45" s="3" t="s">
        <v>668</v>
      </c>
      <c r="N45" s="3" t="s">
        <v>812</v>
      </c>
    </row>
    <row r="46" spans="4:14" ht="14.4" x14ac:dyDescent="0.25">
      <c r="D46" s="8" t="s">
        <v>767</v>
      </c>
      <c r="E46" s="8" t="s">
        <v>768</v>
      </c>
      <c r="J46" s="3" t="s">
        <v>800</v>
      </c>
      <c r="K46" s="3" t="s">
        <v>654</v>
      </c>
      <c r="L46" s="3" t="s">
        <v>655</v>
      </c>
      <c r="M46" s="3" t="s">
        <v>675</v>
      </c>
      <c r="N46" s="3" t="s">
        <v>676</v>
      </c>
    </row>
    <row r="47" spans="4:14" ht="14.4" x14ac:dyDescent="0.25">
      <c r="D47" s="8" t="s">
        <v>769</v>
      </c>
      <c r="E47" s="8" t="s">
        <v>770</v>
      </c>
    </row>
    <row r="48" spans="4:14" ht="14.4" x14ac:dyDescent="0.25">
      <c r="D48" s="8" t="s">
        <v>771</v>
      </c>
      <c r="E48" s="8" t="s">
        <v>772</v>
      </c>
    </row>
    <row r="49" spans="4:5" ht="14.4" x14ac:dyDescent="0.25">
      <c r="D49" s="17" t="s">
        <v>773</v>
      </c>
      <c r="E49" s="17" t="s">
        <v>774</v>
      </c>
    </row>
    <row r="50" spans="4:5" ht="14.4" x14ac:dyDescent="0.25">
      <c r="D50" s="8" t="s">
        <v>775</v>
      </c>
      <c r="E50" s="8" t="s">
        <v>776</v>
      </c>
    </row>
    <row r="51" spans="4:5" ht="14.4" x14ac:dyDescent="0.25">
      <c r="D51" s="17" t="s">
        <v>777</v>
      </c>
      <c r="E51" s="17" t="s">
        <v>778</v>
      </c>
    </row>
    <row r="52" spans="4:5" ht="14.4" x14ac:dyDescent="0.25">
      <c r="D52" s="8" t="s">
        <v>779</v>
      </c>
      <c r="E52" s="8" t="s">
        <v>780</v>
      </c>
    </row>
    <row r="53" spans="4:5" ht="14.4" x14ac:dyDescent="0.25">
      <c r="D53" s="17" t="s">
        <v>781</v>
      </c>
      <c r="E53" s="8" t="s">
        <v>782</v>
      </c>
    </row>
    <row r="54" spans="4:5" ht="14.4" x14ac:dyDescent="0.25">
      <c r="D54" s="17" t="s">
        <v>783</v>
      </c>
      <c r="E54" s="17" t="s">
        <v>783</v>
      </c>
    </row>
    <row r="55" spans="4:5" ht="14.4" x14ac:dyDescent="0.25">
      <c r="D55" s="17" t="s">
        <v>784</v>
      </c>
      <c r="E55" s="17" t="s">
        <v>785</v>
      </c>
    </row>
    <row r="56" spans="4:5" ht="14.4" x14ac:dyDescent="0.25">
      <c r="D56" s="17" t="s">
        <v>786</v>
      </c>
      <c r="E56" s="17" t="s">
        <v>787</v>
      </c>
    </row>
    <row r="57" spans="4:5" ht="14.4" x14ac:dyDescent="0.25">
      <c r="D57" s="17" t="s">
        <v>788</v>
      </c>
      <c r="E57" s="17" t="s">
        <v>788</v>
      </c>
    </row>
    <row r="58" spans="4:5" ht="14.4" x14ac:dyDescent="0.3">
      <c r="D58" t="s">
        <v>789</v>
      </c>
      <c r="E58" t="s">
        <v>789</v>
      </c>
    </row>
    <row r="59" spans="4:5" ht="14.4" x14ac:dyDescent="0.25">
      <c r="D59" s="17" t="s">
        <v>790</v>
      </c>
      <c r="E59" s="8" t="s">
        <v>791</v>
      </c>
    </row>
    <row r="60" spans="4:5" ht="14.4" x14ac:dyDescent="0.25">
      <c r="D60" s="17" t="s">
        <v>792</v>
      </c>
      <c r="E60" s="8" t="s">
        <v>793</v>
      </c>
    </row>
    <row r="61" spans="4:5" ht="14.4" x14ac:dyDescent="0.25">
      <c r="D61" s="17" t="s">
        <v>794</v>
      </c>
      <c r="E61" s="8" t="s">
        <v>795</v>
      </c>
    </row>
    <row r="62" spans="4:5" ht="14.4" x14ac:dyDescent="0.25">
      <c r="D62" s="17"/>
      <c r="E62" s="8"/>
    </row>
    <row r="63" spans="4:5" ht="14.4" x14ac:dyDescent="0.25">
      <c r="D63" s="8" t="s">
        <v>796</v>
      </c>
      <c r="E63" s="8">
        <f>SUBTOTAL(103,Tableau24[PROJET/CHANTIER])</f>
        <v>59</v>
      </c>
    </row>
  </sheetData>
  <conditionalFormatting sqref="D3:D62">
    <cfRule type="duplicateValues" dxfId="9" priority="1"/>
  </conditionalFormatting>
  <conditionalFormatting sqref="D3:E20 D48:E52">
    <cfRule type="expression" dxfId="8" priority="2">
      <formula>$AH20="FACTURE ANNULEE"</formula>
    </cfRule>
    <cfRule type="expression" dxfId="7" priority="3">
      <formula>AND($AB20&lt;TODAY(),OR($AH20="ECHUE NON REGLEE",$AH20="PAIEMENT PARTIEL"))</formula>
    </cfRule>
    <cfRule type="expression" dxfId="6" priority="4">
      <formula>LEFT($AH20,5)="AVOIR"</formula>
    </cfRule>
  </conditionalFormatting>
  <conditionalFormatting sqref="D21:E46">
    <cfRule type="expression" dxfId="5" priority="5">
      <formula>$AH39="FACTURE ANNULEE"</formula>
    </cfRule>
    <cfRule type="expression" dxfId="4" priority="6">
      <formula>AND($AB39&lt;TODAY(),OR($AH39="ECHUE NON REGLEE",$AH39="PAIEMENT PARTIEL"))</formula>
    </cfRule>
    <cfRule type="expression" dxfId="3" priority="7">
      <formula>LEFT($AH39,5)="AVOIR"</formula>
    </cfRule>
  </conditionalFormatting>
  <conditionalFormatting sqref="D47:E47">
    <cfRule type="expression" dxfId="2" priority="8">
      <formula>#REF!="FACTURE ANNULEE"</formula>
    </cfRule>
    <cfRule type="expression" dxfId="1" priority="9">
      <formula>AND(#REF!&lt;TODAY(),OR(#REF!="ECHUE NON REGLEE",#REF!="PAIEMENT PARTIEL"))</formula>
    </cfRule>
    <cfRule type="expression" dxfId="0" priority="10">
      <formula>LEFT(#REF!,5)="AVOIR"</formula>
    </cfRule>
  </conditionalFormatting>
  <pageMargins left="0.7" right="0.7" top="0.75" bottom="0.75" header="0.3" footer="0.3"/>
  <pageSetup paperSize="9" orientation="portrait" horizontalDpi="300" verticalDpi="300" r:id="rId1"/>
  <legacyDrawing r:id="rId2"/>
  <tableParts count="4"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6A0-58B0-403E-9FDD-C37E7A8E5C40}">
  <dimension ref="A2:J46"/>
  <sheetViews>
    <sheetView topLeftCell="A18" workbookViewId="0">
      <selection activeCell="B2" sqref="B2:E44"/>
    </sheetView>
  </sheetViews>
  <sheetFormatPr baseColWidth="10" defaultColWidth="29" defaultRowHeight="24" customHeight="1" x14ac:dyDescent="0.3"/>
  <cols>
    <col min="1" max="1" width="7.44140625" bestFit="1" customWidth="1"/>
    <col min="2" max="2" width="29.77734375" bestFit="1" customWidth="1"/>
    <col min="6" max="6" width="34.44140625" customWidth="1"/>
  </cols>
  <sheetData>
    <row r="2" spans="1:9" ht="37.5" customHeight="1" x14ac:dyDescent="0.3">
      <c r="A2" s="6" t="s">
        <v>511</v>
      </c>
      <c r="B2" s="6" t="s">
        <v>512</v>
      </c>
      <c r="C2" s="6" t="s">
        <v>471</v>
      </c>
      <c r="D2" s="6" t="s">
        <v>513</v>
      </c>
      <c r="E2" s="6" t="s">
        <v>514</v>
      </c>
      <c r="F2" s="7" t="s">
        <v>515</v>
      </c>
      <c r="G2" s="6" t="s">
        <v>516</v>
      </c>
      <c r="H2" s="6" t="s">
        <v>517</v>
      </c>
      <c r="I2" s="6" t="s">
        <v>518</v>
      </c>
    </row>
    <row r="3" spans="1:9" ht="24" customHeight="1" x14ac:dyDescent="0.3">
      <c r="A3" s="8">
        <f>ROW(Tableau16[[#This Row],[MATERIEL/ENGIN/VEHICULE]])-ROW(Tableau16[[#Headers],[MATERIEL/ENGIN/VEHICULE]])</f>
        <v>1</v>
      </c>
      <c r="B3" s="8" t="s">
        <v>519</v>
      </c>
      <c r="C3" s="8" t="s">
        <v>520</v>
      </c>
      <c r="D3" s="8" t="s">
        <v>521</v>
      </c>
      <c r="E3" s="8" t="s">
        <v>522</v>
      </c>
      <c r="F3" s="8" t="s">
        <v>523</v>
      </c>
      <c r="G3" s="8" t="s">
        <v>524</v>
      </c>
      <c r="H3" s="8" t="s">
        <v>525</v>
      </c>
      <c r="I3" s="9" t="s">
        <v>526</v>
      </c>
    </row>
    <row r="4" spans="1:9" ht="24" customHeight="1" x14ac:dyDescent="0.3">
      <c r="A4" s="8">
        <f>ROW(Tableau16[[#This Row],[MATERIEL/ENGIN/VEHICULE]])-ROW(Tableau16[[#Headers],[MATERIEL/ENGIN/VEHICULE]])</f>
        <v>2</v>
      </c>
      <c r="B4" s="8" t="s">
        <v>519</v>
      </c>
      <c r="C4" s="8" t="s">
        <v>527</v>
      </c>
      <c r="D4" s="8" t="s">
        <v>528</v>
      </c>
      <c r="E4" s="8" t="s">
        <v>529</v>
      </c>
      <c r="F4" s="8" t="s">
        <v>530</v>
      </c>
      <c r="G4" s="8" t="s">
        <v>531</v>
      </c>
      <c r="H4" s="8" t="s">
        <v>532</v>
      </c>
      <c r="I4" s="8" t="s">
        <v>533</v>
      </c>
    </row>
    <row r="5" spans="1:9" ht="24" customHeight="1" x14ac:dyDescent="0.3">
      <c r="A5" s="8">
        <f>ROW(Tableau16[[#This Row],[MATERIEL/ENGIN/VEHICULE]])-ROW(Tableau16[[#Headers],[MATERIEL/ENGIN/VEHICULE]])</f>
        <v>3</v>
      </c>
      <c r="B5" s="8" t="s">
        <v>519</v>
      </c>
      <c r="C5" s="8" t="s">
        <v>527</v>
      </c>
      <c r="D5" s="8" t="s">
        <v>528</v>
      </c>
      <c r="E5" s="8" t="s">
        <v>534</v>
      </c>
      <c r="F5" s="8" t="s">
        <v>535</v>
      </c>
      <c r="G5" s="8" t="s">
        <v>536</v>
      </c>
      <c r="H5" s="8" t="s">
        <v>532</v>
      </c>
      <c r="I5" s="8" t="s">
        <v>533</v>
      </c>
    </row>
    <row r="6" spans="1:9" ht="24" customHeight="1" x14ac:dyDescent="0.3">
      <c r="A6" s="8">
        <f>ROW(Tableau16[[#This Row],[MATERIEL/ENGIN/VEHICULE]])-ROW(Tableau16[[#Headers],[MATERIEL/ENGIN/VEHICULE]])</f>
        <v>4</v>
      </c>
      <c r="B6" s="8" t="s">
        <v>519</v>
      </c>
      <c r="C6" s="8" t="s">
        <v>527</v>
      </c>
      <c r="D6" s="8" t="s">
        <v>528</v>
      </c>
      <c r="E6" s="8" t="s">
        <v>537</v>
      </c>
      <c r="F6" s="8" t="s">
        <v>538</v>
      </c>
      <c r="G6" s="8" t="s">
        <v>539</v>
      </c>
      <c r="H6" s="8" t="s">
        <v>532</v>
      </c>
      <c r="I6" s="8" t="s">
        <v>533</v>
      </c>
    </row>
    <row r="7" spans="1:9" ht="24" customHeight="1" x14ac:dyDescent="0.3">
      <c r="A7" s="8">
        <f>ROW(Tableau16[[#This Row],[MATERIEL/ENGIN/VEHICULE]])-ROW(Tableau16[[#Headers],[MATERIEL/ENGIN/VEHICULE]])</f>
        <v>5</v>
      </c>
      <c r="B7" s="8" t="s">
        <v>519</v>
      </c>
      <c r="C7" s="8" t="s">
        <v>527</v>
      </c>
      <c r="D7" s="8" t="s">
        <v>528</v>
      </c>
      <c r="E7" s="8" t="s">
        <v>540</v>
      </c>
      <c r="F7" s="8" t="s">
        <v>541</v>
      </c>
      <c r="G7" s="8" t="s">
        <v>542</v>
      </c>
      <c r="H7" s="8" t="s">
        <v>532</v>
      </c>
      <c r="I7" s="8" t="s">
        <v>533</v>
      </c>
    </row>
    <row r="8" spans="1:9" ht="24" customHeight="1" x14ac:dyDescent="0.3">
      <c r="A8" s="8">
        <f>ROW(Tableau16[[#This Row],[MATERIEL/ENGIN/VEHICULE]])-ROW(Tableau16[[#Headers],[MATERIEL/ENGIN/VEHICULE]])</f>
        <v>6</v>
      </c>
      <c r="B8" s="8" t="s">
        <v>519</v>
      </c>
      <c r="C8" s="8" t="s">
        <v>527</v>
      </c>
      <c r="D8" s="8" t="s">
        <v>528</v>
      </c>
      <c r="E8" s="8" t="s">
        <v>543</v>
      </c>
      <c r="F8" s="8" t="s">
        <v>544</v>
      </c>
      <c r="G8" s="8" t="s">
        <v>545</v>
      </c>
      <c r="H8" s="8" t="s">
        <v>546</v>
      </c>
      <c r="I8" s="8" t="s">
        <v>533</v>
      </c>
    </row>
    <row r="9" spans="1:9" ht="24" customHeight="1" x14ac:dyDescent="0.3">
      <c r="A9" s="8">
        <f>ROW(Tableau16[[#This Row],[MATERIEL/ENGIN/VEHICULE]])-ROW(Tableau16[[#Headers],[MATERIEL/ENGIN/VEHICULE]])</f>
        <v>7</v>
      </c>
      <c r="B9" s="8" t="s">
        <v>519</v>
      </c>
      <c r="C9" s="8" t="s">
        <v>527</v>
      </c>
      <c r="D9" s="8" t="s">
        <v>528</v>
      </c>
      <c r="E9" s="8" t="s">
        <v>547</v>
      </c>
      <c r="F9" s="8" t="s">
        <v>548</v>
      </c>
      <c r="G9" s="8" t="s">
        <v>549</v>
      </c>
      <c r="H9" s="8" t="s">
        <v>546</v>
      </c>
      <c r="I9" s="8" t="s">
        <v>533</v>
      </c>
    </row>
    <row r="10" spans="1:9" ht="24" customHeight="1" x14ac:dyDescent="0.3">
      <c r="A10" s="8">
        <f>ROW(Tableau16[[#This Row],[MATERIEL/ENGIN/VEHICULE]])-ROW(Tableau16[[#Headers],[MATERIEL/ENGIN/VEHICULE]])</f>
        <v>8</v>
      </c>
      <c r="B10" s="8" t="s">
        <v>519</v>
      </c>
      <c r="C10" s="8" t="s">
        <v>527</v>
      </c>
      <c r="D10" s="8" t="s">
        <v>550</v>
      </c>
      <c r="E10" s="8" t="s">
        <v>551</v>
      </c>
      <c r="F10" s="8" t="s">
        <v>552</v>
      </c>
      <c r="G10" s="8" t="s">
        <v>553</v>
      </c>
      <c r="H10" s="8" t="s">
        <v>546</v>
      </c>
      <c r="I10" s="8" t="s">
        <v>533</v>
      </c>
    </row>
    <row r="11" spans="1:9" s="13" customFormat="1" ht="24" customHeight="1" x14ac:dyDescent="0.3">
      <c r="A11" s="10">
        <f>ROW(Tableau16[[#This Row],[MATERIEL/ENGIN/VEHICULE]])-ROW(Tableau16[[#Headers],[MATERIEL/ENGIN/VEHICULE]])</f>
        <v>9</v>
      </c>
      <c r="B11" s="10" t="s">
        <v>519</v>
      </c>
      <c r="C11" s="10" t="s">
        <v>554</v>
      </c>
      <c r="D11" s="10" t="s">
        <v>555</v>
      </c>
      <c r="E11" s="10" t="s">
        <v>556</v>
      </c>
      <c r="F11" s="11" t="s">
        <v>557</v>
      </c>
      <c r="G11" s="11" t="s">
        <v>557</v>
      </c>
      <c r="H11" s="10" t="s">
        <v>525</v>
      </c>
      <c r="I11" s="12" t="s">
        <v>558</v>
      </c>
    </row>
    <row r="12" spans="1:9" s="13" customFormat="1" ht="24" customHeight="1" x14ac:dyDescent="0.3">
      <c r="A12" s="10">
        <f>ROW(Tableau16[[#This Row],[MATERIEL/ENGIN/VEHICULE]])-ROW(Tableau16[[#Headers],[MATERIEL/ENGIN/VEHICULE]])</f>
        <v>10</v>
      </c>
      <c r="B12" s="10" t="s">
        <v>559</v>
      </c>
      <c r="C12" s="10" t="s">
        <v>560</v>
      </c>
      <c r="D12" s="10" t="s">
        <v>561</v>
      </c>
      <c r="E12" s="10" t="s">
        <v>562</v>
      </c>
      <c r="F12" s="11" t="s">
        <v>557</v>
      </c>
      <c r="G12" s="11" t="s">
        <v>557</v>
      </c>
      <c r="H12" s="10" t="s">
        <v>525</v>
      </c>
      <c r="I12" s="14" t="s">
        <v>563</v>
      </c>
    </row>
    <row r="13" spans="1:9" ht="24" customHeight="1" x14ac:dyDescent="0.3">
      <c r="A13" s="8">
        <f>ROW(Tableau16[[#This Row],[MATERIEL/ENGIN/VEHICULE]])-ROW(Tableau16[[#Headers],[MATERIEL/ENGIN/VEHICULE]])</f>
        <v>11</v>
      </c>
      <c r="B13" s="8" t="s">
        <v>559</v>
      </c>
      <c r="C13" s="8" t="s">
        <v>560</v>
      </c>
      <c r="D13" s="8" t="s">
        <v>561</v>
      </c>
      <c r="E13" s="8" t="s">
        <v>564</v>
      </c>
      <c r="F13" s="8" t="s">
        <v>565</v>
      </c>
      <c r="G13" s="8" t="s">
        <v>566</v>
      </c>
      <c r="H13" s="8" t="s">
        <v>567</v>
      </c>
      <c r="I13" s="8" t="s">
        <v>533</v>
      </c>
    </row>
    <row r="14" spans="1:9" s="13" customFormat="1" ht="24" customHeight="1" x14ac:dyDescent="0.3">
      <c r="A14" s="10">
        <f>ROW(Tableau16[[#This Row],[MATERIEL/ENGIN/VEHICULE]])-ROW(Tableau16[[#Headers],[MATERIEL/ENGIN/VEHICULE]])</f>
        <v>12</v>
      </c>
      <c r="B14" s="10" t="s">
        <v>519</v>
      </c>
      <c r="C14" s="10" t="s">
        <v>568</v>
      </c>
      <c r="D14" s="10" t="s">
        <v>569</v>
      </c>
      <c r="E14" s="10" t="s">
        <v>570</v>
      </c>
      <c r="F14" s="11" t="s">
        <v>557</v>
      </c>
      <c r="G14" s="11" t="s">
        <v>557</v>
      </c>
      <c r="H14" s="10" t="s">
        <v>525</v>
      </c>
      <c r="I14" s="9" t="s">
        <v>571</v>
      </c>
    </row>
    <row r="15" spans="1:9" ht="24" customHeight="1" x14ac:dyDescent="0.3">
      <c r="A15" s="8">
        <f>ROW(Tableau16[[#This Row],[MATERIEL/ENGIN/VEHICULE]])-ROW(Tableau16[[#Headers],[MATERIEL/ENGIN/VEHICULE]])</f>
        <v>13</v>
      </c>
      <c r="B15" s="8" t="s">
        <v>519</v>
      </c>
      <c r="C15" s="8" t="s">
        <v>568</v>
      </c>
      <c r="D15" s="8" t="s">
        <v>572</v>
      </c>
      <c r="E15" s="8" t="s">
        <v>573</v>
      </c>
      <c r="F15" s="8" t="s">
        <v>574</v>
      </c>
      <c r="G15" s="8" t="s">
        <v>575</v>
      </c>
      <c r="H15" s="8" t="s">
        <v>576</v>
      </c>
      <c r="I15" s="8" t="s">
        <v>533</v>
      </c>
    </row>
    <row r="16" spans="1:9" ht="24" customHeight="1" x14ac:dyDescent="0.3">
      <c r="A16" s="8">
        <f>ROW(Tableau16[[#This Row],[MATERIEL/ENGIN/VEHICULE]])-ROW(Tableau16[[#Headers],[MATERIEL/ENGIN/VEHICULE]])</f>
        <v>14</v>
      </c>
      <c r="B16" s="8" t="s">
        <v>577</v>
      </c>
      <c r="C16" s="8" t="s">
        <v>578</v>
      </c>
      <c r="D16" s="8" t="s">
        <v>579</v>
      </c>
      <c r="E16" s="8" t="s">
        <v>580</v>
      </c>
      <c r="F16" s="8" t="s">
        <v>581</v>
      </c>
      <c r="G16" s="8" t="s">
        <v>582</v>
      </c>
      <c r="H16" s="8" t="s">
        <v>546</v>
      </c>
      <c r="I16" s="8" t="s">
        <v>533</v>
      </c>
    </row>
    <row r="17" spans="1:9" ht="24" customHeight="1" x14ac:dyDescent="0.3">
      <c r="A17" s="8">
        <f>ROW(Tableau16[[#This Row],[MATERIEL/ENGIN/VEHICULE]])-ROW(Tableau16[[#Headers],[MATERIEL/ENGIN/VEHICULE]])</f>
        <v>15</v>
      </c>
      <c r="B17" s="8" t="s">
        <v>577</v>
      </c>
      <c r="C17" s="8" t="s">
        <v>578</v>
      </c>
      <c r="D17" s="8" t="s">
        <v>579</v>
      </c>
      <c r="E17" s="8" t="s">
        <v>583</v>
      </c>
      <c r="F17" s="8" t="s">
        <v>584</v>
      </c>
      <c r="G17" s="8" t="s">
        <v>585</v>
      </c>
      <c r="H17" s="8" t="s">
        <v>546</v>
      </c>
      <c r="I17" s="8" t="s">
        <v>533</v>
      </c>
    </row>
    <row r="18" spans="1:9" ht="24" customHeight="1" x14ac:dyDescent="0.3">
      <c r="A18" s="8">
        <f>ROW(Tableau16[[#This Row],[MATERIEL/ENGIN/VEHICULE]])-ROW(Tableau16[[#Headers],[MATERIEL/ENGIN/VEHICULE]])</f>
        <v>16</v>
      </c>
      <c r="B18" s="8" t="s">
        <v>559</v>
      </c>
      <c r="C18" s="8" t="s">
        <v>586</v>
      </c>
      <c r="D18" s="8" t="s">
        <v>561</v>
      </c>
      <c r="E18" s="8" t="s">
        <v>587</v>
      </c>
      <c r="F18" s="8" t="s">
        <v>588</v>
      </c>
      <c r="G18" s="8" t="s">
        <v>589</v>
      </c>
      <c r="H18" s="8" t="s">
        <v>590</v>
      </c>
      <c r="I18" s="8" t="s">
        <v>533</v>
      </c>
    </row>
    <row r="19" spans="1:9" s="13" customFormat="1" ht="24" customHeight="1" x14ac:dyDescent="0.3">
      <c r="A19" s="10">
        <f>ROW(Tableau16[[#This Row],[MATERIEL/ENGIN/VEHICULE]])-ROW(Tableau16[[#Headers],[MATERIEL/ENGIN/VEHICULE]])</f>
        <v>17</v>
      </c>
      <c r="B19" s="10" t="s">
        <v>559</v>
      </c>
      <c r="C19" s="10" t="s">
        <v>586</v>
      </c>
      <c r="D19" s="10" t="s">
        <v>561</v>
      </c>
      <c r="E19" s="10">
        <v>950</v>
      </c>
      <c r="F19" s="11" t="s">
        <v>557</v>
      </c>
      <c r="G19" s="11" t="s">
        <v>557</v>
      </c>
      <c r="H19" s="10" t="s">
        <v>525</v>
      </c>
      <c r="I19" s="9" t="s">
        <v>526</v>
      </c>
    </row>
    <row r="20" spans="1:9" ht="24" customHeight="1" x14ac:dyDescent="0.3">
      <c r="A20" s="8">
        <f>ROW(Tableau16[[#This Row],[MATERIEL/ENGIN/VEHICULE]])-ROW(Tableau16[[#Headers],[MATERIEL/ENGIN/VEHICULE]])</f>
        <v>18</v>
      </c>
      <c r="B20" s="8" t="s">
        <v>519</v>
      </c>
      <c r="C20" s="8" t="s">
        <v>591</v>
      </c>
      <c r="D20" s="8" t="s">
        <v>569</v>
      </c>
      <c r="E20" s="8" t="s">
        <v>592</v>
      </c>
      <c r="F20" s="8" t="s">
        <v>593</v>
      </c>
      <c r="G20" s="8" t="s">
        <v>594</v>
      </c>
      <c r="H20" s="8" t="s">
        <v>532</v>
      </c>
      <c r="I20" s="8" t="s">
        <v>533</v>
      </c>
    </row>
    <row r="21" spans="1:9" ht="24" customHeight="1" x14ac:dyDescent="0.3">
      <c r="A21" s="8">
        <f>ROW(Tableau16[[#This Row],[MATERIEL/ENGIN/VEHICULE]])-ROW(Tableau16[[#Headers],[MATERIEL/ENGIN/VEHICULE]])</f>
        <v>19</v>
      </c>
      <c r="B21" s="8" t="s">
        <v>519</v>
      </c>
      <c r="C21" s="8" t="s">
        <v>591</v>
      </c>
      <c r="D21" s="8" t="s">
        <v>595</v>
      </c>
      <c r="E21" s="8" t="s">
        <v>596</v>
      </c>
      <c r="F21" s="8" t="s">
        <v>597</v>
      </c>
      <c r="G21" s="8" t="s">
        <v>598</v>
      </c>
      <c r="H21" s="8" t="s">
        <v>532</v>
      </c>
      <c r="I21" s="8" t="s">
        <v>533</v>
      </c>
    </row>
    <row r="22" spans="1:9" ht="24" customHeight="1" x14ac:dyDescent="0.3">
      <c r="A22" s="8">
        <f>ROW(Tableau16[[#This Row],[MATERIEL/ENGIN/VEHICULE]])-ROW(Tableau16[[#Headers],[MATERIEL/ENGIN/VEHICULE]])</f>
        <v>20</v>
      </c>
      <c r="B22" s="8" t="s">
        <v>519</v>
      </c>
      <c r="C22" s="8" t="s">
        <v>591</v>
      </c>
      <c r="D22" s="8" t="s">
        <v>550</v>
      </c>
      <c r="E22" s="8" t="s">
        <v>599</v>
      </c>
      <c r="F22" s="8" t="s">
        <v>600</v>
      </c>
      <c r="G22" s="8" t="s">
        <v>601</v>
      </c>
      <c r="H22" s="8" t="s">
        <v>602</v>
      </c>
      <c r="I22" s="8" t="s">
        <v>533</v>
      </c>
    </row>
    <row r="23" spans="1:9" ht="24" customHeight="1" x14ac:dyDescent="0.3">
      <c r="A23" s="8">
        <f>ROW(Tableau16[[#This Row],[MATERIEL/ENGIN/VEHICULE]])-ROW(Tableau16[[#Headers],[MATERIEL/ENGIN/VEHICULE]])</f>
        <v>21</v>
      </c>
      <c r="B23" s="8" t="s">
        <v>519</v>
      </c>
      <c r="C23" s="8" t="s">
        <v>591</v>
      </c>
      <c r="D23" s="8" t="s">
        <v>603</v>
      </c>
      <c r="E23" s="8" t="s">
        <v>604</v>
      </c>
      <c r="F23" s="8" t="s">
        <v>605</v>
      </c>
      <c r="G23" s="8" t="s">
        <v>606</v>
      </c>
      <c r="H23" s="8" t="s">
        <v>607</v>
      </c>
      <c r="I23" s="8" t="s">
        <v>533</v>
      </c>
    </row>
    <row r="24" spans="1:9" s="13" customFormat="1" ht="24" customHeight="1" x14ac:dyDescent="0.3">
      <c r="A24" s="10">
        <f>ROW(Tableau16[[#This Row],[MATERIEL/ENGIN/VEHICULE]])-ROW(Tableau16[[#Headers],[MATERIEL/ENGIN/VEHICULE]])</f>
        <v>22</v>
      </c>
      <c r="B24" s="10" t="s">
        <v>559</v>
      </c>
      <c r="C24" s="10" t="s">
        <v>608</v>
      </c>
      <c r="D24" s="10" t="s">
        <v>609</v>
      </c>
      <c r="E24" s="10" t="s">
        <v>610</v>
      </c>
      <c r="F24" s="11" t="s">
        <v>557</v>
      </c>
      <c r="G24" s="11" t="s">
        <v>557</v>
      </c>
      <c r="H24" s="10" t="s">
        <v>611</v>
      </c>
      <c r="I24" s="9" t="s">
        <v>526</v>
      </c>
    </row>
    <row r="25" spans="1:9" ht="24" customHeight="1" x14ac:dyDescent="0.3">
      <c r="A25" s="8">
        <f>ROW(Tableau16[[#This Row],[MATERIEL/ENGIN/VEHICULE]])-ROW(Tableau16[[#Headers],[MATERIEL/ENGIN/VEHICULE]])</f>
        <v>23</v>
      </c>
      <c r="B25" s="8" t="s">
        <v>612</v>
      </c>
      <c r="C25" s="8" t="s">
        <v>613</v>
      </c>
      <c r="D25" s="8" t="s">
        <v>614</v>
      </c>
      <c r="E25" s="8" t="s">
        <v>615</v>
      </c>
      <c r="F25" s="8" t="s">
        <v>616</v>
      </c>
      <c r="G25" s="8" t="s">
        <v>617</v>
      </c>
      <c r="H25" s="8" t="s">
        <v>532</v>
      </c>
      <c r="I25" s="12" t="s">
        <v>618</v>
      </c>
    </row>
    <row r="26" spans="1:9" ht="24" customHeight="1" x14ac:dyDescent="0.3">
      <c r="A26" s="8">
        <f>ROW(Tableau16[[#This Row],[MATERIEL/ENGIN/VEHICULE]])-ROW(Tableau16[[#Headers],[MATERIEL/ENGIN/VEHICULE]])</f>
        <v>24</v>
      </c>
      <c r="B26" s="8" t="s">
        <v>612</v>
      </c>
      <c r="C26" s="8" t="s">
        <v>613</v>
      </c>
      <c r="D26" s="8" t="s">
        <v>614</v>
      </c>
      <c r="E26" s="8" t="s">
        <v>619</v>
      </c>
      <c r="F26" s="8" t="s">
        <v>620</v>
      </c>
      <c r="G26" s="8" t="s">
        <v>621</v>
      </c>
      <c r="H26" s="8" t="s">
        <v>532</v>
      </c>
      <c r="I26" s="12" t="s">
        <v>618</v>
      </c>
    </row>
    <row r="27" spans="1:9" ht="24" customHeight="1" x14ac:dyDescent="0.3">
      <c r="A27" s="8">
        <f>ROW(Tableau16[[#This Row],[MATERIEL/ENGIN/VEHICULE]])-ROW(Tableau16[[#Headers],[MATERIEL/ENGIN/VEHICULE]])</f>
        <v>25</v>
      </c>
      <c r="B27" s="8" t="s">
        <v>612</v>
      </c>
      <c r="C27" s="8" t="s">
        <v>613</v>
      </c>
      <c r="D27" s="8" t="s">
        <v>622</v>
      </c>
      <c r="E27" s="8" t="s">
        <v>623</v>
      </c>
      <c r="F27" s="8" t="s">
        <v>624</v>
      </c>
      <c r="G27" s="8" t="s">
        <v>625</v>
      </c>
      <c r="H27" s="8" t="s">
        <v>532</v>
      </c>
      <c r="I27" s="8" t="s">
        <v>533</v>
      </c>
    </row>
    <row r="28" spans="1:9" s="13" customFormat="1" ht="24" customHeight="1" x14ac:dyDescent="0.3">
      <c r="A28" s="10">
        <f>ROW(Tableau16[[#This Row],[MATERIEL/ENGIN/VEHICULE]])-ROW(Tableau16[[#Headers],[MATERIEL/ENGIN/VEHICULE]])</f>
        <v>26</v>
      </c>
      <c r="B28" s="10" t="s">
        <v>559</v>
      </c>
      <c r="C28" s="10" t="s">
        <v>626</v>
      </c>
      <c r="D28" s="10" t="s">
        <v>561</v>
      </c>
      <c r="E28" s="10" t="s">
        <v>627</v>
      </c>
      <c r="F28" s="11" t="s">
        <v>557</v>
      </c>
      <c r="G28" s="11" t="s">
        <v>557</v>
      </c>
      <c r="H28" s="10" t="s">
        <v>525</v>
      </c>
      <c r="I28" s="14" t="s">
        <v>628</v>
      </c>
    </row>
    <row r="29" spans="1:9" ht="24" customHeight="1" x14ac:dyDescent="0.3">
      <c r="A29" s="8">
        <f>ROW(Tableau16[[#This Row],[MATERIEL/ENGIN/VEHICULE]])-ROW(Tableau16[[#Headers],[MATERIEL/ENGIN/VEHICULE]])</f>
        <v>27</v>
      </c>
      <c r="B29" s="8" t="s">
        <v>577</v>
      </c>
      <c r="C29" s="8" t="s">
        <v>629</v>
      </c>
      <c r="D29" s="8" t="s">
        <v>630</v>
      </c>
      <c r="E29" s="8" t="s">
        <v>631</v>
      </c>
      <c r="F29" s="8" t="s">
        <v>632</v>
      </c>
      <c r="G29" s="8" t="s">
        <v>633</v>
      </c>
      <c r="H29" s="8" t="s">
        <v>602</v>
      </c>
      <c r="I29" s="8" t="s">
        <v>533</v>
      </c>
    </row>
    <row r="30" spans="1:9" s="13" customFormat="1" ht="24" customHeight="1" x14ac:dyDescent="0.3">
      <c r="A30" s="10">
        <f>ROW(Tableau16[[#This Row],[MATERIEL/ENGIN/VEHICULE]])-ROW(Tableau16[[#Headers],[MATERIEL/ENGIN/VEHICULE]])</f>
        <v>28</v>
      </c>
      <c r="B30" s="10" t="s">
        <v>559</v>
      </c>
      <c r="C30" s="10" t="s">
        <v>634</v>
      </c>
      <c r="D30" s="10" t="s">
        <v>561</v>
      </c>
      <c r="E30" s="10" t="s">
        <v>635</v>
      </c>
      <c r="F30" s="11" t="s">
        <v>557</v>
      </c>
      <c r="G30" s="11" t="s">
        <v>557</v>
      </c>
      <c r="H30" s="10" t="s">
        <v>525</v>
      </c>
      <c r="I30" s="12" t="s">
        <v>558</v>
      </c>
    </row>
    <row r="31" spans="1:9" s="13" customFormat="1" ht="24" customHeight="1" x14ac:dyDescent="0.3">
      <c r="A31" s="10">
        <f>ROW(Tableau16[[#This Row],[MATERIEL/ENGIN/VEHICULE]])-ROW(Tableau16[[#Headers],[MATERIEL/ENGIN/VEHICULE]])</f>
        <v>29</v>
      </c>
      <c r="B31" s="10" t="s">
        <v>559</v>
      </c>
      <c r="C31" s="10" t="s">
        <v>634</v>
      </c>
      <c r="D31" s="10" t="s">
        <v>561</v>
      </c>
      <c r="E31" s="10" t="s">
        <v>636</v>
      </c>
      <c r="F31" s="11" t="s">
        <v>557</v>
      </c>
      <c r="G31" s="11" t="s">
        <v>557</v>
      </c>
      <c r="H31" s="10" t="s">
        <v>607</v>
      </c>
      <c r="I31" s="9" t="s">
        <v>526</v>
      </c>
    </row>
    <row r="32" spans="1:9" s="13" customFormat="1" ht="24" customHeight="1" x14ac:dyDescent="0.3">
      <c r="A32" s="10">
        <f>ROW(Tableau16[[#This Row],[MATERIEL/ENGIN/VEHICULE]])-ROW(Tableau16[[#Headers],[MATERIEL/ENGIN/VEHICULE]])</f>
        <v>30</v>
      </c>
      <c r="B32" s="10" t="s">
        <v>559</v>
      </c>
      <c r="C32" s="10" t="s">
        <v>634</v>
      </c>
      <c r="D32" s="10" t="s">
        <v>561</v>
      </c>
      <c r="E32" s="10" t="s">
        <v>637</v>
      </c>
      <c r="F32" s="11" t="s">
        <v>557</v>
      </c>
      <c r="G32" s="11" t="s">
        <v>557</v>
      </c>
      <c r="H32" s="10" t="s">
        <v>525</v>
      </c>
      <c r="I32" s="14" t="s">
        <v>563</v>
      </c>
    </row>
    <row r="33" spans="1:10" s="13" customFormat="1" ht="24" customHeight="1" x14ac:dyDescent="0.3">
      <c r="A33" s="10">
        <f>ROW(Tableau16[[#This Row],[MATERIEL/ENGIN/VEHICULE]])-ROW(Tableau16[[#Headers],[MATERIEL/ENGIN/VEHICULE]])</f>
        <v>31</v>
      </c>
      <c r="B33" s="10" t="s">
        <v>559</v>
      </c>
      <c r="C33" s="10" t="s">
        <v>634</v>
      </c>
      <c r="D33" s="10" t="s">
        <v>561</v>
      </c>
      <c r="E33" s="10" t="s">
        <v>638</v>
      </c>
      <c r="F33" s="11" t="s">
        <v>557</v>
      </c>
      <c r="G33" s="11" t="s">
        <v>557</v>
      </c>
      <c r="H33" s="10" t="s">
        <v>607</v>
      </c>
      <c r="I33" s="9" t="s">
        <v>526</v>
      </c>
    </row>
    <row r="34" spans="1:10" ht="24" customHeight="1" x14ac:dyDescent="0.3">
      <c r="A34" s="8">
        <f>ROW(Tableau16[[#This Row],[MATERIEL/ENGIN/VEHICULE]])-ROW(Tableau16[[#Headers],[MATERIEL/ENGIN/VEHICULE]])</f>
        <v>32</v>
      </c>
      <c r="B34" s="8" t="s">
        <v>519</v>
      </c>
      <c r="C34" s="8" t="s">
        <v>639</v>
      </c>
      <c r="D34" s="8" t="s">
        <v>572</v>
      </c>
      <c r="E34" s="8" t="s">
        <v>640</v>
      </c>
      <c r="F34" s="8" t="s">
        <v>641</v>
      </c>
      <c r="G34" s="8" t="s">
        <v>642</v>
      </c>
      <c r="H34" s="8" t="s">
        <v>611</v>
      </c>
      <c r="I34" s="8" t="s">
        <v>533</v>
      </c>
    </row>
    <row r="35" spans="1:10" ht="24" customHeight="1" x14ac:dyDescent="0.3">
      <c r="A35" s="8">
        <f>ROW(Tableau16[[#This Row],[MATERIEL/ENGIN/VEHICULE]])-ROW(Tableau16[[#Headers],[MATERIEL/ENGIN/VEHICULE]])</f>
        <v>33</v>
      </c>
      <c r="B35" s="8" t="s">
        <v>519</v>
      </c>
      <c r="C35" s="8" t="s">
        <v>639</v>
      </c>
      <c r="D35" s="8" t="s">
        <v>572</v>
      </c>
      <c r="E35" s="8" t="s">
        <v>643</v>
      </c>
      <c r="F35" s="8" t="s">
        <v>644</v>
      </c>
      <c r="G35" s="8" t="s">
        <v>645</v>
      </c>
      <c r="H35" s="8" t="s">
        <v>602</v>
      </c>
      <c r="I35" s="8" t="s">
        <v>533</v>
      </c>
    </row>
    <row r="36" spans="1:10" s="13" customFormat="1" ht="24" customHeight="1" x14ac:dyDescent="0.3">
      <c r="A36" s="10">
        <f>ROW(Tableau16[[#This Row],[MATERIEL/ENGIN/VEHICULE]])-ROW(Tableau16[[#Headers],[MATERIEL/ENGIN/VEHICULE]])</f>
        <v>34</v>
      </c>
      <c r="B36" s="10" t="s">
        <v>519</v>
      </c>
      <c r="C36" s="10" t="s">
        <v>639</v>
      </c>
      <c r="D36" s="10" t="s">
        <v>572</v>
      </c>
      <c r="E36" s="10" t="s">
        <v>646</v>
      </c>
      <c r="F36" s="11" t="s">
        <v>557</v>
      </c>
      <c r="G36" s="11" t="s">
        <v>557</v>
      </c>
      <c r="H36" s="10" t="s">
        <v>525</v>
      </c>
      <c r="I36" s="15" t="s">
        <v>558</v>
      </c>
    </row>
    <row r="37" spans="1:10" ht="24" customHeight="1" x14ac:dyDescent="0.3">
      <c r="A37" s="8">
        <f>ROW(Tableau16[[#This Row],[MATERIEL/ENGIN/VEHICULE]])-ROW(Tableau16[[#Headers],[MATERIEL/ENGIN/VEHICULE]])</f>
        <v>35</v>
      </c>
      <c r="B37" s="8" t="s">
        <v>519</v>
      </c>
      <c r="C37" s="8" t="s">
        <v>639</v>
      </c>
      <c r="D37" s="8" t="s">
        <v>572</v>
      </c>
      <c r="E37" s="8" t="s">
        <v>647</v>
      </c>
      <c r="F37" s="8" t="s">
        <v>648</v>
      </c>
      <c r="G37" s="8" t="s">
        <v>649</v>
      </c>
      <c r="H37" s="8" t="s">
        <v>607</v>
      </c>
      <c r="I37" s="8" t="s">
        <v>533</v>
      </c>
      <c r="J37" s="16" t="s">
        <v>650</v>
      </c>
    </row>
    <row r="38" spans="1:10" ht="24" customHeight="1" x14ac:dyDescent="0.3">
      <c r="A38" s="8">
        <f>ROW(Tableau16[[#This Row],[MATERIEL/ENGIN/VEHICULE]])-ROW(Tableau16[[#Headers],[MATERIEL/ENGIN/VEHICULE]])</f>
        <v>36</v>
      </c>
      <c r="B38" s="8" t="s">
        <v>519</v>
      </c>
      <c r="C38" s="8" t="s">
        <v>639</v>
      </c>
      <c r="D38" s="8" t="s">
        <v>572</v>
      </c>
      <c r="E38" s="8" t="s">
        <v>651</v>
      </c>
      <c r="F38" s="8" t="s">
        <v>652</v>
      </c>
      <c r="G38" s="8" t="s">
        <v>653</v>
      </c>
      <c r="H38" s="8" t="s">
        <v>576</v>
      </c>
      <c r="I38" s="8" t="s">
        <v>533</v>
      </c>
    </row>
    <row r="39" spans="1:10" ht="24" customHeight="1" x14ac:dyDescent="0.3">
      <c r="A39" s="8">
        <f>ROW(Tableau16[[#This Row],[MATERIEL/ENGIN/VEHICULE]])-ROW(Tableau16[[#Headers],[MATERIEL/ENGIN/VEHICULE]])</f>
        <v>37</v>
      </c>
      <c r="B39" s="8" t="s">
        <v>654</v>
      </c>
      <c r="C39" s="8" t="s">
        <v>655</v>
      </c>
      <c r="D39" s="8" t="s">
        <v>656</v>
      </c>
      <c r="E39" s="8" t="s">
        <v>657</v>
      </c>
      <c r="F39" s="8" t="s">
        <v>658</v>
      </c>
      <c r="G39" s="8" t="s">
        <v>659</v>
      </c>
      <c r="H39" s="8" t="s">
        <v>660</v>
      </c>
      <c r="I39" s="8" t="s">
        <v>661</v>
      </c>
    </row>
    <row r="40" spans="1:10" ht="24" customHeight="1" x14ac:dyDescent="0.3">
      <c r="A40" s="8">
        <f>ROW(Tableau16[[#This Row],[MATERIEL/ENGIN/VEHICULE]])-ROW(Tableau16[[#Headers],[MATERIEL/ENGIN/VEHICULE]])</f>
        <v>38</v>
      </c>
      <c r="B40" s="8" t="s">
        <v>559</v>
      </c>
      <c r="C40" s="8" t="s">
        <v>662</v>
      </c>
      <c r="D40" s="8" t="s">
        <v>561</v>
      </c>
      <c r="E40" s="8" t="s">
        <v>663</v>
      </c>
      <c r="F40" s="8" t="s">
        <v>664</v>
      </c>
      <c r="G40" s="8" t="s">
        <v>665</v>
      </c>
      <c r="H40" s="8" t="s">
        <v>576</v>
      </c>
      <c r="I40" s="9" t="s">
        <v>526</v>
      </c>
    </row>
    <row r="41" spans="1:10" ht="24" customHeight="1" x14ac:dyDescent="0.3">
      <c r="A41" s="8">
        <f>ROW(Tableau16[[#This Row],[MATERIEL/ENGIN/VEHICULE]])-ROW(Tableau16[[#Headers],[MATERIEL/ENGIN/VEHICULE]])</f>
        <v>39</v>
      </c>
      <c r="B41" s="8" t="s">
        <v>666</v>
      </c>
      <c r="C41" s="8" t="s">
        <v>667</v>
      </c>
      <c r="D41" s="8" t="s">
        <v>668</v>
      </c>
      <c r="E41" s="8" t="s">
        <v>669</v>
      </c>
      <c r="F41" s="8" t="s">
        <v>670</v>
      </c>
      <c r="G41" s="8" t="s">
        <v>671</v>
      </c>
      <c r="H41" s="8" t="s">
        <v>576</v>
      </c>
      <c r="I41" s="8" t="s">
        <v>661</v>
      </c>
      <c r="J41" s="16" t="s">
        <v>672</v>
      </c>
    </row>
    <row r="42" spans="1:10" s="13" customFormat="1" ht="24" customHeight="1" x14ac:dyDescent="0.3">
      <c r="A42" s="10">
        <f>ROW(Tableau16[[#This Row],[MATERIEL/ENGIN/VEHICULE]])-ROW(Tableau16[[#Headers],[MATERIEL/ENGIN/VEHICULE]])</f>
        <v>40</v>
      </c>
      <c r="B42" s="10" t="s">
        <v>559</v>
      </c>
      <c r="C42" s="10" t="s">
        <v>608</v>
      </c>
      <c r="D42" s="10" t="s">
        <v>609</v>
      </c>
      <c r="E42" s="10" t="s">
        <v>673</v>
      </c>
      <c r="F42" s="11" t="s">
        <v>557</v>
      </c>
      <c r="G42" s="11" t="s">
        <v>557</v>
      </c>
      <c r="H42" s="10" t="s">
        <v>525</v>
      </c>
      <c r="I42" s="15" t="s">
        <v>558</v>
      </c>
    </row>
    <row r="43" spans="1:10" s="13" customFormat="1" ht="24" customHeight="1" x14ac:dyDescent="0.3">
      <c r="A43" s="10">
        <f>ROW(Tableau16[[#This Row],[MATERIEL/ENGIN/VEHICULE]])-ROW(Tableau16[[#Headers],[MATERIEL/ENGIN/VEHICULE]])</f>
        <v>41</v>
      </c>
      <c r="B43" s="10" t="s">
        <v>559</v>
      </c>
      <c r="C43" s="10" t="s">
        <v>608</v>
      </c>
      <c r="D43" s="10" t="s">
        <v>674</v>
      </c>
      <c r="E43" s="10" t="s">
        <v>673</v>
      </c>
      <c r="F43" s="11" t="s">
        <v>557</v>
      </c>
      <c r="G43" s="11" t="s">
        <v>557</v>
      </c>
      <c r="H43" s="10" t="s">
        <v>525</v>
      </c>
      <c r="I43" s="15" t="s">
        <v>558</v>
      </c>
    </row>
    <row r="44" spans="1:10" ht="24" customHeight="1" x14ac:dyDescent="0.3">
      <c r="A44" s="8">
        <f>ROW(Tableau16[[#This Row],[MATERIEL/ENGIN/VEHICULE]])-ROW(Tableau16[[#Headers],[MATERIEL/ENGIN/VEHICULE]])</f>
        <v>42</v>
      </c>
      <c r="B44" s="8" t="s">
        <v>654</v>
      </c>
      <c r="C44" s="8" t="s">
        <v>655</v>
      </c>
      <c r="D44" s="8" t="s">
        <v>675</v>
      </c>
      <c r="E44" s="8" t="s">
        <v>676</v>
      </c>
      <c r="F44" s="8" t="s">
        <v>677</v>
      </c>
      <c r="G44" s="8" t="s">
        <v>678</v>
      </c>
      <c r="H44" s="8" t="s">
        <v>679</v>
      </c>
      <c r="I44" s="8" t="s">
        <v>661</v>
      </c>
    </row>
    <row r="46" spans="1:10" ht="24" customHeight="1" x14ac:dyDescent="0.3">
      <c r="I46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EE03-F572-490E-99B3-8DD7A9E5B739}">
  <dimension ref="A1:G399"/>
  <sheetViews>
    <sheetView topLeftCell="A97" workbookViewId="0">
      <selection activeCell="A109" sqref="A109"/>
    </sheetView>
  </sheetViews>
  <sheetFormatPr baseColWidth="10" defaultRowHeight="14.4" x14ac:dyDescent="0.3"/>
  <cols>
    <col min="1" max="1" width="78.6640625" customWidth="1"/>
    <col min="2" max="2" width="23.44140625" bestFit="1" customWidth="1"/>
    <col min="3" max="3" width="27.6640625" bestFit="1" customWidth="1"/>
    <col min="4" max="4" width="37.88671875" bestFit="1" customWidth="1"/>
    <col min="6" max="6" width="14" bestFit="1" customWidth="1"/>
  </cols>
  <sheetData>
    <row r="1" spans="1:5" x14ac:dyDescent="0.3">
      <c r="A1" t="s">
        <v>140</v>
      </c>
    </row>
    <row r="3" spans="1:5" x14ac:dyDescent="0.3">
      <c r="A3" t="s">
        <v>141</v>
      </c>
    </row>
    <row r="5" spans="1:5" x14ac:dyDescent="0.3">
      <c r="A5" t="s">
        <v>142</v>
      </c>
    </row>
    <row r="7" spans="1:5" x14ac:dyDescent="0.3">
      <c r="A7" t="s">
        <v>143</v>
      </c>
    </row>
    <row r="8" spans="1:5" x14ac:dyDescent="0.3">
      <c r="A8" t="s">
        <v>144</v>
      </c>
    </row>
    <row r="10" spans="1:5" s="2" customFormat="1" x14ac:dyDescent="0.3">
      <c r="B10" s="2" t="s">
        <v>145</v>
      </c>
      <c r="C10" s="2" t="s">
        <v>146</v>
      </c>
      <c r="D10" s="2" t="s">
        <v>147</v>
      </c>
      <c r="E10" s="2" t="s">
        <v>148</v>
      </c>
    </row>
    <row r="11" spans="1:5" x14ac:dyDescent="0.3">
      <c r="B11" t="s">
        <v>149</v>
      </c>
      <c r="C11" t="s">
        <v>149</v>
      </c>
      <c r="D11" t="s">
        <v>149</v>
      </c>
      <c r="E11" t="s">
        <v>149</v>
      </c>
    </row>
    <row r="12" spans="1:5" x14ac:dyDescent="0.3">
      <c r="B12" t="s">
        <v>150</v>
      </c>
      <c r="C12" t="s">
        <v>151</v>
      </c>
      <c r="D12" t="s">
        <v>152</v>
      </c>
      <c r="E12" t="s">
        <v>153</v>
      </c>
    </row>
    <row r="13" spans="1:5" x14ac:dyDescent="0.3">
      <c r="B13" t="s">
        <v>154</v>
      </c>
      <c r="C13" t="s">
        <v>155</v>
      </c>
      <c r="D13" t="s">
        <v>156</v>
      </c>
      <c r="E13" t="s">
        <v>157</v>
      </c>
    </row>
    <row r="14" spans="1:5" x14ac:dyDescent="0.3">
      <c r="B14" t="s">
        <v>158</v>
      </c>
      <c r="C14" t="s">
        <v>159</v>
      </c>
      <c r="D14" t="s">
        <v>160</v>
      </c>
      <c r="E14" t="s">
        <v>161</v>
      </c>
    </row>
    <row r="15" spans="1:5" x14ac:dyDescent="0.3">
      <c r="B15" t="s">
        <v>162</v>
      </c>
      <c r="C15" t="s">
        <v>163</v>
      </c>
      <c r="D15" t="s">
        <v>164</v>
      </c>
      <c r="E15" t="s">
        <v>165</v>
      </c>
    </row>
    <row r="16" spans="1:5" x14ac:dyDescent="0.3">
      <c r="B16" t="s">
        <v>166</v>
      </c>
      <c r="C16" t="s">
        <v>167</v>
      </c>
      <c r="D16" t="s">
        <v>168</v>
      </c>
      <c r="E16" t="s">
        <v>169</v>
      </c>
    </row>
    <row r="17" spans="1:5" x14ac:dyDescent="0.3">
      <c r="B17" t="s">
        <v>170</v>
      </c>
      <c r="C17" t="s">
        <v>171</v>
      </c>
      <c r="D17" t="s">
        <v>172</v>
      </c>
      <c r="E17" t="s">
        <v>173</v>
      </c>
    </row>
    <row r="19" spans="1:5" x14ac:dyDescent="0.3">
      <c r="A19" t="s">
        <v>142</v>
      </c>
    </row>
    <row r="21" spans="1:5" x14ac:dyDescent="0.3">
      <c r="A21" t="s">
        <v>174</v>
      </c>
    </row>
    <row r="22" spans="1:5" x14ac:dyDescent="0.3">
      <c r="A22" t="s">
        <v>175</v>
      </c>
    </row>
    <row r="24" spans="1:5" x14ac:dyDescent="0.3">
      <c r="A24" t="s">
        <v>176</v>
      </c>
    </row>
    <row r="25" spans="1:5" x14ac:dyDescent="0.3">
      <c r="A25" t="s">
        <v>177</v>
      </c>
    </row>
    <row r="26" spans="1:5" x14ac:dyDescent="0.3">
      <c r="A26" t="s">
        <v>178</v>
      </c>
    </row>
    <row r="27" spans="1:5" x14ac:dyDescent="0.3">
      <c r="A27" t="s">
        <v>179</v>
      </c>
    </row>
    <row r="29" spans="1:5" x14ac:dyDescent="0.3">
      <c r="A29" t="s">
        <v>180</v>
      </c>
    </row>
    <row r="30" spans="1:5" x14ac:dyDescent="0.3">
      <c r="A30" t="s">
        <v>181</v>
      </c>
    </row>
    <row r="31" spans="1:5" x14ac:dyDescent="0.3">
      <c r="A31" t="s">
        <v>182</v>
      </c>
    </row>
    <row r="32" spans="1:5" x14ac:dyDescent="0.3">
      <c r="A32" t="s">
        <v>183</v>
      </c>
    </row>
    <row r="33" spans="1:4" x14ac:dyDescent="0.3">
      <c r="A33" t="s">
        <v>184</v>
      </c>
    </row>
    <row r="35" spans="1:4" x14ac:dyDescent="0.3">
      <c r="A35" t="s">
        <v>185</v>
      </c>
    </row>
    <row r="36" spans="1:4" x14ac:dyDescent="0.3">
      <c r="A36" t="s">
        <v>186</v>
      </c>
    </row>
    <row r="37" spans="1:4" x14ac:dyDescent="0.3">
      <c r="A37" t="s">
        <v>187</v>
      </c>
    </row>
    <row r="38" spans="1:4" x14ac:dyDescent="0.3">
      <c r="A38" t="s">
        <v>188</v>
      </c>
    </row>
    <row r="40" spans="1:4" x14ac:dyDescent="0.3">
      <c r="A40" t="s">
        <v>142</v>
      </c>
    </row>
    <row r="42" spans="1:4" x14ac:dyDescent="0.3">
      <c r="A42" t="s">
        <v>189</v>
      </c>
    </row>
    <row r="43" spans="1:4" x14ac:dyDescent="0.3">
      <c r="A43" t="s">
        <v>190</v>
      </c>
    </row>
    <row r="45" spans="1:4" s="2" customFormat="1" x14ac:dyDescent="0.3">
      <c r="B45" s="2" t="s">
        <v>191</v>
      </c>
      <c r="C45" s="2" t="s">
        <v>192</v>
      </c>
      <c r="D45" s="2" t="s">
        <v>193</v>
      </c>
    </row>
    <row r="46" spans="1:4" x14ac:dyDescent="0.3">
      <c r="B46" t="s">
        <v>149</v>
      </c>
      <c r="C46" t="s">
        <v>149</v>
      </c>
      <c r="D46" t="s">
        <v>149</v>
      </c>
    </row>
    <row r="47" spans="1:4" x14ac:dyDescent="0.3">
      <c r="B47" t="s">
        <v>194</v>
      </c>
      <c r="C47" t="s">
        <v>195</v>
      </c>
      <c r="D47" t="s">
        <v>196</v>
      </c>
    </row>
    <row r="48" spans="1:4" x14ac:dyDescent="0.3">
      <c r="B48" t="s">
        <v>197</v>
      </c>
      <c r="C48" t="s">
        <v>198</v>
      </c>
      <c r="D48" t="s">
        <v>199</v>
      </c>
    </row>
    <row r="49" spans="1:4" x14ac:dyDescent="0.3">
      <c r="B49" t="s">
        <v>200</v>
      </c>
      <c r="C49" t="s">
        <v>201</v>
      </c>
      <c r="D49" t="s">
        <v>202</v>
      </c>
    </row>
    <row r="50" spans="1:4" x14ac:dyDescent="0.3">
      <c r="B50" t="s">
        <v>203</v>
      </c>
      <c r="C50" t="s">
        <v>204</v>
      </c>
      <c r="D50" t="s">
        <v>205</v>
      </c>
    </row>
    <row r="52" spans="1:4" x14ac:dyDescent="0.3">
      <c r="A52" t="s">
        <v>142</v>
      </c>
    </row>
    <row r="54" spans="1:4" x14ac:dyDescent="0.3">
      <c r="A54" t="s">
        <v>206</v>
      </c>
    </row>
    <row r="56" spans="1:4" x14ac:dyDescent="0.3">
      <c r="A56" t="s">
        <v>207</v>
      </c>
    </row>
    <row r="58" spans="1:4" s="2" customFormat="1" x14ac:dyDescent="0.3">
      <c r="A58" s="2" t="s">
        <v>208</v>
      </c>
    </row>
    <row r="59" spans="1:4" s="2" customFormat="1" x14ac:dyDescent="0.3">
      <c r="A59" s="2" t="s">
        <v>209</v>
      </c>
    </row>
    <row r="60" spans="1:4" s="2" customFormat="1" x14ac:dyDescent="0.3">
      <c r="A60" s="2" t="s">
        <v>210</v>
      </c>
    </row>
    <row r="61" spans="1:4" s="2" customFormat="1" x14ac:dyDescent="0.3">
      <c r="A61" s="2" t="s">
        <v>211</v>
      </c>
    </row>
    <row r="62" spans="1:4" s="2" customFormat="1" x14ac:dyDescent="0.3">
      <c r="A62" s="2" t="s">
        <v>212</v>
      </c>
    </row>
    <row r="64" spans="1:4" x14ac:dyDescent="0.3">
      <c r="A64" t="s">
        <v>213</v>
      </c>
    </row>
    <row r="65" spans="1:1" x14ac:dyDescent="0.3">
      <c r="A65" t="s">
        <v>214</v>
      </c>
    </row>
    <row r="66" spans="1:1" x14ac:dyDescent="0.3">
      <c r="A66" t="s">
        <v>215</v>
      </c>
    </row>
    <row r="67" spans="1:1" x14ac:dyDescent="0.3">
      <c r="A67" t="s">
        <v>216</v>
      </c>
    </row>
    <row r="68" spans="1:1" x14ac:dyDescent="0.3">
      <c r="A68" t="s">
        <v>217</v>
      </c>
    </row>
    <row r="70" spans="1:1" x14ac:dyDescent="0.3">
      <c r="A70" t="s">
        <v>218</v>
      </c>
    </row>
    <row r="71" spans="1:1" x14ac:dyDescent="0.3">
      <c r="A71" t="s">
        <v>219</v>
      </c>
    </row>
    <row r="72" spans="1:1" x14ac:dyDescent="0.3">
      <c r="A72" t="s">
        <v>220</v>
      </c>
    </row>
    <row r="73" spans="1:1" x14ac:dyDescent="0.3">
      <c r="A73" t="s">
        <v>221</v>
      </c>
    </row>
    <row r="74" spans="1:1" x14ac:dyDescent="0.3">
      <c r="A74" t="s">
        <v>222</v>
      </c>
    </row>
    <row r="76" spans="1:1" x14ac:dyDescent="0.3">
      <c r="A76" t="s">
        <v>142</v>
      </c>
    </row>
    <row r="78" spans="1:1" x14ac:dyDescent="0.3">
      <c r="A78" t="s">
        <v>223</v>
      </c>
    </row>
    <row r="80" spans="1:1" x14ac:dyDescent="0.3">
      <c r="A80" t="s">
        <v>224</v>
      </c>
    </row>
    <row r="82" spans="1:7" s="2" customFormat="1" x14ac:dyDescent="0.3">
      <c r="B82" s="2" t="s">
        <v>225</v>
      </c>
      <c r="C82" s="2" t="s">
        <v>226</v>
      </c>
      <c r="D82" s="2" t="s">
        <v>227</v>
      </c>
      <c r="E82" s="2" t="s">
        <v>228</v>
      </c>
      <c r="F82" s="2" t="s">
        <v>229</v>
      </c>
      <c r="G82" s="2" t="s">
        <v>230</v>
      </c>
    </row>
    <row r="83" spans="1:7" x14ac:dyDescent="0.3">
      <c r="B83" t="s">
        <v>149</v>
      </c>
      <c r="C83" t="s">
        <v>231</v>
      </c>
      <c r="D83" t="s">
        <v>231</v>
      </c>
      <c r="E83" t="s">
        <v>231</v>
      </c>
      <c r="F83" t="s">
        <v>231</v>
      </c>
      <c r="G83" t="s">
        <v>231</v>
      </c>
    </row>
    <row r="84" spans="1:7" x14ac:dyDescent="0.3">
      <c r="B84" t="s">
        <v>232</v>
      </c>
      <c r="C84" t="s">
        <v>233</v>
      </c>
      <c r="D84" t="s">
        <v>234</v>
      </c>
      <c r="E84" t="s">
        <v>235</v>
      </c>
      <c r="F84" t="s">
        <v>236</v>
      </c>
      <c r="G84" t="s">
        <v>237</v>
      </c>
    </row>
    <row r="85" spans="1:7" x14ac:dyDescent="0.3">
      <c r="B85" t="s">
        <v>238</v>
      </c>
      <c r="C85" t="s">
        <v>239</v>
      </c>
      <c r="D85" t="s">
        <v>240</v>
      </c>
      <c r="E85" t="s">
        <v>241</v>
      </c>
      <c r="F85" t="s">
        <v>242</v>
      </c>
      <c r="G85" t="s">
        <v>243</v>
      </c>
    </row>
    <row r="87" spans="1:7" x14ac:dyDescent="0.3">
      <c r="A87" t="s">
        <v>244</v>
      </c>
    </row>
    <row r="90" spans="1:7" x14ac:dyDescent="0.3">
      <c r="A90" t="s">
        <v>245</v>
      </c>
    </row>
    <row r="92" spans="1:7" x14ac:dyDescent="0.3">
      <c r="A92" t="s">
        <v>246</v>
      </c>
    </row>
    <row r="94" spans="1:7" x14ac:dyDescent="0.3">
      <c r="A94" t="s">
        <v>247</v>
      </c>
    </row>
    <row r="96" spans="1:7" x14ac:dyDescent="0.3">
      <c r="A96" t="s">
        <v>142</v>
      </c>
    </row>
    <row r="98" spans="1:4" x14ac:dyDescent="0.3">
      <c r="A98" t="s">
        <v>248</v>
      </c>
    </row>
    <row r="99" spans="1:4" x14ac:dyDescent="0.3">
      <c r="A99" t="s">
        <v>249</v>
      </c>
    </row>
    <row r="101" spans="1:4" x14ac:dyDescent="0.3">
      <c r="A101" t="s">
        <v>250</v>
      </c>
    </row>
    <row r="102" spans="1:4" x14ac:dyDescent="0.3">
      <c r="A102" t="s">
        <v>251</v>
      </c>
    </row>
    <row r="103" spans="1:4" x14ac:dyDescent="0.3">
      <c r="A103" t="s">
        <v>252</v>
      </c>
    </row>
    <row r="105" spans="1:4" x14ac:dyDescent="0.3">
      <c r="A105" t="s">
        <v>253</v>
      </c>
    </row>
    <row r="107" spans="1:4" x14ac:dyDescent="0.3">
      <c r="B107" t="s">
        <v>145</v>
      </c>
      <c r="C107" t="s">
        <v>254</v>
      </c>
      <c r="D107" t="s">
        <v>255</v>
      </c>
    </row>
    <row r="108" spans="1:4" x14ac:dyDescent="0.3">
      <c r="B108" t="s">
        <v>149</v>
      </c>
      <c r="C108" t="s">
        <v>149</v>
      </c>
      <c r="D108" t="s">
        <v>149</v>
      </c>
    </row>
    <row r="109" spans="1:4" x14ac:dyDescent="0.3">
      <c r="B109" t="s">
        <v>150</v>
      </c>
      <c r="C109" t="s">
        <v>151</v>
      </c>
      <c r="D109" t="s">
        <v>256</v>
      </c>
    </row>
    <row r="110" spans="1:4" x14ac:dyDescent="0.3">
      <c r="B110" t="s">
        <v>154</v>
      </c>
      <c r="C110" t="s">
        <v>155</v>
      </c>
      <c r="D110" t="s">
        <v>257</v>
      </c>
    </row>
    <row r="111" spans="1:4" x14ac:dyDescent="0.3">
      <c r="B111" t="s">
        <v>158</v>
      </c>
      <c r="C111" t="s">
        <v>258</v>
      </c>
      <c r="D111" t="s">
        <v>259</v>
      </c>
    </row>
    <row r="112" spans="1:4" x14ac:dyDescent="0.3">
      <c r="B112" t="s">
        <v>162</v>
      </c>
      <c r="C112" t="s">
        <v>163</v>
      </c>
      <c r="D112" t="s">
        <v>260</v>
      </c>
    </row>
    <row r="113" spans="1:4" x14ac:dyDescent="0.3">
      <c r="B113" t="s">
        <v>166</v>
      </c>
      <c r="C113" t="s">
        <v>261</v>
      </c>
      <c r="D113" t="s">
        <v>262</v>
      </c>
    </row>
    <row r="114" spans="1:4" x14ac:dyDescent="0.3">
      <c r="B114" t="s">
        <v>170</v>
      </c>
      <c r="C114" t="s">
        <v>171</v>
      </c>
      <c r="D114" t="s">
        <v>263</v>
      </c>
    </row>
    <row r="116" spans="1:4" x14ac:dyDescent="0.3">
      <c r="A116" t="s">
        <v>142</v>
      </c>
    </row>
    <row r="118" spans="1:4" x14ac:dyDescent="0.3">
      <c r="A118" t="s">
        <v>264</v>
      </c>
    </row>
    <row r="119" spans="1:4" x14ac:dyDescent="0.3">
      <c r="A119" t="s">
        <v>265</v>
      </c>
    </row>
    <row r="121" spans="1:4" x14ac:dyDescent="0.3">
      <c r="A121" t="s">
        <v>250</v>
      </c>
    </row>
    <row r="122" spans="1:4" x14ac:dyDescent="0.3">
      <c r="A122" t="s">
        <v>266</v>
      </c>
    </row>
    <row r="123" spans="1:4" x14ac:dyDescent="0.3">
      <c r="A123" t="s">
        <v>267</v>
      </c>
    </row>
    <row r="125" spans="1:4" x14ac:dyDescent="0.3">
      <c r="A125" t="s">
        <v>268</v>
      </c>
    </row>
    <row r="127" spans="1:4" x14ac:dyDescent="0.3">
      <c r="A127" t="s">
        <v>269</v>
      </c>
    </row>
    <row r="128" spans="1:4" x14ac:dyDescent="0.3">
      <c r="A128" t="s">
        <v>270</v>
      </c>
    </row>
    <row r="130" spans="1:1" x14ac:dyDescent="0.3">
      <c r="A130" t="s">
        <v>271</v>
      </c>
    </row>
    <row r="131" spans="1:1" x14ac:dyDescent="0.3">
      <c r="A131" t="s">
        <v>272</v>
      </c>
    </row>
    <row r="132" spans="1:1" x14ac:dyDescent="0.3">
      <c r="A132" t="s">
        <v>273</v>
      </c>
    </row>
    <row r="133" spans="1:1" x14ac:dyDescent="0.3">
      <c r="A133" t="s">
        <v>274</v>
      </c>
    </row>
    <row r="134" spans="1:1" x14ac:dyDescent="0.3">
      <c r="A134" t="s">
        <v>275</v>
      </c>
    </row>
    <row r="135" spans="1:1" x14ac:dyDescent="0.3">
      <c r="A135" t="s">
        <v>276</v>
      </c>
    </row>
    <row r="136" spans="1:1" x14ac:dyDescent="0.3">
      <c r="A136" t="s">
        <v>277</v>
      </c>
    </row>
    <row r="137" spans="1:1" x14ac:dyDescent="0.3">
      <c r="A137" t="s">
        <v>278</v>
      </c>
    </row>
    <row r="138" spans="1:1" x14ac:dyDescent="0.3">
      <c r="A138" t="s">
        <v>279</v>
      </c>
    </row>
    <row r="140" spans="1:1" x14ac:dyDescent="0.3">
      <c r="A140" t="s">
        <v>280</v>
      </c>
    </row>
    <row r="141" spans="1:1" x14ac:dyDescent="0.3">
      <c r="A141" t="s">
        <v>281</v>
      </c>
    </row>
    <row r="143" spans="1:1" x14ac:dyDescent="0.3">
      <c r="A143" t="s">
        <v>282</v>
      </c>
    </row>
    <row r="144" spans="1:1" x14ac:dyDescent="0.3">
      <c r="A144" t="s">
        <v>283</v>
      </c>
    </row>
    <row r="145" spans="1:1" x14ac:dyDescent="0.3">
      <c r="A145" t="s">
        <v>284</v>
      </c>
    </row>
    <row r="146" spans="1:1" x14ac:dyDescent="0.3">
      <c r="A146" t="s">
        <v>285</v>
      </c>
    </row>
    <row r="148" spans="1:1" x14ac:dyDescent="0.3">
      <c r="A148" t="s">
        <v>286</v>
      </c>
    </row>
    <row r="149" spans="1:1" x14ac:dyDescent="0.3">
      <c r="A149" t="s">
        <v>287</v>
      </c>
    </row>
    <row r="151" spans="1:1" x14ac:dyDescent="0.3">
      <c r="A151" t="s">
        <v>288</v>
      </c>
    </row>
    <row r="152" spans="1:1" x14ac:dyDescent="0.3">
      <c r="A152" t="s">
        <v>289</v>
      </c>
    </row>
    <row r="153" spans="1:1" x14ac:dyDescent="0.3">
      <c r="A153" t="s">
        <v>290</v>
      </c>
    </row>
    <row r="154" spans="1:1" x14ac:dyDescent="0.3">
      <c r="A154" t="s">
        <v>291</v>
      </c>
    </row>
    <row r="156" spans="1:1" x14ac:dyDescent="0.3">
      <c r="A156" t="s">
        <v>292</v>
      </c>
    </row>
    <row r="157" spans="1:1" x14ac:dyDescent="0.3">
      <c r="A157" t="s">
        <v>293</v>
      </c>
    </row>
    <row r="159" spans="1:1" x14ac:dyDescent="0.3">
      <c r="A159" t="s">
        <v>294</v>
      </c>
    </row>
    <row r="160" spans="1:1" x14ac:dyDescent="0.3">
      <c r="A160" t="s">
        <v>295</v>
      </c>
    </row>
    <row r="162" spans="1:1" x14ac:dyDescent="0.3">
      <c r="A162" t="s">
        <v>296</v>
      </c>
    </row>
    <row r="164" spans="1:1" x14ac:dyDescent="0.3">
      <c r="A164" t="s">
        <v>297</v>
      </c>
    </row>
    <row r="165" spans="1:1" x14ac:dyDescent="0.3">
      <c r="A165" t="s">
        <v>298</v>
      </c>
    </row>
    <row r="166" spans="1:1" x14ac:dyDescent="0.3">
      <c r="A166" t="s">
        <v>299</v>
      </c>
    </row>
    <row r="167" spans="1:1" x14ac:dyDescent="0.3">
      <c r="A167" t="s">
        <v>300</v>
      </c>
    </row>
    <row r="168" spans="1:1" x14ac:dyDescent="0.3">
      <c r="A168" t="s">
        <v>301</v>
      </c>
    </row>
    <row r="170" spans="1:1" x14ac:dyDescent="0.3">
      <c r="A170" t="s">
        <v>142</v>
      </c>
    </row>
    <row r="172" spans="1:1" x14ac:dyDescent="0.3">
      <c r="A172" t="s">
        <v>302</v>
      </c>
    </row>
    <row r="174" spans="1:1" x14ac:dyDescent="0.3">
      <c r="A174" t="s">
        <v>303</v>
      </c>
    </row>
    <row r="176" spans="1:1" x14ac:dyDescent="0.3">
      <c r="A176" t="s">
        <v>304</v>
      </c>
    </row>
    <row r="177" spans="1:1" x14ac:dyDescent="0.3">
      <c r="A177" t="s">
        <v>305</v>
      </c>
    </row>
    <row r="178" spans="1:1" x14ac:dyDescent="0.3">
      <c r="A178" t="s">
        <v>306</v>
      </c>
    </row>
    <row r="179" spans="1:1" x14ac:dyDescent="0.3">
      <c r="A179" t="s">
        <v>307</v>
      </c>
    </row>
    <row r="181" spans="1:1" x14ac:dyDescent="0.3">
      <c r="A181" t="s">
        <v>308</v>
      </c>
    </row>
    <row r="182" spans="1:1" x14ac:dyDescent="0.3">
      <c r="A182" t="s">
        <v>309</v>
      </c>
    </row>
    <row r="183" spans="1:1" x14ac:dyDescent="0.3">
      <c r="A183" t="s">
        <v>310</v>
      </c>
    </row>
    <row r="184" spans="1:1" x14ac:dyDescent="0.3">
      <c r="A184" t="s">
        <v>311</v>
      </c>
    </row>
    <row r="186" spans="1:1" x14ac:dyDescent="0.3">
      <c r="A186" t="s">
        <v>142</v>
      </c>
    </row>
    <row r="188" spans="1:1" x14ac:dyDescent="0.3">
      <c r="A188" t="s">
        <v>312</v>
      </c>
    </row>
    <row r="190" spans="1:1" x14ac:dyDescent="0.3">
      <c r="A190" t="s">
        <v>313</v>
      </c>
    </row>
    <row r="192" spans="1:1" x14ac:dyDescent="0.3">
      <c r="A192" t="s">
        <v>314</v>
      </c>
    </row>
    <row r="193" spans="1:1" x14ac:dyDescent="0.3">
      <c r="A193" t="s">
        <v>315</v>
      </c>
    </row>
    <row r="194" spans="1:1" x14ac:dyDescent="0.3">
      <c r="A194" t="s">
        <v>316</v>
      </c>
    </row>
    <row r="195" spans="1:1" x14ac:dyDescent="0.3">
      <c r="A195" t="s">
        <v>317</v>
      </c>
    </row>
    <row r="196" spans="1:1" x14ac:dyDescent="0.3">
      <c r="A196" t="s">
        <v>318</v>
      </c>
    </row>
    <row r="198" spans="1:1" x14ac:dyDescent="0.3">
      <c r="A198" t="s">
        <v>319</v>
      </c>
    </row>
    <row r="201" spans="1:1" x14ac:dyDescent="0.3">
      <c r="A201" t="s">
        <v>320</v>
      </c>
    </row>
    <row r="203" spans="1:1" x14ac:dyDescent="0.3">
      <c r="A203" t="s">
        <v>321</v>
      </c>
    </row>
    <row r="205" spans="1:1" x14ac:dyDescent="0.3">
      <c r="A205" t="s">
        <v>322</v>
      </c>
    </row>
    <row r="206" spans="1:1" x14ac:dyDescent="0.3">
      <c r="A206" t="s">
        <v>323</v>
      </c>
    </row>
    <row r="207" spans="1:1" x14ac:dyDescent="0.3">
      <c r="A207" t="s">
        <v>324</v>
      </c>
    </row>
    <row r="208" spans="1:1" x14ac:dyDescent="0.3">
      <c r="A208" t="s">
        <v>325</v>
      </c>
    </row>
    <row r="209" spans="1:1" x14ac:dyDescent="0.3">
      <c r="A209" t="s">
        <v>326</v>
      </c>
    </row>
    <row r="210" spans="1:1" x14ac:dyDescent="0.3">
      <c r="A210" t="s">
        <v>327</v>
      </c>
    </row>
    <row r="212" spans="1:1" x14ac:dyDescent="0.3">
      <c r="A212" t="s">
        <v>328</v>
      </c>
    </row>
    <row r="213" spans="1:1" x14ac:dyDescent="0.3">
      <c r="A213" t="s">
        <v>329</v>
      </c>
    </row>
    <row r="215" spans="1:1" x14ac:dyDescent="0.3">
      <c r="A215" t="s">
        <v>330</v>
      </c>
    </row>
    <row r="216" spans="1:1" x14ac:dyDescent="0.3">
      <c r="A216" t="s">
        <v>331</v>
      </c>
    </row>
    <row r="218" spans="1:1" x14ac:dyDescent="0.3">
      <c r="A218" t="s">
        <v>332</v>
      </c>
    </row>
    <row r="219" spans="1:1" x14ac:dyDescent="0.3">
      <c r="A219" t="s">
        <v>333</v>
      </c>
    </row>
    <row r="221" spans="1:1" x14ac:dyDescent="0.3">
      <c r="A221" t="s">
        <v>334</v>
      </c>
    </row>
    <row r="223" spans="1:1" x14ac:dyDescent="0.3">
      <c r="A223" t="s">
        <v>335</v>
      </c>
    </row>
    <row r="224" spans="1:1" x14ac:dyDescent="0.3">
      <c r="A224" t="s">
        <v>336</v>
      </c>
    </row>
    <row r="225" spans="1:1" x14ac:dyDescent="0.3">
      <c r="A225" t="s">
        <v>337</v>
      </c>
    </row>
    <row r="226" spans="1:1" x14ac:dyDescent="0.3">
      <c r="A226" t="s">
        <v>338</v>
      </c>
    </row>
    <row r="228" spans="1:1" x14ac:dyDescent="0.3">
      <c r="A228" t="s">
        <v>339</v>
      </c>
    </row>
    <row r="230" spans="1:1" x14ac:dyDescent="0.3">
      <c r="A230" t="s">
        <v>340</v>
      </c>
    </row>
    <row r="232" spans="1:1" x14ac:dyDescent="0.3">
      <c r="A232" t="s">
        <v>341</v>
      </c>
    </row>
    <row r="233" spans="1:1" x14ac:dyDescent="0.3">
      <c r="A233" t="s">
        <v>342</v>
      </c>
    </row>
    <row r="235" spans="1:1" x14ac:dyDescent="0.3">
      <c r="A235" t="s">
        <v>343</v>
      </c>
    </row>
    <row r="237" spans="1:1" x14ac:dyDescent="0.3">
      <c r="A237" t="s">
        <v>344</v>
      </c>
    </row>
    <row r="238" spans="1:1" x14ac:dyDescent="0.3">
      <c r="A238" t="s">
        <v>345</v>
      </c>
    </row>
    <row r="239" spans="1:1" x14ac:dyDescent="0.3">
      <c r="A239" t="s">
        <v>346</v>
      </c>
    </row>
    <row r="240" spans="1:1" x14ac:dyDescent="0.3">
      <c r="A240" t="s">
        <v>347</v>
      </c>
    </row>
    <row r="241" spans="1:6" x14ac:dyDescent="0.3">
      <c r="A241" t="s">
        <v>348</v>
      </c>
    </row>
    <row r="242" spans="1:6" x14ac:dyDescent="0.3">
      <c r="A242" t="s">
        <v>349</v>
      </c>
    </row>
    <row r="244" spans="1:6" x14ac:dyDescent="0.3">
      <c r="A244" t="s">
        <v>350</v>
      </c>
      <c r="B244" t="s">
        <v>351</v>
      </c>
      <c r="C244" t="s">
        <v>352</v>
      </c>
      <c r="D244" t="s">
        <v>353</v>
      </c>
      <c r="E244" t="s">
        <v>354</v>
      </c>
      <c r="F244" t="s">
        <v>355</v>
      </c>
    </row>
    <row r="245" spans="1:6" x14ac:dyDescent="0.3">
      <c r="A245" t="s">
        <v>356</v>
      </c>
      <c r="B245" t="s">
        <v>357</v>
      </c>
      <c r="C245" t="s">
        <v>358</v>
      </c>
      <c r="D245" t="s">
        <v>359</v>
      </c>
      <c r="E245" t="s">
        <v>360</v>
      </c>
      <c r="F245" t="s">
        <v>361</v>
      </c>
    </row>
    <row r="246" spans="1:6" x14ac:dyDescent="0.3">
      <c r="A246" t="s">
        <v>362</v>
      </c>
      <c r="B246" t="s">
        <v>363</v>
      </c>
      <c r="C246" t="s">
        <v>364</v>
      </c>
      <c r="D246" t="s">
        <v>365</v>
      </c>
      <c r="E246" t="s">
        <v>360</v>
      </c>
      <c r="F246" t="s">
        <v>366</v>
      </c>
    </row>
    <row r="247" spans="1:6" x14ac:dyDescent="0.3">
      <c r="A247" t="s">
        <v>367</v>
      </c>
      <c r="B247" t="s">
        <v>368</v>
      </c>
      <c r="C247" t="s">
        <v>360</v>
      </c>
      <c r="D247" t="s">
        <v>360</v>
      </c>
      <c r="E247" t="s">
        <v>360</v>
      </c>
      <c r="F247" t="s">
        <v>368</v>
      </c>
    </row>
    <row r="248" spans="1:6" x14ac:dyDescent="0.3">
      <c r="A248" t="e" cm="1">
        <f t="array" ref="A248" xml:space="preserve"> MARGE CONTRIBUTIVE</f>
        <v>#NAME?</v>
      </c>
      <c r="B248" t="s">
        <v>369</v>
      </c>
      <c r="C248" t="s">
        <v>370</v>
      </c>
      <c r="D248" t="s">
        <v>371</v>
      </c>
      <c r="E248" t="s">
        <v>360</v>
      </c>
      <c r="F248" t="s">
        <v>372</v>
      </c>
    </row>
    <row r="249" spans="1:6" x14ac:dyDescent="0.3">
      <c r="A249" t="s">
        <v>373</v>
      </c>
    </row>
    <row r="250" spans="1:6" x14ac:dyDescent="0.3">
      <c r="A250" t="s">
        <v>374</v>
      </c>
      <c r="B250" t="s">
        <v>360</v>
      </c>
      <c r="C250" t="s">
        <v>360</v>
      </c>
      <c r="D250" t="s">
        <v>360</v>
      </c>
      <c r="E250" t="s">
        <v>375</v>
      </c>
      <c r="F250" t="s">
        <v>375</v>
      </c>
    </row>
    <row r="251" spans="1:6" x14ac:dyDescent="0.3">
      <c r="A251" t="s">
        <v>376</v>
      </c>
    </row>
    <row r="252" spans="1:6" x14ac:dyDescent="0.3">
      <c r="A252" t="e" cm="1">
        <f t="array" ref="A252" xml:space="preserve"> RÉSULTAT NET</f>
        <v>#NAME?</v>
      </c>
      <c r="F252" t="s">
        <v>377</v>
      </c>
    </row>
    <row r="253" spans="1:6" x14ac:dyDescent="0.3">
      <c r="A253" t="s">
        <v>378</v>
      </c>
    </row>
    <row r="254" spans="1:6" x14ac:dyDescent="0.3">
      <c r="A254" t="s">
        <v>379</v>
      </c>
    </row>
    <row r="256" spans="1:6" x14ac:dyDescent="0.3">
      <c r="A256" t="s">
        <v>380</v>
      </c>
    </row>
    <row r="258" spans="1:1" x14ac:dyDescent="0.3">
      <c r="A258" t="s">
        <v>381</v>
      </c>
    </row>
    <row r="259" spans="1:1" x14ac:dyDescent="0.3">
      <c r="A259" t="s">
        <v>382</v>
      </c>
    </row>
    <row r="260" spans="1:1" x14ac:dyDescent="0.3">
      <c r="A260" t="s">
        <v>383</v>
      </c>
    </row>
    <row r="261" spans="1:1" x14ac:dyDescent="0.3">
      <c r="A261" t="s">
        <v>384</v>
      </c>
    </row>
    <row r="264" spans="1:1" x14ac:dyDescent="0.3">
      <c r="A264" t="s">
        <v>385</v>
      </c>
    </row>
    <row r="266" spans="1:1" x14ac:dyDescent="0.3">
      <c r="A266" t="s">
        <v>386</v>
      </c>
    </row>
    <row r="268" spans="1:1" x14ac:dyDescent="0.3">
      <c r="A268" t="s">
        <v>142</v>
      </c>
    </row>
    <row r="270" spans="1:1" x14ac:dyDescent="0.3">
      <c r="A270" t="s">
        <v>387</v>
      </c>
    </row>
    <row r="272" spans="1:1" x14ac:dyDescent="0.3">
      <c r="A272" t="s">
        <v>388</v>
      </c>
    </row>
    <row r="274" spans="1:1" x14ac:dyDescent="0.3">
      <c r="A274" t="s">
        <v>389</v>
      </c>
    </row>
    <row r="275" spans="1:1" x14ac:dyDescent="0.3">
      <c r="A275" t="s">
        <v>390</v>
      </c>
    </row>
    <row r="277" spans="1:1" x14ac:dyDescent="0.3">
      <c r="A277" t="s">
        <v>142</v>
      </c>
    </row>
    <row r="279" spans="1:1" x14ac:dyDescent="0.3">
      <c r="A279" t="s">
        <v>391</v>
      </c>
    </row>
    <row r="281" spans="1:1" x14ac:dyDescent="0.3">
      <c r="A281" t="s">
        <v>392</v>
      </c>
    </row>
    <row r="283" spans="1:1" x14ac:dyDescent="0.3">
      <c r="A283" t="s">
        <v>393</v>
      </c>
    </row>
    <row r="284" spans="1:1" x14ac:dyDescent="0.3">
      <c r="A284" t="s">
        <v>394</v>
      </c>
    </row>
    <row r="285" spans="1:1" x14ac:dyDescent="0.3">
      <c r="A285" t="s">
        <v>395</v>
      </c>
    </row>
    <row r="286" spans="1:1" x14ac:dyDescent="0.3">
      <c r="A286" t="s">
        <v>396</v>
      </c>
    </row>
    <row r="288" spans="1:1" x14ac:dyDescent="0.3">
      <c r="A288" t="s">
        <v>397</v>
      </c>
    </row>
    <row r="289" spans="1:1" x14ac:dyDescent="0.3">
      <c r="A289" t="s">
        <v>398</v>
      </c>
    </row>
    <row r="290" spans="1:1" x14ac:dyDescent="0.3">
      <c r="A290" t="s">
        <v>399</v>
      </c>
    </row>
    <row r="291" spans="1:1" x14ac:dyDescent="0.3">
      <c r="A291" t="s">
        <v>400</v>
      </c>
    </row>
    <row r="293" spans="1:1" x14ac:dyDescent="0.3">
      <c r="A293" t="s">
        <v>401</v>
      </c>
    </row>
    <row r="294" spans="1:1" x14ac:dyDescent="0.3">
      <c r="A294" t="s">
        <v>402</v>
      </c>
    </row>
    <row r="296" spans="1:1" x14ac:dyDescent="0.3">
      <c r="A296" t="s">
        <v>403</v>
      </c>
    </row>
    <row r="297" spans="1:1" x14ac:dyDescent="0.3">
      <c r="A297" t="s">
        <v>404</v>
      </c>
    </row>
    <row r="299" spans="1:1" x14ac:dyDescent="0.3">
      <c r="A299" t="s">
        <v>142</v>
      </c>
    </row>
    <row r="301" spans="1:1" x14ac:dyDescent="0.3">
      <c r="A301" t="s">
        <v>405</v>
      </c>
    </row>
    <row r="303" spans="1:1" x14ac:dyDescent="0.3">
      <c r="A303" t="s">
        <v>406</v>
      </c>
    </row>
    <row r="304" spans="1:1" x14ac:dyDescent="0.3">
      <c r="A304" t="s">
        <v>407</v>
      </c>
    </row>
    <row r="305" spans="1:1" x14ac:dyDescent="0.3">
      <c r="A305" t="s">
        <v>408</v>
      </c>
    </row>
    <row r="306" spans="1:1" x14ac:dyDescent="0.3">
      <c r="A306" t="s">
        <v>409</v>
      </c>
    </row>
    <row r="307" spans="1:1" x14ac:dyDescent="0.3">
      <c r="A307" t="s">
        <v>410</v>
      </c>
    </row>
    <row r="308" spans="1:1" x14ac:dyDescent="0.3">
      <c r="A308" t="s">
        <v>411</v>
      </c>
    </row>
    <row r="310" spans="1:1" x14ac:dyDescent="0.3">
      <c r="A310" t="s">
        <v>412</v>
      </c>
    </row>
    <row r="312" spans="1:1" x14ac:dyDescent="0.3">
      <c r="A312" t="s">
        <v>413</v>
      </c>
    </row>
    <row r="313" spans="1:1" x14ac:dyDescent="0.3">
      <c r="A313" t="s">
        <v>414</v>
      </c>
    </row>
    <row r="314" spans="1:1" x14ac:dyDescent="0.3">
      <c r="A314" t="s">
        <v>415</v>
      </c>
    </row>
    <row r="315" spans="1:1" x14ac:dyDescent="0.3">
      <c r="A315" t="s">
        <v>416</v>
      </c>
    </row>
    <row r="316" spans="1:1" x14ac:dyDescent="0.3">
      <c r="A316" t="s">
        <v>417</v>
      </c>
    </row>
    <row r="318" spans="1:1" x14ac:dyDescent="0.3">
      <c r="A318" t="s">
        <v>418</v>
      </c>
    </row>
    <row r="320" spans="1:1" x14ac:dyDescent="0.3">
      <c r="A320" t="s">
        <v>419</v>
      </c>
    </row>
    <row r="321" spans="1:1" x14ac:dyDescent="0.3">
      <c r="A321" t="s">
        <v>420</v>
      </c>
    </row>
    <row r="322" spans="1:1" x14ac:dyDescent="0.3">
      <c r="A322" t="s">
        <v>421</v>
      </c>
    </row>
    <row r="324" spans="1:1" x14ac:dyDescent="0.3">
      <c r="A324" t="s">
        <v>422</v>
      </c>
    </row>
    <row r="326" spans="1:1" x14ac:dyDescent="0.3">
      <c r="A326" t="s">
        <v>423</v>
      </c>
    </row>
    <row r="328" spans="1:1" x14ac:dyDescent="0.3">
      <c r="A328" t="s">
        <v>424</v>
      </c>
    </row>
    <row r="330" spans="1:1" x14ac:dyDescent="0.3">
      <c r="A330" t="s">
        <v>425</v>
      </c>
    </row>
    <row r="332" spans="1:1" x14ac:dyDescent="0.3">
      <c r="A332" t="s">
        <v>142</v>
      </c>
    </row>
    <row r="334" spans="1:1" x14ac:dyDescent="0.3">
      <c r="A334" t="s">
        <v>426</v>
      </c>
    </row>
    <row r="335" spans="1:1" x14ac:dyDescent="0.3">
      <c r="A335" t="s">
        <v>427</v>
      </c>
    </row>
    <row r="336" spans="1:1" x14ac:dyDescent="0.3">
      <c r="A336" t="s">
        <v>428</v>
      </c>
    </row>
    <row r="337" spans="1:1" x14ac:dyDescent="0.3">
      <c r="A337" t="s">
        <v>429</v>
      </c>
    </row>
    <row r="338" spans="1:1" x14ac:dyDescent="0.3">
      <c r="A338" t="s">
        <v>430</v>
      </c>
    </row>
    <row r="340" spans="1:1" x14ac:dyDescent="0.3">
      <c r="A340" t="s">
        <v>431</v>
      </c>
    </row>
    <row r="341" spans="1:1" x14ac:dyDescent="0.3">
      <c r="A341" t="s">
        <v>432</v>
      </c>
    </row>
    <row r="343" spans="1:1" x14ac:dyDescent="0.3">
      <c r="A343" t="s">
        <v>433</v>
      </c>
    </row>
    <row r="344" spans="1:1" x14ac:dyDescent="0.3">
      <c r="A344" t="s">
        <v>434</v>
      </c>
    </row>
    <row r="345" spans="1:1" x14ac:dyDescent="0.3">
      <c r="A345" t="s">
        <v>435</v>
      </c>
    </row>
    <row r="346" spans="1:1" x14ac:dyDescent="0.3">
      <c r="A346" t="s">
        <v>436</v>
      </c>
    </row>
    <row r="347" spans="1:1" x14ac:dyDescent="0.3">
      <c r="A347" t="s">
        <v>437</v>
      </c>
    </row>
    <row r="348" spans="1:1" x14ac:dyDescent="0.3">
      <c r="A348" t="s">
        <v>438</v>
      </c>
    </row>
    <row r="349" spans="1:1" x14ac:dyDescent="0.3">
      <c r="A349" t="s">
        <v>439</v>
      </c>
    </row>
    <row r="351" spans="1:1" x14ac:dyDescent="0.3">
      <c r="A351" t="s">
        <v>142</v>
      </c>
    </row>
    <row r="353" spans="1:1" x14ac:dyDescent="0.3">
      <c r="A353" t="s">
        <v>440</v>
      </c>
    </row>
    <row r="354" spans="1:1" x14ac:dyDescent="0.3">
      <c r="A354" t="s">
        <v>427</v>
      </c>
    </row>
    <row r="355" spans="1:1" x14ac:dyDescent="0.3">
      <c r="A355" t="s">
        <v>441</v>
      </c>
    </row>
    <row r="356" spans="1:1" x14ac:dyDescent="0.3">
      <c r="A356" t="s">
        <v>442</v>
      </c>
    </row>
    <row r="357" spans="1:1" x14ac:dyDescent="0.3">
      <c r="A357" t="s">
        <v>430</v>
      </c>
    </row>
    <row r="359" spans="1:1" x14ac:dyDescent="0.3">
      <c r="A359" t="s">
        <v>431</v>
      </c>
    </row>
    <row r="360" spans="1:1" x14ac:dyDescent="0.3">
      <c r="A360" t="s">
        <v>443</v>
      </c>
    </row>
    <row r="362" spans="1:1" x14ac:dyDescent="0.3">
      <c r="A362" t="s">
        <v>444</v>
      </c>
    </row>
    <row r="363" spans="1:1" x14ac:dyDescent="0.3">
      <c r="A363" t="s">
        <v>445</v>
      </c>
    </row>
    <row r="364" spans="1:1" x14ac:dyDescent="0.3">
      <c r="A364" t="s">
        <v>446</v>
      </c>
    </row>
    <row r="365" spans="1:1" x14ac:dyDescent="0.3">
      <c r="A365" t="s">
        <v>447</v>
      </c>
    </row>
    <row r="366" spans="1:1" x14ac:dyDescent="0.3">
      <c r="A366" t="s">
        <v>448</v>
      </c>
    </row>
    <row r="367" spans="1:1" x14ac:dyDescent="0.3">
      <c r="A367" t="s">
        <v>449</v>
      </c>
    </row>
    <row r="369" spans="1:1" x14ac:dyDescent="0.3">
      <c r="A369" t="s">
        <v>142</v>
      </c>
    </row>
    <row r="371" spans="1:1" x14ac:dyDescent="0.3">
      <c r="A371" t="s">
        <v>450</v>
      </c>
    </row>
    <row r="372" spans="1:1" x14ac:dyDescent="0.3">
      <c r="A372" t="s">
        <v>427</v>
      </c>
    </row>
    <row r="373" spans="1:1" x14ac:dyDescent="0.3">
      <c r="A373" t="s">
        <v>451</v>
      </c>
    </row>
    <row r="374" spans="1:1" x14ac:dyDescent="0.3">
      <c r="A374" t="s">
        <v>452</v>
      </c>
    </row>
    <row r="375" spans="1:1" x14ac:dyDescent="0.3">
      <c r="A375" t="s">
        <v>453</v>
      </c>
    </row>
    <row r="377" spans="1:1" x14ac:dyDescent="0.3">
      <c r="A377" t="s">
        <v>431</v>
      </c>
    </row>
    <row r="378" spans="1:1" x14ac:dyDescent="0.3">
      <c r="A378" t="s">
        <v>454</v>
      </c>
    </row>
    <row r="380" spans="1:1" x14ac:dyDescent="0.3">
      <c r="A380" t="s">
        <v>455</v>
      </c>
    </row>
    <row r="381" spans="1:1" x14ac:dyDescent="0.3">
      <c r="A381" t="s">
        <v>456</v>
      </c>
    </row>
    <row r="382" spans="1:1" x14ac:dyDescent="0.3">
      <c r="A382" t="s">
        <v>457</v>
      </c>
    </row>
    <row r="383" spans="1:1" x14ac:dyDescent="0.3">
      <c r="A383" t="s">
        <v>458</v>
      </c>
    </row>
    <row r="385" spans="1:1" x14ac:dyDescent="0.3">
      <c r="A385" t="s">
        <v>142</v>
      </c>
    </row>
    <row r="387" spans="1:1" x14ac:dyDescent="0.3">
      <c r="A387" t="s">
        <v>459</v>
      </c>
    </row>
    <row r="389" spans="1:1" x14ac:dyDescent="0.3">
      <c r="A389" t="s">
        <v>460</v>
      </c>
    </row>
    <row r="391" spans="1:1" x14ac:dyDescent="0.3">
      <c r="A391" t="s">
        <v>461</v>
      </c>
    </row>
    <row r="392" spans="1:1" x14ac:dyDescent="0.3">
      <c r="A392" t="s">
        <v>462</v>
      </c>
    </row>
    <row r="393" spans="1:1" x14ac:dyDescent="0.3">
      <c r="A393" t="s">
        <v>463</v>
      </c>
    </row>
    <row r="394" spans="1:1" x14ac:dyDescent="0.3">
      <c r="A394" t="s">
        <v>464</v>
      </c>
    </row>
    <row r="395" spans="1:1" x14ac:dyDescent="0.3">
      <c r="A395" t="s">
        <v>465</v>
      </c>
    </row>
    <row r="397" spans="1:1" x14ac:dyDescent="0.3">
      <c r="A397" t="s">
        <v>466</v>
      </c>
    </row>
    <row r="398" spans="1:1" x14ac:dyDescent="0.3">
      <c r="A398" t="s">
        <v>467</v>
      </c>
    </row>
    <row r="399" spans="1:1" x14ac:dyDescent="0.3">
      <c r="A399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PARAM</vt:lpstr>
      <vt:lpstr>PCE_G-IMP</vt:lpstr>
      <vt:lpstr>CODES JOURNAUX</vt:lpstr>
      <vt:lpstr>TIERS CLIENTS</vt:lpstr>
      <vt:lpstr>TIERS FOURNISSEURS</vt:lpstr>
      <vt:lpstr>PLAN ANALYTIQUE</vt:lpstr>
      <vt:lpstr>PARC KENAM SERVICE</vt:lpstr>
      <vt:lpstr>PC ANALYTIQUE</vt:lpstr>
      <vt:lpstr>'PCE_G-IMP'!Impression_des_titres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a12900</dc:creator>
  <cp:lastModifiedBy>a12900</cp:lastModifiedBy>
  <dcterms:created xsi:type="dcterms:W3CDTF">2026-03-29T12:21:21Z</dcterms:created>
  <dcterms:modified xsi:type="dcterms:W3CDTF">2026-04-04T20:16:43Z</dcterms:modified>
</cp:coreProperties>
</file>